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elopment\Projects\gravitylie\electronics\single_face_controller_prototype\"/>
    </mc:Choice>
  </mc:AlternateContent>
  <xr:revisionPtr revIDLastSave="0" documentId="13_ncr:1_{307B3FEE-3EAA-4422-961E-358D900F7A49}" xr6:coauthVersionLast="46" xr6:coauthVersionMax="46" xr10:uidLastSave="{00000000-0000-0000-0000-000000000000}"/>
  <workbookProtection workbookPassword="87C7" lockStructure="1"/>
  <bookViews>
    <workbookView xWindow="17715" yWindow="-120" windowWidth="12150" windowHeight="15555" tabRatio="806" activeTab="1" xr2:uid="{00000000-000D-0000-FFFF-FFFF00000000}"/>
  </bookViews>
  <sheets>
    <sheet name="Intro" sheetId="13" r:id="rId1"/>
    <sheet name="User Input" sheetId="1" r:id="rId2"/>
    <sheet name="Diagrams" sheetId="53" r:id="rId3"/>
    <sheet name="Equations" sheetId="23" r:id="rId4"/>
    <sheet name="Calculations" sheetId="4" state="hidden" r:id="rId5"/>
    <sheet name="Calculations2" sheetId="48" state="hidden" r:id="rId6"/>
    <sheet name="Calculations3" sheetId="50" state="hidden" r:id="rId7"/>
    <sheet name="FET Data" sheetId="14" state="hidden" r:id="rId8"/>
    <sheet name="Logic" sheetId="15" state="hidden" r:id="rId9"/>
    <sheet name="Logic2" sheetId="16" state="hidden" r:id="rId10"/>
    <sheet name="Logic3" sheetId="17" state="hidden" r:id="rId11"/>
    <sheet name="Ploss_Sync_FET1" sheetId="24" state="hidden" r:id="rId12"/>
    <sheet name="Ploss_Sync_FET2" sheetId="47" state="hidden" r:id="rId13"/>
    <sheet name="Ploss_Sync_FET3" sheetId="49" state="hidden" r:id="rId14"/>
    <sheet name="FET_List1" sheetId="46" state="hidden" r:id="rId15"/>
    <sheet name="FET_List2" sheetId="51" state="hidden" r:id="rId16"/>
    <sheet name="FET_List3" sheetId="52" state="hidden" r:id="rId17"/>
  </sheets>
  <definedNames>
    <definedName name="_xlnm._FilterDatabase" localSheetId="8" hidden="1">Logic!$A$2:$A$123</definedName>
    <definedName name="_xlnm._FilterDatabase" localSheetId="9" hidden="1">Logic2!#REF!</definedName>
    <definedName name="_xlnm._FilterDatabase" localSheetId="10" hidden="1">Logic3!#REF!</definedName>
    <definedName name="DEFAULT">'User Input'!$C$7</definedName>
    <definedName name="DUTY">'User Input'!$C$17</definedName>
    <definedName name="FET_config">'User Input'!$F$11</definedName>
    <definedName name="FET_config2">'User Input'!$G$11</definedName>
    <definedName name="FET_config3">'User Input'!$H$11</definedName>
    <definedName name="FSW">'User Input'!$C$20</definedName>
    <definedName name="G">Calculations!$B$20</definedName>
    <definedName name="GDR_SINK">'User Input'!$C$23</definedName>
    <definedName name="GDR_SRC">'User Input'!$C$22</definedName>
    <definedName name="GDR_V">'User Input'!$C$21</definedName>
    <definedName name="IM_AVG">'User Input'!$C$27</definedName>
    <definedName name="IM_PEAK">'User Input'!$C$29</definedName>
    <definedName name="IM_RMS">'User Input'!$C$28</definedName>
    <definedName name="IM_RMS_120">'User Input'!$C$31</definedName>
    <definedName name="k" localSheetId="5">Calculations2!$B$18</definedName>
    <definedName name="k" localSheetId="6">Calculations3!$B$18</definedName>
    <definedName name="k">Calculations!$B$18</definedName>
    <definedName name="Lo" localSheetId="5">'User Input'!#REF!</definedName>
    <definedName name="Lo" localSheetId="15">'User Input'!#REF!</definedName>
    <definedName name="Lo" localSheetId="16">'User Input'!#REF!</definedName>
    <definedName name="Lo">'User Input'!#REF!</definedName>
    <definedName name="Ltarget" localSheetId="5">Calculations2!#REF!</definedName>
    <definedName name="Ltarget" localSheetId="15">Calculations!#REF!</definedName>
    <definedName name="Ltarget" localSheetId="16">Calculations!#REF!</definedName>
    <definedName name="Ltarget">Calculations!#REF!</definedName>
    <definedName name="m" localSheetId="5">Calculations2!$B$17</definedName>
    <definedName name="m" localSheetId="6">Calculations3!$B$17</definedName>
    <definedName name="m">Calculations!$B$17</definedName>
    <definedName name="Meg" localSheetId="5">Calculations2!$B$19</definedName>
    <definedName name="Meg" localSheetId="6">Calculations3!$B$19</definedName>
    <definedName name="Meg">Calculations!$B$19</definedName>
    <definedName name="MOT_COM_TIME">'User Input'!$C$18</definedName>
    <definedName name="MOT_ELEC_FREQ">'User Input'!$C$30</definedName>
    <definedName name="n" localSheetId="5">Calculations2!$B$15</definedName>
    <definedName name="n" localSheetId="6">Calculations3!$B$15</definedName>
    <definedName name="n">Calculations!$B$15</definedName>
    <definedName name="Num_FETS">'User Input'!$F$12</definedName>
    <definedName name="Num_FETS2">'User Input'!$G$12</definedName>
    <definedName name="Num_FETS3">'User Input'!$H$12</definedName>
    <definedName name="p" localSheetId="5">Calculations2!$B$14</definedName>
    <definedName name="p" localSheetId="6">Calculations3!$B$14</definedName>
    <definedName name="p">Calculations!$B$14</definedName>
    <definedName name="P_DC">'User Input'!$C$14</definedName>
    <definedName name="Pick_FET">'User Input'!$F$15</definedName>
    <definedName name="Pick_FET2">'User Input'!$G$15</definedName>
    <definedName name="Pick_FET3">'User Input'!$H$15</definedName>
    <definedName name="POLES">'User Input'!$C$15</definedName>
    <definedName name="Q1_BVDSS" localSheetId="5">'User Input'!#REF!</definedName>
    <definedName name="Q1_BVDSS" localSheetId="15">'User Input'!#REF!</definedName>
    <definedName name="Q1_BVDSS" localSheetId="16">'User Input'!#REF!</definedName>
    <definedName name="Q1_BVDSS">'User Input'!#REF!</definedName>
    <definedName name="Q1_BVDSS2" localSheetId="5">'User Input'!#REF!</definedName>
    <definedName name="Q1_BVDSS2" localSheetId="15">'User Input'!#REF!</definedName>
    <definedName name="Q1_BVDSS2" localSheetId="16">'User Input'!#REF!</definedName>
    <definedName name="Q1_BVDSS2">'User Input'!#REF!</definedName>
    <definedName name="Q1_BVDSS3" localSheetId="5">'User Input'!#REF!</definedName>
    <definedName name="Q1_BVDSS3" localSheetId="15">'User Input'!#REF!</definedName>
    <definedName name="Q1_BVDSS3" localSheetId="16">'User Input'!#REF!</definedName>
    <definedName name="Q1_BVDSS3">'User Input'!#REF!</definedName>
    <definedName name="Q1_Part_Number">Calculations!$C$2</definedName>
    <definedName name="Q1_Part_Number2">Calculations2!$C$2</definedName>
    <definedName name="Q1_Part_Number3">Calculations3!$C$2</definedName>
    <definedName name="Q1_Ploss">Calculations!$N$4</definedName>
    <definedName name="Q1_Qg">'User Input'!$F$22</definedName>
    <definedName name="Q1_Qg2">'User Input'!$G$22</definedName>
    <definedName name="Q1_Qgd">Calculations!$C$6</definedName>
    <definedName name="Q1_Qgd2">Calculations2!$C$6</definedName>
    <definedName name="Q1_Qgd3">Calculations3!$C$6</definedName>
    <definedName name="Q1_Qgs">Calculations!$C$7</definedName>
    <definedName name="Q1_Qgs2">Calculations2!$C$7</definedName>
    <definedName name="Q1_Qgs3">Calculations3!$C$7</definedName>
    <definedName name="Q1_Qgth">Calculations!$C$8</definedName>
    <definedName name="Q1_Qgth2">Calculations2!$C$8</definedName>
    <definedName name="Q1_Qgth3">Calculations3!$C$8</definedName>
    <definedName name="Q1_Qoss">Calculations!$C$9</definedName>
    <definedName name="Q1_Qoss2">Calculations2!$C$9</definedName>
    <definedName name="Q1_Qoss3">Calculations3!$C$9</definedName>
    <definedName name="Q1_Qrr">Calculations!$C$10</definedName>
    <definedName name="Q1_Qrr2">Calculations2!$C$10</definedName>
    <definedName name="Q1_Qrr3">Calculations3!$C$10</definedName>
    <definedName name="Q1_Rdson">'User Input'!$F$21</definedName>
    <definedName name="Q1_Rdson2">'User Input'!$G$21</definedName>
    <definedName name="Q1_Rdson3">'User Input'!$H$21</definedName>
    <definedName name="Q1_Rg">Calculations!$C$11</definedName>
    <definedName name="Q1_Rg2">Calculations2!$C$11</definedName>
    <definedName name="Q1_Rg3">Calculations3!$C$11</definedName>
    <definedName name="Q1_VMILLER">Calculations!$C$5</definedName>
    <definedName name="Q1_VMILLER2">Calculations2!$C$5</definedName>
    <definedName name="Q1_VMILLER3">Calculations3!$C$5</definedName>
    <definedName name="Q1_Vsd">Calculations!$E$5</definedName>
    <definedName name="Q1_Vsd2">Calculations2!$E$5</definedName>
    <definedName name="Q1_Vsd3">Calculations3!$E$5</definedName>
    <definedName name="Q1_VTHRmax">Calculations!$C$4</definedName>
    <definedName name="Q1_VTHRmax2">Calculations2!$C$4</definedName>
    <definedName name="Q1_VTHRmax3">Calculations3!$C$4</definedName>
    <definedName name="Q1_VTHRmin">Calculations!$C$3</definedName>
    <definedName name="Q1_VTHRmin2">Calculations2!$C$3</definedName>
    <definedName name="Q1_VTHRmin3">Calculations3!$C$3</definedName>
    <definedName name="Q1RDSON">Logic!$AB$15</definedName>
    <definedName name="Q1RDSON2">Logic2!$I$15</definedName>
    <definedName name="Q1RDSON3">Logic3!$I$15</definedName>
    <definedName name="Q1RDSONTJ">Calculations!$E$3</definedName>
    <definedName name="Q1RDSONTJ2">Calculations2!$E$3</definedName>
    <definedName name="Q1RDSONTJ3">Calculations3!$E$3</definedName>
    <definedName name="Q2_BVDSS">'User Input'!$F$17</definedName>
    <definedName name="Q2_BVDSS2">'User Input'!$G$17</definedName>
    <definedName name="Q2_BVDSS3">'User Input'!$H$17</definedName>
    <definedName name="Q2_Part_Number">Calculations!$B$2</definedName>
    <definedName name="Q2_Part_Number2">Calculations2!$B$2</definedName>
    <definedName name="Q2_Part_Number3">Calculations3!$B$2</definedName>
    <definedName name="Q2_Ploss" localSheetId="5">Calculations2!$N$3</definedName>
    <definedName name="Q2_Ploss">Calculations!$N$3</definedName>
    <definedName name="Q2_Qg">'User Input'!$F$20</definedName>
    <definedName name="Q2_Qg2">'User Input'!$G$20</definedName>
    <definedName name="Q2_Qg3">'User Input'!$H$20</definedName>
    <definedName name="Q2_Qgd">Calculations!$B$6</definedName>
    <definedName name="Q2_Qgd2">Calculations2!$B$6</definedName>
    <definedName name="Q2_Qgd3">Calculations3!$B$6</definedName>
    <definedName name="Q2_Qgs">Calculations!$B$7</definedName>
    <definedName name="Q2_Qgs2">Calculations2!$B$7</definedName>
    <definedName name="Q2_Qgs3">Calculations3!$B$7</definedName>
    <definedName name="Q2_Qgth">Calculations!$B$8</definedName>
    <definedName name="Q2_Qgth2">Calculations2!$B$8</definedName>
    <definedName name="Q2_Qgth3">Calculations3!$B$8</definedName>
    <definedName name="Q2_Qoss">Calculations!$B$9</definedName>
    <definedName name="Q2_Qoss2">Calculations2!$B$9</definedName>
    <definedName name="Q2_Qoss3">Calculations3!$B$9</definedName>
    <definedName name="Q2_Qrr">Calculations!$B$10</definedName>
    <definedName name="Q2_Qrr2">Calculations2!$B$10</definedName>
    <definedName name="Q2_Qrr3">Calculations3!$B$10</definedName>
    <definedName name="Q2_Rdson">'User Input'!$F$19</definedName>
    <definedName name="Q2_Rdson2">'User Input'!$G$19</definedName>
    <definedName name="Q2_Rdson3">'User Input'!$H$19</definedName>
    <definedName name="Q2_Rg">Calculations!$B$11</definedName>
    <definedName name="Q2_Rg2">Calculations2!$B$11</definedName>
    <definedName name="Q2_Rg3">Calculations3!$B$11</definedName>
    <definedName name="Q2_VGSmax">'User Input'!$F$18</definedName>
    <definedName name="Q2_VGSmax2">'User Input'!$G$18</definedName>
    <definedName name="Q2_VGSmax3">'User Input'!$H$18</definedName>
    <definedName name="Q2_VMILLER">Calculations!$B$5</definedName>
    <definedName name="Q2_VMILLER2">Calculations2!$B$5</definedName>
    <definedName name="Q2_VMILLER3">Calculations3!$B$5</definedName>
    <definedName name="Q2_Vsd">Calculations!$E$9</definedName>
    <definedName name="Q2_Vsd2">Calculations2!$E$9</definedName>
    <definedName name="Q2_Vsd3">Calculations3!$E$9</definedName>
    <definedName name="Q2_VTHRmax">Calculations!$B$4</definedName>
    <definedName name="Q2_VTHRmax2">Calculations2!$B$4</definedName>
    <definedName name="Q2_VTHRmax3">Calculations3!$B$4</definedName>
    <definedName name="Q2_VTHRmin">Calculations!$B$3</definedName>
    <definedName name="Q2_VTHRmin2" localSheetId="5">Calculations2!$B$3</definedName>
    <definedName name="Q2_VTHRmin3">Calculations3!$B$3</definedName>
    <definedName name="Q2RDSON">Logic!$AB$7</definedName>
    <definedName name="Q2RDSON2">Logic2!$I$7</definedName>
    <definedName name="Q2RDSON3">Logic3!$I$7</definedName>
    <definedName name="Q2RDSONTJ">Calculations!$E$7</definedName>
    <definedName name="Q2RDSONTJ2">Calculations2!$E$7</definedName>
    <definedName name="Q2RDSONTJ3">Calculations3!$E$7</definedName>
    <definedName name="RATED_SPEED">'User Input'!$C$16</definedName>
    <definedName name="T_DEAD">'User Input'!$C$24</definedName>
    <definedName name="Tj">'User Input'!$C$25</definedName>
    <definedName name="u" localSheetId="5">Calculations2!$B$16</definedName>
    <definedName name="u" localSheetId="6">Calculations3!$B$16</definedName>
    <definedName name="u">Calculations!$B$16</definedName>
    <definedName name="VDC_AVG">'User Input'!$C$13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15" l="1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C23" i="15"/>
  <c r="C24" i="15"/>
  <c r="C25" i="15"/>
  <c r="C26" i="15"/>
  <c r="C27" i="15"/>
  <c r="C28" i="15"/>
  <c r="C29" i="15"/>
  <c r="C30" i="15"/>
  <c r="C31" i="15"/>
  <c r="C32" i="15"/>
  <c r="C33" i="15"/>
  <c r="C34" i="15"/>
  <c r="C35" i="15"/>
  <c r="C36" i="15"/>
  <c r="C37" i="15"/>
  <c r="C38" i="15"/>
  <c r="C39" i="15"/>
  <c r="C40" i="15"/>
  <c r="C41" i="15"/>
  <c r="C42" i="15"/>
  <c r="C43" i="15"/>
  <c r="C44" i="15"/>
  <c r="C45" i="15"/>
  <c r="C46" i="15"/>
  <c r="C47" i="15"/>
  <c r="C48" i="15"/>
  <c r="C49" i="15"/>
  <c r="C50" i="15"/>
  <c r="C51" i="15"/>
  <c r="C52" i="15"/>
  <c r="C53" i="15"/>
  <c r="C54" i="15"/>
  <c r="C55" i="15"/>
  <c r="C56" i="15"/>
  <c r="C57" i="15"/>
  <c r="C58" i="15"/>
  <c r="C59" i="15"/>
  <c r="C60" i="15"/>
  <c r="C61" i="15"/>
  <c r="C62" i="15"/>
  <c r="C63" i="15"/>
  <c r="C64" i="15"/>
  <c r="C65" i="15"/>
  <c r="C66" i="15"/>
  <c r="C67" i="15"/>
  <c r="C68" i="15"/>
  <c r="C69" i="15"/>
  <c r="C70" i="15"/>
  <c r="C71" i="15"/>
  <c r="C72" i="15"/>
  <c r="C73" i="15"/>
  <c r="C74" i="15"/>
  <c r="C75" i="15"/>
  <c r="C76" i="15"/>
  <c r="C77" i="15"/>
  <c r="C78" i="15"/>
  <c r="C79" i="15"/>
  <c r="C80" i="15"/>
  <c r="C81" i="15"/>
  <c r="C82" i="15"/>
  <c r="C83" i="15"/>
  <c r="C84" i="15"/>
  <c r="C85" i="15"/>
  <c r="C86" i="15"/>
  <c r="C87" i="15"/>
  <c r="C88" i="15"/>
  <c r="C89" i="15"/>
  <c r="C90" i="15"/>
  <c r="C91" i="15"/>
  <c r="C92" i="15"/>
  <c r="C93" i="15"/>
  <c r="C94" i="15"/>
  <c r="C95" i="15"/>
  <c r="C96" i="15"/>
  <c r="C97" i="15"/>
  <c r="C98" i="15"/>
  <c r="C99" i="15"/>
  <c r="C100" i="15"/>
  <c r="C101" i="15"/>
  <c r="C102" i="15"/>
  <c r="C103" i="15"/>
  <c r="C104" i="15"/>
  <c r="C105" i="15"/>
  <c r="C106" i="15"/>
  <c r="C107" i="15"/>
  <c r="C108" i="15"/>
  <c r="C109" i="15"/>
  <c r="C110" i="15"/>
  <c r="C111" i="15"/>
  <c r="C112" i="15"/>
  <c r="C113" i="15"/>
  <c r="C114" i="15"/>
  <c r="C115" i="15"/>
  <c r="C116" i="15"/>
  <c r="C117" i="15"/>
  <c r="C118" i="15"/>
  <c r="C119" i="15"/>
  <c r="C120" i="15"/>
  <c r="C121" i="15"/>
  <c r="C122" i="15"/>
  <c r="C123" i="15"/>
  <c r="C124" i="15"/>
  <c r="C125" i="15"/>
  <c r="C126" i="15"/>
  <c r="C127" i="15"/>
  <c r="C128" i="15"/>
  <c r="C129" i="15"/>
  <c r="C130" i="15"/>
  <c r="C131" i="15"/>
  <c r="C132" i="15"/>
  <c r="C133" i="15"/>
  <c r="C134" i="15"/>
  <c r="C135" i="15"/>
  <c r="C136" i="15"/>
  <c r="C137" i="15"/>
  <c r="C138" i="15"/>
  <c r="C139" i="15"/>
  <c r="C140" i="15"/>
  <c r="C141" i="15"/>
  <c r="C142" i="15"/>
  <c r="C2" i="15"/>
  <c r="H3" i="15" l="1"/>
  <c r="H4" i="15"/>
  <c r="H5" i="15"/>
  <c r="H6" i="15"/>
  <c r="H7" i="15"/>
  <c r="H8" i="15"/>
  <c r="H9" i="15"/>
  <c r="H10" i="15"/>
  <c r="H11" i="15"/>
  <c r="H12" i="15"/>
  <c r="H13" i="15"/>
  <c r="H14" i="15"/>
  <c r="H15" i="15"/>
  <c r="H16" i="15"/>
  <c r="H17" i="15"/>
  <c r="H18" i="15"/>
  <c r="H19" i="15"/>
  <c r="H20" i="15"/>
  <c r="H21" i="15"/>
  <c r="H22" i="15"/>
  <c r="H23" i="15"/>
  <c r="H24" i="15"/>
  <c r="H25" i="15"/>
  <c r="H26" i="15"/>
  <c r="H27" i="15"/>
  <c r="H28" i="15"/>
  <c r="H29" i="15"/>
  <c r="H30" i="15"/>
  <c r="H31" i="15"/>
  <c r="H32" i="15"/>
  <c r="H33" i="15"/>
  <c r="H34" i="15"/>
  <c r="H35" i="15"/>
  <c r="H36" i="15"/>
  <c r="H37" i="15"/>
  <c r="H38" i="15"/>
  <c r="H39" i="15"/>
  <c r="H40" i="15"/>
  <c r="H41" i="15"/>
  <c r="H42" i="15"/>
  <c r="H43" i="15"/>
  <c r="H44" i="15"/>
  <c r="H45" i="15"/>
  <c r="H46" i="15"/>
  <c r="H47" i="15"/>
  <c r="H48" i="15"/>
  <c r="H49" i="15"/>
  <c r="H50" i="15"/>
  <c r="H51" i="15"/>
  <c r="H52" i="15"/>
  <c r="H53" i="15"/>
  <c r="H54" i="15"/>
  <c r="H55" i="15"/>
  <c r="H56" i="15"/>
  <c r="H57" i="15"/>
  <c r="H58" i="15"/>
  <c r="H59" i="15"/>
  <c r="H60" i="15"/>
  <c r="H61" i="15"/>
  <c r="H62" i="15"/>
  <c r="H63" i="15"/>
  <c r="H64" i="15"/>
  <c r="H65" i="15"/>
  <c r="H66" i="15"/>
  <c r="H67" i="15"/>
  <c r="H68" i="15"/>
  <c r="H69" i="15"/>
  <c r="H70" i="15"/>
  <c r="H71" i="15"/>
  <c r="H72" i="15"/>
  <c r="H73" i="15"/>
  <c r="H74" i="15"/>
  <c r="H75" i="15"/>
  <c r="H76" i="15"/>
  <c r="H77" i="15"/>
  <c r="H78" i="15"/>
  <c r="H79" i="15"/>
  <c r="H80" i="15"/>
  <c r="H81" i="15"/>
  <c r="H82" i="15"/>
  <c r="H83" i="15"/>
  <c r="H84" i="15"/>
  <c r="H85" i="15"/>
  <c r="H86" i="15"/>
  <c r="H87" i="15"/>
  <c r="H88" i="15"/>
  <c r="H89" i="15"/>
  <c r="H90" i="15"/>
  <c r="H91" i="15"/>
  <c r="H92" i="15"/>
  <c r="H93" i="15"/>
  <c r="H94" i="15"/>
  <c r="H95" i="15"/>
  <c r="H96" i="15"/>
  <c r="H97" i="15"/>
  <c r="H98" i="15"/>
  <c r="H99" i="15"/>
  <c r="H100" i="15"/>
  <c r="H101" i="15"/>
  <c r="H102" i="15"/>
  <c r="H103" i="15"/>
  <c r="H104" i="15"/>
  <c r="H105" i="15"/>
  <c r="H106" i="15"/>
  <c r="H107" i="15"/>
  <c r="H108" i="15"/>
  <c r="H109" i="15"/>
  <c r="H110" i="15"/>
  <c r="H111" i="15"/>
  <c r="H112" i="15"/>
  <c r="H113" i="15"/>
  <c r="H114" i="15"/>
  <c r="H115" i="15"/>
  <c r="H116" i="15"/>
  <c r="H117" i="15"/>
  <c r="H118" i="15"/>
  <c r="H119" i="15"/>
  <c r="H120" i="15"/>
  <c r="H121" i="15"/>
  <c r="H122" i="15"/>
  <c r="H123" i="15"/>
  <c r="H124" i="15"/>
  <c r="H125" i="15"/>
  <c r="H126" i="15"/>
  <c r="H127" i="15"/>
  <c r="H128" i="15"/>
  <c r="H129" i="15"/>
  <c r="H130" i="15"/>
  <c r="H131" i="15"/>
  <c r="H132" i="15"/>
  <c r="H133" i="15"/>
  <c r="H134" i="15"/>
  <c r="H135" i="15"/>
  <c r="H136" i="15"/>
  <c r="H137" i="15"/>
  <c r="H138" i="15"/>
  <c r="H139" i="15"/>
  <c r="H140" i="15"/>
  <c r="H141" i="15"/>
  <c r="H142" i="15"/>
  <c r="H2" i="15"/>
  <c r="G3" i="15"/>
  <c r="G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G25" i="15"/>
  <c r="G26" i="15"/>
  <c r="G27" i="15"/>
  <c r="G28" i="15"/>
  <c r="G29" i="15"/>
  <c r="G30" i="15"/>
  <c r="G31" i="15"/>
  <c r="G32" i="15"/>
  <c r="G33" i="15"/>
  <c r="G34" i="15"/>
  <c r="G35" i="15"/>
  <c r="G36" i="15"/>
  <c r="G37" i="15"/>
  <c r="G38" i="15"/>
  <c r="G39" i="15"/>
  <c r="G40" i="15"/>
  <c r="G41" i="15"/>
  <c r="G42" i="15"/>
  <c r="G43" i="15"/>
  <c r="G44" i="15"/>
  <c r="G45" i="15"/>
  <c r="G46" i="15"/>
  <c r="G47" i="15"/>
  <c r="G48" i="15"/>
  <c r="G49" i="15"/>
  <c r="G50" i="15"/>
  <c r="G51" i="15"/>
  <c r="G52" i="15"/>
  <c r="G53" i="15"/>
  <c r="G54" i="15"/>
  <c r="G55" i="15"/>
  <c r="G56" i="15"/>
  <c r="G57" i="15"/>
  <c r="G58" i="15"/>
  <c r="G59" i="15"/>
  <c r="G60" i="15"/>
  <c r="G61" i="15"/>
  <c r="G62" i="15"/>
  <c r="G63" i="15"/>
  <c r="G64" i="15"/>
  <c r="G65" i="15"/>
  <c r="G66" i="15"/>
  <c r="G67" i="15"/>
  <c r="G68" i="15"/>
  <c r="G69" i="15"/>
  <c r="G70" i="15"/>
  <c r="G71" i="15"/>
  <c r="G72" i="15"/>
  <c r="G73" i="15"/>
  <c r="G74" i="15"/>
  <c r="G75" i="15"/>
  <c r="G76" i="15"/>
  <c r="G77" i="15"/>
  <c r="G78" i="15"/>
  <c r="G79" i="15"/>
  <c r="G80" i="15"/>
  <c r="G81" i="15"/>
  <c r="G82" i="15"/>
  <c r="G83" i="15"/>
  <c r="G84" i="15"/>
  <c r="G85" i="15"/>
  <c r="G86" i="15"/>
  <c r="G87" i="15"/>
  <c r="G88" i="15"/>
  <c r="G89" i="15"/>
  <c r="G90" i="15"/>
  <c r="G91" i="15"/>
  <c r="G92" i="15"/>
  <c r="G93" i="15"/>
  <c r="G94" i="15"/>
  <c r="G95" i="15"/>
  <c r="G96" i="15"/>
  <c r="G97" i="15"/>
  <c r="G98" i="15"/>
  <c r="G99" i="15"/>
  <c r="G100" i="15"/>
  <c r="G101" i="15"/>
  <c r="G102" i="15"/>
  <c r="G103" i="15"/>
  <c r="G104" i="15"/>
  <c r="G105" i="15"/>
  <c r="G106" i="15"/>
  <c r="G107" i="15"/>
  <c r="G108" i="15"/>
  <c r="G109" i="15"/>
  <c r="G110" i="15"/>
  <c r="G111" i="15"/>
  <c r="G112" i="15"/>
  <c r="G113" i="15"/>
  <c r="G114" i="15"/>
  <c r="G115" i="15"/>
  <c r="G116" i="15"/>
  <c r="G117" i="15"/>
  <c r="G118" i="15"/>
  <c r="G119" i="15"/>
  <c r="G120" i="15"/>
  <c r="G121" i="15"/>
  <c r="G122" i="15"/>
  <c r="G123" i="15"/>
  <c r="G124" i="15"/>
  <c r="G125" i="15"/>
  <c r="G126" i="15"/>
  <c r="G127" i="15"/>
  <c r="G128" i="15"/>
  <c r="G129" i="15"/>
  <c r="G130" i="15"/>
  <c r="G131" i="15"/>
  <c r="G132" i="15"/>
  <c r="G133" i="15"/>
  <c r="G134" i="15"/>
  <c r="G135" i="15"/>
  <c r="G136" i="15"/>
  <c r="G137" i="15"/>
  <c r="G138" i="15"/>
  <c r="G139" i="15"/>
  <c r="G140" i="15"/>
  <c r="G141" i="15"/>
  <c r="G142" i="15"/>
  <c r="G2" i="15"/>
  <c r="F3" i="15"/>
  <c r="F4" i="15"/>
  <c r="F5" i="15"/>
  <c r="F6" i="15"/>
  <c r="F7" i="15"/>
  <c r="F8" i="15"/>
  <c r="F9" i="15"/>
  <c r="F10" i="15"/>
  <c r="F11" i="15"/>
  <c r="F12" i="15"/>
  <c r="F13" i="15"/>
  <c r="F14" i="15"/>
  <c r="F15" i="15"/>
  <c r="F16" i="15"/>
  <c r="F17" i="15"/>
  <c r="F18" i="15"/>
  <c r="F19" i="15"/>
  <c r="F20" i="15"/>
  <c r="F21" i="15"/>
  <c r="F22" i="15"/>
  <c r="F23" i="15"/>
  <c r="F24" i="15"/>
  <c r="F25" i="15"/>
  <c r="F26" i="15"/>
  <c r="F27" i="15"/>
  <c r="F28" i="15"/>
  <c r="F29" i="15"/>
  <c r="F30" i="15"/>
  <c r="F31" i="15"/>
  <c r="F32" i="15"/>
  <c r="F33" i="15"/>
  <c r="F34" i="15"/>
  <c r="F35" i="15"/>
  <c r="F36" i="15"/>
  <c r="F37" i="15"/>
  <c r="F38" i="15"/>
  <c r="F39" i="15"/>
  <c r="F40" i="15"/>
  <c r="F41" i="15"/>
  <c r="F42" i="15"/>
  <c r="F43" i="15"/>
  <c r="F44" i="15"/>
  <c r="F45" i="15"/>
  <c r="F46" i="15"/>
  <c r="F47" i="15"/>
  <c r="F48" i="15"/>
  <c r="F49" i="15"/>
  <c r="F50" i="15"/>
  <c r="F51" i="15"/>
  <c r="F52" i="15"/>
  <c r="F53" i="15"/>
  <c r="F54" i="15"/>
  <c r="F55" i="15"/>
  <c r="F56" i="15"/>
  <c r="F57" i="15"/>
  <c r="F58" i="15"/>
  <c r="F59" i="15"/>
  <c r="F60" i="15"/>
  <c r="F61" i="15"/>
  <c r="F62" i="15"/>
  <c r="F63" i="15"/>
  <c r="F64" i="15"/>
  <c r="F65" i="15"/>
  <c r="F66" i="15"/>
  <c r="F67" i="15"/>
  <c r="F68" i="15"/>
  <c r="F69" i="15"/>
  <c r="F70" i="15"/>
  <c r="F71" i="15"/>
  <c r="F72" i="15"/>
  <c r="F73" i="15"/>
  <c r="F74" i="15"/>
  <c r="F75" i="15"/>
  <c r="F76" i="15"/>
  <c r="F77" i="15"/>
  <c r="F78" i="15"/>
  <c r="F79" i="15"/>
  <c r="F80" i="15"/>
  <c r="F81" i="15"/>
  <c r="F82" i="15"/>
  <c r="F83" i="15"/>
  <c r="F84" i="15"/>
  <c r="F85" i="15"/>
  <c r="F86" i="15"/>
  <c r="F87" i="15"/>
  <c r="F88" i="15"/>
  <c r="F89" i="15"/>
  <c r="F90" i="15"/>
  <c r="F91" i="15"/>
  <c r="F92" i="15"/>
  <c r="F93" i="15"/>
  <c r="F94" i="15"/>
  <c r="F95" i="15"/>
  <c r="F96" i="15"/>
  <c r="F97" i="15"/>
  <c r="F98" i="15"/>
  <c r="F99" i="15"/>
  <c r="F100" i="15"/>
  <c r="F101" i="15"/>
  <c r="F102" i="15"/>
  <c r="F103" i="15"/>
  <c r="F104" i="15"/>
  <c r="F105" i="15"/>
  <c r="F106" i="15"/>
  <c r="F107" i="15"/>
  <c r="F108" i="15"/>
  <c r="F109" i="15"/>
  <c r="F110" i="15"/>
  <c r="F111" i="15"/>
  <c r="F112" i="15"/>
  <c r="F113" i="15"/>
  <c r="F114" i="15"/>
  <c r="F115" i="15"/>
  <c r="F116" i="15"/>
  <c r="F117" i="15"/>
  <c r="F118" i="15"/>
  <c r="F119" i="15"/>
  <c r="F120" i="15"/>
  <c r="F121" i="15"/>
  <c r="F122" i="15"/>
  <c r="F123" i="15"/>
  <c r="F124" i="15"/>
  <c r="F125" i="15"/>
  <c r="F126" i="15"/>
  <c r="F127" i="15"/>
  <c r="F128" i="15"/>
  <c r="F129" i="15"/>
  <c r="F130" i="15"/>
  <c r="F131" i="15"/>
  <c r="F132" i="15"/>
  <c r="F133" i="15"/>
  <c r="F134" i="15"/>
  <c r="F135" i="15"/>
  <c r="F136" i="15"/>
  <c r="F137" i="15"/>
  <c r="F138" i="15"/>
  <c r="F139" i="15"/>
  <c r="F140" i="15"/>
  <c r="F141" i="15"/>
  <c r="F142" i="15"/>
  <c r="F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E61" i="15"/>
  <c r="E62" i="15"/>
  <c r="E63" i="15"/>
  <c r="E64" i="15"/>
  <c r="E65" i="15"/>
  <c r="E66" i="15"/>
  <c r="E67" i="15"/>
  <c r="E68" i="15"/>
  <c r="E69" i="15"/>
  <c r="E70" i="15"/>
  <c r="E71" i="15"/>
  <c r="E72" i="15"/>
  <c r="E73" i="15"/>
  <c r="E74" i="15"/>
  <c r="E75" i="15"/>
  <c r="E76" i="15"/>
  <c r="E77" i="15"/>
  <c r="E78" i="15"/>
  <c r="E79" i="15"/>
  <c r="E80" i="15"/>
  <c r="E81" i="15"/>
  <c r="E82" i="15"/>
  <c r="E83" i="15"/>
  <c r="E84" i="15"/>
  <c r="E85" i="15"/>
  <c r="E86" i="15"/>
  <c r="E87" i="15"/>
  <c r="E88" i="15"/>
  <c r="E89" i="15"/>
  <c r="E90" i="15"/>
  <c r="E91" i="15"/>
  <c r="E92" i="15"/>
  <c r="E93" i="15"/>
  <c r="E94" i="15"/>
  <c r="E95" i="15"/>
  <c r="E96" i="15"/>
  <c r="E97" i="15"/>
  <c r="E98" i="15"/>
  <c r="E99" i="15"/>
  <c r="E100" i="15"/>
  <c r="E101" i="15"/>
  <c r="E102" i="15"/>
  <c r="E103" i="15"/>
  <c r="E104" i="15"/>
  <c r="E105" i="15"/>
  <c r="E106" i="15"/>
  <c r="E107" i="15"/>
  <c r="E108" i="15"/>
  <c r="E109" i="15"/>
  <c r="E110" i="15"/>
  <c r="E111" i="15"/>
  <c r="E112" i="15"/>
  <c r="E113" i="15"/>
  <c r="E114" i="15"/>
  <c r="E115" i="15"/>
  <c r="E116" i="15"/>
  <c r="E117" i="15"/>
  <c r="E118" i="15"/>
  <c r="E119" i="15"/>
  <c r="E120" i="15"/>
  <c r="E121" i="15"/>
  <c r="E122" i="15"/>
  <c r="E123" i="15"/>
  <c r="E124" i="15"/>
  <c r="E125" i="15"/>
  <c r="E126" i="15"/>
  <c r="E127" i="15"/>
  <c r="E128" i="15"/>
  <c r="E129" i="15"/>
  <c r="E130" i="15"/>
  <c r="E131" i="15"/>
  <c r="E132" i="15"/>
  <c r="E133" i="15"/>
  <c r="E134" i="15"/>
  <c r="E135" i="15"/>
  <c r="E136" i="15"/>
  <c r="E137" i="15"/>
  <c r="E138" i="15"/>
  <c r="E139" i="15"/>
  <c r="E140" i="15"/>
  <c r="E141" i="15"/>
  <c r="E142" i="15"/>
  <c r="E2" i="15"/>
  <c r="C27" i="1" l="1"/>
  <c r="D142" i="15" l="1"/>
  <c r="D141" i="15"/>
  <c r="D140" i="15"/>
  <c r="D139" i="15"/>
  <c r="D138" i="15"/>
  <c r="D137" i="15"/>
  <c r="D136" i="15"/>
  <c r="D135" i="15"/>
  <c r="D134" i="15"/>
  <c r="D133" i="15"/>
  <c r="D132" i="15"/>
  <c r="D131" i="15"/>
  <c r="D130" i="15"/>
  <c r="D129" i="15"/>
  <c r="D128" i="15"/>
  <c r="D127" i="15"/>
  <c r="D126" i="15"/>
  <c r="D125" i="15"/>
  <c r="D124" i="15"/>
  <c r="D123" i="15"/>
  <c r="D122" i="15"/>
  <c r="D121" i="15"/>
  <c r="D120" i="15"/>
  <c r="D119" i="15"/>
  <c r="D118" i="15"/>
  <c r="D117" i="15"/>
  <c r="D116" i="15"/>
  <c r="D115" i="15"/>
  <c r="D114" i="15"/>
  <c r="D113" i="15"/>
  <c r="D112" i="15"/>
  <c r="D111" i="15"/>
  <c r="D110" i="15"/>
  <c r="D109" i="15"/>
  <c r="D108" i="15"/>
  <c r="D107" i="15"/>
  <c r="D106" i="15"/>
  <c r="D105" i="15"/>
  <c r="D104" i="15"/>
  <c r="D103" i="15"/>
  <c r="D102" i="15"/>
  <c r="D101" i="15"/>
  <c r="D100" i="15"/>
  <c r="D99" i="15"/>
  <c r="D98" i="15"/>
  <c r="D97" i="15"/>
  <c r="D96" i="15"/>
  <c r="D95" i="15"/>
  <c r="D94" i="15"/>
  <c r="D93" i="15"/>
  <c r="D92" i="15"/>
  <c r="D91" i="15"/>
  <c r="D90" i="15"/>
  <c r="D89" i="15"/>
  <c r="D88" i="15"/>
  <c r="D87" i="15"/>
  <c r="D86" i="15"/>
  <c r="D85" i="15"/>
  <c r="D84" i="15"/>
  <c r="D83" i="15"/>
  <c r="D82" i="15"/>
  <c r="D81" i="15"/>
  <c r="D80" i="15"/>
  <c r="D79" i="15"/>
  <c r="D78" i="15"/>
  <c r="D77" i="15"/>
  <c r="D76" i="15"/>
  <c r="D75" i="15"/>
  <c r="D74" i="15"/>
  <c r="D73" i="15"/>
  <c r="D72" i="15"/>
  <c r="D71" i="15"/>
  <c r="D70" i="15"/>
  <c r="D69" i="15"/>
  <c r="D68" i="15"/>
  <c r="D67" i="15"/>
  <c r="D66" i="15"/>
  <c r="D65" i="15"/>
  <c r="D64" i="15"/>
  <c r="D63" i="15"/>
  <c r="D62" i="15"/>
  <c r="D61" i="15"/>
  <c r="D60" i="15"/>
  <c r="D59" i="15"/>
  <c r="D58" i="15"/>
  <c r="D57" i="15"/>
  <c r="D56" i="15"/>
  <c r="D55" i="15"/>
  <c r="D54" i="15"/>
  <c r="D53" i="15"/>
  <c r="D52" i="15"/>
  <c r="D51" i="15"/>
  <c r="D50" i="15"/>
  <c r="D49" i="15"/>
  <c r="D48" i="15"/>
  <c r="D47" i="15"/>
  <c r="D46" i="15"/>
  <c r="D45" i="15"/>
  <c r="D44" i="15"/>
  <c r="D43" i="15"/>
  <c r="D42" i="15"/>
  <c r="D41" i="15"/>
  <c r="D40" i="15"/>
  <c r="D39" i="15"/>
  <c r="D38" i="15"/>
  <c r="D37" i="15"/>
  <c r="D36" i="15"/>
  <c r="D35" i="15"/>
  <c r="D34" i="15"/>
  <c r="D33" i="15"/>
  <c r="D32" i="15"/>
  <c r="D31" i="15"/>
  <c r="D30" i="15"/>
  <c r="D29" i="15"/>
  <c r="D28" i="15"/>
  <c r="D27" i="15"/>
  <c r="D26" i="15"/>
  <c r="D25" i="15"/>
  <c r="D24" i="15"/>
  <c r="D23" i="15"/>
  <c r="D22" i="15"/>
  <c r="D21" i="15"/>
  <c r="D20" i="15"/>
  <c r="D19" i="15"/>
  <c r="D18" i="15"/>
  <c r="D17" i="15"/>
  <c r="D16" i="15"/>
  <c r="D15" i="15"/>
  <c r="D14" i="15"/>
  <c r="D13" i="15"/>
  <c r="D12" i="15"/>
  <c r="D11" i="15"/>
  <c r="D10" i="15"/>
  <c r="D9" i="15"/>
  <c r="D8" i="15"/>
  <c r="D7" i="15"/>
  <c r="D6" i="15"/>
  <c r="D5" i="15"/>
  <c r="D4" i="15"/>
  <c r="D3" i="15"/>
  <c r="D2" i="15"/>
  <c r="C28" i="1" l="1"/>
  <c r="C29" i="1" s="1"/>
  <c r="A1" i="24" l="1"/>
  <c r="B2" i="4" l="1"/>
  <c r="A143" i="49"/>
  <c r="A144" i="49"/>
  <c r="A143" i="47"/>
  <c r="A144" i="47"/>
  <c r="AN144" i="47" s="1"/>
  <c r="A143" i="24"/>
  <c r="A144" i="24"/>
  <c r="AN144" i="49" l="1"/>
  <c r="AK144" i="49"/>
  <c r="AN144" i="24"/>
  <c r="AK144" i="24"/>
  <c r="AK144" i="47"/>
  <c r="AD144" i="24"/>
  <c r="F144" i="49"/>
  <c r="AH144" i="49"/>
  <c r="AL144" i="49"/>
  <c r="AE144" i="49"/>
  <c r="AJ144" i="49"/>
  <c r="AI144" i="49"/>
  <c r="AF144" i="49"/>
  <c r="F144" i="24"/>
  <c r="AJ144" i="24"/>
  <c r="AE144" i="24"/>
  <c r="AL144" i="24"/>
  <c r="AF144" i="24"/>
  <c r="AI144" i="24"/>
  <c r="AH144" i="24"/>
  <c r="G144" i="47"/>
  <c r="AH144" i="47"/>
  <c r="AJ144" i="47"/>
  <c r="AI144" i="47"/>
  <c r="AF144" i="47"/>
  <c r="AL144" i="47"/>
  <c r="AE144" i="47"/>
  <c r="C143" i="49"/>
  <c r="AI143" i="49"/>
  <c r="AH143" i="49"/>
  <c r="C143" i="24"/>
  <c r="AH143" i="24"/>
  <c r="AI143" i="24"/>
  <c r="D143" i="47"/>
  <c r="AH143" i="47"/>
  <c r="AI143" i="47"/>
  <c r="AP144" i="47"/>
  <c r="B144" i="47"/>
  <c r="Z144" i="47"/>
  <c r="AS144" i="47"/>
  <c r="E144" i="47"/>
  <c r="AD144" i="47"/>
  <c r="AC144" i="47"/>
  <c r="C143" i="47"/>
  <c r="AB144" i="47"/>
  <c r="AR144" i="47"/>
  <c r="D144" i="47"/>
  <c r="AA143" i="47"/>
  <c r="AJ143" i="47" s="1"/>
  <c r="V144" i="47"/>
  <c r="Y143" i="47"/>
  <c r="W143" i="47"/>
  <c r="Y144" i="47"/>
  <c r="AQ143" i="47"/>
  <c r="AG144" i="47"/>
  <c r="F144" i="47"/>
  <c r="G143" i="47"/>
  <c r="AG143" i="47"/>
  <c r="B143" i="47"/>
  <c r="AQ144" i="49"/>
  <c r="AA144" i="49"/>
  <c r="C144" i="49"/>
  <c r="X143" i="49"/>
  <c r="AP144" i="49"/>
  <c r="Z144" i="49"/>
  <c r="B144" i="49"/>
  <c r="W143" i="49"/>
  <c r="G143" i="49"/>
  <c r="AS144" i="49"/>
  <c r="AC144" i="49"/>
  <c r="AR144" i="49"/>
  <c r="AB144" i="49"/>
  <c r="D144" i="49"/>
  <c r="AG143" i="49"/>
  <c r="Y144" i="49"/>
  <c r="E144" i="49"/>
  <c r="B143" i="49"/>
  <c r="Y143" i="49"/>
  <c r="AG144" i="49"/>
  <c r="F143" i="49"/>
  <c r="X144" i="49"/>
  <c r="AC143" i="49"/>
  <c r="AK143" i="49" s="1"/>
  <c r="E143" i="49"/>
  <c r="AM144" i="49"/>
  <c r="W144" i="49"/>
  <c r="G144" i="49"/>
  <c r="AR143" i="49"/>
  <c r="AB143" i="49"/>
  <c r="AL143" i="49" s="1"/>
  <c r="D143" i="49"/>
  <c r="AD144" i="49"/>
  <c r="V144" i="49"/>
  <c r="AQ143" i="49"/>
  <c r="AA143" i="49"/>
  <c r="AJ143" i="49" s="1"/>
  <c r="AQ144" i="47"/>
  <c r="AA144" i="47"/>
  <c r="C144" i="47"/>
  <c r="X143" i="47"/>
  <c r="F143" i="47"/>
  <c r="X144" i="47"/>
  <c r="AC143" i="47"/>
  <c r="AK143" i="47" s="1"/>
  <c r="E143" i="47"/>
  <c r="AM144" i="47"/>
  <c r="W144" i="47"/>
  <c r="AR143" i="47"/>
  <c r="AB143" i="47"/>
  <c r="AL143" i="47" s="1"/>
  <c r="AA144" i="24"/>
  <c r="C144" i="24"/>
  <c r="X143" i="24"/>
  <c r="AP144" i="24"/>
  <c r="Z144" i="24"/>
  <c r="B144" i="24"/>
  <c r="W143" i="24"/>
  <c r="G143" i="24"/>
  <c r="AS144" i="24"/>
  <c r="AC144" i="24"/>
  <c r="E144" i="24"/>
  <c r="B143" i="24"/>
  <c r="AR144" i="24"/>
  <c r="AB144" i="24"/>
  <c r="D144" i="24"/>
  <c r="AG143" i="24"/>
  <c r="Y143" i="24"/>
  <c r="AQ144" i="24"/>
  <c r="AG144" i="24"/>
  <c r="Y144" i="24"/>
  <c r="F143" i="24"/>
  <c r="X144" i="24"/>
  <c r="AC143" i="24"/>
  <c r="AK143" i="24" s="1"/>
  <c r="E143" i="24"/>
  <c r="AM144" i="24"/>
  <c r="W144" i="24"/>
  <c r="G144" i="24"/>
  <c r="AR143" i="24"/>
  <c r="AB143" i="24"/>
  <c r="AL143" i="24" s="1"/>
  <c r="D143" i="24"/>
  <c r="V144" i="24"/>
  <c r="AQ143" i="24"/>
  <c r="AA143" i="24"/>
  <c r="AJ143" i="24" s="1"/>
  <c r="AM143" i="24" l="1"/>
  <c r="Z143" i="24"/>
  <c r="Z143" i="49"/>
  <c r="Z143" i="47"/>
  <c r="AM143" i="47"/>
  <c r="AM143" i="49"/>
  <c r="AF143" i="49" l="1"/>
  <c r="AE143" i="49"/>
  <c r="AE143" i="47"/>
  <c r="AF143" i="47"/>
  <c r="AF143" i="24"/>
  <c r="AE143" i="24"/>
  <c r="B2" i="50"/>
  <c r="B2" i="48"/>
  <c r="J129" i="15"/>
  <c r="K129" i="15"/>
  <c r="L129" i="15"/>
  <c r="M129" i="15"/>
  <c r="N129" i="15"/>
  <c r="O129" i="15"/>
  <c r="P129" i="15"/>
  <c r="J130" i="15"/>
  <c r="K130" i="15"/>
  <c r="L130" i="15"/>
  <c r="M130" i="15"/>
  <c r="N130" i="15"/>
  <c r="O130" i="15"/>
  <c r="P130" i="15"/>
  <c r="J131" i="15"/>
  <c r="K131" i="15"/>
  <c r="L131" i="15"/>
  <c r="M131" i="15"/>
  <c r="N131" i="15"/>
  <c r="O131" i="15"/>
  <c r="P131" i="15"/>
  <c r="J132" i="15"/>
  <c r="K132" i="15"/>
  <c r="L132" i="15"/>
  <c r="M132" i="15"/>
  <c r="N132" i="15"/>
  <c r="O132" i="15"/>
  <c r="P132" i="15"/>
  <c r="J133" i="15"/>
  <c r="K133" i="15"/>
  <c r="L133" i="15"/>
  <c r="M133" i="15"/>
  <c r="N133" i="15"/>
  <c r="O133" i="15"/>
  <c r="P133" i="15"/>
  <c r="J134" i="15"/>
  <c r="K134" i="15"/>
  <c r="L134" i="15"/>
  <c r="M134" i="15"/>
  <c r="N134" i="15"/>
  <c r="O134" i="15"/>
  <c r="P134" i="15"/>
  <c r="J135" i="15"/>
  <c r="K135" i="15"/>
  <c r="L135" i="15"/>
  <c r="M135" i="15"/>
  <c r="N135" i="15"/>
  <c r="O135" i="15"/>
  <c r="P135" i="15"/>
  <c r="J136" i="15"/>
  <c r="K136" i="15"/>
  <c r="L136" i="15"/>
  <c r="M136" i="15"/>
  <c r="N136" i="15"/>
  <c r="O136" i="15"/>
  <c r="P136" i="15"/>
  <c r="J137" i="15"/>
  <c r="K137" i="15"/>
  <c r="L137" i="15"/>
  <c r="M137" i="15"/>
  <c r="N137" i="15"/>
  <c r="O137" i="15"/>
  <c r="P137" i="15"/>
  <c r="J138" i="15"/>
  <c r="K138" i="15"/>
  <c r="L138" i="15"/>
  <c r="M138" i="15"/>
  <c r="N138" i="15"/>
  <c r="O138" i="15"/>
  <c r="P138" i="15"/>
  <c r="J139" i="15"/>
  <c r="K139" i="15"/>
  <c r="L139" i="15"/>
  <c r="M139" i="15"/>
  <c r="N139" i="15"/>
  <c r="O139" i="15"/>
  <c r="P139" i="15"/>
  <c r="J140" i="15"/>
  <c r="K140" i="15"/>
  <c r="L140" i="15"/>
  <c r="M140" i="15"/>
  <c r="N140" i="15"/>
  <c r="O140" i="15"/>
  <c r="P140" i="15"/>
  <c r="J141" i="15"/>
  <c r="K141" i="15"/>
  <c r="L141" i="15"/>
  <c r="M141" i="15"/>
  <c r="N141" i="15"/>
  <c r="O141" i="15"/>
  <c r="P141" i="15"/>
  <c r="J142" i="15"/>
  <c r="K142" i="15"/>
  <c r="L142" i="15"/>
  <c r="M142" i="15"/>
  <c r="N142" i="15"/>
  <c r="O142" i="15"/>
  <c r="P142" i="15"/>
  <c r="A3" i="24"/>
  <c r="A4" i="24"/>
  <c r="A5" i="24"/>
  <c r="A6" i="24"/>
  <c r="A7" i="24"/>
  <c r="A8" i="24"/>
  <c r="A9" i="24"/>
  <c r="A10" i="24"/>
  <c r="A11" i="24"/>
  <c r="A12" i="24"/>
  <c r="A13" i="24"/>
  <c r="A14" i="24"/>
  <c r="A15" i="24"/>
  <c r="A16" i="24"/>
  <c r="A17" i="24"/>
  <c r="A18" i="24"/>
  <c r="A19" i="24"/>
  <c r="A20" i="24"/>
  <c r="A21" i="24"/>
  <c r="A22" i="24"/>
  <c r="A23" i="24"/>
  <c r="A24" i="24"/>
  <c r="A25" i="24"/>
  <c r="A26" i="24"/>
  <c r="A27" i="24"/>
  <c r="A28" i="24"/>
  <c r="A29" i="24"/>
  <c r="A30" i="24"/>
  <c r="A31" i="24"/>
  <c r="A32" i="24"/>
  <c r="A33" i="24"/>
  <c r="A34" i="24"/>
  <c r="A35" i="24"/>
  <c r="A36" i="24"/>
  <c r="A37" i="24"/>
  <c r="A38" i="24"/>
  <c r="A39" i="24"/>
  <c r="A40" i="24"/>
  <c r="A41" i="24"/>
  <c r="A42" i="24"/>
  <c r="A43" i="24"/>
  <c r="A44" i="24"/>
  <c r="A45" i="24"/>
  <c r="A46" i="24"/>
  <c r="A47" i="24"/>
  <c r="A48" i="24"/>
  <c r="A49" i="24"/>
  <c r="A50" i="24"/>
  <c r="A51" i="24"/>
  <c r="A52" i="24"/>
  <c r="A53" i="24"/>
  <c r="A54" i="24"/>
  <c r="A55" i="24"/>
  <c r="A56" i="24"/>
  <c r="A57" i="24"/>
  <c r="A58" i="24"/>
  <c r="A59" i="24"/>
  <c r="A60" i="24"/>
  <c r="A61" i="24"/>
  <c r="A62" i="24"/>
  <c r="A63" i="24"/>
  <c r="A64" i="24"/>
  <c r="A65" i="24"/>
  <c r="A66" i="24"/>
  <c r="A67" i="24"/>
  <c r="A68" i="24"/>
  <c r="A69" i="24"/>
  <c r="A70" i="24"/>
  <c r="A71" i="24"/>
  <c r="A72" i="24"/>
  <c r="A73" i="24"/>
  <c r="A74" i="24"/>
  <c r="A75" i="24"/>
  <c r="A76" i="24"/>
  <c r="A77" i="24"/>
  <c r="A78" i="24"/>
  <c r="A79" i="24"/>
  <c r="A80" i="24"/>
  <c r="A81" i="24"/>
  <c r="A82" i="24"/>
  <c r="A83" i="24"/>
  <c r="A84" i="24"/>
  <c r="A85" i="24"/>
  <c r="A86" i="24"/>
  <c r="A87" i="24"/>
  <c r="A88" i="24"/>
  <c r="A89" i="24"/>
  <c r="A90" i="24"/>
  <c r="A91" i="24"/>
  <c r="A92" i="24"/>
  <c r="A93" i="24"/>
  <c r="A94" i="24"/>
  <c r="A95" i="24"/>
  <c r="A96" i="24"/>
  <c r="A97" i="24"/>
  <c r="A98" i="24"/>
  <c r="A99" i="24"/>
  <c r="A100" i="24"/>
  <c r="A101" i="24"/>
  <c r="A102" i="24"/>
  <c r="A103" i="24"/>
  <c r="A104" i="24"/>
  <c r="A105" i="24"/>
  <c r="A106" i="24"/>
  <c r="A107" i="24"/>
  <c r="A108" i="24"/>
  <c r="A109" i="24"/>
  <c r="A110" i="24"/>
  <c r="A111" i="24"/>
  <c r="A112" i="24"/>
  <c r="A113" i="24"/>
  <c r="AK113" i="24" s="1"/>
  <c r="A114" i="24"/>
  <c r="AK114" i="24" s="1"/>
  <c r="A115" i="24"/>
  <c r="AK115" i="24" s="1"/>
  <c r="A116" i="24"/>
  <c r="AK116" i="24" s="1"/>
  <c r="A117" i="24"/>
  <c r="AK117" i="24" s="1"/>
  <c r="A118" i="24"/>
  <c r="AK118" i="24" s="1"/>
  <c r="A119" i="24"/>
  <c r="AK119" i="24" s="1"/>
  <c r="A120" i="24"/>
  <c r="AK120" i="24" s="1"/>
  <c r="A121" i="24"/>
  <c r="AK121" i="24" s="1"/>
  <c r="A122" i="24"/>
  <c r="AK122" i="24" s="1"/>
  <c r="A123" i="24"/>
  <c r="AK123" i="24" s="1"/>
  <c r="A124" i="24"/>
  <c r="AK124" i="24" s="1"/>
  <c r="A125" i="24"/>
  <c r="AK125" i="24" s="1"/>
  <c r="A126" i="24"/>
  <c r="AK126" i="24" s="1"/>
  <c r="A127" i="24"/>
  <c r="AK127" i="24" s="1"/>
  <c r="A128" i="24"/>
  <c r="A129" i="24"/>
  <c r="A130" i="24"/>
  <c r="A131" i="24"/>
  <c r="A132" i="24"/>
  <c r="A133" i="24"/>
  <c r="A134" i="24"/>
  <c r="A135" i="24"/>
  <c r="A136" i="24"/>
  <c r="A137" i="24"/>
  <c r="A138" i="24"/>
  <c r="A139" i="24"/>
  <c r="A140" i="24"/>
  <c r="A141" i="24"/>
  <c r="A142" i="24"/>
  <c r="A3" i="47"/>
  <c r="A4" i="47"/>
  <c r="A5" i="47"/>
  <c r="A6" i="47"/>
  <c r="A7" i="47"/>
  <c r="A8" i="47"/>
  <c r="A9" i="47"/>
  <c r="A10" i="47"/>
  <c r="A11" i="47"/>
  <c r="A12" i="47"/>
  <c r="A13" i="47"/>
  <c r="A14" i="47"/>
  <c r="A15" i="47"/>
  <c r="A16" i="47"/>
  <c r="A17" i="47"/>
  <c r="A18" i="47"/>
  <c r="A19" i="47"/>
  <c r="A20" i="47"/>
  <c r="A21" i="47"/>
  <c r="A22" i="47"/>
  <c r="A23" i="47"/>
  <c r="A24" i="47"/>
  <c r="A25" i="47"/>
  <c r="A26" i="47"/>
  <c r="A27" i="47"/>
  <c r="A28" i="47"/>
  <c r="A29" i="47"/>
  <c r="A30" i="47"/>
  <c r="A31" i="47"/>
  <c r="A32" i="47"/>
  <c r="A33" i="47"/>
  <c r="A34" i="47"/>
  <c r="A35" i="47"/>
  <c r="A36" i="47"/>
  <c r="A37" i="47"/>
  <c r="A38" i="47"/>
  <c r="A39" i="47"/>
  <c r="A40" i="47"/>
  <c r="A41" i="47"/>
  <c r="A42" i="47"/>
  <c r="A43" i="47"/>
  <c r="A44" i="47"/>
  <c r="A45" i="47"/>
  <c r="A46" i="47"/>
  <c r="A47" i="47"/>
  <c r="A48" i="47"/>
  <c r="A49" i="47"/>
  <c r="A50" i="47"/>
  <c r="A51" i="47"/>
  <c r="A52" i="47"/>
  <c r="A53" i="47"/>
  <c r="A54" i="47"/>
  <c r="A55" i="47"/>
  <c r="A56" i="47"/>
  <c r="A57" i="47"/>
  <c r="A58" i="47"/>
  <c r="A59" i="47"/>
  <c r="A60" i="47"/>
  <c r="A61" i="47"/>
  <c r="A62" i="47"/>
  <c r="A63" i="47"/>
  <c r="A64" i="47"/>
  <c r="A65" i="47"/>
  <c r="A66" i="47"/>
  <c r="A67" i="47"/>
  <c r="A68" i="47"/>
  <c r="A69" i="47"/>
  <c r="A70" i="47"/>
  <c r="A71" i="47"/>
  <c r="A72" i="47"/>
  <c r="A73" i="47"/>
  <c r="A74" i="47"/>
  <c r="A75" i="47"/>
  <c r="A76" i="47"/>
  <c r="A77" i="47"/>
  <c r="A78" i="47"/>
  <c r="A79" i="47"/>
  <c r="A80" i="47"/>
  <c r="A81" i="47"/>
  <c r="A82" i="47"/>
  <c r="A83" i="47"/>
  <c r="A84" i="47"/>
  <c r="A85" i="47"/>
  <c r="A86" i="47"/>
  <c r="A87" i="47"/>
  <c r="A88" i="47"/>
  <c r="A89" i="47"/>
  <c r="A90" i="47"/>
  <c r="A91" i="47"/>
  <c r="A92" i="47"/>
  <c r="A93" i="47"/>
  <c r="A94" i="47"/>
  <c r="A95" i="47"/>
  <c r="A96" i="47"/>
  <c r="A97" i="47"/>
  <c r="A98" i="47"/>
  <c r="A99" i="47"/>
  <c r="A100" i="47"/>
  <c r="A101" i="47"/>
  <c r="A102" i="47"/>
  <c r="A103" i="47"/>
  <c r="A104" i="47"/>
  <c r="A105" i="47"/>
  <c r="A106" i="47"/>
  <c r="A107" i="47"/>
  <c r="A108" i="47"/>
  <c r="A109" i="47"/>
  <c r="A110" i="47"/>
  <c r="A111" i="47"/>
  <c r="A112" i="47"/>
  <c r="A113" i="47"/>
  <c r="AK113" i="47" s="1"/>
  <c r="A114" i="47"/>
  <c r="AK114" i="47" s="1"/>
  <c r="A115" i="47"/>
  <c r="AK115" i="47" s="1"/>
  <c r="A116" i="47"/>
  <c r="AK116" i="47" s="1"/>
  <c r="A117" i="47"/>
  <c r="AK117" i="47" s="1"/>
  <c r="A118" i="47"/>
  <c r="AK118" i="47" s="1"/>
  <c r="A119" i="47"/>
  <c r="AK119" i="47" s="1"/>
  <c r="A120" i="47"/>
  <c r="AK120" i="47" s="1"/>
  <c r="A121" i="47"/>
  <c r="AK121" i="47" s="1"/>
  <c r="A122" i="47"/>
  <c r="AK122" i="47" s="1"/>
  <c r="A123" i="47"/>
  <c r="AK123" i="47" s="1"/>
  <c r="A124" i="47"/>
  <c r="AK124" i="47" s="1"/>
  <c r="A125" i="47"/>
  <c r="AK125" i="47" s="1"/>
  <c r="A126" i="47"/>
  <c r="AK126" i="47" s="1"/>
  <c r="A127" i="47"/>
  <c r="AK127" i="47" s="1"/>
  <c r="A128" i="47"/>
  <c r="A129" i="47"/>
  <c r="A130" i="47"/>
  <c r="A131" i="47"/>
  <c r="A132" i="47"/>
  <c r="A133" i="47"/>
  <c r="A134" i="47"/>
  <c r="A135" i="47"/>
  <c r="A136" i="47"/>
  <c r="A137" i="47"/>
  <c r="A138" i="47"/>
  <c r="A139" i="47"/>
  <c r="A140" i="47"/>
  <c r="A141" i="47"/>
  <c r="A142" i="47"/>
  <c r="A2" i="47"/>
  <c r="A2" i="24"/>
  <c r="AK2" i="24" s="1"/>
  <c r="AO2" i="47" l="1"/>
  <c r="AO3" i="47" s="1"/>
  <c r="AK2" i="47"/>
  <c r="AK3" i="47"/>
  <c r="AK3" i="24"/>
  <c r="AO3" i="24"/>
  <c r="AD138" i="47"/>
  <c r="AD121" i="47"/>
  <c r="AD136" i="47"/>
  <c r="AD128" i="47"/>
  <c r="AD120" i="47"/>
  <c r="AD134" i="47"/>
  <c r="AD130" i="47"/>
  <c r="AD127" i="47"/>
  <c r="AD119" i="47"/>
  <c r="AD118" i="47"/>
  <c r="AD140" i="47"/>
  <c r="AD132" i="47"/>
  <c r="AD124" i="47"/>
  <c r="AD116" i="47"/>
  <c r="AD123" i="47"/>
  <c r="AD115" i="47"/>
  <c r="AD126" i="47"/>
  <c r="AD125" i="47"/>
  <c r="AD114" i="47"/>
  <c r="AD117" i="47"/>
  <c r="AD122" i="47"/>
  <c r="AD113" i="47"/>
  <c r="AD140" i="24"/>
  <c r="AD132" i="24"/>
  <c r="AD124" i="24"/>
  <c r="AD116" i="24"/>
  <c r="AD123" i="24"/>
  <c r="AD115" i="24"/>
  <c r="AD138" i="24"/>
  <c r="AD130" i="24"/>
  <c r="AD122" i="24"/>
  <c r="AD114" i="24"/>
  <c r="AD121" i="24"/>
  <c r="AD113" i="24"/>
  <c r="AD136" i="24"/>
  <c r="AD128" i="24"/>
  <c r="AD120" i="24"/>
  <c r="AD127" i="24"/>
  <c r="AD119" i="24"/>
  <c r="AD142" i="24"/>
  <c r="AD134" i="24"/>
  <c r="AD126" i="24"/>
  <c r="AD118" i="24"/>
  <c r="AD125" i="24"/>
  <c r="AD117" i="24"/>
  <c r="AD2" i="24"/>
  <c r="AD2" i="47"/>
  <c r="AD142" i="47"/>
  <c r="AD3" i="47"/>
  <c r="AD3" i="24"/>
  <c r="AJ125" i="47"/>
  <c r="AE125" i="47"/>
  <c r="AL125" i="47"/>
  <c r="AI125" i="47"/>
  <c r="AF125" i="47"/>
  <c r="AH125" i="47"/>
  <c r="AF140" i="47"/>
  <c r="AE140" i="47"/>
  <c r="AJ116" i="47"/>
  <c r="AI116" i="47"/>
  <c r="AF116" i="47"/>
  <c r="AL116" i="47"/>
  <c r="AH116" i="47"/>
  <c r="AE116" i="47"/>
  <c r="B136" i="24"/>
  <c r="AE136" i="24"/>
  <c r="AF136" i="24"/>
  <c r="C112" i="24"/>
  <c r="AH131" i="47"/>
  <c r="AI131" i="47"/>
  <c r="AH115" i="47"/>
  <c r="AF115" i="47"/>
  <c r="AI115" i="47"/>
  <c r="AL115" i="47"/>
  <c r="AJ115" i="47"/>
  <c r="AE115" i="47"/>
  <c r="AE138" i="47"/>
  <c r="AF138" i="47"/>
  <c r="AE130" i="47"/>
  <c r="AF130" i="47"/>
  <c r="AH122" i="47"/>
  <c r="AE122" i="47"/>
  <c r="AL122" i="47"/>
  <c r="AI122" i="47"/>
  <c r="AF122" i="47"/>
  <c r="AJ122" i="47"/>
  <c r="AE114" i="47"/>
  <c r="AI114" i="47"/>
  <c r="AF114" i="47"/>
  <c r="AL114" i="47"/>
  <c r="AJ114" i="47"/>
  <c r="AH114" i="47"/>
  <c r="B142" i="24"/>
  <c r="AE142" i="24"/>
  <c r="AF142" i="24"/>
  <c r="B134" i="24"/>
  <c r="AE134" i="24"/>
  <c r="AF134" i="24"/>
  <c r="B126" i="24"/>
  <c r="AE126" i="24"/>
  <c r="AJ126" i="24"/>
  <c r="AH126" i="24"/>
  <c r="AF126" i="24"/>
  <c r="AL126" i="24"/>
  <c r="AI126" i="24"/>
  <c r="E118" i="24"/>
  <c r="AE118" i="24"/>
  <c r="AJ118" i="24"/>
  <c r="AH118" i="24"/>
  <c r="AF118" i="24"/>
  <c r="AL118" i="24"/>
  <c r="AI118" i="24"/>
  <c r="B102" i="24"/>
  <c r="B86" i="24"/>
  <c r="B78" i="24"/>
  <c r="B70" i="24"/>
  <c r="B62" i="24"/>
  <c r="B54" i="24"/>
  <c r="B46" i="24"/>
  <c r="B38" i="24"/>
  <c r="B30" i="24"/>
  <c r="AI129" i="47"/>
  <c r="AH129" i="47"/>
  <c r="E141" i="24"/>
  <c r="AH141" i="24"/>
  <c r="AI141" i="24"/>
  <c r="E133" i="24"/>
  <c r="AH133" i="24"/>
  <c r="AI133" i="24"/>
  <c r="E125" i="24"/>
  <c r="AH125" i="24"/>
  <c r="AE125" i="24"/>
  <c r="AI125" i="24"/>
  <c r="AF125" i="24"/>
  <c r="AL125" i="24"/>
  <c r="AJ125" i="24"/>
  <c r="E117" i="24"/>
  <c r="AH117" i="24"/>
  <c r="AE117" i="24"/>
  <c r="AI117" i="24"/>
  <c r="AF117" i="24"/>
  <c r="AL117" i="24"/>
  <c r="AJ117" i="24"/>
  <c r="E101" i="24"/>
  <c r="E85" i="24"/>
  <c r="E77" i="24"/>
  <c r="E69" i="24"/>
  <c r="E61" i="24"/>
  <c r="E53" i="24"/>
  <c r="E45" i="24"/>
  <c r="E37" i="24"/>
  <c r="E29" i="24"/>
  <c r="AJ121" i="47"/>
  <c r="AE121" i="47"/>
  <c r="AL121" i="47"/>
  <c r="AI121" i="47"/>
  <c r="AH121" i="47"/>
  <c r="AF121" i="47"/>
  <c r="AF128" i="47"/>
  <c r="AE128" i="47"/>
  <c r="C132" i="24"/>
  <c r="AE132" i="24"/>
  <c r="AF132" i="24"/>
  <c r="B108" i="24"/>
  <c r="B100" i="24"/>
  <c r="B92" i="24"/>
  <c r="B84" i="24"/>
  <c r="B76" i="24"/>
  <c r="B68" i="24"/>
  <c r="B60" i="24"/>
  <c r="B52" i="24"/>
  <c r="B44" i="24"/>
  <c r="B36" i="24"/>
  <c r="AF136" i="47"/>
  <c r="AE136" i="47"/>
  <c r="B140" i="24"/>
  <c r="AE140" i="24"/>
  <c r="AF140" i="24"/>
  <c r="E116" i="24"/>
  <c r="AJ116" i="24"/>
  <c r="AE116" i="24"/>
  <c r="AL116" i="24"/>
  <c r="AI116" i="24"/>
  <c r="AH116" i="24"/>
  <c r="AF116" i="24"/>
  <c r="AH135" i="47"/>
  <c r="AI135" i="47"/>
  <c r="AE119" i="47"/>
  <c r="AJ119" i="47"/>
  <c r="AH119" i="47"/>
  <c r="AF119" i="47"/>
  <c r="AL119" i="47"/>
  <c r="AI119" i="47"/>
  <c r="AH139" i="24"/>
  <c r="AI139" i="24"/>
  <c r="AH131" i="24"/>
  <c r="AI131" i="24"/>
  <c r="E123" i="24"/>
  <c r="AH123" i="24"/>
  <c r="AJ123" i="24"/>
  <c r="AI123" i="24"/>
  <c r="AF123" i="24"/>
  <c r="AE123" i="24"/>
  <c r="AL123" i="24"/>
  <c r="AH115" i="24"/>
  <c r="AJ115" i="24"/>
  <c r="AI115" i="24"/>
  <c r="AF115" i="24"/>
  <c r="AE115" i="24"/>
  <c r="AL115" i="24"/>
  <c r="E107" i="24"/>
  <c r="E99" i="24"/>
  <c r="E91" i="24"/>
  <c r="E67" i="24"/>
  <c r="E51" i="24"/>
  <c r="E35" i="24"/>
  <c r="AE3" i="24"/>
  <c r="AJ3" i="24"/>
  <c r="AH3" i="24"/>
  <c r="AF3" i="24"/>
  <c r="AL3" i="24"/>
  <c r="AI3" i="24"/>
  <c r="AL113" i="47"/>
  <c r="AI113" i="47"/>
  <c r="AJ113" i="47"/>
  <c r="AH113" i="47"/>
  <c r="AF113" i="47"/>
  <c r="AE113" i="47"/>
  <c r="D2" i="24"/>
  <c r="AH2" i="24"/>
  <c r="AE2" i="24"/>
  <c r="AF2" i="24"/>
  <c r="AL2" i="24"/>
  <c r="AJ2" i="24"/>
  <c r="AI2" i="24"/>
  <c r="AH120" i="47"/>
  <c r="AJ120" i="47"/>
  <c r="AI120" i="47"/>
  <c r="AF120" i="47"/>
  <c r="AL120" i="47"/>
  <c r="AE120" i="47"/>
  <c r="B124" i="24"/>
  <c r="AJ124" i="24"/>
  <c r="AE124" i="24"/>
  <c r="AL124" i="24"/>
  <c r="AI124" i="24"/>
  <c r="AH124" i="24"/>
  <c r="AF124" i="24"/>
  <c r="AH2" i="47"/>
  <c r="AE2" i="47"/>
  <c r="AL2" i="47"/>
  <c r="AJ2" i="47"/>
  <c r="AI2" i="47"/>
  <c r="AF2" i="47"/>
  <c r="AE127" i="47"/>
  <c r="AJ127" i="47"/>
  <c r="AH127" i="47"/>
  <c r="AF127" i="47"/>
  <c r="AL127" i="47"/>
  <c r="AI127" i="47"/>
  <c r="AE142" i="47"/>
  <c r="AF142" i="47"/>
  <c r="AE134" i="47"/>
  <c r="AF134" i="47"/>
  <c r="AH126" i="47"/>
  <c r="AE126" i="47"/>
  <c r="AL126" i="47"/>
  <c r="AJ126" i="47"/>
  <c r="AI126" i="47"/>
  <c r="AF126" i="47"/>
  <c r="AE118" i="47"/>
  <c r="AL118" i="47"/>
  <c r="AF118" i="47"/>
  <c r="AJ118" i="47"/>
  <c r="AI118" i="47"/>
  <c r="AH118" i="47"/>
  <c r="D138" i="24"/>
  <c r="AE138" i="24"/>
  <c r="AF138" i="24"/>
  <c r="B130" i="24"/>
  <c r="AE130" i="24"/>
  <c r="AF130" i="24"/>
  <c r="E122" i="24"/>
  <c r="AE122" i="24"/>
  <c r="AJ122" i="24"/>
  <c r="AH122" i="24"/>
  <c r="AF122" i="24"/>
  <c r="AL122" i="24"/>
  <c r="AI122" i="24"/>
  <c r="E114" i="24"/>
  <c r="AE114" i="24"/>
  <c r="AJ114" i="24"/>
  <c r="AH114" i="24"/>
  <c r="AF114" i="24"/>
  <c r="AL114" i="24"/>
  <c r="AI114" i="24"/>
  <c r="B98" i="24"/>
  <c r="AI141" i="47"/>
  <c r="AH141" i="47"/>
  <c r="AH137" i="24"/>
  <c r="AI137" i="24"/>
  <c r="AH129" i="24"/>
  <c r="AI129" i="24"/>
  <c r="E121" i="24"/>
  <c r="AH121" i="24"/>
  <c r="AE121" i="24"/>
  <c r="AL121" i="24"/>
  <c r="AJ121" i="24"/>
  <c r="AI121" i="24"/>
  <c r="AF121" i="24"/>
  <c r="E113" i="24"/>
  <c r="AH113" i="24"/>
  <c r="AE113" i="24"/>
  <c r="AL113" i="24"/>
  <c r="AJ113" i="24"/>
  <c r="AI113" i="24"/>
  <c r="AF113" i="24"/>
  <c r="E97" i="24"/>
  <c r="AI137" i="47"/>
  <c r="AH137" i="47"/>
  <c r="AL117" i="47"/>
  <c r="AF117" i="47"/>
  <c r="AI117" i="47"/>
  <c r="AH117" i="47"/>
  <c r="AE117" i="47"/>
  <c r="AJ117" i="47"/>
  <c r="AF132" i="47"/>
  <c r="AE132" i="47"/>
  <c r="E120" i="24"/>
  <c r="AJ120" i="24"/>
  <c r="AE120" i="24"/>
  <c r="AL120" i="24"/>
  <c r="AF120" i="24"/>
  <c r="AI120" i="24"/>
  <c r="AH120" i="24"/>
  <c r="C96" i="24"/>
  <c r="AI133" i="47"/>
  <c r="AH133" i="47"/>
  <c r="AH124" i="47"/>
  <c r="AJ124" i="47"/>
  <c r="AI124" i="47"/>
  <c r="AF124" i="47"/>
  <c r="AL124" i="47"/>
  <c r="AE124" i="47"/>
  <c r="E128" i="24"/>
  <c r="AE128" i="24"/>
  <c r="AF128" i="24"/>
  <c r="AH139" i="47"/>
  <c r="AI139" i="47"/>
  <c r="AE123" i="47"/>
  <c r="AJ123" i="47"/>
  <c r="AH123" i="47"/>
  <c r="AF123" i="47"/>
  <c r="AL123" i="47"/>
  <c r="AI123" i="47"/>
  <c r="AE3" i="47"/>
  <c r="AJ3" i="47"/>
  <c r="AH3" i="47"/>
  <c r="AF3" i="47"/>
  <c r="AL3" i="47"/>
  <c r="AI3" i="47"/>
  <c r="AH135" i="24"/>
  <c r="AI135" i="24"/>
  <c r="E127" i="24"/>
  <c r="AH127" i="24"/>
  <c r="AJ127" i="24"/>
  <c r="AI127" i="24"/>
  <c r="AL127" i="24"/>
  <c r="AF127" i="24"/>
  <c r="AE127" i="24"/>
  <c r="AH119" i="24"/>
  <c r="AJ119" i="24"/>
  <c r="AI119" i="24"/>
  <c r="AL119" i="24"/>
  <c r="AF119" i="24"/>
  <c r="AE119" i="24"/>
  <c r="E103" i="24"/>
  <c r="E87" i="24"/>
  <c r="E79" i="24"/>
  <c r="E71" i="24"/>
  <c r="E63" i="24"/>
  <c r="E55" i="24"/>
  <c r="E47" i="24"/>
  <c r="E39" i="24"/>
  <c r="E31" i="24"/>
  <c r="Q136" i="15"/>
  <c r="I136" i="15"/>
  <c r="I129" i="15"/>
  <c r="I138" i="15"/>
  <c r="I131" i="15"/>
  <c r="I141" i="15"/>
  <c r="Q134" i="15"/>
  <c r="Q132" i="15"/>
  <c r="I130" i="15"/>
  <c r="I142" i="15"/>
  <c r="I139" i="15"/>
  <c r="Q129" i="15"/>
  <c r="Q138" i="15"/>
  <c r="I133" i="15"/>
  <c r="Q141" i="15"/>
  <c r="Q135" i="15"/>
  <c r="I140" i="15"/>
  <c r="I137" i="15"/>
  <c r="I134" i="15"/>
  <c r="Q130" i="15"/>
  <c r="Q140" i="15"/>
  <c r="Q139" i="15"/>
  <c r="Q133" i="15"/>
  <c r="Q142" i="15"/>
  <c r="Q137" i="15"/>
  <c r="I135" i="15"/>
  <c r="I132" i="15"/>
  <c r="Q131" i="15"/>
  <c r="C108" i="24"/>
  <c r="E140" i="24"/>
  <c r="E124" i="24"/>
  <c r="C138" i="24"/>
  <c r="B122" i="24"/>
  <c r="E134" i="24"/>
  <c r="C102" i="24"/>
  <c r="D134" i="24"/>
  <c r="B118" i="24"/>
  <c r="B132" i="24"/>
  <c r="D128" i="24"/>
  <c r="B114" i="24"/>
  <c r="C92" i="24"/>
  <c r="C128" i="24"/>
  <c r="B131" i="24"/>
  <c r="C131" i="24"/>
  <c r="D131" i="24"/>
  <c r="B75" i="24"/>
  <c r="C75" i="24"/>
  <c r="D75" i="24"/>
  <c r="B43" i="24"/>
  <c r="C43" i="24"/>
  <c r="D43" i="24"/>
  <c r="D106" i="24"/>
  <c r="E106" i="24"/>
  <c r="C74" i="24"/>
  <c r="D74" i="24"/>
  <c r="E74" i="24"/>
  <c r="C42" i="24"/>
  <c r="D42" i="24"/>
  <c r="E42" i="24"/>
  <c r="B26" i="24"/>
  <c r="C26" i="24"/>
  <c r="D26" i="24"/>
  <c r="E26" i="24"/>
  <c r="B10" i="24"/>
  <c r="C10" i="24"/>
  <c r="D10" i="24"/>
  <c r="E10" i="24"/>
  <c r="B138" i="24"/>
  <c r="E131" i="24"/>
  <c r="B115" i="24"/>
  <c r="C115" i="24"/>
  <c r="D115" i="24"/>
  <c r="B59" i="24"/>
  <c r="C59" i="24"/>
  <c r="D59" i="24"/>
  <c r="B3" i="24"/>
  <c r="C3" i="24"/>
  <c r="D3" i="24"/>
  <c r="E3" i="24"/>
  <c r="D98" i="24"/>
  <c r="E98" i="24"/>
  <c r="C58" i="24"/>
  <c r="D58" i="24"/>
  <c r="E58" i="24"/>
  <c r="B18" i="24"/>
  <c r="C18" i="24"/>
  <c r="D18" i="24"/>
  <c r="E18" i="24"/>
  <c r="B137" i="24"/>
  <c r="C137" i="24"/>
  <c r="D137" i="24"/>
  <c r="B129" i="24"/>
  <c r="C129" i="24"/>
  <c r="D129" i="24"/>
  <c r="B121" i="24"/>
  <c r="C121" i="24"/>
  <c r="D121" i="24"/>
  <c r="B113" i="24"/>
  <c r="C113" i="24"/>
  <c r="D113" i="24"/>
  <c r="B105" i="24"/>
  <c r="C105" i="24"/>
  <c r="D105" i="24"/>
  <c r="B97" i="24"/>
  <c r="C97" i="24"/>
  <c r="D97" i="24"/>
  <c r="B89" i="24"/>
  <c r="C89" i="24"/>
  <c r="D89" i="24"/>
  <c r="B81" i="24"/>
  <c r="C81" i="24"/>
  <c r="D81" i="24"/>
  <c r="B73" i="24"/>
  <c r="C73" i="24"/>
  <c r="D73" i="24"/>
  <c r="B65" i="24"/>
  <c r="C65" i="24"/>
  <c r="D65" i="24"/>
  <c r="B57" i="24"/>
  <c r="C57" i="24"/>
  <c r="D57" i="24"/>
  <c r="B49" i="24"/>
  <c r="C49" i="24"/>
  <c r="D49" i="24"/>
  <c r="B41" i="24"/>
  <c r="C41" i="24"/>
  <c r="D41" i="24"/>
  <c r="B33" i="24"/>
  <c r="C33" i="24"/>
  <c r="D33" i="24"/>
  <c r="B25" i="24"/>
  <c r="C25" i="24"/>
  <c r="D25" i="24"/>
  <c r="B17" i="24"/>
  <c r="C17" i="24"/>
  <c r="D17" i="24"/>
  <c r="E17" i="24"/>
  <c r="B9" i="24"/>
  <c r="C9" i="24"/>
  <c r="D9" i="24"/>
  <c r="E9" i="24"/>
  <c r="D140" i="24"/>
  <c r="E137" i="24"/>
  <c r="C134" i="24"/>
  <c r="E130" i="24"/>
  <c r="B128" i="24"/>
  <c r="D124" i="24"/>
  <c r="D120" i="24"/>
  <c r="D116" i="24"/>
  <c r="B83" i="24"/>
  <c r="C83" i="24"/>
  <c r="D83" i="24"/>
  <c r="B27" i="24"/>
  <c r="C27" i="24"/>
  <c r="D27" i="24"/>
  <c r="D90" i="24"/>
  <c r="E90" i="24"/>
  <c r="C50" i="24"/>
  <c r="D50" i="24"/>
  <c r="E50" i="24"/>
  <c r="C34" i="24"/>
  <c r="D34" i="24"/>
  <c r="E34" i="24"/>
  <c r="D112" i="24"/>
  <c r="E112" i="24"/>
  <c r="D104" i="24"/>
  <c r="E104" i="24"/>
  <c r="D96" i="24"/>
  <c r="E96" i="24"/>
  <c r="D88" i="24"/>
  <c r="E88" i="24"/>
  <c r="C80" i="24"/>
  <c r="D80" i="24"/>
  <c r="E80" i="24"/>
  <c r="C72" i="24"/>
  <c r="D72" i="24"/>
  <c r="E72" i="24"/>
  <c r="C64" i="24"/>
  <c r="D64" i="24"/>
  <c r="E64" i="24"/>
  <c r="C56" i="24"/>
  <c r="D56" i="24"/>
  <c r="E56" i="24"/>
  <c r="C48" i="24"/>
  <c r="D48" i="24"/>
  <c r="E48" i="24"/>
  <c r="C40" i="24"/>
  <c r="D40" i="24"/>
  <c r="E40" i="24"/>
  <c r="C32" i="24"/>
  <c r="D32" i="24"/>
  <c r="E32" i="24"/>
  <c r="B24" i="24"/>
  <c r="C24" i="24"/>
  <c r="D24" i="24"/>
  <c r="E24" i="24"/>
  <c r="B16" i="24"/>
  <c r="C16" i="24"/>
  <c r="D16" i="24"/>
  <c r="E16" i="24"/>
  <c r="B8" i="24"/>
  <c r="C8" i="24"/>
  <c r="D8" i="24"/>
  <c r="E8" i="24"/>
  <c r="C140" i="24"/>
  <c r="E136" i="24"/>
  <c r="D130" i="24"/>
  <c r="C124" i="24"/>
  <c r="C120" i="24"/>
  <c r="C116" i="24"/>
  <c r="B112" i="24"/>
  <c r="C106" i="24"/>
  <c r="B96" i="24"/>
  <c r="C90" i="24"/>
  <c r="E27" i="24"/>
  <c r="B107" i="24"/>
  <c r="C107" i="24"/>
  <c r="D107" i="24"/>
  <c r="B19" i="24"/>
  <c r="C19" i="24"/>
  <c r="D19" i="24"/>
  <c r="C66" i="24"/>
  <c r="D66" i="24"/>
  <c r="E66" i="24"/>
  <c r="B135" i="24"/>
  <c r="C135" i="24"/>
  <c r="D135" i="24"/>
  <c r="B127" i="24"/>
  <c r="C127" i="24"/>
  <c r="D127" i="24"/>
  <c r="B119" i="24"/>
  <c r="C119" i="24"/>
  <c r="D119" i="24"/>
  <c r="B111" i="24"/>
  <c r="C111" i="24"/>
  <c r="D111" i="24"/>
  <c r="B103" i="24"/>
  <c r="C103" i="24"/>
  <c r="D103" i="24"/>
  <c r="B95" i="24"/>
  <c r="C95" i="24"/>
  <c r="D95" i="24"/>
  <c r="B87" i="24"/>
  <c r="C87" i="24"/>
  <c r="D87" i="24"/>
  <c r="B79" i="24"/>
  <c r="C79" i="24"/>
  <c r="D79" i="24"/>
  <c r="B71" i="24"/>
  <c r="C71" i="24"/>
  <c r="D71" i="24"/>
  <c r="B63" i="24"/>
  <c r="C63" i="24"/>
  <c r="D63" i="24"/>
  <c r="B55" i="24"/>
  <c r="C55" i="24"/>
  <c r="D55" i="24"/>
  <c r="B47" i="24"/>
  <c r="C47" i="24"/>
  <c r="D47" i="24"/>
  <c r="B39" i="24"/>
  <c r="C39" i="24"/>
  <c r="D39" i="24"/>
  <c r="B31" i="24"/>
  <c r="C31" i="24"/>
  <c r="D31" i="24"/>
  <c r="B23" i="24"/>
  <c r="C23" i="24"/>
  <c r="D23" i="24"/>
  <c r="B15" i="24"/>
  <c r="C15" i="24"/>
  <c r="D15" i="24"/>
  <c r="E15" i="24"/>
  <c r="B7" i="24"/>
  <c r="C7" i="24"/>
  <c r="D7" i="24"/>
  <c r="E7" i="24"/>
  <c r="E142" i="24"/>
  <c r="D136" i="24"/>
  <c r="C130" i="24"/>
  <c r="E126" i="24"/>
  <c r="B120" i="24"/>
  <c r="B116" i="24"/>
  <c r="E111" i="24"/>
  <c r="B106" i="24"/>
  <c r="C100" i="24"/>
  <c r="E95" i="24"/>
  <c r="B90" i="24"/>
  <c r="E83" i="24"/>
  <c r="E75" i="24"/>
  <c r="E59" i="24"/>
  <c r="E43" i="24"/>
  <c r="E25" i="24"/>
  <c r="B139" i="24"/>
  <c r="C139" i="24"/>
  <c r="D139" i="24"/>
  <c r="B91" i="24"/>
  <c r="C91" i="24"/>
  <c r="D91" i="24"/>
  <c r="B35" i="24"/>
  <c r="C35" i="24"/>
  <c r="D35" i="24"/>
  <c r="C82" i="24"/>
  <c r="D82" i="24"/>
  <c r="E82" i="24"/>
  <c r="D110" i="24"/>
  <c r="E110" i="24"/>
  <c r="D102" i="24"/>
  <c r="E102" i="24"/>
  <c r="D94" i="24"/>
  <c r="E94" i="24"/>
  <c r="C86" i="24"/>
  <c r="D86" i="24"/>
  <c r="E86" i="24"/>
  <c r="C78" i="24"/>
  <c r="D78" i="24"/>
  <c r="E78" i="24"/>
  <c r="C70" i="24"/>
  <c r="D70" i="24"/>
  <c r="E70" i="24"/>
  <c r="C62" i="24"/>
  <c r="D62" i="24"/>
  <c r="E62" i="24"/>
  <c r="C54" i="24"/>
  <c r="D54" i="24"/>
  <c r="E54" i="24"/>
  <c r="C46" i="24"/>
  <c r="D46" i="24"/>
  <c r="E46" i="24"/>
  <c r="C38" i="24"/>
  <c r="D38" i="24"/>
  <c r="E38" i="24"/>
  <c r="C30" i="24"/>
  <c r="D30" i="24"/>
  <c r="E30" i="24"/>
  <c r="B22" i="24"/>
  <c r="C22" i="24"/>
  <c r="D22" i="24"/>
  <c r="E22" i="24"/>
  <c r="B14" i="24"/>
  <c r="C14" i="24"/>
  <c r="D14" i="24"/>
  <c r="E14" i="24"/>
  <c r="B6" i="24"/>
  <c r="C6" i="24"/>
  <c r="D6" i="24"/>
  <c r="E6" i="24"/>
  <c r="D142" i="24"/>
  <c r="E139" i="24"/>
  <c r="C136" i="24"/>
  <c r="E132" i="24"/>
  <c r="D126" i="24"/>
  <c r="E119" i="24"/>
  <c r="E115" i="24"/>
  <c r="C110" i="24"/>
  <c r="E105" i="24"/>
  <c r="C94" i="24"/>
  <c r="E89" i="24"/>
  <c r="B82" i="24"/>
  <c r="B74" i="24"/>
  <c r="B66" i="24"/>
  <c r="B58" i="24"/>
  <c r="B50" i="24"/>
  <c r="B42" i="24"/>
  <c r="B34" i="24"/>
  <c r="E23" i="24"/>
  <c r="B123" i="24"/>
  <c r="C123" i="24"/>
  <c r="D123" i="24"/>
  <c r="B67" i="24"/>
  <c r="C67" i="24"/>
  <c r="D67" i="24"/>
  <c r="B11" i="24"/>
  <c r="C11" i="24"/>
  <c r="D11" i="24"/>
  <c r="E11" i="24"/>
  <c r="B141" i="24"/>
  <c r="C141" i="24"/>
  <c r="D141" i="24"/>
  <c r="B133" i="24"/>
  <c r="C133" i="24"/>
  <c r="D133" i="24"/>
  <c r="B125" i="24"/>
  <c r="C125" i="24"/>
  <c r="D125" i="24"/>
  <c r="B117" i="24"/>
  <c r="C117" i="24"/>
  <c r="D117" i="24"/>
  <c r="B109" i="24"/>
  <c r="C109" i="24"/>
  <c r="D109" i="24"/>
  <c r="B101" i="24"/>
  <c r="C101" i="24"/>
  <c r="D101" i="24"/>
  <c r="B93" i="24"/>
  <c r="C93" i="24"/>
  <c r="D93" i="24"/>
  <c r="B85" i="24"/>
  <c r="C85" i="24"/>
  <c r="D85" i="24"/>
  <c r="B77" i="24"/>
  <c r="C77" i="24"/>
  <c r="D77" i="24"/>
  <c r="B69" i="24"/>
  <c r="C69" i="24"/>
  <c r="D69" i="24"/>
  <c r="B61" i="24"/>
  <c r="C61" i="24"/>
  <c r="D61" i="24"/>
  <c r="B53" i="24"/>
  <c r="C53" i="24"/>
  <c r="D53" i="24"/>
  <c r="B45" i="24"/>
  <c r="C45" i="24"/>
  <c r="D45" i="24"/>
  <c r="B37" i="24"/>
  <c r="C37" i="24"/>
  <c r="D37" i="24"/>
  <c r="B29" i="24"/>
  <c r="C29" i="24"/>
  <c r="D29" i="24"/>
  <c r="B21" i="24"/>
  <c r="C21" i="24"/>
  <c r="D21" i="24"/>
  <c r="B13" i="24"/>
  <c r="C13" i="24"/>
  <c r="D13" i="24"/>
  <c r="E13" i="24"/>
  <c r="B5" i="24"/>
  <c r="C5" i="24"/>
  <c r="D5" i="24"/>
  <c r="E5" i="24"/>
  <c r="C142" i="24"/>
  <c r="E138" i="24"/>
  <c r="D132" i="24"/>
  <c r="E129" i="24"/>
  <c r="C126" i="24"/>
  <c r="D122" i="24"/>
  <c r="D118" i="24"/>
  <c r="D114" i="24"/>
  <c r="B110" i="24"/>
  <c r="C104" i="24"/>
  <c r="B94" i="24"/>
  <c r="C88" i="24"/>
  <c r="E81" i="24"/>
  <c r="E73" i="24"/>
  <c r="E65" i="24"/>
  <c r="E57" i="24"/>
  <c r="E49" i="24"/>
  <c r="E41" i="24"/>
  <c r="E33" i="24"/>
  <c r="E21" i="24"/>
  <c r="B99" i="24"/>
  <c r="C99" i="24"/>
  <c r="D99" i="24"/>
  <c r="B51" i="24"/>
  <c r="C51" i="24"/>
  <c r="D51" i="24"/>
  <c r="D108" i="24"/>
  <c r="E108" i="24"/>
  <c r="D100" i="24"/>
  <c r="E100" i="24"/>
  <c r="D92" i="24"/>
  <c r="E92" i="24"/>
  <c r="C84" i="24"/>
  <c r="D84" i="24"/>
  <c r="E84" i="24"/>
  <c r="C76" i="24"/>
  <c r="D76" i="24"/>
  <c r="E76" i="24"/>
  <c r="C68" i="24"/>
  <c r="D68" i="24"/>
  <c r="E68" i="24"/>
  <c r="C60" i="24"/>
  <c r="D60" i="24"/>
  <c r="E60" i="24"/>
  <c r="C52" i="24"/>
  <c r="D52" i="24"/>
  <c r="E52" i="24"/>
  <c r="C44" i="24"/>
  <c r="D44" i="24"/>
  <c r="E44" i="24"/>
  <c r="C36" i="24"/>
  <c r="D36" i="24"/>
  <c r="E36" i="24"/>
  <c r="B28" i="24"/>
  <c r="C28" i="24"/>
  <c r="D28" i="24"/>
  <c r="E28" i="24"/>
  <c r="B20" i="24"/>
  <c r="C20" i="24"/>
  <c r="D20" i="24"/>
  <c r="E20" i="24"/>
  <c r="B12" i="24"/>
  <c r="C12" i="24"/>
  <c r="D12" i="24"/>
  <c r="E12" i="24"/>
  <c r="B4" i="24"/>
  <c r="C4" i="24"/>
  <c r="D4" i="24"/>
  <c r="E4" i="24"/>
  <c r="E135" i="24"/>
  <c r="C122" i="24"/>
  <c r="C118" i="24"/>
  <c r="C114" i="24"/>
  <c r="E109" i="24"/>
  <c r="B104" i="24"/>
  <c r="C98" i="24"/>
  <c r="E93" i="24"/>
  <c r="B88" i="24"/>
  <c r="B80" i="24"/>
  <c r="B72" i="24"/>
  <c r="B64" i="24"/>
  <c r="B56" i="24"/>
  <c r="B48" i="24"/>
  <c r="B40" i="24"/>
  <c r="B32" i="24"/>
  <c r="E19" i="24"/>
  <c r="E2" i="24"/>
  <c r="B2" i="24"/>
  <c r="C2" i="24"/>
  <c r="R131" i="15" l="1"/>
  <c r="A131" i="15" s="1"/>
  <c r="R132" i="15"/>
  <c r="A132" i="15" s="1"/>
  <c r="R134" i="15"/>
  <c r="A134" i="15" s="1"/>
  <c r="R135" i="15"/>
  <c r="A135" i="15" s="1"/>
  <c r="R136" i="15"/>
  <c r="A136" i="15" s="1"/>
  <c r="R138" i="15"/>
  <c r="A138" i="15" s="1"/>
  <c r="R133" i="15"/>
  <c r="A133" i="15" s="1"/>
  <c r="R141" i="15"/>
  <c r="A141" i="15" s="1"/>
  <c r="R142" i="15"/>
  <c r="A142" i="15" s="1"/>
  <c r="R129" i="15"/>
  <c r="A129" i="15" s="1"/>
  <c r="R137" i="15"/>
  <c r="A137" i="15" s="1"/>
  <c r="R140" i="15"/>
  <c r="A140" i="15" s="1"/>
  <c r="R139" i="15"/>
  <c r="A139" i="15" s="1"/>
  <c r="R130" i="15"/>
  <c r="A130" i="15" s="1"/>
  <c r="A4" i="49"/>
  <c r="A5" i="49"/>
  <c r="A6" i="49"/>
  <c r="A7" i="49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32" i="49"/>
  <c r="A33" i="49"/>
  <c r="A34" i="49"/>
  <c r="A35" i="49"/>
  <c r="A36" i="49"/>
  <c r="A37" i="49"/>
  <c r="A38" i="49"/>
  <c r="A39" i="49"/>
  <c r="A40" i="49"/>
  <c r="A41" i="49"/>
  <c r="A42" i="49"/>
  <c r="A43" i="49"/>
  <c r="A44" i="49"/>
  <c r="A45" i="49"/>
  <c r="A46" i="49"/>
  <c r="A47" i="49"/>
  <c r="A48" i="49"/>
  <c r="A49" i="49"/>
  <c r="A50" i="49"/>
  <c r="A51" i="49"/>
  <c r="A52" i="49"/>
  <c r="A53" i="49"/>
  <c r="A54" i="49"/>
  <c r="A55" i="49"/>
  <c r="A56" i="49"/>
  <c r="A57" i="49"/>
  <c r="A58" i="49"/>
  <c r="A59" i="49"/>
  <c r="A60" i="49"/>
  <c r="A61" i="49"/>
  <c r="A62" i="49"/>
  <c r="A63" i="49"/>
  <c r="A64" i="49"/>
  <c r="A65" i="49"/>
  <c r="A66" i="49"/>
  <c r="A67" i="49"/>
  <c r="A68" i="49"/>
  <c r="A69" i="49"/>
  <c r="A70" i="49"/>
  <c r="A71" i="49"/>
  <c r="A72" i="49"/>
  <c r="A73" i="49"/>
  <c r="A74" i="49"/>
  <c r="A75" i="49"/>
  <c r="A76" i="49"/>
  <c r="A77" i="49"/>
  <c r="A78" i="49"/>
  <c r="A79" i="49"/>
  <c r="A80" i="49"/>
  <c r="A81" i="49"/>
  <c r="A82" i="49"/>
  <c r="A83" i="49"/>
  <c r="A84" i="49"/>
  <c r="A85" i="49"/>
  <c r="A86" i="49"/>
  <c r="A87" i="49"/>
  <c r="A88" i="49"/>
  <c r="A89" i="49"/>
  <c r="A90" i="49"/>
  <c r="A91" i="49"/>
  <c r="A92" i="49"/>
  <c r="A93" i="49"/>
  <c r="A94" i="49"/>
  <c r="A95" i="49"/>
  <c r="A96" i="49"/>
  <c r="A97" i="49"/>
  <c r="A98" i="49"/>
  <c r="A99" i="49"/>
  <c r="A100" i="49"/>
  <c r="A101" i="49"/>
  <c r="A102" i="49"/>
  <c r="A103" i="49"/>
  <c r="A104" i="49"/>
  <c r="A105" i="49"/>
  <c r="A106" i="49"/>
  <c r="A107" i="49"/>
  <c r="A108" i="49"/>
  <c r="A109" i="49"/>
  <c r="A110" i="49"/>
  <c r="A111" i="49"/>
  <c r="A112" i="49"/>
  <c r="A113" i="49"/>
  <c r="AK113" i="49" s="1"/>
  <c r="A114" i="49"/>
  <c r="AK114" i="49" s="1"/>
  <c r="A115" i="49"/>
  <c r="AK115" i="49" s="1"/>
  <c r="A116" i="49"/>
  <c r="AK116" i="49" s="1"/>
  <c r="A117" i="49"/>
  <c r="AK117" i="49" s="1"/>
  <c r="A118" i="49"/>
  <c r="AK118" i="49" s="1"/>
  <c r="A119" i="49"/>
  <c r="AK119" i="49" s="1"/>
  <c r="A120" i="49"/>
  <c r="AK120" i="49" s="1"/>
  <c r="A121" i="49"/>
  <c r="AK121" i="49" s="1"/>
  <c r="A122" i="49"/>
  <c r="AK122" i="49" s="1"/>
  <c r="A123" i="49"/>
  <c r="AK123" i="49" s="1"/>
  <c r="A124" i="49"/>
  <c r="AK124" i="49" s="1"/>
  <c r="A125" i="49"/>
  <c r="AK125" i="49" s="1"/>
  <c r="A126" i="49"/>
  <c r="AK126" i="49" s="1"/>
  <c r="A127" i="49"/>
  <c r="AK127" i="49" s="1"/>
  <c r="A128" i="49"/>
  <c r="AK128" i="49" s="1"/>
  <c r="A129" i="49"/>
  <c r="AK129" i="49" s="1"/>
  <c r="A130" i="49"/>
  <c r="A131" i="49"/>
  <c r="A132" i="49"/>
  <c r="A133" i="49"/>
  <c r="A134" i="49"/>
  <c r="A135" i="49"/>
  <c r="A136" i="49"/>
  <c r="A137" i="49"/>
  <c r="A138" i="49"/>
  <c r="A139" i="49"/>
  <c r="A140" i="49"/>
  <c r="A141" i="49"/>
  <c r="A142" i="49"/>
  <c r="A2" i="49"/>
  <c r="A3" i="49"/>
  <c r="F4" i="47"/>
  <c r="F7" i="47"/>
  <c r="AC9" i="47"/>
  <c r="AK9" i="47" s="1"/>
  <c r="AR10" i="47"/>
  <c r="F11" i="47"/>
  <c r="AR12" i="47"/>
  <c r="AC13" i="47"/>
  <c r="AK13" i="47" s="1"/>
  <c r="W15" i="47"/>
  <c r="D16" i="47"/>
  <c r="AB17" i="47"/>
  <c r="W18" i="47"/>
  <c r="F19" i="47"/>
  <c r="AC20" i="47"/>
  <c r="AK20" i="47" s="1"/>
  <c r="Y21" i="47"/>
  <c r="Y22" i="47"/>
  <c r="C23" i="47"/>
  <c r="X24" i="47"/>
  <c r="AQ25" i="47"/>
  <c r="G26" i="47"/>
  <c r="E27" i="47"/>
  <c r="C29" i="47"/>
  <c r="E30" i="47"/>
  <c r="E31" i="47"/>
  <c r="D32" i="47"/>
  <c r="F33" i="47"/>
  <c r="W34" i="47"/>
  <c r="AB35" i="47"/>
  <c r="W36" i="47"/>
  <c r="B38" i="47"/>
  <c r="D40" i="47"/>
  <c r="Y41" i="47"/>
  <c r="B42" i="47"/>
  <c r="E44" i="47"/>
  <c r="AQ45" i="47"/>
  <c r="AQ46" i="47"/>
  <c r="B47" i="47"/>
  <c r="C48" i="47"/>
  <c r="W49" i="47"/>
  <c r="D50" i="47"/>
  <c r="D51" i="47"/>
  <c r="AA52" i="47"/>
  <c r="AJ52" i="47" s="1"/>
  <c r="AQ53" i="47"/>
  <c r="E54" i="47"/>
  <c r="AC55" i="47"/>
  <c r="AK55" i="47" s="1"/>
  <c r="W57" i="47"/>
  <c r="Y58" i="47"/>
  <c r="B59" i="47"/>
  <c r="AB61" i="47"/>
  <c r="Y63" i="47"/>
  <c r="G65" i="47"/>
  <c r="X66" i="47"/>
  <c r="F68" i="47"/>
  <c r="G69" i="47"/>
  <c r="B70" i="47"/>
  <c r="AC73" i="47"/>
  <c r="AK73" i="47" s="1"/>
  <c r="E74" i="47"/>
  <c r="Y75" i="47"/>
  <c r="B77" i="47"/>
  <c r="G78" i="47"/>
  <c r="AC79" i="47"/>
  <c r="AK79" i="47" s="1"/>
  <c r="X80" i="47"/>
  <c r="E81" i="47"/>
  <c r="X82" i="47"/>
  <c r="AR83" i="47"/>
  <c r="X84" i="47"/>
  <c r="C85" i="47"/>
  <c r="AC86" i="47"/>
  <c r="AK86" i="47" s="1"/>
  <c r="C87" i="47"/>
  <c r="C88" i="47"/>
  <c r="B89" i="47"/>
  <c r="AA91" i="47"/>
  <c r="AJ91" i="47" s="1"/>
  <c r="X92" i="47"/>
  <c r="AR93" i="47"/>
  <c r="D95" i="47"/>
  <c r="G96" i="47"/>
  <c r="E98" i="47"/>
  <c r="W105" i="47"/>
  <c r="B106" i="47"/>
  <c r="G107" i="47"/>
  <c r="G109" i="47"/>
  <c r="G112" i="47"/>
  <c r="W115" i="47"/>
  <c r="D117" i="47"/>
  <c r="B118" i="47"/>
  <c r="D120" i="47"/>
  <c r="X124" i="47"/>
  <c r="E125" i="47"/>
  <c r="W128" i="47"/>
  <c r="AA129" i="47"/>
  <c r="AJ129" i="47" s="1"/>
  <c r="F130" i="47"/>
  <c r="G131" i="47"/>
  <c r="D133" i="47"/>
  <c r="W134" i="47"/>
  <c r="F135" i="47"/>
  <c r="B136" i="47"/>
  <c r="G138" i="47"/>
  <c r="D141" i="47"/>
  <c r="B142" i="47"/>
  <c r="D3" i="47"/>
  <c r="AA18" i="24"/>
  <c r="AJ18" i="24" s="1"/>
  <c r="AR34" i="24"/>
  <c r="G37" i="24"/>
  <c r="AA39" i="24"/>
  <c r="AJ39" i="24" s="1"/>
  <c r="X48" i="24"/>
  <c r="AC50" i="24"/>
  <c r="AK50" i="24" s="1"/>
  <c r="X62" i="24"/>
  <c r="Y72" i="24"/>
  <c r="W77" i="24"/>
  <c r="AC79" i="24"/>
  <c r="AK79" i="24" s="1"/>
  <c r="X80" i="24"/>
  <c r="AB82" i="24"/>
  <c r="W90" i="24"/>
  <c r="X95" i="24"/>
  <c r="F96" i="24"/>
  <c r="X99" i="24"/>
  <c r="W100" i="24"/>
  <c r="F101" i="24"/>
  <c r="F102" i="24"/>
  <c r="F103" i="24"/>
  <c r="AA105" i="24"/>
  <c r="AJ105" i="24" s="1"/>
  <c r="Y106" i="24"/>
  <c r="AB107" i="24"/>
  <c r="AL107" i="24" s="1"/>
  <c r="W110" i="24"/>
  <c r="G115" i="24"/>
  <c r="F120" i="24"/>
  <c r="AA121" i="24"/>
  <c r="AA122" i="24"/>
  <c r="X124" i="24"/>
  <c r="AA129" i="24"/>
  <c r="AJ129" i="24" s="1"/>
  <c r="Y131" i="24"/>
  <c r="AR132" i="24"/>
  <c r="AG137" i="24"/>
  <c r="Y142" i="24"/>
  <c r="AK2" i="49" l="1"/>
  <c r="AO2" i="49"/>
  <c r="AO3" i="49" s="1"/>
  <c r="AK3" i="49"/>
  <c r="AD125" i="49"/>
  <c r="AD117" i="49"/>
  <c r="AD140" i="49"/>
  <c r="AD132" i="49"/>
  <c r="AD124" i="49"/>
  <c r="AD116" i="49"/>
  <c r="AD123" i="49"/>
  <c r="AD115" i="49"/>
  <c r="AD138" i="49"/>
  <c r="AD130" i="49"/>
  <c r="AD122" i="49"/>
  <c r="AD114" i="49"/>
  <c r="AD129" i="49"/>
  <c r="AD121" i="49"/>
  <c r="AD113" i="49"/>
  <c r="AD136" i="49"/>
  <c r="AD128" i="49"/>
  <c r="AD120" i="49"/>
  <c r="AD127" i="49"/>
  <c r="AD119" i="49"/>
  <c r="AD134" i="49"/>
  <c r="AD126" i="49"/>
  <c r="AD118" i="49"/>
  <c r="AD2" i="49"/>
  <c r="AD3" i="49"/>
  <c r="AD142" i="49"/>
  <c r="C141" i="49"/>
  <c r="AI141" i="49"/>
  <c r="AH141" i="49"/>
  <c r="E133" i="49"/>
  <c r="AH133" i="49"/>
  <c r="AI133" i="49"/>
  <c r="E125" i="49"/>
  <c r="AJ125" i="49"/>
  <c r="AE125" i="49"/>
  <c r="AL125" i="49"/>
  <c r="AI125" i="49"/>
  <c r="AH125" i="49"/>
  <c r="AF125" i="49"/>
  <c r="AJ117" i="49"/>
  <c r="AE117" i="49"/>
  <c r="AL117" i="49"/>
  <c r="AH117" i="49"/>
  <c r="AF117" i="49"/>
  <c r="AI117" i="49"/>
  <c r="B109" i="49"/>
  <c r="Y93" i="49"/>
  <c r="AA69" i="49"/>
  <c r="AJ69" i="49" s="1"/>
  <c r="Y45" i="49"/>
  <c r="B37" i="49"/>
  <c r="W21" i="49"/>
  <c r="F13" i="49"/>
  <c r="C5" i="49"/>
  <c r="B142" i="49"/>
  <c r="AE142" i="49"/>
  <c r="AF142" i="49"/>
  <c r="F118" i="49"/>
  <c r="AH118" i="49"/>
  <c r="AJ118" i="49"/>
  <c r="AI118" i="49"/>
  <c r="AL118" i="49"/>
  <c r="AE118" i="49"/>
  <c r="AF118" i="49"/>
  <c r="W140" i="49"/>
  <c r="AE140" i="49"/>
  <c r="AF140" i="49"/>
  <c r="AA132" i="49"/>
  <c r="AJ132" i="49"/>
  <c r="AE132" i="49"/>
  <c r="AF132" i="49"/>
  <c r="AA124" i="49"/>
  <c r="AH124" i="49"/>
  <c r="AE124" i="49"/>
  <c r="AL124" i="49"/>
  <c r="AI124" i="49"/>
  <c r="AF124" i="49"/>
  <c r="AJ124" i="49"/>
  <c r="AA116" i="49"/>
  <c r="AH116" i="49"/>
  <c r="AL116" i="49"/>
  <c r="AJ116" i="49"/>
  <c r="AI116" i="49"/>
  <c r="AF116" i="49"/>
  <c r="AE116" i="49"/>
  <c r="C108" i="49"/>
  <c r="B76" i="49"/>
  <c r="G68" i="49"/>
  <c r="D60" i="49"/>
  <c r="AB52" i="49"/>
  <c r="AQ36" i="49"/>
  <c r="AA28" i="49"/>
  <c r="AJ28" i="49" s="1"/>
  <c r="C12" i="49"/>
  <c r="C4" i="49"/>
  <c r="X139" i="49"/>
  <c r="AI139" i="49"/>
  <c r="AH139" i="49"/>
  <c r="AI131" i="49"/>
  <c r="AH131" i="49"/>
  <c r="AE123" i="49"/>
  <c r="AJ123" i="49"/>
  <c r="AL123" i="49"/>
  <c r="AI123" i="49"/>
  <c r="AH123" i="49"/>
  <c r="AF123" i="49"/>
  <c r="AB115" i="49"/>
  <c r="AE115" i="49"/>
  <c r="AJ115" i="49"/>
  <c r="AF115" i="49"/>
  <c r="AI115" i="49"/>
  <c r="AL115" i="49"/>
  <c r="AH115" i="49"/>
  <c r="E107" i="49"/>
  <c r="G59" i="49"/>
  <c r="C27" i="49"/>
  <c r="W11" i="49"/>
  <c r="AC138" i="49"/>
  <c r="AK138" i="49" s="1"/>
  <c r="AF138" i="49"/>
  <c r="AE138" i="49"/>
  <c r="E130" i="49"/>
  <c r="AF130" i="49"/>
  <c r="AE130" i="49"/>
  <c r="AH122" i="49"/>
  <c r="AF122" i="49"/>
  <c r="AE122" i="49"/>
  <c r="AJ122" i="49"/>
  <c r="AL122" i="49"/>
  <c r="AI122" i="49"/>
  <c r="B114" i="49"/>
  <c r="AH114" i="49"/>
  <c r="AL114" i="49"/>
  <c r="AF114" i="49"/>
  <c r="AJ114" i="49"/>
  <c r="AI114" i="49"/>
  <c r="AE114" i="49"/>
  <c r="F106" i="49"/>
  <c r="G98" i="49"/>
  <c r="F90" i="49"/>
  <c r="W58" i="49"/>
  <c r="X50" i="49"/>
  <c r="G42" i="49"/>
  <c r="D34" i="49"/>
  <c r="G26" i="49"/>
  <c r="D10" i="49"/>
  <c r="AI137" i="49"/>
  <c r="AH137" i="49"/>
  <c r="B129" i="49"/>
  <c r="AJ129" i="49"/>
  <c r="AE129" i="49"/>
  <c r="AH129" i="49"/>
  <c r="AF129" i="49"/>
  <c r="AL129" i="49"/>
  <c r="AI129" i="49"/>
  <c r="AJ121" i="49"/>
  <c r="AE121" i="49"/>
  <c r="AH121" i="49"/>
  <c r="AL121" i="49"/>
  <c r="AI121" i="49"/>
  <c r="AF121" i="49"/>
  <c r="G113" i="49"/>
  <c r="AJ113" i="49"/>
  <c r="AE113" i="49"/>
  <c r="AH113" i="49"/>
  <c r="AF113" i="49"/>
  <c r="AI113" i="49"/>
  <c r="AL113" i="49"/>
  <c r="W105" i="49"/>
  <c r="E97" i="49"/>
  <c r="G89" i="49"/>
  <c r="D81" i="49"/>
  <c r="AC73" i="49"/>
  <c r="AK73" i="49" s="1"/>
  <c r="C65" i="49"/>
  <c r="D57" i="49"/>
  <c r="G41" i="49"/>
  <c r="AC17" i="49"/>
  <c r="AK17" i="49" s="1"/>
  <c r="B9" i="49"/>
  <c r="AI3" i="49"/>
  <c r="AH3" i="49"/>
  <c r="AL3" i="49"/>
  <c r="AF3" i="49"/>
  <c r="AE3" i="49"/>
  <c r="AJ3" i="49"/>
  <c r="W136" i="49"/>
  <c r="AF136" i="49"/>
  <c r="AE136" i="49"/>
  <c r="B128" i="49"/>
  <c r="AH128" i="49"/>
  <c r="AI128" i="49"/>
  <c r="AL128" i="49"/>
  <c r="AJ128" i="49"/>
  <c r="AF128" i="49"/>
  <c r="AE128" i="49"/>
  <c r="C120" i="49"/>
  <c r="AH120" i="49"/>
  <c r="AI120" i="49"/>
  <c r="AF120" i="49"/>
  <c r="AE120" i="49"/>
  <c r="AL120" i="49"/>
  <c r="AJ120" i="49"/>
  <c r="E112" i="49"/>
  <c r="F96" i="49"/>
  <c r="G56" i="49"/>
  <c r="D40" i="49"/>
  <c r="Y16" i="49"/>
  <c r="B8" i="49"/>
  <c r="AE2" i="49"/>
  <c r="AL2" i="49"/>
  <c r="AF2" i="49"/>
  <c r="AJ2" i="49"/>
  <c r="AI2" i="49"/>
  <c r="AH2" i="49"/>
  <c r="AI135" i="49"/>
  <c r="AH135" i="49"/>
  <c r="AQ127" i="49"/>
  <c r="AE127" i="49"/>
  <c r="AJ127" i="49"/>
  <c r="AI127" i="49"/>
  <c r="AH127" i="49"/>
  <c r="AF127" i="49"/>
  <c r="AL127" i="49"/>
  <c r="D119" i="49"/>
  <c r="AE119" i="49"/>
  <c r="AJ119" i="49"/>
  <c r="AF119" i="49"/>
  <c r="AI119" i="49"/>
  <c r="AH119" i="49"/>
  <c r="AL119" i="49"/>
  <c r="AA111" i="49"/>
  <c r="AJ111" i="49" s="1"/>
  <c r="G103" i="49"/>
  <c r="E95" i="49"/>
  <c r="B87" i="49"/>
  <c r="F71" i="49"/>
  <c r="F63" i="49"/>
  <c r="C23" i="49"/>
  <c r="C15" i="49"/>
  <c r="F134" i="49"/>
  <c r="AF134" i="49"/>
  <c r="AE134" i="49"/>
  <c r="W126" i="49"/>
  <c r="AH126" i="49"/>
  <c r="AF126" i="49"/>
  <c r="AJ126" i="49"/>
  <c r="AI126" i="49"/>
  <c r="AE126" i="49"/>
  <c r="AL126" i="49"/>
  <c r="C86" i="49"/>
  <c r="AC62" i="49"/>
  <c r="AK62" i="49" s="1"/>
  <c r="D54" i="49"/>
  <c r="AA93" i="47"/>
  <c r="AJ93" i="47" s="1"/>
  <c r="AQ133" i="49"/>
  <c r="F20" i="47"/>
  <c r="F109" i="49"/>
  <c r="AQ62" i="24"/>
  <c r="X65" i="47"/>
  <c r="AQ41" i="24"/>
  <c r="G38" i="47"/>
  <c r="AQ128" i="49"/>
  <c r="AB47" i="47"/>
  <c r="F112" i="49"/>
  <c r="D135" i="47"/>
  <c r="AQ87" i="47"/>
  <c r="C36" i="47"/>
  <c r="AA68" i="49"/>
  <c r="AJ68" i="49" s="1"/>
  <c r="AQ109" i="47"/>
  <c r="AQ84" i="24"/>
  <c r="AA53" i="47"/>
  <c r="AJ53" i="47" s="1"/>
  <c r="AQ136" i="49"/>
  <c r="C68" i="49"/>
  <c r="AA9" i="49"/>
  <c r="AJ9" i="49" s="1"/>
  <c r="AC117" i="47"/>
  <c r="AQ98" i="49"/>
  <c r="AR136" i="49"/>
  <c r="W45" i="24"/>
  <c r="AQ131" i="47"/>
  <c r="AA117" i="47"/>
  <c r="F51" i="47"/>
  <c r="AA23" i="47"/>
  <c r="AJ23" i="47" s="1"/>
  <c r="AB136" i="49"/>
  <c r="AL136" i="49" s="1"/>
  <c r="AA133" i="49"/>
  <c r="AJ133" i="49" s="1"/>
  <c r="AC113" i="49"/>
  <c r="AR117" i="47"/>
  <c r="B131" i="47"/>
  <c r="C117" i="47"/>
  <c r="F69" i="47"/>
  <c r="AA136" i="49"/>
  <c r="AJ136" i="49" s="1"/>
  <c r="F133" i="49"/>
  <c r="AB37" i="49"/>
  <c r="F136" i="49"/>
  <c r="AR112" i="49"/>
  <c r="W37" i="49"/>
  <c r="AC101" i="24"/>
  <c r="AK101" i="24" s="1"/>
  <c r="AQ117" i="47"/>
  <c r="B92" i="47"/>
  <c r="F81" i="47"/>
  <c r="AB68" i="47"/>
  <c r="W21" i="47"/>
  <c r="E136" i="49"/>
  <c r="AB68" i="49"/>
  <c r="W23" i="49"/>
  <c r="B135" i="47"/>
  <c r="C131" i="47"/>
  <c r="F117" i="47"/>
  <c r="G91" i="47"/>
  <c r="AR81" i="47"/>
  <c r="C69" i="47"/>
  <c r="F47" i="47"/>
  <c r="B20" i="47"/>
  <c r="D133" i="49"/>
  <c r="AM128" i="49"/>
  <c r="AA113" i="49"/>
  <c r="AR107" i="49"/>
  <c r="AC7" i="47"/>
  <c r="AK7" i="47" s="1"/>
  <c r="B133" i="49"/>
  <c r="AA109" i="49"/>
  <c r="AJ109" i="49" s="1"/>
  <c r="AB68" i="24"/>
  <c r="F127" i="47"/>
  <c r="AR49" i="47"/>
  <c r="D12" i="47"/>
  <c r="Y7" i="47"/>
  <c r="Y134" i="49"/>
  <c r="Y128" i="49"/>
  <c r="AC102" i="24"/>
  <c r="AK102" i="24" s="1"/>
  <c r="W68" i="24"/>
  <c r="E127" i="47"/>
  <c r="AC106" i="47"/>
  <c r="AK106" i="47" s="1"/>
  <c r="AQ85" i="47"/>
  <c r="AA49" i="47"/>
  <c r="AJ49" i="47" s="1"/>
  <c r="B45" i="47"/>
  <c r="AC18" i="47"/>
  <c r="AK18" i="47" s="1"/>
  <c r="B7" i="47"/>
  <c r="F128" i="49"/>
  <c r="Y112" i="49"/>
  <c r="AR37" i="49"/>
  <c r="AR35" i="49"/>
  <c r="AC60" i="49"/>
  <c r="AK60" i="49" s="1"/>
  <c r="C56" i="49"/>
  <c r="D23" i="49"/>
  <c r="G9" i="49"/>
  <c r="AR122" i="24"/>
  <c r="AR135" i="47"/>
  <c r="D130" i="47"/>
  <c r="AR44" i="47"/>
  <c r="D21" i="47"/>
  <c r="Y136" i="49"/>
  <c r="AA127" i="49"/>
  <c r="AR114" i="49"/>
  <c r="AC108" i="49"/>
  <c r="AK108" i="49" s="1"/>
  <c r="AQ65" i="49"/>
  <c r="F42" i="49"/>
  <c r="B18" i="49"/>
  <c r="AG131" i="47"/>
  <c r="C130" i="47"/>
  <c r="E97" i="47"/>
  <c r="AC91" i="47"/>
  <c r="AK91" i="47" s="1"/>
  <c r="AC47" i="47"/>
  <c r="AK47" i="47" s="1"/>
  <c r="E127" i="49"/>
  <c r="Y108" i="49"/>
  <c r="AQ131" i="24"/>
  <c r="X82" i="24"/>
  <c r="AC63" i="24"/>
  <c r="AK63" i="24" s="1"/>
  <c r="AB135" i="47"/>
  <c r="AL135" i="47" s="1"/>
  <c r="X131" i="47"/>
  <c r="AC127" i="47"/>
  <c r="F120" i="47"/>
  <c r="W117" i="47"/>
  <c r="E115" i="47"/>
  <c r="C112" i="47"/>
  <c r="Y109" i="47"/>
  <c r="AQ91" i="47"/>
  <c r="Y91" i="47"/>
  <c r="B81" i="47"/>
  <c r="X69" i="47"/>
  <c r="D68" i="47"/>
  <c r="G58" i="47"/>
  <c r="X45" i="47"/>
  <c r="X31" i="47"/>
  <c r="AB20" i="47"/>
  <c r="E18" i="47"/>
  <c r="AR13" i="47"/>
  <c r="F12" i="47"/>
  <c r="G136" i="49"/>
  <c r="AS128" i="49"/>
  <c r="B113" i="49"/>
  <c r="C112" i="49"/>
  <c r="AQ108" i="49"/>
  <c r="X98" i="49"/>
  <c r="AQ93" i="49"/>
  <c r="AQ87" i="49"/>
  <c r="E76" i="49"/>
  <c r="E68" i="49"/>
  <c r="AA45" i="49"/>
  <c r="AJ45" i="49" s="1"/>
  <c r="AQ42" i="49"/>
  <c r="E37" i="49"/>
  <c r="F9" i="49"/>
  <c r="AB13" i="47"/>
  <c r="C71" i="49"/>
  <c r="D68" i="49"/>
  <c r="AR63" i="49"/>
  <c r="G45" i="49"/>
  <c r="C37" i="49"/>
  <c r="AB35" i="49"/>
  <c r="F20" i="49"/>
  <c r="G13" i="49"/>
  <c r="AQ10" i="49"/>
  <c r="W6" i="49"/>
  <c r="AB84" i="24"/>
  <c r="Y106" i="47"/>
  <c r="AC81" i="47"/>
  <c r="AK81" i="47" s="1"/>
  <c r="W13" i="47"/>
  <c r="AC86" i="49"/>
  <c r="AK86" i="49" s="1"/>
  <c r="C45" i="49"/>
  <c r="AC16" i="49"/>
  <c r="AK16" i="49" s="1"/>
  <c r="AR8" i="49"/>
  <c r="E6" i="49"/>
  <c r="W142" i="47"/>
  <c r="B117" i="47"/>
  <c r="AQ113" i="47"/>
  <c r="F106" i="47"/>
  <c r="F91" i="47"/>
  <c r="AB81" i="47"/>
  <c r="B69" i="47"/>
  <c r="AQ61" i="47"/>
  <c r="F13" i="47"/>
  <c r="X141" i="49"/>
  <c r="AC136" i="49"/>
  <c r="AK136" i="49" s="1"/>
  <c r="C136" i="49"/>
  <c r="AB120" i="49"/>
  <c r="AA117" i="49"/>
  <c r="AQ112" i="49"/>
  <c r="AA86" i="49"/>
  <c r="AJ86" i="49" s="1"/>
  <c r="AQ37" i="49"/>
  <c r="AA37" i="49"/>
  <c r="AJ37" i="49" s="1"/>
  <c r="G35" i="49"/>
  <c r="W62" i="24"/>
  <c r="G142" i="47"/>
  <c r="AQ129" i="47"/>
  <c r="AA121" i="47"/>
  <c r="W113" i="47"/>
  <c r="C106" i="47"/>
  <c r="AB100" i="47"/>
  <c r="AL100" i="47" s="1"/>
  <c r="C91" i="47"/>
  <c r="AQ84" i="47"/>
  <c r="AA81" i="47"/>
  <c r="AJ81" i="47" s="1"/>
  <c r="X61" i="47"/>
  <c r="C47" i="47"/>
  <c r="AR15" i="47"/>
  <c r="E13" i="47"/>
  <c r="AQ130" i="49"/>
  <c r="AC128" i="49"/>
  <c r="W120" i="49"/>
  <c r="Y117" i="49"/>
  <c r="B86" i="49"/>
  <c r="E73" i="49"/>
  <c r="AA41" i="49"/>
  <c r="AJ41" i="49" s="1"/>
  <c r="Y37" i="49"/>
  <c r="F35" i="49"/>
  <c r="AR133" i="47"/>
  <c r="F84" i="47"/>
  <c r="W81" i="47"/>
  <c r="AR68" i="47"/>
  <c r="AA32" i="47"/>
  <c r="AJ32" i="47" s="1"/>
  <c r="AB15" i="47"/>
  <c r="D13" i="47"/>
  <c r="C140" i="49"/>
  <c r="F120" i="49"/>
  <c r="G117" i="49"/>
  <c r="E80" i="49"/>
  <c r="D41" i="49"/>
  <c r="AG129" i="24"/>
  <c r="X129" i="24"/>
  <c r="AR103" i="24"/>
  <c r="AR82" i="24"/>
  <c r="X133" i="47"/>
  <c r="Y131" i="47"/>
  <c r="B125" i="47"/>
  <c r="AC120" i="47"/>
  <c r="Y117" i="47"/>
  <c r="E90" i="47"/>
  <c r="G87" i="47"/>
  <c r="C81" i="47"/>
  <c r="Y69" i="47"/>
  <c r="W68" i="47"/>
  <c r="E53" i="47"/>
  <c r="AR31" i="47"/>
  <c r="Y18" i="47"/>
  <c r="AQ12" i="47"/>
  <c r="F139" i="49"/>
  <c r="Y113" i="49"/>
  <c r="D112" i="49"/>
  <c r="F76" i="49"/>
  <c r="AQ68" i="49"/>
  <c r="Y68" i="49"/>
  <c r="AQ45" i="49"/>
  <c r="F37" i="49"/>
  <c r="G27" i="49"/>
  <c r="AQ13" i="49"/>
  <c r="AQ104" i="24"/>
  <c r="X104" i="24"/>
  <c r="AC60" i="24"/>
  <c r="AK60" i="24" s="1"/>
  <c r="AC57" i="24"/>
  <c r="AK57" i="24" s="1"/>
  <c r="E138" i="47"/>
  <c r="W120" i="47"/>
  <c r="E107" i="47"/>
  <c r="E106" i="47"/>
  <c r="AB82" i="47"/>
  <c r="D78" i="47"/>
  <c r="B65" i="47"/>
  <c r="C65" i="47"/>
  <c r="AR59" i="47"/>
  <c r="E36" i="47"/>
  <c r="AB36" i="47"/>
  <c r="AC36" i="47"/>
  <c r="AK36" i="47" s="1"/>
  <c r="AR36" i="47"/>
  <c r="D36" i="47"/>
  <c r="E28" i="47"/>
  <c r="C28" i="47"/>
  <c r="W28" i="47"/>
  <c r="AR28" i="47"/>
  <c r="C8" i="47"/>
  <c r="F8" i="47"/>
  <c r="W8" i="47"/>
  <c r="X8" i="47"/>
  <c r="AB8" i="47"/>
  <c r="B4" i="47"/>
  <c r="D4" i="47"/>
  <c r="F49" i="49"/>
  <c r="C31" i="49"/>
  <c r="AA104" i="24"/>
  <c r="AJ104" i="24" s="1"/>
  <c r="W104" i="24"/>
  <c r="W84" i="24"/>
  <c r="AA57" i="24"/>
  <c r="AJ57" i="24" s="1"/>
  <c r="Y139" i="47"/>
  <c r="B138" i="47"/>
  <c r="E112" i="47"/>
  <c r="D107" i="47"/>
  <c r="D106" i="47"/>
  <c r="AC97" i="47"/>
  <c r="AK97" i="47" s="1"/>
  <c r="B91" i="47"/>
  <c r="E91" i="47"/>
  <c r="B78" i="47"/>
  <c r="D45" i="47"/>
  <c r="AC45" i="47"/>
  <c r="AK45" i="47" s="1"/>
  <c r="G107" i="49"/>
  <c r="W107" i="49"/>
  <c r="X107" i="49"/>
  <c r="AB107" i="49"/>
  <c r="AL107" i="49" s="1"/>
  <c r="AC107" i="49"/>
  <c r="AK107" i="49" s="1"/>
  <c r="C107" i="49"/>
  <c r="D107" i="49"/>
  <c r="AQ107" i="49"/>
  <c r="AQ79" i="49"/>
  <c r="B29" i="49"/>
  <c r="D66" i="49"/>
  <c r="AR66" i="49"/>
  <c r="Y66" i="49"/>
  <c r="AG129" i="47"/>
  <c r="X88" i="47"/>
  <c r="B19" i="47"/>
  <c r="X19" i="47"/>
  <c r="AC19" i="47"/>
  <c r="AK19" i="47" s="1"/>
  <c r="E19" i="47"/>
  <c r="G11" i="47"/>
  <c r="X11" i="47"/>
  <c r="AQ11" i="47"/>
  <c r="C11" i="47"/>
  <c r="AQ138" i="49"/>
  <c r="D138" i="49"/>
  <c r="Y138" i="49"/>
  <c r="C102" i="49"/>
  <c r="X102" i="49"/>
  <c r="AA102" i="49"/>
  <c r="AJ102" i="49" s="1"/>
  <c r="F59" i="47"/>
  <c r="AB59" i="47"/>
  <c r="AG131" i="24"/>
  <c r="X91" i="24"/>
  <c r="AB75" i="24"/>
  <c r="Y59" i="24"/>
  <c r="W141" i="47"/>
  <c r="AA135" i="47"/>
  <c r="AJ135" i="47" s="1"/>
  <c r="W131" i="47"/>
  <c r="AB129" i="47"/>
  <c r="AL129" i="47" s="1"/>
  <c r="AR120" i="47"/>
  <c r="X117" i="47"/>
  <c r="B113" i="47"/>
  <c r="AQ106" i="47"/>
  <c r="AB106" i="47"/>
  <c r="AL106" i="47" s="1"/>
  <c r="AC101" i="47"/>
  <c r="AK101" i="47" s="1"/>
  <c r="B93" i="47"/>
  <c r="X91" i="47"/>
  <c r="B84" i="47"/>
  <c r="W71" i="47"/>
  <c r="AR71" i="47"/>
  <c r="AQ65" i="47"/>
  <c r="X49" i="47"/>
  <c r="E38" i="47"/>
  <c r="Y38" i="47"/>
  <c r="AC38" i="47"/>
  <c r="AK38" i="47" s="1"/>
  <c r="F38" i="47"/>
  <c r="AB33" i="47"/>
  <c r="AB137" i="49"/>
  <c r="AL137" i="49" s="1"/>
  <c r="C137" i="49"/>
  <c r="Y137" i="49"/>
  <c r="AR137" i="49"/>
  <c r="G131" i="49"/>
  <c r="D131" i="49"/>
  <c r="AC131" i="49"/>
  <c r="AM131" i="49" s="1"/>
  <c r="AQ75" i="49"/>
  <c r="B82" i="47"/>
  <c r="AC82" i="47"/>
  <c r="AK82" i="47" s="1"/>
  <c r="E73" i="47"/>
  <c r="C73" i="47"/>
  <c r="AB27" i="47"/>
  <c r="X27" i="47"/>
  <c r="X131" i="24"/>
  <c r="F59" i="24"/>
  <c r="AQ142" i="47"/>
  <c r="G135" i="47"/>
  <c r="AC133" i="47"/>
  <c r="AK133" i="47" s="1"/>
  <c r="F131" i="47"/>
  <c r="Y115" i="47"/>
  <c r="AB109" i="47"/>
  <c r="AL109" i="47" s="1"/>
  <c r="AA106" i="47"/>
  <c r="AJ106" i="47" s="1"/>
  <c r="W96" i="47"/>
  <c r="Y96" i="47"/>
  <c r="W89" i="47"/>
  <c r="W87" i="47"/>
  <c r="Y87" i="47"/>
  <c r="AB75" i="47"/>
  <c r="AC65" i="47"/>
  <c r="AK65" i="47" s="1"/>
  <c r="Y57" i="47"/>
  <c r="G33" i="47"/>
  <c r="AC15" i="47"/>
  <c r="AK15" i="47" s="1"/>
  <c r="C15" i="47"/>
  <c r="D15" i="47"/>
  <c r="G15" i="47"/>
  <c r="D10" i="47"/>
  <c r="B10" i="47"/>
  <c r="G10" i="47"/>
  <c r="X10" i="47"/>
  <c r="Y10" i="47"/>
  <c r="X28" i="49"/>
  <c r="B28" i="49"/>
  <c r="D28" i="49"/>
  <c r="W28" i="49"/>
  <c r="AQ28" i="49"/>
  <c r="AB28" i="49"/>
  <c r="B22" i="49"/>
  <c r="Y22" i="49"/>
  <c r="Y7" i="49"/>
  <c r="AB107" i="47"/>
  <c r="AL107" i="47" s="1"/>
  <c r="G101" i="47"/>
  <c r="AB88" i="47"/>
  <c r="G88" i="47"/>
  <c r="G49" i="47"/>
  <c r="B49" i="47"/>
  <c r="D49" i="47"/>
  <c r="F49" i="47"/>
  <c r="AQ49" i="47"/>
  <c r="F29" i="47"/>
  <c r="AB14" i="47"/>
  <c r="W14" i="47"/>
  <c r="F100" i="49"/>
  <c r="B100" i="49"/>
  <c r="F75" i="49"/>
  <c r="B75" i="49"/>
  <c r="C75" i="49"/>
  <c r="G75" i="49"/>
  <c r="AA75" i="49"/>
  <c r="AJ75" i="49" s="1"/>
  <c r="AB39" i="49"/>
  <c r="D39" i="49"/>
  <c r="AA39" i="49"/>
  <c r="AJ39" i="49" s="1"/>
  <c r="W138" i="47"/>
  <c r="X107" i="47"/>
  <c r="G86" i="47"/>
  <c r="F86" i="47"/>
  <c r="AR82" i="47"/>
  <c r="AB78" i="47"/>
  <c r="F57" i="47"/>
  <c r="AC57" i="47"/>
  <c r="AK57" i="47" s="1"/>
  <c r="C57" i="47"/>
  <c r="C33" i="47"/>
  <c r="Y33" i="47"/>
  <c r="E24" i="47"/>
  <c r="AB24" i="47"/>
  <c r="D24" i="47"/>
  <c r="C9" i="47"/>
  <c r="AQ9" i="47"/>
  <c r="X104" i="49"/>
  <c r="C104" i="49"/>
  <c r="W70" i="49"/>
  <c r="Y81" i="47"/>
  <c r="AQ7" i="47"/>
  <c r="G141" i="49"/>
  <c r="AB133" i="49"/>
  <c r="AL133" i="49" s="1"/>
  <c r="AR128" i="49"/>
  <c r="C128" i="49"/>
  <c r="AC117" i="49"/>
  <c r="Y116" i="49"/>
  <c r="AB113" i="49"/>
  <c r="AQ109" i="49"/>
  <c r="X68" i="49"/>
  <c r="D63" i="49"/>
  <c r="B60" i="49"/>
  <c r="B56" i="49"/>
  <c r="E42" i="49"/>
  <c r="AA27" i="49"/>
  <c r="AJ27" i="49" s="1"/>
  <c r="F26" i="49"/>
  <c r="B16" i="49"/>
  <c r="C9" i="49"/>
  <c r="G6" i="49"/>
  <c r="AB12" i="49"/>
  <c r="F6" i="49"/>
  <c r="X128" i="49"/>
  <c r="Y12" i="49"/>
  <c r="W50" i="47"/>
  <c r="W128" i="49"/>
  <c r="AR117" i="49"/>
  <c r="C117" i="49"/>
  <c r="E109" i="49"/>
  <c r="W108" i="49"/>
  <c r="AC103" i="49"/>
  <c r="AK103" i="49" s="1"/>
  <c r="D98" i="49"/>
  <c r="F61" i="49"/>
  <c r="AQ57" i="49"/>
  <c r="AA56" i="49"/>
  <c r="AJ56" i="49" s="1"/>
  <c r="E50" i="49"/>
  <c r="AA35" i="49"/>
  <c r="AJ35" i="49" s="1"/>
  <c r="AR23" i="49"/>
  <c r="B23" i="49"/>
  <c r="AQ12" i="49"/>
  <c r="D12" i="49"/>
  <c r="AA8" i="49"/>
  <c r="AJ8" i="49" s="1"/>
  <c r="G4" i="49"/>
  <c r="C50" i="47"/>
  <c r="X44" i="47"/>
  <c r="C34" i="47"/>
  <c r="AG128" i="49"/>
  <c r="V128" i="49"/>
  <c r="AQ117" i="49"/>
  <c r="B117" i="49"/>
  <c r="C109" i="49"/>
  <c r="D108" i="49"/>
  <c r="AQ105" i="49"/>
  <c r="C98" i="49"/>
  <c r="C94" i="49"/>
  <c r="Y56" i="49"/>
  <c r="AB42" i="49"/>
  <c r="X21" i="49"/>
  <c r="W14" i="49"/>
  <c r="Y10" i="49"/>
  <c r="Y9" i="49"/>
  <c r="AC6" i="49"/>
  <c r="AK6" i="49" s="1"/>
  <c r="AC5" i="49"/>
  <c r="AK5" i="49" s="1"/>
  <c r="B4" i="49"/>
  <c r="G128" i="49"/>
  <c r="AQ56" i="49"/>
  <c r="W56" i="49"/>
  <c r="Y42" i="49"/>
  <c r="W121" i="24"/>
  <c r="AR104" i="24"/>
  <c r="AQ68" i="24"/>
  <c r="AQ45" i="24"/>
  <c r="B124" i="47"/>
  <c r="C121" i="47"/>
  <c r="AB121" i="47"/>
  <c r="D121" i="47"/>
  <c r="C103" i="47"/>
  <c r="W72" i="24"/>
  <c r="AQ134" i="47"/>
  <c r="C125" i="47"/>
  <c r="G125" i="47"/>
  <c r="AR125" i="47"/>
  <c r="Y125" i="47"/>
  <c r="D125" i="47"/>
  <c r="AC125" i="47"/>
  <c r="G105" i="47"/>
  <c r="AA105" i="47"/>
  <c r="AJ105" i="47" s="1"/>
  <c r="B97" i="47"/>
  <c r="G97" i="47"/>
  <c r="X97" i="47"/>
  <c r="Y97" i="47"/>
  <c r="AA97" i="47"/>
  <c r="AJ97" i="47" s="1"/>
  <c r="F97" i="47"/>
  <c r="C96" i="47"/>
  <c r="AA96" i="47"/>
  <c r="AJ96" i="47" s="1"/>
  <c r="E96" i="47"/>
  <c r="AC96" i="47"/>
  <c r="AK96" i="47" s="1"/>
  <c r="F96" i="47"/>
  <c r="AQ96" i="47"/>
  <c r="B96" i="47"/>
  <c r="D86" i="47"/>
  <c r="W86" i="47"/>
  <c r="Y86" i="47"/>
  <c r="AB86" i="47"/>
  <c r="AR86" i="47"/>
  <c r="E86" i="47"/>
  <c r="G83" i="47"/>
  <c r="Y83" i="47"/>
  <c r="AC83" i="47"/>
  <c r="AK83" i="47" s="1"/>
  <c r="D83" i="47"/>
  <c r="C51" i="49"/>
  <c r="AQ51" i="49"/>
  <c r="AA51" i="49"/>
  <c r="AJ51" i="49" s="1"/>
  <c r="W51" i="49"/>
  <c r="Y51" i="49"/>
  <c r="AR51" i="49"/>
  <c r="G51" i="49"/>
  <c r="B139" i="47"/>
  <c r="W139" i="47"/>
  <c r="D138" i="47"/>
  <c r="F138" i="47"/>
  <c r="AC138" i="47"/>
  <c r="AK138" i="47" s="1"/>
  <c r="X138" i="47"/>
  <c r="AR138" i="47"/>
  <c r="C138" i="47"/>
  <c r="AA138" i="47"/>
  <c r="AJ138" i="47" s="1"/>
  <c r="AQ97" i="47"/>
  <c r="AR96" i="47"/>
  <c r="W64" i="47"/>
  <c r="X64" i="47"/>
  <c r="AR64" i="47"/>
  <c r="C64" i="47"/>
  <c r="W43" i="47"/>
  <c r="AB43" i="47"/>
  <c r="AR43" i="47"/>
  <c r="D43" i="47"/>
  <c r="B135" i="49"/>
  <c r="AB135" i="49"/>
  <c r="AL135" i="49" s="1"/>
  <c r="AR135" i="49"/>
  <c r="Y135" i="49"/>
  <c r="F45" i="24"/>
  <c r="AA31" i="24"/>
  <c r="AJ31" i="24" s="1"/>
  <c r="F3" i="47"/>
  <c r="AB138" i="47"/>
  <c r="AL138" i="47" s="1"/>
  <c r="C127" i="47"/>
  <c r="AQ127" i="47"/>
  <c r="AA127" i="47"/>
  <c r="AB125" i="47"/>
  <c r="B123" i="47"/>
  <c r="X123" i="47"/>
  <c r="G104" i="47"/>
  <c r="E104" i="47"/>
  <c r="AC104" i="47"/>
  <c r="AK104" i="47" s="1"/>
  <c r="C104" i="47"/>
  <c r="C100" i="47"/>
  <c r="AQ100" i="47"/>
  <c r="G100" i="47"/>
  <c r="AA100" i="47"/>
  <c r="AJ100" i="47" s="1"/>
  <c r="B100" i="47"/>
  <c r="AC66" i="47"/>
  <c r="AK66" i="47" s="1"/>
  <c r="E66" i="47"/>
  <c r="F66" i="47"/>
  <c r="AA66" i="47"/>
  <c r="AJ66" i="47" s="1"/>
  <c r="B53" i="47"/>
  <c r="W53" i="47"/>
  <c r="X53" i="47"/>
  <c r="Y53" i="47"/>
  <c r="C53" i="47"/>
  <c r="AB53" i="47"/>
  <c r="D53" i="47"/>
  <c r="AC53" i="47"/>
  <c r="AK53" i="47" s="1"/>
  <c r="G53" i="47"/>
  <c r="AR117" i="24"/>
  <c r="AA79" i="24"/>
  <c r="AJ79" i="24" s="1"/>
  <c r="AB62" i="24"/>
  <c r="C3" i="47"/>
  <c r="AQ138" i="47"/>
  <c r="AB134" i="47"/>
  <c r="AL134" i="47" s="1"/>
  <c r="AB124" i="47"/>
  <c r="B63" i="47"/>
  <c r="E63" i="47"/>
  <c r="F63" i="47"/>
  <c r="X63" i="47"/>
  <c r="AB63" i="47"/>
  <c r="AR63" i="47"/>
  <c r="D63" i="47"/>
  <c r="AQ117" i="24"/>
  <c r="AR85" i="24"/>
  <c r="AR62" i="24"/>
  <c r="X20" i="24"/>
  <c r="AC141" i="47"/>
  <c r="Y138" i="47"/>
  <c r="AQ125" i="47"/>
  <c r="W125" i="47"/>
  <c r="AA99" i="47"/>
  <c r="AJ99" i="47" s="1"/>
  <c r="E62" i="47"/>
  <c r="C62" i="47"/>
  <c r="Y62" i="47"/>
  <c r="E41" i="47"/>
  <c r="D41" i="47"/>
  <c r="F41" i="47"/>
  <c r="W41" i="47"/>
  <c r="AQ41" i="47"/>
  <c r="B41" i="47"/>
  <c r="E124" i="47"/>
  <c r="AC124" i="47"/>
  <c r="C124" i="47"/>
  <c r="AQ124" i="47"/>
  <c r="Y124" i="47"/>
  <c r="AA103" i="47"/>
  <c r="AJ103" i="47" s="1"/>
  <c r="AB103" i="47"/>
  <c r="AL103" i="47" s="1"/>
  <c r="AC103" i="47"/>
  <c r="AK103" i="47" s="1"/>
  <c r="B103" i="47"/>
  <c r="X103" i="47"/>
  <c r="AC117" i="24"/>
  <c r="B134" i="47"/>
  <c r="AA134" i="47"/>
  <c r="AJ134" i="47" s="1"/>
  <c r="G134" i="47"/>
  <c r="G124" i="47"/>
  <c r="D103" i="47"/>
  <c r="D37" i="47"/>
  <c r="AC37" i="47"/>
  <c r="AK37" i="47" s="1"/>
  <c r="AR37" i="47"/>
  <c r="G37" i="47"/>
  <c r="X130" i="47"/>
  <c r="AB120" i="47"/>
  <c r="AB117" i="47"/>
  <c r="E117" i="47"/>
  <c r="X113" i="47"/>
  <c r="AC112" i="47"/>
  <c r="AK112" i="47" s="1"/>
  <c r="AC109" i="47"/>
  <c r="AK109" i="47" s="1"/>
  <c r="F107" i="47"/>
  <c r="X87" i="47"/>
  <c r="W84" i="47"/>
  <c r="AQ81" i="47"/>
  <c r="D81" i="47"/>
  <c r="AA78" i="47"/>
  <c r="AJ78" i="47" s="1"/>
  <c r="F73" i="47"/>
  <c r="AQ69" i="47"/>
  <c r="AC68" i="47"/>
  <c r="AK68" i="47" s="1"/>
  <c r="AA65" i="47"/>
  <c r="AJ65" i="47" s="1"/>
  <c r="D59" i="47"/>
  <c r="AB57" i="47"/>
  <c r="X51" i="47"/>
  <c r="AQ47" i="47"/>
  <c r="AR45" i="47"/>
  <c r="C45" i="47"/>
  <c r="AA38" i="47"/>
  <c r="AJ38" i="47" s="1"/>
  <c r="G36" i="47"/>
  <c r="W29" i="47"/>
  <c r="AA24" i="47"/>
  <c r="AJ24" i="47" s="1"/>
  <c r="X20" i="47"/>
  <c r="W19" i="47"/>
  <c r="Y15" i="47"/>
  <c r="Y14" i="47"/>
  <c r="Y13" i="47"/>
  <c r="Y12" i="47"/>
  <c r="W11" i="47"/>
  <c r="AA10" i="47"/>
  <c r="AJ10" i="47" s="1"/>
  <c r="C10" i="47"/>
  <c r="Y8" i="47"/>
  <c r="AR7" i="47"/>
  <c r="C7" i="47"/>
  <c r="AQ141" i="49"/>
  <c r="W141" i="49"/>
  <c r="D92" i="49"/>
  <c r="B92" i="49"/>
  <c r="AR92" i="49"/>
  <c r="X92" i="49"/>
  <c r="E52" i="49"/>
  <c r="AQ52" i="49"/>
  <c r="C52" i="49"/>
  <c r="AA52" i="49"/>
  <c r="AJ52" i="49" s="1"/>
  <c r="D52" i="49"/>
  <c r="F52" i="49"/>
  <c r="G52" i="49"/>
  <c r="W52" i="49"/>
  <c r="Y52" i="49"/>
  <c r="B52" i="49"/>
  <c r="AC52" i="49"/>
  <c r="AK52" i="49" s="1"/>
  <c r="AR52" i="49"/>
  <c r="X40" i="47"/>
  <c r="E29" i="47"/>
  <c r="D14" i="47"/>
  <c r="G140" i="49"/>
  <c r="AA140" i="49"/>
  <c r="AJ140" i="49" s="1"/>
  <c r="AB140" i="49"/>
  <c r="AL140" i="49" s="1"/>
  <c r="D140" i="49"/>
  <c r="D139" i="49"/>
  <c r="AG139" i="49"/>
  <c r="E139" i="49"/>
  <c r="Y55" i="49"/>
  <c r="F55" i="49"/>
  <c r="D55" i="49"/>
  <c r="G55" i="49"/>
  <c r="W55" i="49"/>
  <c r="AQ55" i="49"/>
  <c r="AA55" i="49"/>
  <c r="AJ55" i="49" s="1"/>
  <c r="AR55" i="49"/>
  <c r="AB55" i="49"/>
  <c r="C55" i="49"/>
  <c r="G120" i="47"/>
  <c r="F115" i="47"/>
  <c r="W109" i="47"/>
  <c r="F92" i="47"/>
  <c r="AR73" i="47"/>
  <c r="G68" i="47"/>
  <c r="E65" i="47"/>
  <c r="AC59" i="47"/>
  <c r="AK59" i="47" s="1"/>
  <c r="E57" i="47"/>
  <c r="Y45" i="47"/>
  <c r="W40" i="47"/>
  <c r="B29" i="47"/>
  <c r="B14" i="47"/>
  <c r="W10" i="47"/>
  <c r="G8" i="47"/>
  <c r="AA7" i="47"/>
  <c r="AJ7" i="47" s="1"/>
  <c r="AG141" i="49"/>
  <c r="Y125" i="49"/>
  <c r="D125" i="49"/>
  <c r="W101" i="49"/>
  <c r="D101" i="49"/>
  <c r="AQ101" i="49"/>
  <c r="G101" i="49"/>
  <c r="Y101" i="49"/>
  <c r="AA101" i="49"/>
  <c r="AJ101" i="49" s="1"/>
  <c r="AB101" i="49"/>
  <c r="C101" i="49"/>
  <c r="AR101" i="49"/>
  <c r="E90" i="49"/>
  <c r="X90" i="49"/>
  <c r="D90" i="49"/>
  <c r="AQ90" i="49"/>
  <c r="W90" i="49"/>
  <c r="Y90" i="49"/>
  <c r="AB90" i="49"/>
  <c r="AR90" i="49"/>
  <c r="G90" i="49"/>
  <c r="W48" i="49"/>
  <c r="F141" i="49"/>
  <c r="D141" i="49"/>
  <c r="AC141" i="49"/>
  <c r="AM141" i="49" s="1"/>
  <c r="E141" i="49"/>
  <c r="B141" i="49"/>
  <c r="Y141" i="49"/>
  <c r="AR139" i="49"/>
  <c r="C111" i="49"/>
  <c r="AQ111" i="49"/>
  <c r="AR111" i="49"/>
  <c r="W111" i="49"/>
  <c r="C82" i="49"/>
  <c r="F82" i="49"/>
  <c r="Y82" i="49"/>
  <c r="AB82" i="49"/>
  <c r="AR82" i="49"/>
  <c r="D82" i="49"/>
  <c r="D67" i="49"/>
  <c r="D109" i="47"/>
  <c r="W94" i="47"/>
  <c r="AB73" i="47"/>
  <c r="Y59" i="47"/>
  <c r="X52" i="47"/>
  <c r="W45" i="47"/>
  <c r="Y36" i="47"/>
  <c r="AQ29" i="47"/>
  <c r="W23" i="47"/>
  <c r="AA19" i="47"/>
  <c r="AJ19" i="47" s="1"/>
  <c r="AA11" i="47"/>
  <c r="AJ11" i="47" s="1"/>
  <c r="AQ10" i="47"/>
  <c r="F10" i="47"/>
  <c r="D8" i="47"/>
  <c r="W7" i="47"/>
  <c r="AG131" i="49"/>
  <c r="W131" i="49"/>
  <c r="B116" i="49"/>
  <c r="AQ116" i="49"/>
  <c r="E116" i="49"/>
  <c r="F116" i="49"/>
  <c r="G116" i="49"/>
  <c r="AC116" i="49"/>
  <c r="F94" i="49"/>
  <c r="AB94" i="49"/>
  <c r="E94" i="49"/>
  <c r="AQ94" i="49"/>
  <c r="G94" i="49"/>
  <c r="X94" i="49"/>
  <c r="Y94" i="49"/>
  <c r="AC94" i="49"/>
  <c r="AK94" i="49" s="1"/>
  <c r="D94" i="49"/>
  <c r="AA130" i="47"/>
  <c r="AJ130" i="47" s="1"/>
  <c r="G117" i="47"/>
  <c r="B109" i="47"/>
  <c r="Y107" i="47"/>
  <c r="AQ92" i="47"/>
  <c r="AA87" i="47"/>
  <c r="AJ87" i="47" s="1"/>
  <c r="G81" i="47"/>
  <c r="Y73" i="47"/>
  <c r="AQ70" i="47"/>
  <c r="X59" i="47"/>
  <c r="AQ57" i="47"/>
  <c r="D52" i="47"/>
  <c r="G45" i="47"/>
  <c r="AQ38" i="47"/>
  <c r="X36" i="47"/>
  <c r="AC32" i="47"/>
  <c r="AK32" i="47" s="1"/>
  <c r="AC29" i="47"/>
  <c r="AK29" i="47" s="1"/>
  <c r="AR20" i="47"/>
  <c r="Y19" i="47"/>
  <c r="AR14" i="47"/>
  <c r="Y11" i="47"/>
  <c r="AC10" i="47"/>
  <c r="AK10" i="47" s="1"/>
  <c r="E10" i="47"/>
  <c r="AR8" i="47"/>
  <c r="B8" i="47"/>
  <c r="G7" i="47"/>
  <c r="E142" i="49"/>
  <c r="AC142" i="49"/>
  <c r="AM142" i="49" s="1"/>
  <c r="G142" i="49"/>
  <c r="AA141" i="49"/>
  <c r="AJ141" i="49" s="1"/>
  <c r="AC139" i="49"/>
  <c r="AK139" i="49" s="1"/>
  <c r="B118" i="49"/>
  <c r="Y118" i="49"/>
  <c r="E118" i="49"/>
  <c r="D115" i="49"/>
  <c r="C99" i="49"/>
  <c r="Y99" i="49"/>
  <c r="W99" i="49"/>
  <c r="AC99" i="49"/>
  <c r="AK99" i="49" s="1"/>
  <c r="AQ99" i="49"/>
  <c r="F99" i="49"/>
  <c r="G73" i="47"/>
  <c r="E59" i="47"/>
  <c r="F45" i="47"/>
  <c r="Y29" i="47"/>
  <c r="AB10" i="47"/>
  <c r="E7" i="47"/>
  <c r="AB139" i="49"/>
  <c r="AL139" i="49" s="1"/>
  <c r="W132" i="49"/>
  <c r="C74" i="49"/>
  <c r="X74" i="49"/>
  <c r="W74" i="49"/>
  <c r="B74" i="49"/>
  <c r="X46" i="49"/>
  <c r="D46" i="49"/>
  <c r="W46" i="49"/>
  <c r="E46" i="49"/>
  <c r="G46" i="49"/>
  <c r="AQ46" i="49"/>
  <c r="Y46" i="49"/>
  <c r="AR46" i="49"/>
  <c r="AA46" i="49"/>
  <c r="AJ46" i="49" s="1"/>
  <c r="AC46" i="49"/>
  <c r="AK46" i="49" s="1"/>
  <c r="C46" i="49"/>
  <c r="G133" i="49"/>
  <c r="X120" i="49"/>
  <c r="X112" i="49"/>
  <c r="Y109" i="49"/>
  <c r="D106" i="49"/>
  <c r="AR106" i="49"/>
  <c r="AC102" i="49"/>
  <c r="AK102" i="49" s="1"/>
  <c r="Y88" i="49"/>
  <c r="AC88" i="49"/>
  <c r="AK88" i="49" s="1"/>
  <c r="E84" i="49"/>
  <c r="AC66" i="49"/>
  <c r="AK66" i="49" s="1"/>
  <c r="X33" i="49"/>
  <c r="B33" i="49"/>
  <c r="AA25" i="49"/>
  <c r="AJ25" i="49" s="1"/>
  <c r="D18" i="49"/>
  <c r="AR18" i="49"/>
  <c r="X18" i="49"/>
  <c r="C18" i="49"/>
  <c r="AC18" i="49"/>
  <c r="AK18" i="49" s="1"/>
  <c r="Y15" i="49"/>
  <c r="AQ15" i="49"/>
  <c r="AC13" i="49"/>
  <c r="AK13" i="49" s="1"/>
  <c r="D86" i="49"/>
  <c r="AB86" i="49"/>
  <c r="W86" i="49"/>
  <c r="B80" i="49"/>
  <c r="F80" i="49"/>
  <c r="E71" i="49"/>
  <c r="AB71" i="49"/>
  <c r="E70" i="49"/>
  <c r="D70" i="49"/>
  <c r="AQ70" i="49"/>
  <c r="E63" i="49"/>
  <c r="X63" i="49"/>
  <c r="E61" i="49"/>
  <c r="Y61" i="49"/>
  <c r="E60" i="49"/>
  <c r="AQ60" i="49"/>
  <c r="Y60" i="49"/>
  <c r="E32" i="49"/>
  <c r="C32" i="49"/>
  <c r="AC32" i="49"/>
  <c r="AK32" i="49" s="1"/>
  <c r="D16" i="49"/>
  <c r="E16" i="49"/>
  <c r="W16" i="49"/>
  <c r="AQ16" i="49"/>
  <c r="G102" i="49"/>
  <c r="E98" i="49"/>
  <c r="W98" i="49"/>
  <c r="AR98" i="49"/>
  <c r="B98" i="49"/>
  <c r="AB98" i="49"/>
  <c r="AR89" i="49"/>
  <c r="Y86" i="49"/>
  <c r="D85" i="49"/>
  <c r="D75" i="49"/>
  <c r="E75" i="49"/>
  <c r="AC75" i="49"/>
  <c r="AK75" i="49" s="1"/>
  <c r="W75" i="49"/>
  <c r="W66" i="49"/>
  <c r="AR60" i="49"/>
  <c r="AB60" i="49"/>
  <c r="B45" i="49"/>
  <c r="W45" i="49"/>
  <c r="F39" i="49"/>
  <c r="E39" i="49"/>
  <c r="AQ39" i="49"/>
  <c r="AC39" i="49"/>
  <c r="AK39" i="49" s="1"/>
  <c r="D20" i="49"/>
  <c r="AB20" i="49"/>
  <c r="AC20" i="49"/>
  <c r="AK20" i="49" s="1"/>
  <c r="C20" i="49"/>
  <c r="AB18" i="49"/>
  <c r="B17" i="49"/>
  <c r="B103" i="49"/>
  <c r="X103" i="49"/>
  <c r="E102" i="49"/>
  <c r="AA93" i="49"/>
  <c r="AJ93" i="49" s="1"/>
  <c r="AR86" i="49"/>
  <c r="X86" i="49"/>
  <c r="AB65" i="49"/>
  <c r="Y53" i="49"/>
  <c r="W44" i="49"/>
  <c r="AA38" i="49"/>
  <c r="AJ38" i="49" s="1"/>
  <c r="G38" i="49"/>
  <c r="Y34" i="49"/>
  <c r="AA18" i="49"/>
  <c r="AJ18" i="49" s="1"/>
  <c r="C13" i="49"/>
  <c r="D13" i="49"/>
  <c r="W13" i="49"/>
  <c r="Y13" i="49"/>
  <c r="B13" i="49"/>
  <c r="Y133" i="49"/>
  <c r="AB128" i="49"/>
  <c r="E128" i="49"/>
  <c r="AR113" i="49"/>
  <c r="F113" i="49"/>
  <c r="AR108" i="49"/>
  <c r="B108" i="49"/>
  <c r="AA107" i="49"/>
  <c r="AJ107" i="49" s="1"/>
  <c r="AC106" i="49"/>
  <c r="AK106" i="49" s="1"/>
  <c r="Y105" i="49"/>
  <c r="AQ102" i="49"/>
  <c r="D102" i="49"/>
  <c r="AA98" i="49"/>
  <c r="AJ98" i="49" s="1"/>
  <c r="W89" i="49"/>
  <c r="AQ86" i="49"/>
  <c r="G86" i="49"/>
  <c r="Y75" i="49"/>
  <c r="AC71" i="49"/>
  <c r="AK71" i="49" s="1"/>
  <c r="X69" i="49"/>
  <c r="F66" i="49"/>
  <c r="X60" i="49"/>
  <c r="AC49" i="49"/>
  <c r="AK49" i="49" s="1"/>
  <c r="B49" i="49"/>
  <c r="AC40" i="49"/>
  <c r="AK40" i="49" s="1"/>
  <c r="G40" i="49"/>
  <c r="X34" i="49"/>
  <c r="C19" i="49"/>
  <c r="AA19" i="49"/>
  <c r="AJ19" i="49" s="1"/>
  <c r="AC15" i="49"/>
  <c r="AK15" i="49" s="1"/>
  <c r="AR133" i="49"/>
  <c r="AG133" i="49"/>
  <c r="W133" i="49"/>
  <c r="AA128" i="49"/>
  <c r="D128" i="49"/>
  <c r="AR120" i="49"/>
  <c r="AQ113" i="49"/>
  <c r="C113" i="49"/>
  <c r="AA112" i="49"/>
  <c r="AJ112" i="49" s="1"/>
  <c r="AC109" i="49"/>
  <c r="AK109" i="49" s="1"/>
  <c r="Y107" i="49"/>
  <c r="X106" i="49"/>
  <c r="Y98" i="49"/>
  <c r="C93" i="49"/>
  <c r="AR93" i="49"/>
  <c r="W93" i="49"/>
  <c r="F86" i="49"/>
  <c r="AC80" i="49"/>
  <c r="AK80" i="49" s="1"/>
  <c r="F72" i="49"/>
  <c r="AC63" i="49"/>
  <c r="AK63" i="49" s="1"/>
  <c r="AR62" i="49"/>
  <c r="C62" i="49"/>
  <c r="F53" i="49"/>
  <c r="Y50" i="49"/>
  <c r="AB45" i="49"/>
  <c r="AR20" i="49"/>
  <c r="E18" i="49"/>
  <c r="AB15" i="49"/>
  <c r="F102" i="49"/>
  <c r="Y102" i="49"/>
  <c r="C89" i="49"/>
  <c r="AB89" i="49"/>
  <c r="E86" i="49"/>
  <c r="X71" i="49"/>
  <c r="AC70" i="49"/>
  <c r="AK70" i="49" s="1"/>
  <c r="B66" i="49"/>
  <c r="E66" i="49"/>
  <c r="X66" i="49"/>
  <c r="B65" i="49"/>
  <c r="AR65" i="49"/>
  <c r="Y63" i="49"/>
  <c r="F60" i="49"/>
  <c r="C34" i="49"/>
  <c r="E34" i="49"/>
  <c r="F34" i="49"/>
  <c r="AC34" i="49"/>
  <c r="AK34" i="49" s="1"/>
  <c r="X42" i="49"/>
  <c r="G37" i="49"/>
  <c r="AR27" i="49"/>
  <c r="C10" i="49"/>
  <c r="D7" i="49"/>
  <c r="AQ7" i="49"/>
  <c r="C7" i="49"/>
  <c r="F28" i="49"/>
  <c r="Y4" i="49"/>
  <c r="AC76" i="49"/>
  <c r="AK76" i="49" s="1"/>
  <c r="W68" i="49"/>
  <c r="E28" i="49"/>
  <c r="X4" i="49"/>
  <c r="E10" i="49"/>
  <c r="AA141" i="24"/>
  <c r="AJ141" i="24" s="1"/>
  <c r="AC132" i="24"/>
  <c r="AK132" i="24" s="1"/>
  <c r="W129" i="24"/>
  <c r="X101" i="24"/>
  <c r="G91" i="24"/>
  <c r="Y84" i="24"/>
  <c r="Y79" i="24"/>
  <c r="AR76" i="24"/>
  <c r="X75" i="24"/>
  <c r="G62" i="24"/>
  <c r="G60" i="24"/>
  <c r="W32" i="24"/>
  <c r="X132" i="24"/>
  <c r="G129" i="24"/>
  <c r="AC108" i="24"/>
  <c r="AK108" i="24" s="1"/>
  <c r="F91" i="24"/>
  <c r="AC88" i="24"/>
  <c r="AK88" i="24" s="1"/>
  <c r="X79" i="24"/>
  <c r="W34" i="24"/>
  <c r="G32" i="24"/>
  <c r="AB130" i="24"/>
  <c r="AL130" i="24" s="1"/>
  <c r="AR116" i="24"/>
  <c r="X108" i="24"/>
  <c r="W88" i="24"/>
  <c r="AR79" i="24"/>
  <c r="AA20" i="24"/>
  <c r="AJ20" i="24" s="1"/>
  <c r="G108" i="24"/>
  <c r="AR91" i="24"/>
  <c r="X68" i="24"/>
  <c r="AQ59" i="24"/>
  <c r="AR129" i="24"/>
  <c r="AB129" i="24"/>
  <c r="AL129" i="24" s="1"/>
  <c r="Y115" i="24"/>
  <c r="AR99" i="24"/>
  <c r="AA95" i="24"/>
  <c r="AJ95" i="24" s="1"/>
  <c r="AC91" i="24"/>
  <c r="AK91" i="24" s="1"/>
  <c r="AA90" i="24"/>
  <c r="AJ90" i="24" s="1"/>
  <c r="AQ72" i="24"/>
  <c r="G68" i="24"/>
  <c r="AR60" i="24"/>
  <c r="AR32" i="24"/>
  <c r="AC28" i="24"/>
  <c r="AK28" i="24" s="1"/>
  <c r="AB91" i="24"/>
  <c r="AB54" i="24"/>
  <c r="D60" i="47"/>
  <c r="AQ60" i="47"/>
  <c r="AR60" i="47"/>
  <c r="C60" i="47"/>
  <c r="E60" i="47"/>
  <c r="AA60" i="47"/>
  <c r="AJ60" i="47" s="1"/>
  <c r="Y128" i="24"/>
  <c r="AB128" i="24"/>
  <c r="AL128" i="24" s="1"/>
  <c r="G128" i="24"/>
  <c r="AC128" i="24"/>
  <c r="AK128" i="24" s="1"/>
  <c r="W128" i="24"/>
  <c r="AB87" i="24"/>
  <c r="F78" i="24"/>
  <c r="G73" i="24"/>
  <c r="X55" i="24"/>
  <c r="AA55" i="24"/>
  <c r="AJ55" i="24" s="1"/>
  <c r="Y35" i="24"/>
  <c r="D121" i="49"/>
  <c r="X121" i="49"/>
  <c r="B121" i="49"/>
  <c r="C121" i="49"/>
  <c r="F121" i="49"/>
  <c r="G121" i="49"/>
  <c r="W121" i="49"/>
  <c r="Y121" i="49"/>
  <c r="AQ121" i="49"/>
  <c r="AA121" i="49"/>
  <c r="AA26" i="24"/>
  <c r="AJ26" i="24" s="1"/>
  <c r="F26" i="24"/>
  <c r="W26" i="24"/>
  <c r="Y26" i="24"/>
  <c r="AQ26" i="24"/>
  <c r="X61" i="24"/>
  <c r="W25" i="24"/>
  <c r="AR128" i="24"/>
  <c r="X110" i="24"/>
  <c r="AC110" i="24"/>
  <c r="AK110" i="24" s="1"/>
  <c r="AQ110" i="24"/>
  <c r="F110" i="24"/>
  <c r="W27" i="24"/>
  <c r="B122" i="47"/>
  <c r="E122" i="47"/>
  <c r="W122" i="47"/>
  <c r="AQ49" i="24"/>
  <c r="AC120" i="24"/>
  <c r="G120" i="24"/>
  <c r="W120" i="24"/>
  <c r="AQ120" i="24"/>
  <c r="X120" i="24"/>
  <c r="Y120" i="24"/>
  <c r="AC18" i="24"/>
  <c r="AK18" i="24" s="1"/>
  <c r="G18" i="24"/>
  <c r="X103" i="24"/>
  <c r="Y103" i="24"/>
  <c r="AA103" i="24"/>
  <c r="AJ103" i="24" s="1"/>
  <c r="AQ103" i="24"/>
  <c r="AR26" i="24"/>
  <c r="B137" i="47"/>
  <c r="AA137" i="47"/>
  <c r="AJ137" i="47" s="1"/>
  <c r="E137" i="47"/>
  <c r="AC137" i="47"/>
  <c r="AK137" i="47" s="1"/>
  <c r="AG137" i="47"/>
  <c r="AQ137" i="47"/>
  <c r="B126" i="47"/>
  <c r="W126" i="47"/>
  <c r="AB126" i="47"/>
  <c r="AQ126" i="47"/>
  <c r="G126" i="47"/>
  <c r="AA126" i="47"/>
  <c r="X111" i="24"/>
  <c r="AA111" i="24"/>
  <c r="AJ111" i="24" s="1"/>
  <c r="AC111" i="24"/>
  <c r="AK111" i="24" s="1"/>
  <c r="F111" i="24"/>
  <c r="W134" i="24"/>
  <c r="F89" i="24"/>
  <c r="G6" i="24"/>
  <c r="X6" i="24"/>
  <c r="AQ6" i="24"/>
  <c r="G107" i="24"/>
  <c r="AA100" i="24"/>
  <c r="AJ100" i="24" s="1"/>
  <c r="G96" i="24"/>
  <c r="AQ55" i="24"/>
  <c r="AQ42" i="24"/>
  <c r="C76" i="47"/>
  <c r="AR76" i="47"/>
  <c r="Y76" i="47"/>
  <c r="AC76" i="47"/>
  <c r="AK76" i="47" s="1"/>
  <c r="G76" i="47"/>
  <c r="X76" i="47"/>
  <c r="AA76" i="47"/>
  <c r="AJ76" i="47" s="1"/>
  <c r="AQ76" i="47"/>
  <c r="F76" i="47"/>
  <c r="AR70" i="24"/>
  <c r="AB70" i="24"/>
  <c r="AQ111" i="24"/>
  <c r="AQ33" i="24"/>
  <c r="AC26" i="24"/>
  <c r="AK26" i="24" s="1"/>
  <c r="E128" i="47"/>
  <c r="X128" i="47"/>
  <c r="B128" i="47"/>
  <c r="AC128" i="47"/>
  <c r="AK128" i="47" s="1"/>
  <c r="G128" i="47"/>
  <c r="G116" i="47"/>
  <c r="C116" i="47"/>
  <c r="W116" i="47"/>
  <c r="B116" i="47"/>
  <c r="D116" i="47"/>
  <c r="X116" i="47"/>
  <c r="AR116" i="47"/>
  <c r="D67" i="47"/>
  <c r="AQ67" i="47"/>
  <c r="AR67" i="47"/>
  <c r="E67" i="47"/>
  <c r="X67" i="47"/>
  <c r="F67" i="47"/>
  <c r="Y67" i="47"/>
  <c r="AB67" i="47"/>
  <c r="C56" i="47"/>
  <c r="AQ56" i="47"/>
  <c r="W56" i="47"/>
  <c r="AR56" i="47"/>
  <c r="AA56" i="47"/>
  <c r="AJ56" i="47" s="1"/>
  <c r="D56" i="47"/>
  <c r="AC56" i="47"/>
  <c r="AK56" i="47" s="1"/>
  <c r="G56" i="47"/>
  <c r="E56" i="47"/>
  <c r="Y56" i="47"/>
  <c r="AB56" i="47"/>
  <c r="AC65" i="24"/>
  <c r="AK65" i="24" s="1"/>
  <c r="AA28" i="24"/>
  <c r="AJ28" i="24" s="1"/>
  <c r="AB28" i="24"/>
  <c r="G21" i="24"/>
  <c r="X128" i="24"/>
  <c r="AB120" i="24"/>
  <c r="AA87" i="24"/>
  <c r="AJ87" i="24" s="1"/>
  <c r="AB26" i="24"/>
  <c r="B119" i="47"/>
  <c r="Y119" i="47"/>
  <c r="AR119" i="47"/>
  <c r="C119" i="47"/>
  <c r="X119" i="47"/>
  <c r="AC119" i="47"/>
  <c r="AQ119" i="47"/>
  <c r="B111" i="47"/>
  <c r="AB111" i="47"/>
  <c r="AL111" i="47" s="1"/>
  <c r="AQ111" i="47"/>
  <c r="AC111" i="47"/>
  <c r="AK111" i="47" s="1"/>
  <c r="F133" i="24"/>
  <c r="F129" i="24"/>
  <c r="Y108" i="24"/>
  <c r="AC104" i="24"/>
  <c r="AK104" i="24" s="1"/>
  <c r="W91" i="24"/>
  <c r="G79" i="24"/>
  <c r="AR68" i="24"/>
  <c r="AA68" i="24"/>
  <c r="AJ68" i="24" s="1"/>
  <c r="AR45" i="24"/>
  <c r="AB20" i="24"/>
  <c r="AG139" i="47"/>
  <c r="B132" i="47"/>
  <c r="AQ132" i="47"/>
  <c r="AR130" i="47"/>
  <c r="AC130" i="47"/>
  <c r="AK130" i="47" s="1"/>
  <c r="B129" i="47"/>
  <c r="AC129" i="47"/>
  <c r="AK129" i="47" s="1"/>
  <c r="E129" i="47"/>
  <c r="AQ120" i="47"/>
  <c r="Y120" i="47"/>
  <c r="AR115" i="47"/>
  <c r="B101" i="47"/>
  <c r="D101" i="47"/>
  <c r="AR101" i="47"/>
  <c r="AR98" i="47"/>
  <c r="B83" i="47"/>
  <c r="C83" i="47"/>
  <c r="X83" i="47"/>
  <c r="AQ83" i="47"/>
  <c r="E83" i="47"/>
  <c r="AA83" i="47"/>
  <c r="AJ83" i="47" s="1"/>
  <c r="F83" i="47"/>
  <c r="AB83" i="47"/>
  <c r="B79" i="47"/>
  <c r="D79" i="47"/>
  <c r="W79" i="47"/>
  <c r="E79" i="47"/>
  <c r="B35" i="47"/>
  <c r="F35" i="47"/>
  <c r="AR35" i="47"/>
  <c r="E136" i="47"/>
  <c r="W136" i="47"/>
  <c r="AC136" i="47"/>
  <c r="G136" i="47"/>
  <c r="C98" i="47"/>
  <c r="Y98" i="47"/>
  <c r="F98" i="47"/>
  <c r="AC98" i="47"/>
  <c r="AK98" i="47" s="1"/>
  <c r="AQ98" i="47"/>
  <c r="B98" i="47"/>
  <c r="G89" i="47"/>
  <c r="F89" i="47"/>
  <c r="X89" i="47"/>
  <c r="E89" i="47"/>
  <c r="G72" i="47"/>
  <c r="W72" i="47"/>
  <c r="AQ72" i="47"/>
  <c r="G22" i="47"/>
  <c r="AB22" i="47"/>
  <c r="AR22" i="47"/>
  <c r="B22" i="47"/>
  <c r="W22" i="47"/>
  <c r="X22" i="47"/>
  <c r="C22" i="47"/>
  <c r="D22" i="47"/>
  <c r="AA22" i="47"/>
  <c r="AJ22" i="47" s="1"/>
  <c r="E22" i="47"/>
  <c r="AC22" i="47"/>
  <c r="AK22" i="47" s="1"/>
  <c r="AQ22" i="47"/>
  <c r="F22" i="47"/>
  <c r="F109" i="24"/>
  <c r="AA63" i="24"/>
  <c r="AJ63" i="24" s="1"/>
  <c r="X135" i="47"/>
  <c r="C135" i="47"/>
  <c r="W135" i="47"/>
  <c r="AG135" i="47"/>
  <c r="AQ135" i="47"/>
  <c r="E135" i="47"/>
  <c r="AC135" i="47"/>
  <c r="E130" i="47"/>
  <c r="W130" i="47"/>
  <c r="G130" i="47"/>
  <c r="Y130" i="47"/>
  <c r="AQ130" i="47"/>
  <c r="B130" i="47"/>
  <c r="AB130" i="47"/>
  <c r="AL130" i="47" s="1"/>
  <c r="E118" i="47"/>
  <c r="B112" i="47"/>
  <c r="D112" i="47"/>
  <c r="Y112" i="47"/>
  <c r="F112" i="47"/>
  <c r="AB112" i="47"/>
  <c r="AL112" i="47" s="1"/>
  <c r="AQ112" i="47"/>
  <c r="AA104" i="47"/>
  <c r="AJ104" i="47" s="1"/>
  <c r="D104" i="47"/>
  <c r="W104" i="47"/>
  <c r="AR104" i="47"/>
  <c r="B104" i="47"/>
  <c r="X104" i="47"/>
  <c r="F104" i="47"/>
  <c r="AB104" i="47"/>
  <c r="AL104" i="47" s="1"/>
  <c r="E94" i="47"/>
  <c r="X94" i="47"/>
  <c r="AR94" i="47"/>
  <c r="D94" i="47"/>
  <c r="G94" i="47"/>
  <c r="AC94" i="47"/>
  <c r="AK94" i="47" s="1"/>
  <c r="X90" i="47"/>
  <c r="AR90" i="47"/>
  <c r="AA90" i="47"/>
  <c r="AJ90" i="47" s="1"/>
  <c r="B90" i="47"/>
  <c r="Y90" i="47"/>
  <c r="C90" i="47"/>
  <c r="B58" i="47"/>
  <c r="E58" i="47"/>
  <c r="AQ58" i="47"/>
  <c r="F58" i="47"/>
  <c r="AA58" i="47"/>
  <c r="AJ58" i="47" s="1"/>
  <c r="AC58" i="47"/>
  <c r="AK58" i="47" s="1"/>
  <c r="C58" i="47"/>
  <c r="G52" i="47"/>
  <c r="W52" i="47"/>
  <c r="Y52" i="47"/>
  <c r="B52" i="47"/>
  <c r="AB52" i="47"/>
  <c r="AC52" i="47"/>
  <c r="AK52" i="47" s="1"/>
  <c r="AQ52" i="47"/>
  <c r="E52" i="47"/>
  <c r="G136" i="24"/>
  <c r="F131" i="24"/>
  <c r="W125" i="24"/>
  <c r="X119" i="24"/>
  <c r="W114" i="24"/>
  <c r="AQ108" i="24"/>
  <c r="G104" i="24"/>
  <c r="F84" i="24"/>
  <c r="W76" i="24"/>
  <c r="X71" i="24"/>
  <c r="AB37" i="24"/>
  <c r="AA36" i="24"/>
  <c r="AJ36" i="24" s="1"/>
  <c r="Y23" i="24"/>
  <c r="F4" i="24"/>
  <c r="E141" i="47"/>
  <c r="X141" i="47"/>
  <c r="AR141" i="47"/>
  <c r="G141" i="47"/>
  <c r="AG141" i="47"/>
  <c r="F139" i="47"/>
  <c r="Y135" i="47"/>
  <c r="X127" i="47"/>
  <c r="B127" i="47"/>
  <c r="D127" i="47"/>
  <c r="Y127" i="47"/>
  <c r="AR127" i="47"/>
  <c r="G127" i="47"/>
  <c r="AB127" i="47"/>
  <c r="X115" i="47"/>
  <c r="D115" i="47"/>
  <c r="AB115" i="47"/>
  <c r="G115" i="47"/>
  <c r="AR112" i="47"/>
  <c r="AA112" i="47"/>
  <c r="AJ112" i="47" s="1"/>
  <c r="B105" i="47"/>
  <c r="F105" i="47"/>
  <c r="AB98" i="47"/>
  <c r="E71" i="47"/>
  <c r="D71" i="47"/>
  <c r="G71" i="47"/>
  <c r="X71" i="47"/>
  <c r="AC71" i="47"/>
  <c r="AK71" i="47" s="1"/>
  <c r="D48" i="47"/>
  <c r="X48" i="47"/>
  <c r="Y48" i="47"/>
  <c r="AA48" i="47"/>
  <c r="AJ48" i="47" s="1"/>
  <c r="E37" i="47"/>
  <c r="X37" i="47"/>
  <c r="F37" i="47"/>
  <c r="Y37" i="47"/>
  <c r="AQ37" i="47"/>
  <c r="AB37" i="47"/>
  <c r="B37" i="47"/>
  <c r="W37" i="47"/>
  <c r="AA37" i="47"/>
  <c r="AJ37" i="47" s="1"/>
  <c r="C37" i="47"/>
  <c r="AA84" i="24"/>
  <c r="AJ84" i="24" s="1"/>
  <c r="AQ79" i="24"/>
  <c r="F62" i="24"/>
  <c r="W58" i="24"/>
  <c r="Y37" i="24"/>
  <c r="X34" i="24"/>
  <c r="AR31" i="24"/>
  <c r="X17" i="24"/>
  <c r="W8" i="24"/>
  <c r="B3" i="47"/>
  <c r="E3" i="47"/>
  <c r="C140" i="47"/>
  <c r="AQ140" i="47"/>
  <c r="X136" i="47"/>
  <c r="F114" i="47"/>
  <c r="AQ114" i="47"/>
  <c r="X112" i="47"/>
  <c r="F109" i="47"/>
  <c r="C109" i="47"/>
  <c r="X109" i="47"/>
  <c r="AR109" i="47"/>
  <c r="E109" i="47"/>
  <c r="AA109" i="47"/>
  <c r="AJ109" i="47" s="1"/>
  <c r="AQ105" i="47"/>
  <c r="AQ104" i="47"/>
  <c r="Y104" i="47"/>
  <c r="AA98" i="47"/>
  <c r="AJ98" i="47" s="1"/>
  <c r="D88" i="47"/>
  <c r="W88" i="47"/>
  <c r="F88" i="47"/>
  <c r="Y88" i="47"/>
  <c r="AQ88" i="47"/>
  <c r="AA88" i="47"/>
  <c r="AJ88" i="47" s="1"/>
  <c r="B88" i="47"/>
  <c r="E88" i="47"/>
  <c r="AC88" i="47"/>
  <c r="AK88" i="47" s="1"/>
  <c r="AR88" i="47"/>
  <c r="W83" i="47"/>
  <c r="C75" i="47"/>
  <c r="AA75" i="47"/>
  <c r="AJ75" i="47" s="1"/>
  <c r="B75" i="47"/>
  <c r="AC75" i="47"/>
  <c r="AK75" i="47" s="1"/>
  <c r="F75" i="47"/>
  <c r="AR75" i="47"/>
  <c r="E75" i="47"/>
  <c r="X75" i="47"/>
  <c r="AQ75" i="47"/>
  <c r="E61" i="47"/>
  <c r="B61" i="47"/>
  <c r="W61" i="47"/>
  <c r="AR61" i="47"/>
  <c r="D61" i="47"/>
  <c r="Y61" i="47"/>
  <c r="C61" i="47"/>
  <c r="F61" i="47"/>
  <c r="G61" i="47"/>
  <c r="AA61" i="47"/>
  <c r="AJ61" i="47" s="1"/>
  <c r="E25" i="47"/>
  <c r="X25" i="47"/>
  <c r="W25" i="47"/>
  <c r="AB25" i="47"/>
  <c r="F25" i="47"/>
  <c r="AB135" i="24"/>
  <c r="AL135" i="24" s="1"/>
  <c r="F124" i="24"/>
  <c r="AC114" i="24"/>
  <c r="AQ98" i="24"/>
  <c r="F74" i="24"/>
  <c r="AQ71" i="24"/>
  <c r="AB47" i="24"/>
  <c r="AC45" i="24"/>
  <c r="AK45" i="24" s="1"/>
  <c r="AR39" i="24"/>
  <c r="X37" i="24"/>
  <c r="AC32" i="24"/>
  <c r="AK32" i="24" s="1"/>
  <c r="X29" i="24"/>
  <c r="Y16" i="24"/>
  <c r="G7" i="24"/>
  <c r="G139" i="47"/>
  <c r="X139" i="47"/>
  <c r="AQ139" i="47"/>
  <c r="C139" i="47"/>
  <c r="E133" i="47"/>
  <c r="G133" i="47"/>
  <c r="AG133" i="47"/>
  <c r="W133" i="47"/>
  <c r="W127" i="47"/>
  <c r="B121" i="47"/>
  <c r="B120" i="47"/>
  <c r="C120" i="47"/>
  <c r="X120" i="47"/>
  <c r="E120" i="47"/>
  <c r="AA120" i="47"/>
  <c r="AC115" i="47"/>
  <c r="W112" i="47"/>
  <c r="B108" i="47"/>
  <c r="AQ108" i="47"/>
  <c r="X98" i="47"/>
  <c r="AQ90" i="47"/>
  <c r="Y89" i="47"/>
  <c r="C16" i="47"/>
  <c r="B16" i="47"/>
  <c r="W16" i="47"/>
  <c r="E16" i="47"/>
  <c r="AC16" i="47"/>
  <c r="AK16" i="47" s="1"/>
  <c r="F16" i="47"/>
  <c r="AR16" i="47"/>
  <c r="X16" i="47"/>
  <c r="AA142" i="47"/>
  <c r="AJ142" i="47" s="1"/>
  <c r="AA125" i="47"/>
  <c r="F125" i="47"/>
  <c r="D124" i="47"/>
  <c r="D96" i="47"/>
  <c r="X96" i="47"/>
  <c r="AB96" i="47"/>
  <c r="G74" i="47"/>
  <c r="F74" i="47"/>
  <c r="W73" i="47"/>
  <c r="Y68" i="47"/>
  <c r="B66" i="47"/>
  <c r="G66" i="47"/>
  <c r="AQ66" i="47"/>
  <c r="W66" i="47"/>
  <c r="C66" i="47"/>
  <c r="Y66" i="47"/>
  <c r="AC62" i="47"/>
  <c r="AK62" i="47" s="1"/>
  <c r="B46" i="47"/>
  <c r="G46" i="47"/>
  <c r="Y46" i="47"/>
  <c r="Y44" i="47"/>
  <c r="AR40" i="47"/>
  <c r="W33" i="47"/>
  <c r="X32" i="47"/>
  <c r="AC31" i="47"/>
  <c r="AK31" i="47" s="1"/>
  <c r="C18" i="47"/>
  <c r="X18" i="47"/>
  <c r="B18" i="47"/>
  <c r="AA18" i="47"/>
  <c r="AJ18" i="47" s="1"/>
  <c r="D18" i="47"/>
  <c r="AB18" i="47"/>
  <c r="F18" i="47"/>
  <c r="AQ18" i="47"/>
  <c r="G18" i="47"/>
  <c r="AR18" i="47"/>
  <c r="F28" i="47"/>
  <c r="G28" i="47"/>
  <c r="AB28" i="47"/>
  <c r="AQ28" i="47"/>
  <c r="B28" i="47"/>
  <c r="X28" i="47"/>
  <c r="D28" i="47"/>
  <c r="AA28" i="47"/>
  <c r="AJ28" i="47" s="1"/>
  <c r="AR17" i="47"/>
  <c r="B17" i="47"/>
  <c r="C17" i="47"/>
  <c r="Y17" i="47"/>
  <c r="X125" i="47"/>
  <c r="B102" i="47"/>
  <c r="W102" i="47"/>
  <c r="G92" i="47"/>
  <c r="C92" i="47"/>
  <c r="W92" i="47"/>
  <c r="Y92" i="47"/>
  <c r="B87" i="47"/>
  <c r="D87" i="47"/>
  <c r="AB87" i="47"/>
  <c r="AR87" i="47"/>
  <c r="G57" i="47"/>
  <c r="B57" i="47"/>
  <c r="X57" i="47"/>
  <c r="D57" i="47"/>
  <c r="AA57" i="47"/>
  <c r="AJ57" i="47" s="1"/>
  <c r="AR57" i="47"/>
  <c r="X43" i="47"/>
  <c r="Y43" i="47"/>
  <c r="B43" i="47"/>
  <c r="AC43" i="47"/>
  <c r="AK43" i="47" s="1"/>
  <c r="E43" i="47"/>
  <c r="G32" i="47"/>
  <c r="AB16" i="47"/>
  <c r="D55" i="47"/>
  <c r="B55" i="47"/>
  <c r="X55" i="47"/>
  <c r="AR55" i="47"/>
  <c r="D44" i="47"/>
  <c r="B44" i="47"/>
  <c r="AB44" i="47"/>
  <c r="C44" i="47"/>
  <c r="AC44" i="47"/>
  <c r="AK44" i="47" s="1"/>
  <c r="G44" i="47"/>
  <c r="AQ44" i="47"/>
  <c r="E40" i="47"/>
  <c r="Y40" i="47"/>
  <c r="AC40" i="47"/>
  <c r="AK40" i="47" s="1"/>
  <c r="C40" i="47"/>
  <c r="E34" i="47"/>
  <c r="Y34" i="47"/>
  <c r="AC34" i="47"/>
  <c r="AK34" i="47" s="1"/>
  <c r="B34" i="47"/>
  <c r="AQ34" i="47"/>
  <c r="G34" i="47"/>
  <c r="E33" i="47"/>
  <c r="AQ33" i="47"/>
  <c r="AR33" i="47"/>
  <c r="B33" i="47"/>
  <c r="X33" i="47"/>
  <c r="D33" i="47"/>
  <c r="AA33" i="47"/>
  <c r="AJ33" i="47" s="1"/>
  <c r="Y31" i="47"/>
  <c r="AB31" i="47"/>
  <c r="D31" i="47"/>
  <c r="F31" i="47"/>
  <c r="AQ31" i="47"/>
  <c r="AC28" i="47"/>
  <c r="AK28" i="47" s="1"/>
  <c r="Y16" i="47"/>
  <c r="E5" i="47"/>
  <c r="F5" i="47"/>
  <c r="C99" i="47"/>
  <c r="Y99" i="47"/>
  <c r="B73" i="47"/>
  <c r="X73" i="47"/>
  <c r="D73" i="47"/>
  <c r="AA73" i="47"/>
  <c r="AJ73" i="47" s="1"/>
  <c r="AQ73" i="47"/>
  <c r="B68" i="47"/>
  <c r="C68" i="47"/>
  <c r="X68" i="47"/>
  <c r="AQ68" i="47"/>
  <c r="E68" i="47"/>
  <c r="AA68" i="47"/>
  <c r="AJ68" i="47" s="1"/>
  <c r="F62" i="47"/>
  <c r="AQ62" i="47"/>
  <c r="G62" i="47"/>
  <c r="W62" i="47"/>
  <c r="B62" i="47"/>
  <c r="AA62" i="47"/>
  <c r="AJ62" i="47" s="1"/>
  <c r="F42" i="47"/>
  <c r="W42" i="47"/>
  <c r="AQ42" i="47"/>
  <c r="F39" i="47"/>
  <c r="E39" i="47"/>
  <c r="AR39" i="47"/>
  <c r="E32" i="47"/>
  <c r="B32" i="47"/>
  <c r="AQ32" i="47"/>
  <c r="C32" i="47"/>
  <c r="W32" i="47"/>
  <c r="AR32" i="47"/>
  <c r="F32" i="47"/>
  <c r="Y32" i="47"/>
  <c r="AB32" i="47"/>
  <c r="Y28" i="47"/>
  <c r="G16" i="47"/>
  <c r="AR91" i="47"/>
  <c r="W91" i="47"/>
  <c r="D91" i="47"/>
  <c r="X81" i="47"/>
  <c r="C78" i="47"/>
  <c r="AB65" i="47"/>
  <c r="F65" i="47"/>
  <c r="D64" i="47"/>
  <c r="AR53" i="47"/>
  <c r="F53" i="47"/>
  <c r="Y49" i="47"/>
  <c r="C49" i="47"/>
  <c r="AR47" i="47"/>
  <c r="E47" i="47"/>
  <c r="AR41" i="47"/>
  <c r="X41" i="47"/>
  <c r="C41" i="47"/>
  <c r="C38" i="47"/>
  <c r="X29" i="47"/>
  <c r="D29" i="47"/>
  <c r="D27" i="47"/>
  <c r="B6" i="47"/>
  <c r="Y6" i="47"/>
  <c r="AR65" i="47"/>
  <c r="Y65" i="47"/>
  <c r="D65" i="47"/>
  <c r="B23" i="47"/>
  <c r="E23" i="47"/>
  <c r="C21" i="47"/>
  <c r="AQ21" i="47"/>
  <c r="E21" i="47"/>
  <c r="E4" i="47"/>
  <c r="Y4" i="47"/>
  <c r="AA4" i="47"/>
  <c r="AJ4" i="47" s="1"/>
  <c r="C4" i="47"/>
  <c r="AR4" i="47"/>
  <c r="W107" i="47"/>
  <c r="Z107" i="47" s="1"/>
  <c r="E103" i="47"/>
  <c r="AR100" i="47"/>
  <c r="W97" i="47"/>
  <c r="AB91" i="47"/>
  <c r="AC78" i="47"/>
  <c r="AK78" i="47" s="1"/>
  <c r="W69" i="47"/>
  <c r="W65" i="47"/>
  <c r="Y47" i="47"/>
  <c r="AB45" i="47"/>
  <c r="E45" i="47"/>
  <c r="AB41" i="47"/>
  <c r="W38" i="47"/>
  <c r="AB29" i="47"/>
  <c r="AR27" i="47"/>
  <c r="AR21" i="47"/>
  <c r="AQ4" i="47"/>
  <c r="AA50" i="47"/>
  <c r="AJ50" i="47" s="1"/>
  <c r="AB49" i="47"/>
  <c r="X47" i="47"/>
  <c r="AA45" i="47"/>
  <c r="AJ45" i="47" s="1"/>
  <c r="AA41" i="47"/>
  <c r="AJ41" i="47" s="1"/>
  <c r="G41" i="47"/>
  <c r="AR29" i="47"/>
  <c r="AA29" i="47"/>
  <c r="AJ29" i="47" s="1"/>
  <c r="G29" i="47"/>
  <c r="AC27" i="47"/>
  <c r="AK27" i="47" s="1"/>
  <c r="AC23" i="47"/>
  <c r="AK23" i="47" s="1"/>
  <c r="AA21" i="47"/>
  <c r="AJ21" i="47" s="1"/>
  <c r="F15" i="47"/>
  <c r="B15" i="47"/>
  <c r="AQ15" i="47"/>
  <c r="E15" i="47"/>
  <c r="AA15" i="47"/>
  <c r="AJ15" i="47" s="1"/>
  <c r="G14" i="47"/>
  <c r="X14" i="47"/>
  <c r="AB12" i="47"/>
  <c r="C12" i="47"/>
  <c r="AB4" i="47"/>
  <c r="AC8" i="47"/>
  <c r="AK8" i="47" s="1"/>
  <c r="E8" i="47"/>
  <c r="AB7" i="47"/>
  <c r="D7" i="47"/>
  <c r="B138" i="49"/>
  <c r="C138" i="49"/>
  <c r="AA138" i="49"/>
  <c r="AJ138" i="49" s="1"/>
  <c r="G138" i="49"/>
  <c r="D137" i="49"/>
  <c r="AA137" i="49"/>
  <c r="AJ137" i="49" s="1"/>
  <c r="B137" i="49"/>
  <c r="G137" i="49"/>
  <c r="AQ137" i="49"/>
  <c r="X126" i="49"/>
  <c r="C125" i="49"/>
  <c r="W125" i="49"/>
  <c r="F125" i="49"/>
  <c r="AA125" i="49"/>
  <c r="G125" i="49"/>
  <c r="AB125" i="49"/>
  <c r="AQ125" i="49"/>
  <c r="X125" i="49"/>
  <c r="AR125" i="49"/>
  <c r="B125" i="49"/>
  <c r="AC125" i="49"/>
  <c r="D110" i="49"/>
  <c r="B110" i="49"/>
  <c r="AC110" i="49"/>
  <c r="AK110" i="49" s="1"/>
  <c r="AR110" i="49"/>
  <c r="X110" i="49"/>
  <c r="B91" i="49"/>
  <c r="AC91" i="49"/>
  <c r="AK91" i="49" s="1"/>
  <c r="C91" i="49"/>
  <c r="E91" i="49"/>
  <c r="F91" i="49"/>
  <c r="G91" i="49"/>
  <c r="AQ91" i="49"/>
  <c r="Y91" i="49"/>
  <c r="AA91" i="49"/>
  <c r="AJ91" i="49" s="1"/>
  <c r="C129" i="49"/>
  <c r="AQ129" i="49"/>
  <c r="W129" i="49"/>
  <c r="X129" i="49"/>
  <c r="AG129" i="49"/>
  <c r="E126" i="49"/>
  <c r="B126" i="49"/>
  <c r="C122" i="49"/>
  <c r="B122" i="49"/>
  <c r="AA122" i="49"/>
  <c r="D83" i="49"/>
  <c r="AQ83" i="49"/>
  <c r="C83" i="49"/>
  <c r="Y83" i="49"/>
  <c r="B83" i="49"/>
  <c r="AC83" i="49"/>
  <c r="AK83" i="49" s="1"/>
  <c r="E83" i="49"/>
  <c r="F83" i="49"/>
  <c r="G83" i="49"/>
  <c r="AA83" i="49"/>
  <c r="AJ83" i="49" s="1"/>
  <c r="W83" i="49"/>
  <c r="AQ135" i="49"/>
  <c r="X135" i="49"/>
  <c r="B134" i="49"/>
  <c r="E134" i="49"/>
  <c r="G120" i="49"/>
  <c r="B115" i="49"/>
  <c r="C115" i="49"/>
  <c r="AR115" i="49"/>
  <c r="W115" i="49"/>
  <c r="C97" i="49"/>
  <c r="D97" i="49"/>
  <c r="AQ97" i="49"/>
  <c r="G97" i="49"/>
  <c r="W97" i="49"/>
  <c r="Y97" i="49"/>
  <c r="AA97" i="49"/>
  <c r="AJ97" i="49" s="1"/>
  <c r="AB97" i="49"/>
  <c r="D78" i="49"/>
  <c r="W78" i="49"/>
  <c r="AA78" i="49"/>
  <c r="AJ78" i="49" s="1"/>
  <c r="AR78" i="49"/>
  <c r="B78" i="49"/>
  <c r="X78" i="49"/>
  <c r="C78" i="49"/>
  <c r="Y78" i="49"/>
  <c r="E78" i="49"/>
  <c r="F78" i="49"/>
  <c r="AB78" i="49"/>
  <c r="G78" i="49"/>
  <c r="AC78" i="49"/>
  <c r="AK78" i="49" s="1"/>
  <c r="B47" i="49"/>
  <c r="D47" i="49"/>
  <c r="X47" i="49"/>
  <c r="E47" i="49"/>
  <c r="Y47" i="49"/>
  <c r="F47" i="49"/>
  <c r="G47" i="49"/>
  <c r="AR47" i="49"/>
  <c r="W47" i="49"/>
  <c r="AB47" i="49"/>
  <c r="AC47" i="49"/>
  <c r="AK47" i="49" s="1"/>
  <c r="AB114" i="49"/>
  <c r="D114" i="49"/>
  <c r="G114" i="49"/>
  <c r="D77" i="49"/>
  <c r="Y77" i="49"/>
  <c r="Y140" i="49"/>
  <c r="C135" i="49"/>
  <c r="X133" i="49"/>
  <c r="D120" i="49"/>
  <c r="AB116" i="49"/>
  <c r="C116" i="49"/>
  <c r="W116" i="49"/>
  <c r="AR116" i="49"/>
  <c r="D116" i="49"/>
  <c r="X116" i="49"/>
  <c r="D96" i="49"/>
  <c r="B96" i="49"/>
  <c r="X96" i="49"/>
  <c r="AB96" i="49"/>
  <c r="AC96" i="49"/>
  <c r="AK96" i="49" s="1"/>
  <c r="AR96" i="49"/>
  <c r="E79" i="49"/>
  <c r="F79" i="49"/>
  <c r="Y79" i="49"/>
  <c r="AA79" i="49"/>
  <c r="AJ79" i="49" s="1"/>
  <c r="B79" i="49"/>
  <c r="C79" i="49"/>
  <c r="G79" i="49"/>
  <c r="W79" i="49"/>
  <c r="X72" i="49"/>
  <c r="E72" i="49"/>
  <c r="B72" i="49"/>
  <c r="Y72" i="49"/>
  <c r="AC72" i="49"/>
  <c r="AK72" i="49" s="1"/>
  <c r="C69" i="49"/>
  <c r="Y69" i="49"/>
  <c r="B69" i="49"/>
  <c r="AC69" i="49"/>
  <c r="AK69" i="49" s="1"/>
  <c r="AQ69" i="49"/>
  <c r="E69" i="49"/>
  <c r="F69" i="49"/>
  <c r="G69" i="49"/>
  <c r="W69" i="49"/>
  <c r="W59" i="49"/>
  <c r="D59" i="49"/>
  <c r="AA59" i="49"/>
  <c r="AJ59" i="49" s="1"/>
  <c r="AQ59" i="49"/>
  <c r="AB141" i="49"/>
  <c r="AL141" i="49" s="1"/>
  <c r="AQ140" i="49"/>
  <c r="X140" i="49"/>
  <c r="Y139" i="49"/>
  <c r="AG135" i="49"/>
  <c r="D132" i="49"/>
  <c r="G132" i="49"/>
  <c r="AC120" i="49"/>
  <c r="AB88" i="49"/>
  <c r="B88" i="49"/>
  <c r="D88" i="49"/>
  <c r="E88" i="49"/>
  <c r="F88" i="49"/>
  <c r="AR88" i="49"/>
  <c r="X88" i="49"/>
  <c r="AQ78" i="49"/>
  <c r="B64" i="49"/>
  <c r="Y64" i="49"/>
  <c r="AQ64" i="49"/>
  <c r="C64" i="49"/>
  <c r="F64" i="49"/>
  <c r="W64" i="49"/>
  <c r="D135" i="49"/>
  <c r="B120" i="49"/>
  <c r="E120" i="49"/>
  <c r="AA120" i="49"/>
  <c r="AQ120" i="49"/>
  <c r="AC114" i="49"/>
  <c r="B95" i="49"/>
  <c r="C95" i="49"/>
  <c r="Y95" i="49"/>
  <c r="AQ95" i="49"/>
  <c r="G58" i="49"/>
  <c r="D58" i="49"/>
  <c r="X58" i="49"/>
  <c r="AC58" i="49"/>
  <c r="AK58" i="49" s="1"/>
  <c r="AR141" i="49"/>
  <c r="B136" i="49"/>
  <c r="D136" i="49"/>
  <c r="X136" i="49"/>
  <c r="Z136" i="49" s="1"/>
  <c r="AH136" i="49" s="1"/>
  <c r="AC135" i="49"/>
  <c r="AK135" i="49" s="1"/>
  <c r="W134" i="49"/>
  <c r="C133" i="49"/>
  <c r="AC133" i="49"/>
  <c r="AM133" i="49" s="1"/>
  <c r="E131" i="49"/>
  <c r="X131" i="49"/>
  <c r="Y120" i="49"/>
  <c r="AA115" i="49"/>
  <c r="Y114" i="49"/>
  <c r="E104" i="49"/>
  <c r="B104" i="49"/>
  <c r="W104" i="49"/>
  <c r="D104" i="49"/>
  <c r="Y104" i="49"/>
  <c r="AQ104" i="49"/>
  <c r="F104" i="49"/>
  <c r="AR104" i="49"/>
  <c r="G104" i="49"/>
  <c r="AA104" i="49"/>
  <c r="AJ104" i="49" s="1"/>
  <c r="AB104" i="49"/>
  <c r="AL104" i="49" s="1"/>
  <c r="AR97" i="49"/>
  <c r="Y30" i="49"/>
  <c r="B30" i="49"/>
  <c r="X30" i="49"/>
  <c r="AC30" i="49"/>
  <c r="AK30" i="49" s="1"/>
  <c r="AB123" i="49"/>
  <c r="W112" i="49"/>
  <c r="B112" i="49"/>
  <c r="E111" i="49"/>
  <c r="G109" i="49"/>
  <c r="AB108" i="49"/>
  <c r="AL108" i="49" s="1"/>
  <c r="G108" i="49"/>
  <c r="B106" i="49"/>
  <c r="C105" i="49"/>
  <c r="AR103" i="49"/>
  <c r="AB103" i="49"/>
  <c r="E103" i="49"/>
  <c r="W102" i="49"/>
  <c r="B102" i="49"/>
  <c r="AC101" i="49"/>
  <c r="AK101" i="49" s="1"/>
  <c r="B101" i="49"/>
  <c r="E99" i="49"/>
  <c r="F98" i="49"/>
  <c r="AR94" i="49"/>
  <c r="W94" i="49"/>
  <c r="B94" i="49"/>
  <c r="E93" i="49"/>
  <c r="C90" i="49"/>
  <c r="AC84" i="49"/>
  <c r="AK84" i="49" s="1"/>
  <c r="D71" i="49"/>
  <c r="B71" i="49"/>
  <c r="Y71" i="49"/>
  <c r="AQ71" i="49"/>
  <c r="AC68" i="49"/>
  <c r="AK68" i="49" s="1"/>
  <c r="AB63" i="49"/>
  <c r="G60" i="49"/>
  <c r="AA60" i="49"/>
  <c r="AJ60" i="49" s="1"/>
  <c r="C60" i="49"/>
  <c r="W60" i="49"/>
  <c r="B55" i="49"/>
  <c r="AC55" i="49"/>
  <c r="AK55" i="49" s="1"/>
  <c r="E55" i="49"/>
  <c r="X55" i="49"/>
  <c r="AQ38" i="49"/>
  <c r="AB31" i="49"/>
  <c r="D111" i="49"/>
  <c r="AA108" i="49"/>
  <c r="AJ108" i="49" s="1"/>
  <c r="F108" i="49"/>
  <c r="B105" i="49"/>
  <c r="AQ103" i="49"/>
  <c r="AA103" i="49"/>
  <c r="AJ103" i="49" s="1"/>
  <c r="D103" i="49"/>
  <c r="B99" i="49"/>
  <c r="D93" i="49"/>
  <c r="B90" i="49"/>
  <c r="E82" i="49"/>
  <c r="B82" i="49"/>
  <c r="W82" i="49"/>
  <c r="AQ82" i="49"/>
  <c r="G82" i="49"/>
  <c r="AA82" i="49"/>
  <c r="AJ82" i="49" s="1"/>
  <c r="B61" i="49"/>
  <c r="X31" i="49"/>
  <c r="E108" i="49"/>
  <c r="Y103" i="49"/>
  <c r="C103" i="49"/>
  <c r="X82" i="49"/>
  <c r="AR74" i="49"/>
  <c r="G74" i="49"/>
  <c r="F70" i="49"/>
  <c r="C70" i="49"/>
  <c r="Y70" i="49"/>
  <c r="B63" i="49"/>
  <c r="C63" i="49"/>
  <c r="AQ63" i="49"/>
  <c r="G63" i="49"/>
  <c r="AA63" i="49"/>
  <c r="AJ63" i="49" s="1"/>
  <c r="AB62" i="49"/>
  <c r="C33" i="49"/>
  <c r="Y33" i="49"/>
  <c r="AQ33" i="49"/>
  <c r="B32" i="49"/>
  <c r="F32" i="49"/>
  <c r="W32" i="49"/>
  <c r="X32" i="49"/>
  <c r="X100" i="49"/>
  <c r="B84" i="49"/>
  <c r="F84" i="49"/>
  <c r="AQ74" i="49"/>
  <c r="AB74" i="49"/>
  <c r="F74" i="49"/>
  <c r="AA70" i="49"/>
  <c r="AJ70" i="49" s="1"/>
  <c r="Y65" i="49"/>
  <c r="F65" i="49"/>
  <c r="W63" i="49"/>
  <c r="X62" i="49"/>
  <c r="D56" i="49"/>
  <c r="F56" i="49"/>
  <c r="AB54" i="49"/>
  <c r="B51" i="49"/>
  <c r="X51" i="49"/>
  <c r="D51" i="49"/>
  <c r="D50" i="49"/>
  <c r="AC50" i="49"/>
  <c r="AK50" i="49" s="1"/>
  <c r="D48" i="49"/>
  <c r="E48" i="49"/>
  <c r="AC43" i="49"/>
  <c r="AK43" i="49" s="1"/>
  <c r="B43" i="49"/>
  <c r="Y43" i="49"/>
  <c r="AA42" i="49"/>
  <c r="AJ42" i="49" s="1"/>
  <c r="B42" i="49"/>
  <c r="AC42" i="49"/>
  <c r="AK42" i="49" s="1"/>
  <c r="C42" i="49"/>
  <c r="D42" i="49"/>
  <c r="W42" i="49"/>
  <c r="W40" i="49"/>
  <c r="E35" i="49"/>
  <c r="AC35" i="49"/>
  <c r="AK35" i="49" s="1"/>
  <c r="B35" i="49"/>
  <c r="W35" i="49"/>
  <c r="C35" i="49"/>
  <c r="X35" i="49"/>
  <c r="D35" i="49"/>
  <c r="Y35" i="49"/>
  <c r="AQ35" i="49"/>
  <c r="G31" i="49"/>
  <c r="AC118" i="49"/>
  <c r="AB112" i="49"/>
  <c r="AL112" i="49" s="1"/>
  <c r="G112" i="49"/>
  <c r="X108" i="49"/>
  <c r="Z108" i="49" s="1"/>
  <c r="AH108" i="49" s="1"/>
  <c r="AB106" i="49"/>
  <c r="AL106" i="49" s="1"/>
  <c r="W103" i="49"/>
  <c r="AR102" i="49"/>
  <c r="AB102" i="49"/>
  <c r="AB99" i="49"/>
  <c r="AA94" i="49"/>
  <c r="AJ94" i="49" s="1"/>
  <c r="AC92" i="49"/>
  <c r="AK92" i="49" s="1"/>
  <c r="AA90" i="49"/>
  <c r="AJ90" i="49" s="1"/>
  <c r="AA74" i="49"/>
  <c r="AJ74" i="49" s="1"/>
  <c r="C73" i="49"/>
  <c r="Y73" i="49"/>
  <c r="X70" i="49"/>
  <c r="B68" i="49"/>
  <c r="F68" i="49"/>
  <c r="AR68" i="49"/>
  <c r="AC65" i="49"/>
  <c r="AK65" i="49" s="1"/>
  <c r="X56" i="49"/>
  <c r="AB51" i="49"/>
  <c r="AR42" i="49"/>
  <c r="AC36" i="49"/>
  <c r="AK36" i="49" s="1"/>
  <c r="AR54" i="49"/>
  <c r="Y54" i="49"/>
  <c r="AC31" i="49"/>
  <c r="AK31" i="49" s="1"/>
  <c r="B31" i="49"/>
  <c r="W31" i="49"/>
  <c r="D31" i="49"/>
  <c r="Y31" i="49"/>
  <c r="AQ31" i="49"/>
  <c r="E31" i="49"/>
  <c r="AR31" i="49"/>
  <c r="F31" i="49"/>
  <c r="AA31" i="49"/>
  <c r="AJ31" i="49" s="1"/>
  <c r="Y111" i="49"/>
  <c r="E74" i="49"/>
  <c r="D74" i="49"/>
  <c r="Y74" i="49"/>
  <c r="B62" i="49"/>
  <c r="Y62" i="49"/>
  <c r="AQ62" i="49"/>
  <c r="W61" i="49"/>
  <c r="B38" i="49"/>
  <c r="Y80" i="49"/>
  <c r="E49" i="49"/>
  <c r="B46" i="49"/>
  <c r="D45" i="49"/>
  <c r="X37" i="49"/>
  <c r="D37" i="49"/>
  <c r="AR28" i="49"/>
  <c r="Y28" i="49"/>
  <c r="C28" i="49"/>
  <c r="Y26" i="49"/>
  <c r="AC23" i="49"/>
  <c r="AK23" i="49" s="1"/>
  <c r="AR22" i="49"/>
  <c r="AC22" i="49"/>
  <c r="AK22" i="49" s="1"/>
  <c r="D22" i="49"/>
  <c r="E20" i="49"/>
  <c r="F19" i="49"/>
  <c r="AB16" i="49"/>
  <c r="AA13" i="49"/>
  <c r="AJ13" i="49" s="1"/>
  <c r="B12" i="49"/>
  <c r="AR10" i="49"/>
  <c r="AA10" i="49"/>
  <c r="AJ10" i="49" s="1"/>
  <c r="G8" i="49"/>
  <c r="F5" i="49"/>
  <c r="AR26" i="49"/>
  <c r="X26" i="49"/>
  <c r="F25" i="49"/>
  <c r="AQ25" i="49"/>
  <c r="AB23" i="49"/>
  <c r="G23" i="49"/>
  <c r="AQ22" i="49"/>
  <c r="AA22" i="49"/>
  <c r="AJ22" i="49" s="1"/>
  <c r="C22" i="49"/>
  <c r="G21" i="49"/>
  <c r="E19" i="49"/>
  <c r="AA16" i="49"/>
  <c r="AJ16" i="49" s="1"/>
  <c r="G16" i="49"/>
  <c r="E8" i="49"/>
  <c r="E5" i="49"/>
  <c r="AB46" i="49"/>
  <c r="W26" i="49"/>
  <c r="AA23" i="49"/>
  <c r="AJ23" i="49" s="1"/>
  <c r="F23" i="49"/>
  <c r="AQ19" i="49"/>
  <c r="AC19" i="49"/>
  <c r="AK19" i="49" s="1"/>
  <c r="E17" i="49"/>
  <c r="C17" i="49"/>
  <c r="F16" i="49"/>
  <c r="B14" i="49"/>
  <c r="X13" i="49"/>
  <c r="E13" i="49"/>
  <c r="AB13" i="49"/>
  <c r="AR11" i="49"/>
  <c r="F22" i="49"/>
  <c r="E22" i="49"/>
  <c r="AB22" i="49"/>
  <c r="D19" i="49"/>
  <c r="AB19" i="49"/>
  <c r="AB8" i="49"/>
  <c r="D8" i="49"/>
  <c r="X8" i="49"/>
  <c r="C8" i="49"/>
  <c r="F8" i="49"/>
  <c r="AC8" i="49"/>
  <c r="AK8" i="49" s="1"/>
  <c r="X5" i="49"/>
  <c r="D5" i="49"/>
  <c r="W5" i="49"/>
  <c r="AQ5" i="49"/>
  <c r="AB5" i="49"/>
  <c r="G5" i="49"/>
  <c r="AR5" i="49"/>
  <c r="B5" i="49"/>
  <c r="Y5" i="49"/>
  <c r="AB66" i="49"/>
  <c r="G66" i="49"/>
  <c r="X52" i="49"/>
  <c r="F46" i="49"/>
  <c r="AQ41" i="49"/>
  <c r="AC37" i="49"/>
  <c r="AK37" i="49" s="1"/>
  <c r="AQ34" i="49"/>
  <c r="W34" i="49"/>
  <c r="AC28" i="49"/>
  <c r="AK28" i="49" s="1"/>
  <c r="G28" i="49"/>
  <c r="AB27" i="49"/>
  <c r="X23" i="49"/>
  <c r="X22" i="49"/>
  <c r="X19" i="49"/>
  <c r="AR16" i="49"/>
  <c r="X16" i="49"/>
  <c r="B15" i="49"/>
  <c r="D15" i="49"/>
  <c r="AR13" i="49"/>
  <c r="W12" i="49"/>
  <c r="AQ8" i="49"/>
  <c r="Y8" i="49"/>
  <c r="AA5" i="49"/>
  <c r="AJ5" i="49" s="1"/>
  <c r="W19" i="49"/>
  <c r="W8" i="49"/>
  <c r="D26" i="49"/>
  <c r="AB26" i="49"/>
  <c r="E23" i="49"/>
  <c r="Y23" i="49"/>
  <c r="AQ23" i="49"/>
  <c r="C16" i="49"/>
  <c r="D11" i="49"/>
  <c r="B10" i="49"/>
  <c r="AC10" i="49"/>
  <c r="AK10" i="49" s="1"/>
  <c r="B7" i="49"/>
  <c r="AB7" i="49"/>
  <c r="C6" i="49"/>
  <c r="B6" i="49"/>
  <c r="Y6" i="49"/>
  <c r="AC7" i="49"/>
  <c r="AK7" i="49" s="1"/>
  <c r="X6" i="49"/>
  <c r="AQ9" i="49"/>
  <c r="W9" i="49"/>
  <c r="AR4" i="49"/>
  <c r="AB4" i="49"/>
  <c r="D4" i="49"/>
  <c r="W4" i="49"/>
  <c r="F142" i="49"/>
  <c r="G139" i="49"/>
  <c r="W139" i="49"/>
  <c r="AM139" i="49"/>
  <c r="B139" i="49"/>
  <c r="C139" i="49"/>
  <c r="AA139" i="49"/>
  <c r="AJ139" i="49" s="1"/>
  <c r="AQ139" i="49"/>
  <c r="AR140" i="49"/>
  <c r="AQ132" i="49"/>
  <c r="G130" i="49"/>
  <c r="W130" i="49"/>
  <c r="X130" i="49"/>
  <c r="D130" i="49"/>
  <c r="F130" i="49"/>
  <c r="AB130" i="49"/>
  <c r="AL130" i="49" s="1"/>
  <c r="AC130" i="49"/>
  <c r="AK130" i="49" s="1"/>
  <c r="B130" i="49"/>
  <c r="AR130" i="49"/>
  <c r="C130" i="49"/>
  <c r="Y130" i="49"/>
  <c r="X142" i="49"/>
  <c r="C142" i="49"/>
  <c r="AA142" i="49"/>
  <c r="AJ142" i="49" s="1"/>
  <c r="AQ142" i="49"/>
  <c r="D142" i="49"/>
  <c r="AB142" i="49"/>
  <c r="AL142" i="49" s="1"/>
  <c r="AR142" i="49"/>
  <c r="AA130" i="49"/>
  <c r="AJ130" i="49" s="1"/>
  <c r="F127" i="49"/>
  <c r="G127" i="49"/>
  <c r="W127" i="49"/>
  <c r="D127" i="49"/>
  <c r="AB127" i="49"/>
  <c r="AC127" i="49"/>
  <c r="B127" i="49"/>
  <c r="X127" i="49"/>
  <c r="AR127" i="49"/>
  <c r="C127" i="49"/>
  <c r="Y127" i="49"/>
  <c r="Y142" i="49"/>
  <c r="B140" i="49"/>
  <c r="E140" i="49"/>
  <c r="AC140" i="49"/>
  <c r="AM140" i="49" s="1"/>
  <c r="F140" i="49"/>
  <c r="W142" i="49"/>
  <c r="E132" i="49"/>
  <c r="AC132" i="49"/>
  <c r="AM132" i="49" s="1"/>
  <c r="F132" i="49"/>
  <c r="B132" i="49"/>
  <c r="X132" i="49"/>
  <c r="AR132" i="49"/>
  <c r="C132" i="49"/>
  <c r="Y132" i="49"/>
  <c r="AB132" i="49"/>
  <c r="AL132" i="49" s="1"/>
  <c r="B123" i="49"/>
  <c r="C123" i="49"/>
  <c r="AA123" i="49"/>
  <c r="AQ123" i="49"/>
  <c r="G123" i="49"/>
  <c r="W123" i="49"/>
  <c r="Y123" i="49"/>
  <c r="D123" i="49"/>
  <c r="AC123" i="49"/>
  <c r="E123" i="49"/>
  <c r="AR123" i="49"/>
  <c r="F123" i="49"/>
  <c r="X123" i="49"/>
  <c r="E124" i="49"/>
  <c r="AC124" i="49"/>
  <c r="F124" i="49"/>
  <c r="B124" i="49"/>
  <c r="G124" i="49"/>
  <c r="AR124" i="49"/>
  <c r="W124" i="49"/>
  <c r="X124" i="49"/>
  <c r="Y124" i="49"/>
  <c r="C124" i="49"/>
  <c r="AB124" i="49"/>
  <c r="D124" i="49"/>
  <c r="AQ124" i="49"/>
  <c r="X138" i="49"/>
  <c r="F138" i="49"/>
  <c r="AG137" i="49"/>
  <c r="X137" i="49"/>
  <c r="F137" i="49"/>
  <c r="AA135" i="49"/>
  <c r="AJ135" i="49" s="1"/>
  <c r="E135" i="49"/>
  <c r="AR131" i="49"/>
  <c r="Z129" i="49"/>
  <c r="F129" i="49"/>
  <c r="F126" i="49"/>
  <c r="AQ122" i="49"/>
  <c r="E122" i="49"/>
  <c r="E119" i="49"/>
  <c r="W138" i="49"/>
  <c r="E138" i="49"/>
  <c r="W137" i="49"/>
  <c r="AC134" i="49"/>
  <c r="AK134" i="49" s="1"/>
  <c r="G134" i="49"/>
  <c r="Y129" i="49"/>
  <c r="Y126" i="49"/>
  <c r="Z126" i="49" s="1"/>
  <c r="AC122" i="49"/>
  <c r="C118" i="49"/>
  <c r="AA118" i="49"/>
  <c r="AQ118" i="49"/>
  <c r="D118" i="49"/>
  <c r="AB118" i="49"/>
  <c r="AR118" i="49"/>
  <c r="G118" i="49"/>
  <c r="W118" i="49"/>
  <c r="X118" i="49"/>
  <c r="F119" i="49"/>
  <c r="G119" i="49"/>
  <c r="W119" i="49"/>
  <c r="B119" i="49"/>
  <c r="C119" i="49"/>
  <c r="AA119" i="49"/>
  <c r="AQ119" i="49"/>
  <c r="D129" i="49"/>
  <c r="AB129" i="49"/>
  <c r="AR129" i="49"/>
  <c r="E129" i="49"/>
  <c r="AC129" i="49"/>
  <c r="AS129" i="49"/>
  <c r="C126" i="49"/>
  <c r="AA126" i="49"/>
  <c r="AQ126" i="49"/>
  <c r="D126" i="49"/>
  <c r="AB126" i="49"/>
  <c r="AR126" i="49"/>
  <c r="G122" i="49"/>
  <c r="W122" i="49"/>
  <c r="X122" i="49"/>
  <c r="D122" i="49"/>
  <c r="AB122" i="49"/>
  <c r="AR122" i="49"/>
  <c r="AR138" i="49"/>
  <c r="AB138" i="49"/>
  <c r="AL138" i="49" s="1"/>
  <c r="E137" i="49"/>
  <c r="AC137" i="49"/>
  <c r="AM137" i="49" s="1"/>
  <c r="F135" i="49"/>
  <c r="G135" i="49"/>
  <c r="W135" i="49"/>
  <c r="X134" i="49"/>
  <c r="AB131" i="49"/>
  <c r="AL131" i="49" s="1"/>
  <c r="F131" i="49"/>
  <c r="AP129" i="49"/>
  <c r="V129" i="49"/>
  <c r="Y122" i="49"/>
  <c r="AC119" i="49"/>
  <c r="C134" i="49"/>
  <c r="AA134" i="49"/>
  <c r="AJ134" i="49" s="1"/>
  <c r="AQ134" i="49"/>
  <c r="D134" i="49"/>
  <c r="AB134" i="49"/>
  <c r="AL134" i="49" s="1"/>
  <c r="AR134" i="49"/>
  <c r="Y131" i="49"/>
  <c r="AR119" i="49"/>
  <c r="AB119" i="49"/>
  <c r="Y119" i="49"/>
  <c r="B131" i="49"/>
  <c r="C131" i="49"/>
  <c r="AA131" i="49"/>
  <c r="AJ131" i="49" s="1"/>
  <c r="AQ131" i="49"/>
  <c r="AM129" i="49"/>
  <c r="AA129" i="49"/>
  <c r="G129" i="49"/>
  <c r="AC126" i="49"/>
  <c r="G126" i="49"/>
  <c r="F122" i="49"/>
  <c r="X119" i="49"/>
  <c r="D117" i="49"/>
  <c r="AB117" i="49"/>
  <c r="AC115" i="49"/>
  <c r="C114" i="49"/>
  <c r="AA114" i="49"/>
  <c r="AQ114" i="49"/>
  <c r="X113" i="49"/>
  <c r="X111" i="49"/>
  <c r="E110" i="49"/>
  <c r="G105" i="49"/>
  <c r="X105" i="49"/>
  <c r="Z105" i="49" s="1"/>
  <c r="AE105" i="49" s="1"/>
  <c r="D105" i="49"/>
  <c r="AB105" i="49"/>
  <c r="AL105" i="49" s="1"/>
  <c r="AR105" i="49"/>
  <c r="C100" i="49"/>
  <c r="AA100" i="49"/>
  <c r="AJ100" i="49" s="1"/>
  <c r="AQ100" i="49"/>
  <c r="D100" i="49"/>
  <c r="E100" i="49"/>
  <c r="W100" i="49"/>
  <c r="AB100" i="49"/>
  <c r="F115" i="49"/>
  <c r="B111" i="49"/>
  <c r="F111" i="49"/>
  <c r="Y110" i="49"/>
  <c r="G110" i="49"/>
  <c r="W110" i="49"/>
  <c r="C110" i="49"/>
  <c r="AA110" i="49"/>
  <c r="AJ110" i="49" s="1"/>
  <c r="AQ110" i="49"/>
  <c r="AP128" i="49"/>
  <c r="Z128" i="49"/>
  <c r="AC121" i="49"/>
  <c r="E121" i="49"/>
  <c r="Z120" i="49"/>
  <c r="X117" i="49"/>
  <c r="F117" i="49"/>
  <c r="AQ115" i="49"/>
  <c r="Y115" i="49"/>
  <c r="G115" i="49"/>
  <c r="X114" i="49"/>
  <c r="F114" i="49"/>
  <c r="W113" i="49"/>
  <c r="E113" i="49"/>
  <c r="AC111" i="49"/>
  <c r="AK111" i="49" s="1"/>
  <c r="W109" i="49"/>
  <c r="E106" i="49"/>
  <c r="AC105" i="49"/>
  <c r="AK105" i="49" s="1"/>
  <c r="F105" i="49"/>
  <c r="AC100" i="49"/>
  <c r="AK100" i="49" s="1"/>
  <c r="AR121" i="49"/>
  <c r="AB121" i="49"/>
  <c r="W117" i="49"/>
  <c r="E117" i="49"/>
  <c r="X115" i="49"/>
  <c r="E115" i="49"/>
  <c r="W114" i="49"/>
  <c r="E114" i="49"/>
  <c r="D113" i="49"/>
  <c r="AB111" i="49"/>
  <c r="AL111" i="49" s="1"/>
  <c r="G111" i="49"/>
  <c r="D109" i="49"/>
  <c r="AB109" i="49"/>
  <c r="AL109" i="49" s="1"/>
  <c r="AR109" i="49"/>
  <c r="X109" i="49"/>
  <c r="F107" i="49"/>
  <c r="B107" i="49"/>
  <c r="Z107" i="49"/>
  <c r="AE107" i="49" s="1"/>
  <c r="Y106" i="49"/>
  <c r="AA105" i="49"/>
  <c r="AJ105" i="49" s="1"/>
  <c r="E105" i="49"/>
  <c r="AR100" i="49"/>
  <c r="Y100" i="49"/>
  <c r="G100" i="49"/>
  <c r="AB110" i="49"/>
  <c r="AL110" i="49" s="1"/>
  <c r="F110" i="49"/>
  <c r="C106" i="49"/>
  <c r="AA106" i="49"/>
  <c r="AJ106" i="49" s="1"/>
  <c r="AQ106" i="49"/>
  <c r="G106" i="49"/>
  <c r="W106" i="49"/>
  <c r="F103" i="49"/>
  <c r="F101" i="49"/>
  <c r="AA99" i="49"/>
  <c r="AJ99" i="49" s="1"/>
  <c r="AC97" i="49"/>
  <c r="AK97" i="49" s="1"/>
  <c r="W95" i="49"/>
  <c r="X93" i="49"/>
  <c r="E92" i="49"/>
  <c r="Y89" i="49"/>
  <c r="D89" i="49"/>
  <c r="E85" i="49"/>
  <c r="AC81" i="49"/>
  <c r="AK81" i="49" s="1"/>
  <c r="E77" i="49"/>
  <c r="AR99" i="49"/>
  <c r="G99" i="49"/>
  <c r="X95" i="49"/>
  <c r="D95" i="49"/>
  <c r="AB95" i="49"/>
  <c r="AR95" i="49"/>
  <c r="B93" i="49"/>
  <c r="F93" i="49"/>
  <c r="Y92" i="49"/>
  <c r="X89" i="49"/>
  <c r="AC87" i="49"/>
  <c r="AK87" i="49" s="1"/>
  <c r="G87" i="49"/>
  <c r="D84" i="49"/>
  <c r="AB84" i="49"/>
  <c r="AR84" i="49"/>
  <c r="G84" i="49"/>
  <c r="W84" i="49"/>
  <c r="X84" i="49"/>
  <c r="C84" i="49"/>
  <c r="AA84" i="49"/>
  <c r="AJ84" i="49" s="1"/>
  <c r="AQ84" i="49"/>
  <c r="AR81" i="49"/>
  <c r="AB81" i="49"/>
  <c r="D76" i="49"/>
  <c r="AB76" i="49"/>
  <c r="AR76" i="49"/>
  <c r="G76" i="49"/>
  <c r="W76" i="49"/>
  <c r="X76" i="49"/>
  <c r="C76" i="49"/>
  <c r="AA76" i="49"/>
  <c r="AJ76" i="49" s="1"/>
  <c r="AQ76" i="49"/>
  <c r="F89" i="49"/>
  <c r="B89" i="49"/>
  <c r="AA87" i="49"/>
  <c r="AJ87" i="49" s="1"/>
  <c r="F87" i="49"/>
  <c r="G85" i="49"/>
  <c r="W85" i="49"/>
  <c r="B85" i="49"/>
  <c r="C85" i="49"/>
  <c r="AA85" i="49"/>
  <c r="AJ85" i="49" s="1"/>
  <c r="AQ85" i="49"/>
  <c r="F85" i="49"/>
  <c r="Y81" i="49"/>
  <c r="G77" i="49"/>
  <c r="W77" i="49"/>
  <c r="B77" i="49"/>
  <c r="C77" i="49"/>
  <c r="AA77" i="49"/>
  <c r="AJ77" i="49" s="1"/>
  <c r="AQ77" i="49"/>
  <c r="F77" i="49"/>
  <c r="G92" i="49"/>
  <c r="W92" i="49"/>
  <c r="C92" i="49"/>
  <c r="AA92" i="49"/>
  <c r="AJ92" i="49" s="1"/>
  <c r="AQ92" i="49"/>
  <c r="AQ89" i="49"/>
  <c r="E87" i="49"/>
  <c r="X81" i="49"/>
  <c r="AC112" i="49"/>
  <c r="AK112" i="49" s="1"/>
  <c r="AC104" i="49"/>
  <c r="AK104" i="49" s="1"/>
  <c r="X101" i="49"/>
  <c r="Z101" i="49" s="1"/>
  <c r="E101" i="49"/>
  <c r="D99" i="49"/>
  <c r="X97" i="49"/>
  <c r="E96" i="49"/>
  <c r="AC95" i="49"/>
  <c r="AK95" i="49" s="1"/>
  <c r="G95" i="49"/>
  <c r="AC93" i="49"/>
  <c r="AK93" i="49" s="1"/>
  <c r="W91" i="49"/>
  <c r="C88" i="49"/>
  <c r="AA88" i="49"/>
  <c r="AJ88" i="49" s="1"/>
  <c r="AQ88" i="49"/>
  <c r="G88" i="49"/>
  <c r="W88" i="49"/>
  <c r="Y87" i="49"/>
  <c r="C87" i="49"/>
  <c r="AC85" i="49"/>
  <c r="AK85" i="49" s="1"/>
  <c r="E81" i="49"/>
  <c r="AC77" i="49"/>
  <c r="AK77" i="49" s="1"/>
  <c r="F97" i="49"/>
  <c r="B97" i="49"/>
  <c r="Y96" i="49"/>
  <c r="AA95" i="49"/>
  <c r="AJ95" i="49" s="1"/>
  <c r="F95" i="49"/>
  <c r="AB93" i="49"/>
  <c r="G93" i="49"/>
  <c r="D91" i="49"/>
  <c r="AB91" i="49"/>
  <c r="AR91" i="49"/>
  <c r="X91" i="49"/>
  <c r="AC89" i="49"/>
  <c r="AK89" i="49" s="1"/>
  <c r="W87" i="49"/>
  <c r="AR85" i="49"/>
  <c r="AB85" i="49"/>
  <c r="Y84" i="49"/>
  <c r="X80" i="49"/>
  <c r="C80" i="49"/>
  <c r="AA80" i="49"/>
  <c r="AJ80" i="49" s="1"/>
  <c r="AQ80" i="49"/>
  <c r="D80" i="49"/>
  <c r="AB80" i="49"/>
  <c r="AR80" i="49"/>
  <c r="G80" i="49"/>
  <c r="W80" i="49"/>
  <c r="AR77" i="49"/>
  <c r="AB77" i="49"/>
  <c r="Y76" i="49"/>
  <c r="X87" i="49"/>
  <c r="D87" i="49"/>
  <c r="AB87" i="49"/>
  <c r="AR87" i="49"/>
  <c r="Y85" i="49"/>
  <c r="C81" i="49"/>
  <c r="AA81" i="49"/>
  <c r="AJ81" i="49" s="1"/>
  <c r="AQ81" i="49"/>
  <c r="F81" i="49"/>
  <c r="G81" i="49"/>
  <c r="W81" i="49"/>
  <c r="B81" i="49"/>
  <c r="X99" i="49"/>
  <c r="C96" i="49"/>
  <c r="AA96" i="49"/>
  <c r="AJ96" i="49" s="1"/>
  <c r="AQ96" i="49"/>
  <c r="G96" i="49"/>
  <c r="W96" i="49"/>
  <c r="AB92" i="49"/>
  <c r="F92" i="49"/>
  <c r="AA89" i="49"/>
  <c r="AJ89" i="49" s="1"/>
  <c r="E89" i="49"/>
  <c r="X85" i="49"/>
  <c r="X77" i="49"/>
  <c r="AC98" i="49"/>
  <c r="AK98" i="49" s="1"/>
  <c r="AC90" i="49"/>
  <c r="AK90" i="49" s="1"/>
  <c r="X83" i="49"/>
  <c r="AC82" i="49"/>
  <c r="AK82" i="49" s="1"/>
  <c r="AR79" i="49"/>
  <c r="AB79" i="49"/>
  <c r="D79" i="49"/>
  <c r="X75" i="49"/>
  <c r="AC74" i="49"/>
  <c r="AK74" i="49" s="1"/>
  <c r="B73" i="49"/>
  <c r="W72" i="49"/>
  <c r="G72" i="49"/>
  <c r="AR71" i="49"/>
  <c r="AA71" i="49"/>
  <c r="AJ71" i="49" s="1"/>
  <c r="Y67" i="49"/>
  <c r="B44" i="49"/>
  <c r="C44" i="49"/>
  <c r="AA44" i="49"/>
  <c r="AJ44" i="49" s="1"/>
  <c r="AQ44" i="49"/>
  <c r="D44" i="49"/>
  <c r="X44" i="49"/>
  <c r="E44" i="49"/>
  <c r="Y44" i="49"/>
  <c r="AR44" i="49"/>
  <c r="F44" i="49"/>
  <c r="AB44" i="49"/>
  <c r="G44" i="49"/>
  <c r="AC44" i="49"/>
  <c r="AK44" i="49" s="1"/>
  <c r="X67" i="49"/>
  <c r="X73" i="49"/>
  <c r="W67" i="49"/>
  <c r="G67" i="49"/>
  <c r="W73" i="49"/>
  <c r="G73" i="49"/>
  <c r="AR72" i="49"/>
  <c r="AB72" i="49"/>
  <c r="D72" i="49"/>
  <c r="E67" i="49"/>
  <c r="E59" i="49"/>
  <c r="AC59" i="49"/>
  <c r="AK59" i="49" s="1"/>
  <c r="F59" i="49"/>
  <c r="AB59" i="49"/>
  <c r="B59" i="49"/>
  <c r="X59" i="49"/>
  <c r="AR59" i="49"/>
  <c r="C59" i="49"/>
  <c r="Y59" i="49"/>
  <c r="AA57" i="49"/>
  <c r="AJ57" i="49" s="1"/>
  <c r="E57" i="49"/>
  <c r="AR83" i="49"/>
  <c r="AB83" i="49"/>
  <c r="X79" i="49"/>
  <c r="AR75" i="49"/>
  <c r="AB75" i="49"/>
  <c r="F73" i="49"/>
  <c r="AQ72" i="49"/>
  <c r="AA72" i="49"/>
  <c r="AJ72" i="49" s="1"/>
  <c r="C72" i="49"/>
  <c r="G70" i="49"/>
  <c r="B70" i="49"/>
  <c r="AB70" i="49"/>
  <c r="AR70" i="49"/>
  <c r="B58" i="49"/>
  <c r="C58" i="49"/>
  <c r="AA58" i="49"/>
  <c r="AJ58" i="49" s="1"/>
  <c r="AQ58" i="49"/>
  <c r="AR58" i="49"/>
  <c r="E58" i="49"/>
  <c r="Y58" i="49"/>
  <c r="F58" i="49"/>
  <c r="AB58" i="49"/>
  <c r="B54" i="49"/>
  <c r="C54" i="49"/>
  <c r="AA54" i="49"/>
  <c r="AJ54" i="49" s="1"/>
  <c r="AQ54" i="49"/>
  <c r="F54" i="49"/>
  <c r="G54" i="49"/>
  <c r="W54" i="49"/>
  <c r="E54" i="49"/>
  <c r="X54" i="49"/>
  <c r="AC54" i="49"/>
  <c r="AK54" i="49" s="1"/>
  <c r="F67" i="49"/>
  <c r="B67" i="49"/>
  <c r="AC67" i="49"/>
  <c r="AK67" i="49" s="1"/>
  <c r="C67" i="49"/>
  <c r="AR67" i="49"/>
  <c r="G57" i="49"/>
  <c r="W57" i="49"/>
  <c r="X57" i="49"/>
  <c r="B57" i="49"/>
  <c r="AR57" i="49"/>
  <c r="C57" i="49"/>
  <c r="Y57" i="49"/>
  <c r="F57" i="49"/>
  <c r="AB57" i="49"/>
  <c r="AC57" i="49"/>
  <c r="AK57" i="49" s="1"/>
  <c r="AR73" i="49"/>
  <c r="AB73" i="49"/>
  <c r="D73" i="49"/>
  <c r="AQ67" i="49"/>
  <c r="AB67" i="49"/>
  <c r="AC79" i="49"/>
  <c r="AK79" i="49" s="1"/>
  <c r="AQ73" i="49"/>
  <c r="AA73" i="49"/>
  <c r="AJ73" i="49" s="1"/>
  <c r="G71" i="49"/>
  <c r="W71" i="49"/>
  <c r="AA67" i="49"/>
  <c r="AJ67" i="49" s="1"/>
  <c r="G53" i="49"/>
  <c r="W53" i="49"/>
  <c r="X53" i="49"/>
  <c r="C53" i="49"/>
  <c r="AA53" i="49"/>
  <c r="AJ53" i="49" s="1"/>
  <c r="AQ53" i="49"/>
  <c r="D53" i="49"/>
  <c r="AB53" i="49"/>
  <c r="AR53" i="49"/>
  <c r="B53" i="49"/>
  <c r="E53" i="49"/>
  <c r="AC53" i="49"/>
  <c r="AK53" i="49" s="1"/>
  <c r="G65" i="49"/>
  <c r="W65" i="49"/>
  <c r="X65" i="49"/>
  <c r="X64" i="49"/>
  <c r="F62" i="49"/>
  <c r="G62" i="49"/>
  <c r="W62" i="49"/>
  <c r="X61" i="49"/>
  <c r="C49" i="49"/>
  <c r="AA49" i="49"/>
  <c r="AJ49" i="49" s="1"/>
  <c r="AQ49" i="49"/>
  <c r="D49" i="49"/>
  <c r="AB49" i="49"/>
  <c r="AR49" i="49"/>
  <c r="G49" i="49"/>
  <c r="W49" i="49"/>
  <c r="X49" i="49"/>
  <c r="D64" i="49"/>
  <c r="AB64" i="49"/>
  <c r="AR64" i="49"/>
  <c r="E64" i="49"/>
  <c r="AC64" i="49"/>
  <c r="AK64" i="49" s="1"/>
  <c r="C61" i="49"/>
  <c r="AA61" i="49"/>
  <c r="AJ61" i="49" s="1"/>
  <c r="AQ61" i="49"/>
  <c r="D61" i="49"/>
  <c r="AB61" i="49"/>
  <c r="AR61" i="49"/>
  <c r="F50" i="49"/>
  <c r="G50" i="49"/>
  <c r="W50" i="49"/>
  <c r="B50" i="49"/>
  <c r="C50" i="49"/>
  <c r="AA50" i="49"/>
  <c r="AJ50" i="49" s="1"/>
  <c r="AQ50" i="49"/>
  <c r="AQ48" i="49"/>
  <c r="AA48" i="49"/>
  <c r="AJ48" i="49" s="1"/>
  <c r="W41" i="49"/>
  <c r="D69" i="49"/>
  <c r="AB69" i="49"/>
  <c r="AR69" i="49"/>
  <c r="AA65" i="49"/>
  <c r="AJ65" i="49" s="1"/>
  <c r="E65" i="49"/>
  <c r="AA62" i="49"/>
  <c r="AJ62" i="49" s="1"/>
  <c r="E62" i="49"/>
  <c r="AR50" i="49"/>
  <c r="AB50" i="49"/>
  <c r="Y49" i="49"/>
  <c r="B40" i="49"/>
  <c r="C40" i="49"/>
  <c r="AA40" i="49"/>
  <c r="AJ40" i="49" s="1"/>
  <c r="AQ40" i="49"/>
  <c r="AR40" i="49"/>
  <c r="Y40" i="49"/>
  <c r="AB40" i="49"/>
  <c r="E40" i="49"/>
  <c r="F40" i="49"/>
  <c r="C66" i="49"/>
  <c r="AA66" i="49"/>
  <c r="AJ66" i="49" s="1"/>
  <c r="AQ66" i="49"/>
  <c r="D65" i="49"/>
  <c r="AA64" i="49"/>
  <c r="AJ64" i="49" s="1"/>
  <c r="G64" i="49"/>
  <c r="D62" i="49"/>
  <c r="AC61" i="49"/>
  <c r="AK61" i="49" s="1"/>
  <c r="G61" i="49"/>
  <c r="F48" i="49"/>
  <c r="G48" i="49"/>
  <c r="X48" i="49"/>
  <c r="Y48" i="49"/>
  <c r="B48" i="49"/>
  <c r="AB48" i="49"/>
  <c r="AR48" i="49"/>
  <c r="C48" i="49"/>
  <c r="AC48" i="49"/>
  <c r="AK48" i="49" s="1"/>
  <c r="X40" i="49"/>
  <c r="F36" i="49"/>
  <c r="G36" i="49"/>
  <c r="W36" i="49"/>
  <c r="B36" i="49"/>
  <c r="X36" i="49"/>
  <c r="AR36" i="49"/>
  <c r="C36" i="49"/>
  <c r="Y36" i="49"/>
  <c r="D36" i="49"/>
  <c r="E36" i="49"/>
  <c r="AA36" i="49"/>
  <c r="AJ36" i="49" s="1"/>
  <c r="C43" i="49"/>
  <c r="D43" i="49"/>
  <c r="G43" i="49"/>
  <c r="W43" i="49"/>
  <c r="X43" i="49"/>
  <c r="AQ43" i="49"/>
  <c r="AR43" i="49"/>
  <c r="E43" i="49"/>
  <c r="AA43" i="49"/>
  <c r="AJ43" i="49" s="1"/>
  <c r="F43" i="49"/>
  <c r="AB43" i="49"/>
  <c r="E41" i="49"/>
  <c r="AC41" i="49"/>
  <c r="AK41" i="49" s="1"/>
  <c r="F41" i="49"/>
  <c r="AB41" i="49"/>
  <c r="X41" i="49"/>
  <c r="Y41" i="49"/>
  <c r="B41" i="49"/>
  <c r="AR41" i="49"/>
  <c r="C41" i="49"/>
  <c r="AB36" i="49"/>
  <c r="AC56" i="49"/>
  <c r="AK56" i="49" s="1"/>
  <c r="E56" i="49"/>
  <c r="F51" i="49"/>
  <c r="AR45" i="49"/>
  <c r="X45" i="49"/>
  <c r="X38" i="49"/>
  <c r="Y29" i="49"/>
  <c r="E29" i="49"/>
  <c r="AR56" i="49"/>
  <c r="AB56" i="49"/>
  <c r="AC51" i="49"/>
  <c r="AK51" i="49" s="1"/>
  <c r="E51" i="49"/>
  <c r="C47" i="49"/>
  <c r="AA47" i="49"/>
  <c r="AJ47" i="49" s="1"/>
  <c r="AQ47" i="49"/>
  <c r="E45" i="49"/>
  <c r="AC45" i="49"/>
  <c r="AK45" i="49" s="1"/>
  <c r="F45" i="49"/>
  <c r="W38" i="49"/>
  <c r="B34" i="49"/>
  <c r="AA34" i="49"/>
  <c r="AJ34" i="49" s="1"/>
  <c r="AB34" i="49"/>
  <c r="G34" i="49"/>
  <c r="AR34" i="49"/>
  <c r="AB33" i="49"/>
  <c r="X29" i="49"/>
  <c r="G25" i="49"/>
  <c r="W25" i="49"/>
  <c r="X25" i="49"/>
  <c r="B25" i="49"/>
  <c r="Y25" i="49"/>
  <c r="E25" i="49"/>
  <c r="AR25" i="49"/>
  <c r="C25" i="49"/>
  <c r="AB25" i="49"/>
  <c r="D25" i="49"/>
  <c r="AC25" i="49"/>
  <c r="AK25" i="49" s="1"/>
  <c r="C29" i="49"/>
  <c r="AA29" i="49"/>
  <c r="AJ29" i="49" s="1"/>
  <c r="AQ29" i="49"/>
  <c r="D29" i="49"/>
  <c r="AB29" i="49"/>
  <c r="AR29" i="49"/>
  <c r="F29" i="49"/>
  <c r="G29" i="49"/>
  <c r="W29" i="49"/>
  <c r="D24" i="49"/>
  <c r="AB24" i="49"/>
  <c r="AR24" i="49"/>
  <c r="E24" i="49"/>
  <c r="AC24" i="49"/>
  <c r="AK24" i="49" s="1"/>
  <c r="G24" i="49"/>
  <c r="W24" i="49"/>
  <c r="F24" i="49"/>
  <c r="AQ24" i="49"/>
  <c r="Y24" i="49"/>
  <c r="B24" i="49"/>
  <c r="AA24" i="49"/>
  <c r="AJ24" i="49" s="1"/>
  <c r="C24" i="49"/>
  <c r="X24" i="49"/>
  <c r="G39" i="49"/>
  <c r="W39" i="49"/>
  <c r="X39" i="49"/>
  <c r="B39" i="49"/>
  <c r="AR39" i="49"/>
  <c r="C39" i="49"/>
  <c r="Y39" i="49"/>
  <c r="F33" i="49"/>
  <c r="D38" i="49"/>
  <c r="AB38" i="49"/>
  <c r="AR38" i="49"/>
  <c r="E38" i="49"/>
  <c r="AC38" i="49"/>
  <c r="AK38" i="49" s="1"/>
  <c r="C38" i="49"/>
  <c r="Y38" i="49"/>
  <c r="F38" i="49"/>
  <c r="E27" i="49"/>
  <c r="AC27" i="49"/>
  <c r="AK27" i="49" s="1"/>
  <c r="F27" i="49"/>
  <c r="X27" i="49"/>
  <c r="D27" i="49"/>
  <c r="AQ27" i="49"/>
  <c r="W27" i="49"/>
  <c r="B27" i="49"/>
  <c r="Y27" i="49"/>
  <c r="AC29" i="49"/>
  <c r="AK29" i="49" s="1"/>
  <c r="G33" i="49"/>
  <c r="W33" i="49"/>
  <c r="AR33" i="49"/>
  <c r="AA33" i="49"/>
  <c r="AJ33" i="49" s="1"/>
  <c r="D33" i="49"/>
  <c r="AC33" i="49"/>
  <c r="AK33" i="49" s="1"/>
  <c r="E33" i="49"/>
  <c r="F30" i="49"/>
  <c r="G30" i="49"/>
  <c r="W30" i="49"/>
  <c r="E30" i="49"/>
  <c r="AA30" i="49"/>
  <c r="AJ30" i="49" s="1"/>
  <c r="AB30" i="49"/>
  <c r="C30" i="49"/>
  <c r="AQ30" i="49"/>
  <c r="D30" i="49"/>
  <c r="AR30" i="49"/>
  <c r="AA32" i="49"/>
  <c r="AJ32" i="49" s="1"/>
  <c r="D32" i="49"/>
  <c r="AB32" i="49"/>
  <c r="AR32" i="49"/>
  <c r="G32" i="49"/>
  <c r="Y32" i="49"/>
  <c r="AQ32" i="49"/>
  <c r="Y21" i="49"/>
  <c r="B26" i="49"/>
  <c r="C26" i="49"/>
  <c r="AA26" i="49"/>
  <c r="AJ26" i="49" s="1"/>
  <c r="AQ26" i="49"/>
  <c r="E26" i="49"/>
  <c r="AC26" i="49"/>
  <c r="AK26" i="49" s="1"/>
  <c r="B21" i="49"/>
  <c r="C21" i="49"/>
  <c r="AA21" i="49"/>
  <c r="AJ21" i="49" s="1"/>
  <c r="AQ21" i="49"/>
  <c r="D21" i="49"/>
  <c r="AB21" i="49"/>
  <c r="AR21" i="49"/>
  <c r="E21" i="49"/>
  <c r="AC21" i="49"/>
  <c r="AK21" i="49" s="1"/>
  <c r="F21" i="49"/>
  <c r="AQ20" i="49"/>
  <c r="AA20" i="49"/>
  <c r="AJ20" i="49" s="1"/>
  <c r="B20" i="49"/>
  <c r="B19" i="49"/>
  <c r="G18" i="49"/>
  <c r="W18" i="49"/>
  <c r="AA17" i="49"/>
  <c r="AJ17" i="49" s="1"/>
  <c r="AA15" i="49"/>
  <c r="AJ15" i="49" s="1"/>
  <c r="E15" i="49"/>
  <c r="AA12" i="49"/>
  <c r="AJ12" i="49" s="1"/>
  <c r="G12" i="49"/>
  <c r="G10" i="49"/>
  <c r="W10" i="49"/>
  <c r="X10" i="49"/>
  <c r="X9" i="49"/>
  <c r="AA7" i="49"/>
  <c r="AJ7" i="49" s="1"/>
  <c r="E7" i="49"/>
  <c r="AC14" i="49"/>
  <c r="AK14" i="49" s="1"/>
  <c r="G14" i="49"/>
  <c r="AC11" i="49"/>
  <c r="AK11" i="49" s="1"/>
  <c r="G11" i="49"/>
  <c r="D9" i="49"/>
  <c r="AB9" i="49"/>
  <c r="AR9" i="49"/>
  <c r="E9" i="49"/>
  <c r="AC9" i="49"/>
  <c r="AK9" i="49" s="1"/>
  <c r="W22" i="49"/>
  <c r="G22" i="49"/>
  <c r="Y20" i="49"/>
  <c r="AQ17" i="49"/>
  <c r="Y17" i="49"/>
  <c r="G17" i="49"/>
  <c r="F14" i="49"/>
  <c r="AB11" i="49"/>
  <c r="F11" i="49"/>
  <c r="X20" i="49"/>
  <c r="AR19" i="49"/>
  <c r="Y19" i="49"/>
  <c r="G19" i="49"/>
  <c r="AQ18" i="49"/>
  <c r="Y18" i="49"/>
  <c r="F18" i="49"/>
  <c r="X17" i="49"/>
  <c r="F17" i="49"/>
  <c r="AR15" i="49"/>
  <c r="X15" i="49"/>
  <c r="Y14" i="49"/>
  <c r="E14" i="49"/>
  <c r="AR12" i="49"/>
  <c r="X12" i="49"/>
  <c r="Y11" i="49"/>
  <c r="E11" i="49"/>
  <c r="AB10" i="49"/>
  <c r="F10" i="49"/>
  <c r="AR7" i="49"/>
  <c r="X7" i="49"/>
  <c r="W20" i="49"/>
  <c r="G20" i="49"/>
  <c r="W17" i="49"/>
  <c r="F15" i="49"/>
  <c r="G15" i="49"/>
  <c r="W15" i="49"/>
  <c r="X14" i="49"/>
  <c r="E12" i="49"/>
  <c r="AC12" i="49"/>
  <c r="AK12" i="49" s="1"/>
  <c r="F12" i="49"/>
  <c r="X11" i="49"/>
  <c r="F7" i="49"/>
  <c r="G7" i="49"/>
  <c r="W7" i="49"/>
  <c r="C14" i="49"/>
  <c r="AA14" i="49"/>
  <c r="AJ14" i="49" s="1"/>
  <c r="AQ14" i="49"/>
  <c r="D14" i="49"/>
  <c r="AB14" i="49"/>
  <c r="AR14" i="49"/>
  <c r="B11" i="49"/>
  <c r="C11" i="49"/>
  <c r="AA11" i="49"/>
  <c r="AJ11" i="49" s="1"/>
  <c r="AQ11" i="49"/>
  <c r="D17" i="49"/>
  <c r="AB17" i="49"/>
  <c r="AR17" i="49"/>
  <c r="AR6" i="49"/>
  <c r="AB6" i="49"/>
  <c r="D6" i="49"/>
  <c r="F4" i="49"/>
  <c r="AQ6" i="49"/>
  <c r="AA6" i="49"/>
  <c r="AJ6" i="49" s="1"/>
  <c r="AC4" i="49"/>
  <c r="AK4" i="49" s="1"/>
  <c r="E4" i="49"/>
  <c r="AQ4" i="49"/>
  <c r="AA4" i="49"/>
  <c r="AJ4" i="49" s="1"/>
  <c r="Y140" i="47"/>
  <c r="G140" i="47"/>
  <c r="W140" i="47"/>
  <c r="X140" i="47"/>
  <c r="B140" i="47"/>
  <c r="AR140" i="47"/>
  <c r="D140" i="47"/>
  <c r="E140" i="47"/>
  <c r="AA140" i="47"/>
  <c r="AJ140" i="47" s="1"/>
  <c r="F140" i="47"/>
  <c r="AB140" i="47"/>
  <c r="AL140" i="47" s="1"/>
  <c r="AC140" i="47"/>
  <c r="Y142" i="47"/>
  <c r="C142" i="47"/>
  <c r="AB141" i="47"/>
  <c r="AL141" i="47" s="1"/>
  <c r="F141" i="47"/>
  <c r="Y137" i="47"/>
  <c r="C137" i="47"/>
  <c r="F136" i="47"/>
  <c r="Y134" i="47"/>
  <c r="C134" i="47"/>
  <c r="AB133" i="47"/>
  <c r="AL133" i="47" s="1"/>
  <c r="F133" i="47"/>
  <c r="AC132" i="47"/>
  <c r="Y129" i="47"/>
  <c r="C129" i="47"/>
  <c r="F128" i="47"/>
  <c r="Y126" i="47"/>
  <c r="C126" i="47"/>
  <c r="W124" i="47"/>
  <c r="Z124" i="47" s="1"/>
  <c r="F123" i="47"/>
  <c r="AB122" i="47"/>
  <c r="C122" i="47"/>
  <c r="W121" i="47"/>
  <c r="F119" i="47"/>
  <c r="G119" i="47"/>
  <c r="W119" i="47"/>
  <c r="D119" i="47"/>
  <c r="E119" i="47"/>
  <c r="AA119" i="47"/>
  <c r="AB119" i="47"/>
  <c r="AR142" i="47"/>
  <c r="X142" i="47"/>
  <c r="Y141" i="47"/>
  <c r="Z141" i="47" s="1"/>
  <c r="AR137" i="47"/>
  <c r="X137" i="47"/>
  <c r="Y136" i="47"/>
  <c r="AR134" i="47"/>
  <c r="X134" i="47"/>
  <c r="Y133" i="47"/>
  <c r="Z133" i="47" s="1"/>
  <c r="AB132" i="47"/>
  <c r="AL132" i="47" s="1"/>
  <c r="F132" i="47"/>
  <c r="AR129" i="47"/>
  <c r="X129" i="47"/>
  <c r="Y128" i="47"/>
  <c r="Z128" i="47" s="1"/>
  <c r="AR126" i="47"/>
  <c r="X126" i="47"/>
  <c r="E123" i="47"/>
  <c r="AA122" i="47"/>
  <c r="Y118" i="47"/>
  <c r="AA116" i="47"/>
  <c r="X108" i="47"/>
  <c r="E142" i="47"/>
  <c r="AC142" i="47"/>
  <c r="F142" i="47"/>
  <c r="F137" i="47"/>
  <c r="G137" i="47"/>
  <c r="W137" i="47"/>
  <c r="E134" i="47"/>
  <c r="AC134" i="47"/>
  <c r="F134" i="47"/>
  <c r="AA132" i="47"/>
  <c r="AJ132" i="47" s="1"/>
  <c r="E132" i="47"/>
  <c r="F129" i="47"/>
  <c r="G129" i="47"/>
  <c r="W129" i="47"/>
  <c r="AM129" i="47"/>
  <c r="E126" i="47"/>
  <c r="AC126" i="47"/>
  <c r="F126" i="47"/>
  <c r="AC123" i="47"/>
  <c r="D123" i="47"/>
  <c r="X122" i="47"/>
  <c r="F122" i="47"/>
  <c r="Y122" i="47"/>
  <c r="AQ122" i="47"/>
  <c r="G122" i="47"/>
  <c r="AR122" i="47"/>
  <c r="X118" i="47"/>
  <c r="F118" i="47"/>
  <c r="AC114" i="47"/>
  <c r="W108" i="47"/>
  <c r="B141" i="47"/>
  <c r="C141" i="47"/>
  <c r="AA141" i="47"/>
  <c r="AJ141" i="47" s="1"/>
  <c r="AQ141" i="47"/>
  <c r="AA139" i="47"/>
  <c r="AJ139" i="47" s="1"/>
  <c r="C136" i="47"/>
  <c r="AA136" i="47"/>
  <c r="AJ136" i="47" s="1"/>
  <c r="AQ136" i="47"/>
  <c r="D136" i="47"/>
  <c r="AB136" i="47"/>
  <c r="AL136" i="47" s="1"/>
  <c r="AR136" i="47"/>
  <c r="B133" i="47"/>
  <c r="C133" i="47"/>
  <c r="AA133" i="47"/>
  <c r="AJ133" i="47" s="1"/>
  <c r="AQ133" i="47"/>
  <c r="D132" i="47"/>
  <c r="AA131" i="47"/>
  <c r="AJ131" i="47" s="1"/>
  <c r="C128" i="47"/>
  <c r="AA128" i="47"/>
  <c r="AJ128" i="47" s="1"/>
  <c r="AQ128" i="47"/>
  <c r="D128" i="47"/>
  <c r="AB128" i="47"/>
  <c r="AL128" i="47" s="1"/>
  <c r="AR128" i="47"/>
  <c r="AB123" i="47"/>
  <c r="AR121" i="47"/>
  <c r="W118" i="47"/>
  <c r="AQ116" i="47"/>
  <c r="Y116" i="47"/>
  <c r="AB114" i="47"/>
  <c r="C110" i="47"/>
  <c r="AA110" i="47"/>
  <c r="AJ110" i="47" s="1"/>
  <c r="AQ110" i="47"/>
  <c r="D110" i="47"/>
  <c r="AB110" i="47"/>
  <c r="AL110" i="47" s="1"/>
  <c r="AR110" i="47"/>
  <c r="B110" i="47"/>
  <c r="X110" i="47"/>
  <c r="E110" i="47"/>
  <c r="Y110" i="47"/>
  <c r="F110" i="47"/>
  <c r="G110" i="47"/>
  <c r="AC110" i="47"/>
  <c r="AK110" i="47" s="1"/>
  <c r="Y132" i="47"/>
  <c r="C132" i="47"/>
  <c r="C123" i="47"/>
  <c r="AA123" i="47"/>
  <c r="AQ123" i="47"/>
  <c r="G123" i="47"/>
  <c r="Y123" i="47"/>
  <c r="AR123" i="47"/>
  <c r="G114" i="47"/>
  <c r="W114" i="47"/>
  <c r="X114" i="47"/>
  <c r="E114" i="47"/>
  <c r="AA114" i="47"/>
  <c r="B114" i="47"/>
  <c r="AR114" i="47"/>
  <c r="C114" i="47"/>
  <c r="Y114" i="47"/>
  <c r="D114" i="47"/>
  <c r="AB142" i="47"/>
  <c r="AL142" i="47" s="1"/>
  <c r="AB137" i="47"/>
  <c r="AL137" i="47" s="1"/>
  <c r="AR132" i="47"/>
  <c r="W123" i="47"/>
  <c r="C118" i="47"/>
  <c r="AA118" i="47"/>
  <c r="AQ118" i="47"/>
  <c r="D118" i="47"/>
  <c r="AB118" i="47"/>
  <c r="AR118" i="47"/>
  <c r="G118" i="47"/>
  <c r="AC118" i="47"/>
  <c r="D113" i="47"/>
  <c r="AB113" i="47"/>
  <c r="AR113" i="47"/>
  <c r="E113" i="47"/>
  <c r="AC113" i="47"/>
  <c r="C113" i="47"/>
  <c r="Y113" i="47"/>
  <c r="Z113" i="47" s="1"/>
  <c r="F113" i="47"/>
  <c r="G113" i="47"/>
  <c r="AA113" i="47"/>
  <c r="AR108" i="47"/>
  <c r="G132" i="47"/>
  <c r="W132" i="47"/>
  <c r="X132" i="47"/>
  <c r="E108" i="47"/>
  <c r="AC108" i="47"/>
  <c r="AK108" i="47" s="1"/>
  <c r="F108" i="47"/>
  <c r="C108" i="47"/>
  <c r="Y108" i="47"/>
  <c r="D108" i="47"/>
  <c r="G108" i="47"/>
  <c r="AA108" i="47"/>
  <c r="AJ108" i="47" s="1"/>
  <c r="AB108" i="47"/>
  <c r="AL108" i="47" s="1"/>
  <c r="D142" i="47"/>
  <c r="D139" i="47"/>
  <c r="AB139" i="47"/>
  <c r="AL139" i="47" s="1"/>
  <c r="AR139" i="47"/>
  <c r="E139" i="47"/>
  <c r="AC139" i="47"/>
  <c r="D137" i="47"/>
  <c r="D134" i="47"/>
  <c r="D131" i="47"/>
  <c r="AB131" i="47"/>
  <c r="AL131" i="47" s="1"/>
  <c r="AR131" i="47"/>
  <c r="E131" i="47"/>
  <c r="AC131" i="47"/>
  <c r="D129" i="47"/>
  <c r="D126" i="47"/>
  <c r="F124" i="47"/>
  <c r="AR124" i="47"/>
  <c r="AA124" i="47"/>
  <c r="AC122" i="47"/>
  <c r="D122" i="47"/>
  <c r="E121" i="47"/>
  <c r="AC121" i="47"/>
  <c r="F121" i="47"/>
  <c r="X121" i="47"/>
  <c r="G121" i="47"/>
  <c r="Y121" i="47"/>
  <c r="AQ121" i="47"/>
  <c r="E116" i="47"/>
  <c r="AC116" i="47"/>
  <c r="F116" i="47"/>
  <c r="AB116" i="47"/>
  <c r="W110" i="47"/>
  <c r="B115" i="47"/>
  <c r="Z115" i="47"/>
  <c r="C115" i="47"/>
  <c r="AA115" i="47"/>
  <c r="AQ115" i="47"/>
  <c r="D111" i="47"/>
  <c r="AR106" i="47"/>
  <c r="Y105" i="47"/>
  <c r="C105" i="47"/>
  <c r="W103" i="47"/>
  <c r="AB101" i="47"/>
  <c r="AL101" i="47" s="1"/>
  <c r="C101" i="47"/>
  <c r="Y100" i="47"/>
  <c r="AQ95" i="47"/>
  <c r="AA95" i="47"/>
  <c r="AJ95" i="47" s="1"/>
  <c r="E93" i="47"/>
  <c r="Y111" i="47"/>
  <c r="C111" i="47"/>
  <c r="G106" i="47"/>
  <c r="W106" i="47"/>
  <c r="X106" i="47"/>
  <c r="X105" i="47"/>
  <c r="E102" i="47"/>
  <c r="AA101" i="47"/>
  <c r="AJ101" i="47" s="1"/>
  <c r="AR99" i="47"/>
  <c r="G99" i="47"/>
  <c r="C93" i="47"/>
  <c r="F90" i="47"/>
  <c r="G90" i="47"/>
  <c r="W90" i="47"/>
  <c r="D90" i="47"/>
  <c r="AB90" i="47"/>
  <c r="AC90" i="47"/>
  <c r="AK90" i="47" s="1"/>
  <c r="AR111" i="47"/>
  <c r="X111" i="47"/>
  <c r="AC107" i="47"/>
  <c r="AK107" i="47" s="1"/>
  <c r="D105" i="47"/>
  <c r="AB105" i="47"/>
  <c r="AL105" i="47" s="1"/>
  <c r="AR105" i="47"/>
  <c r="E105" i="47"/>
  <c r="AC105" i="47"/>
  <c r="AK105" i="47" s="1"/>
  <c r="AC102" i="47"/>
  <c r="AK102" i="47" s="1"/>
  <c r="D102" i="47"/>
  <c r="X101" i="47"/>
  <c r="E101" i="47"/>
  <c r="W101" i="47"/>
  <c r="F101" i="47"/>
  <c r="Y101" i="47"/>
  <c r="AQ101" i="47"/>
  <c r="AQ99" i="47"/>
  <c r="AC99" i="47"/>
  <c r="AK99" i="47" s="1"/>
  <c r="F99" i="47"/>
  <c r="W95" i="47"/>
  <c r="G95" i="47"/>
  <c r="F111" i="47"/>
  <c r="G111" i="47"/>
  <c r="W111" i="47"/>
  <c r="AB102" i="47"/>
  <c r="AL102" i="47" s="1"/>
  <c r="AB99" i="47"/>
  <c r="AL99" i="47" s="1"/>
  <c r="G93" i="47"/>
  <c r="W93" i="47"/>
  <c r="X93" i="47"/>
  <c r="D93" i="47"/>
  <c r="F93" i="47"/>
  <c r="AB93" i="47"/>
  <c r="AC93" i="47"/>
  <c r="AK93" i="47" s="1"/>
  <c r="AC85" i="47"/>
  <c r="AK85" i="47" s="1"/>
  <c r="C102" i="47"/>
  <c r="AA102" i="47"/>
  <c r="AJ102" i="47" s="1"/>
  <c r="AQ102" i="47"/>
  <c r="F102" i="47"/>
  <c r="X102" i="47"/>
  <c r="G102" i="47"/>
  <c r="Y102" i="47"/>
  <c r="AR102" i="47"/>
  <c r="B99" i="47"/>
  <c r="D99" i="47"/>
  <c r="E99" i="47"/>
  <c r="W99" i="47"/>
  <c r="E95" i="47"/>
  <c r="AC95" i="47"/>
  <c r="AK95" i="47" s="1"/>
  <c r="F95" i="47"/>
  <c r="B95" i="47"/>
  <c r="X95" i="47"/>
  <c r="AR95" i="47"/>
  <c r="C95" i="47"/>
  <c r="Y95" i="47"/>
  <c r="Y85" i="47"/>
  <c r="G85" i="47"/>
  <c r="W85" i="47"/>
  <c r="X85" i="47"/>
  <c r="F85" i="47"/>
  <c r="AB85" i="47"/>
  <c r="B85" i="47"/>
  <c r="AR85" i="47"/>
  <c r="D85" i="47"/>
  <c r="E85" i="47"/>
  <c r="AA85" i="47"/>
  <c r="AJ85" i="47" s="1"/>
  <c r="F80" i="47"/>
  <c r="G80" i="47"/>
  <c r="Y80" i="47"/>
  <c r="AQ80" i="47"/>
  <c r="AR80" i="47"/>
  <c r="W80" i="47"/>
  <c r="B80" i="47"/>
  <c r="AA80" i="47"/>
  <c r="AJ80" i="47" s="1"/>
  <c r="C80" i="47"/>
  <c r="AB80" i="47"/>
  <c r="D80" i="47"/>
  <c r="AC80" i="47"/>
  <c r="AK80" i="47" s="1"/>
  <c r="E80" i="47"/>
  <c r="B107" i="47"/>
  <c r="C107" i="47"/>
  <c r="AA107" i="47"/>
  <c r="AJ107" i="47" s="1"/>
  <c r="AQ107" i="47"/>
  <c r="X99" i="47"/>
  <c r="D84" i="47"/>
  <c r="AB84" i="47"/>
  <c r="AR84" i="47"/>
  <c r="E84" i="47"/>
  <c r="AC84" i="47"/>
  <c r="AK84" i="47" s="1"/>
  <c r="C84" i="47"/>
  <c r="Y84" i="47"/>
  <c r="G84" i="47"/>
  <c r="AA84" i="47"/>
  <c r="AJ84" i="47" s="1"/>
  <c r="AA111" i="47"/>
  <c r="AJ111" i="47" s="1"/>
  <c r="E111" i="47"/>
  <c r="AR107" i="47"/>
  <c r="F103" i="47"/>
  <c r="G103" i="47"/>
  <c r="Y103" i="47"/>
  <c r="AQ103" i="47"/>
  <c r="AR103" i="47"/>
  <c r="E100" i="47"/>
  <c r="AC100" i="47"/>
  <c r="AK100" i="47" s="1"/>
  <c r="D100" i="47"/>
  <c r="W100" i="47"/>
  <c r="F100" i="47"/>
  <c r="X100" i="47"/>
  <c r="AB95" i="47"/>
  <c r="AQ93" i="47"/>
  <c r="Y93" i="47"/>
  <c r="D98" i="47"/>
  <c r="AB94" i="47"/>
  <c r="F94" i="47"/>
  <c r="E87" i="47"/>
  <c r="AC87" i="47"/>
  <c r="AK87" i="47" s="1"/>
  <c r="F87" i="47"/>
  <c r="X86" i="47"/>
  <c r="C82" i="47"/>
  <c r="AB79" i="47"/>
  <c r="AR77" i="47"/>
  <c r="AB76" i="47"/>
  <c r="C97" i="47"/>
  <c r="D97" i="47"/>
  <c r="AB97" i="47"/>
  <c r="AR97" i="47"/>
  <c r="Y94" i="47"/>
  <c r="B86" i="47"/>
  <c r="C86" i="47"/>
  <c r="AA86" i="47"/>
  <c r="AJ86" i="47" s="1"/>
  <c r="AQ86" i="47"/>
  <c r="Y82" i="47"/>
  <c r="C79" i="47"/>
  <c r="AA79" i="47"/>
  <c r="AJ79" i="47" s="1"/>
  <c r="AQ79" i="47"/>
  <c r="F79" i="47"/>
  <c r="X79" i="47"/>
  <c r="G79" i="47"/>
  <c r="Y79" i="47"/>
  <c r="AR79" i="47"/>
  <c r="AQ77" i="47"/>
  <c r="G77" i="47"/>
  <c r="B76" i="47"/>
  <c r="D76" i="47"/>
  <c r="E76" i="47"/>
  <c r="W76" i="47"/>
  <c r="Y74" i="47"/>
  <c r="AA70" i="47"/>
  <c r="AJ70" i="47" s="1"/>
  <c r="E70" i="47"/>
  <c r="D82" i="47"/>
  <c r="F82" i="47"/>
  <c r="G82" i="47"/>
  <c r="W82" i="47"/>
  <c r="AB77" i="47"/>
  <c r="C77" i="47"/>
  <c r="X74" i="47"/>
  <c r="AB72" i="47"/>
  <c r="Y70" i="47"/>
  <c r="C70" i="47"/>
  <c r="G98" i="47"/>
  <c r="W98" i="47"/>
  <c r="B94" i="47"/>
  <c r="C94" i="47"/>
  <c r="AA94" i="47"/>
  <c r="AJ94" i="47" s="1"/>
  <c r="AQ94" i="47"/>
  <c r="AA92" i="47"/>
  <c r="AJ92" i="47" s="1"/>
  <c r="AC89" i="47"/>
  <c r="AK89" i="47" s="1"/>
  <c r="AQ82" i="47"/>
  <c r="AR78" i="47"/>
  <c r="AA77" i="47"/>
  <c r="AJ77" i="47" s="1"/>
  <c r="W74" i="47"/>
  <c r="AA72" i="47"/>
  <c r="AJ72" i="47" s="1"/>
  <c r="AR70" i="47"/>
  <c r="E77" i="47"/>
  <c r="AC77" i="47"/>
  <c r="AK77" i="47" s="1"/>
  <c r="D77" i="47"/>
  <c r="W77" i="47"/>
  <c r="F77" i="47"/>
  <c r="X77" i="47"/>
  <c r="E72" i="47"/>
  <c r="AC72" i="47"/>
  <c r="AK72" i="47" s="1"/>
  <c r="F72" i="47"/>
  <c r="D72" i="47"/>
  <c r="B72" i="47"/>
  <c r="X72" i="47"/>
  <c r="AR72" i="47"/>
  <c r="C72" i="47"/>
  <c r="Y72" i="47"/>
  <c r="G70" i="47"/>
  <c r="W70" i="47"/>
  <c r="X70" i="47"/>
  <c r="D70" i="47"/>
  <c r="F70" i="47"/>
  <c r="AB70" i="47"/>
  <c r="AC70" i="47"/>
  <c r="AK70" i="47" s="1"/>
  <c r="Y77" i="47"/>
  <c r="D74" i="47"/>
  <c r="AB74" i="47"/>
  <c r="AR74" i="47"/>
  <c r="AA74" i="47"/>
  <c r="AJ74" i="47" s="1"/>
  <c r="B74" i="47"/>
  <c r="C74" i="47"/>
  <c r="D92" i="47"/>
  <c r="AB92" i="47"/>
  <c r="AR92" i="47"/>
  <c r="E92" i="47"/>
  <c r="AC92" i="47"/>
  <c r="AK92" i="47" s="1"/>
  <c r="C89" i="47"/>
  <c r="AA89" i="47"/>
  <c r="AJ89" i="47" s="1"/>
  <c r="AQ89" i="47"/>
  <c r="D89" i="47"/>
  <c r="AB89" i="47"/>
  <c r="AR89" i="47"/>
  <c r="AA82" i="47"/>
  <c r="AJ82" i="47" s="1"/>
  <c r="E82" i="47"/>
  <c r="X78" i="47"/>
  <c r="E78" i="47"/>
  <c r="W78" i="47"/>
  <c r="F78" i="47"/>
  <c r="Y78" i="47"/>
  <c r="AQ78" i="47"/>
  <c r="AQ74" i="47"/>
  <c r="AC74" i="47"/>
  <c r="AK74" i="47" s="1"/>
  <c r="D75" i="47"/>
  <c r="AB71" i="47"/>
  <c r="F71" i="47"/>
  <c r="AA67" i="47"/>
  <c r="AJ67" i="47" s="1"/>
  <c r="AQ64" i="47"/>
  <c r="AC64" i="47"/>
  <c r="AK64" i="47" s="1"/>
  <c r="X60" i="47"/>
  <c r="Y71" i="47"/>
  <c r="G67" i="47"/>
  <c r="W67" i="47"/>
  <c r="B67" i="47"/>
  <c r="AC67" i="47"/>
  <c r="AK67" i="47" s="1"/>
  <c r="C67" i="47"/>
  <c r="Y64" i="47"/>
  <c r="C63" i="47"/>
  <c r="AA63" i="47"/>
  <c r="AJ63" i="47" s="1"/>
  <c r="AQ63" i="47"/>
  <c r="G63" i="47"/>
  <c r="W63" i="47"/>
  <c r="AC63" i="47"/>
  <c r="AK63" i="47" s="1"/>
  <c r="W60" i="47"/>
  <c r="X54" i="47"/>
  <c r="D54" i="47"/>
  <c r="AB54" i="47"/>
  <c r="AR54" i="47"/>
  <c r="B54" i="47"/>
  <c r="W54" i="47"/>
  <c r="C54" i="47"/>
  <c r="Y54" i="47"/>
  <c r="F54" i="47"/>
  <c r="AA54" i="47"/>
  <c r="AJ54" i="47" s="1"/>
  <c r="G54" i="47"/>
  <c r="AC54" i="47"/>
  <c r="AK54" i="47" s="1"/>
  <c r="G75" i="47"/>
  <c r="W75" i="47"/>
  <c r="B71" i="47"/>
  <c r="C71" i="47"/>
  <c r="AA71" i="47"/>
  <c r="AJ71" i="47" s="1"/>
  <c r="AQ71" i="47"/>
  <c r="AA69" i="47"/>
  <c r="AJ69" i="47" s="1"/>
  <c r="B60" i="47"/>
  <c r="F60" i="47"/>
  <c r="G60" i="47"/>
  <c r="AB60" i="47"/>
  <c r="AC60" i="47"/>
  <c r="AK60" i="47" s="1"/>
  <c r="AQ54" i="47"/>
  <c r="D69" i="47"/>
  <c r="AB69" i="47"/>
  <c r="AR69" i="47"/>
  <c r="E69" i="47"/>
  <c r="AC69" i="47"/>
  <c r="AK69" i="47" s="1"/>
  <c r="F64" i="47"/>
  <c r="B64" i="47"/>
  <c r="E64" i="47"/>
  <c r="AA64" i="47"/>
  <c r="AJ64" i="47" s="1"/>
  <c r="G64" i="47"/>
  <c r="AB64" i="47"/>
  <c r="Y60" i="47"/>
  <c r="X62" i="47"/>
  <c r="D62" i="47"/>
  <c r="AB62" i="47"/>
  <c r="AR62" i="47"/>
  <c r="W58" i="47"/>
  <c r="X56" i="47"/>
  <c r="E55" i="47"/>
  <c r="F52" i="47"/>
  <c r="C52" i="47"/>
  <c r="AR52" i="47"/>
  <c r="E50" i="47"/>
  <c r="AQ48" i="47"/>
  <c r="F48" i="47"/>
  <c r="W46" i="47"/>
  <c r="AC42" i="47"/>
  <c r="AK42" i="47" s="1"/>
  <c r="G42" i="47"/>
  <c r="D66" i="47"/>
  <c r="AB66" i="47"/>
  <c r="AR66" i="47"/>
  <c r="D58" i="47"/>
  <c r="AB58" i="47"/>
  <c r="AR58" i="47"/>
  <c r="X58" i="47"/>
  <c r="F56" i="47"/>
  <c r="B56" i="47"/>
  <c r="Y55" i="47"/>
  <c r="AB50" i="47"/>
  <c r="AC48" i="47"/>
  <c r="AK48" i="47" s="1"/>
  <c r="G47" i="47"/>
  <c r="W47" i="47"/>
  <c r="AA47" i="47"/>
  <c r="AJ47" i="47" s="1"/>
  <c r="D47" i="47"/>
  <c r="AA42" i="47"/>
  <c r="AJ42" i="47" s="1"/>
  <c r="AB39" i="47"/>
  <c r="C55" i="47"/>
  <c r="AA55" i="47"/>
  <c r="AJ55" i="47" s="1"/>
  <c r="AQ55" i="47"/>
  <c r="G55" i="47"/>
  <c r="W55" i="47"/>
  <c r="AC51" i="47"/>
  <c r="AK51" i="47" s="1"/>
  <c r="E51" i="47"/>
  <c r="X50" i="47"/>
  <c r="B50" i="47"/>
  <c r="AC50" i="47"/>
  <c r="AK50" i="47" s="1"/>
  <c r="F50" i="47"/>
  <c r="Y50" i="47"/>
  <c r="AQ50" i="47"/>
  <c r="B48" i="47"/>
  <c r="AB48" i="47"/>
  <c r="E48" i="47"/>
  <c r="W48" i="47"/>
  <c r="F46" i="47"/>
  <c r="X42" i="47"/>
  <c r="D42" i="47"/>
  <c r="AB42" i="47"/>
  <c r="AR42" i="47"/>
  <c r="E42" i="47"/>
  <c r="C42" i="47"/>
  <c r="Y42" i="47"/>
  <c r="G39" i="47"/>
  <c r="W39" i="47"/>
  <c r="C39" i="47"/>
  <c r="AA39" i="47"/>
  <c r="AJ39" i="47" s="1"/>
  <c r="AQ39" i="47"/>
  <c r="D39" i="47"/>
  <c r="Y39" i="47"/>
  <c r="AC39" i="47"/>
  <c r="AK39" i="47" s="1"/>
  <c r="B39" i="47"/>
  <c r="X39" i="47"/>
  <c r="AB51" i="47"/>
  <c r="AC46" i="47"/>
  <c r="AK46" i="47" s="1"/>
  <c r="E46" i="47"/>
  <c r="C51" i="47"/>
  <c r="AA51" i="47"/>
  <c r="AJ51" i="47" s="1"/>
  <c r="AQ51" i="47"/>
  <c r="B51" i="47"/>
  <c r="G51" i="47"/>
  <c r="Y51" i="47"/>
  <c r="AR51" i="47"/>
  <c r="AA46" i="47"/>
  <c r="AJ46" i="47" s="1"/>
  <c r="D46" i="47"/>
  <c r="AB46" i="47"/>
  <c r="AR46" i="47"/>
  <c r="C46" i="47"/>
  <c r="G59" i="47"/>
  <c r="W59" i="47"/>
  <c r="C59" i="47"/>
  <c r="AA59" i="47"/>
  <c r="AJ59" i="47" s="1"/>
  <c r="AQ59" i="47"/>
  <c r="AB55" i="47"/>
  <c r="F55" i="47"/>
  <c r="W51" i="47"/>
  <c r="AR50" i="47"/>
  <c r="G50" i="47"/>
  <c r="AR48" i="47"/>
  <c r="G48" i="47"/>
  <c r="X46" i="47"/>
  <c r="W44" i="47"/>
  <c r="C43" i="47"/>
  <c r="AA43" i="47"/>
  <c r="AJ43" i="47" s="1"/>
  <c r="AQ43" i="47"/>
  <c r="G43" i="47"/>
  <c r="AQ40" i="47"/>
  <c r="AA36" i="47"/>
  <c r="AJ36" i="47" s="1"/>
  <c r="AC35" i="47"/>
  <c r="AK35" i="47" s="1"/>
  <c r="G30" i="47"/>
  <c r="W30" i="47"/>
  <c r="X30" i="47"/>
  <c r="D30" i="47"/>
  <c r="AB30" i="47"/>
  <c r="AR30" i="47"/>
  <c r="C30" i="47"/>
  <c r="AC30" i="47"/>
  <c r="AK30" i="47" s="1"/>
  <c r="B30" i="47"/>
  <c r="AA30" i="47"/>
  <c r="AJ30" i="47" s="1"/>
  <c r="E26" i="47"/>
  <c r="AC26" i="47"/>
  <c r="AK26" i="47" s="1"/>
  <c r="AQ26" i="47"/>
  <c r="AA26" i="47"/>
  <c r="AJ26" i="47" s="1"/>
  <c r="AR26" i="47"/>
  <c r="C26" i="47"/>
  <c r="D26" i="47"/>
  <c r="W26" i="47"/>
  <c r="B26" i="47"/>
  <c r="F26" i="47"/>
  <c r="X26" i="47"/>
  <c r="E35" i="47"/>
  <c r="Y30" i="47"/>
  <c r="F44" i="47"/>
  <c r="AB40" i="47"/>
  <c r="G40" i="47"/>
  <c r="D38" i="47"/>
  <c r="AB38" i="47"/>
  <c r="AR38" i="47"/>
  <c r="X38" i="47"/>
  <c r="F36" i="47"/>
  <c r="B36" i="47"/>
  <c r="Y35" i="47"/>
  <c r="D35" i="47"/>
  <c r="AA34" i="47"/>
  <c r="AJ34" i="47" s="1"/>
  <c r="F34" i="47"/>
  <c r="AB26" i="47"/>
  <c r="AC61" i="47"/>
  <c r="AK61" i="47" s="1"/>
  <c r="E49" i="47"/>
  <c r="AC49" i="47"/>
  <c r="AK49" i="47" s="1"/>
  <c r="AA44" i="47"/>
  <c r="AJ44" i="47" s="1"/>
  <c r="F43" i="47"/>
  <c r="AA40" i="47"/>
  <c r="AJ40" i="47" s="1"/>
  <c r="AQ36" i="47"/>
  <c r="X35" i="47"/>
  <c r="AQ30" i="47"/>
  <c r="Y26" i="47"/>
  <c r="C35" i="47"/>
  <c r="AA35" i="47"/>
  <c r="AJ35" i="47" s="1"/>
  <c r="AQ35" i="47"/>
  <c r="G35" i="47"/>
  <c r="W35" i="47"/>
  <c r="B40" i="47"/>
  <c r="F40" i="47"/>
  <c r="X34" i="47"/>
  <c r="D34" i="47"/>
  <c r="AB34" i="47"/>
  <c r="AR34" i="47"/>
  <c r="F30" i="47"/>
  <c r="F27" i="47"/>
  <c r="G27" i="47"/>
  <c r="W27" i="47"/>
  <c r="B27" i="47"/>
  <c r="C27" i="47"/>
  <c r="AA27" i="47"/>
  <c r="AJ27" i="47" s="1"/>
  <c r="AQ27" i="47"/>
  <c r="B25" i="47"/>
  <c r="G25" i="47"/>
  <c r="Y25" i="47"/>
  <c r="AR25" i="47"/>
  <c r="AA25" i="47"/>
  <c r="AJ25" i="47" s="1"/>
  <c r="C25" i="47"/>
  <c r="D25" i="47"/>
  <c r="C20" i="47"/>
  <c r="AA20" i="47"/>
  <c r="AJ20" i="47" s="1"/>
  <c r="AQ20" i="47"/>
  <c r="G20" i="47"/>
  <c r="W20" i="47"/>
  <c r="D20" i="47"/>
  <c r="Y20" i="47"/>
  <c r="E20" i="47"/>
  <c r="AC41" i="47"/>
  <c r="AK41" i="47" s="1"/>
  <c r="AC33" i="47"/>
  <c r="AK33" i="47" s="1"/>
  <c r="B31" i="47"/>
  <c r="C31" i="47"/>
  <c r="AA31" i="47"/>
  <c r="AJ31" i="47" s="1"/>
  <c r="G31" i="47"/>
  <c r="W31" i="47"/>
  <c r="Y27" i="47"/>
  <c r="AC25" i="47"/>
  <c r="AK25" i="47" s="1"/>
  <c r="G24" i="47"/>
  <c r="W24" i="47"/>
  <c r="F24" i="47"/>
  <c r="Y24" i="47"/>
  <c r="AQ24" i="47"/>
  <c r="AR24" i="47"/>
  <c r="B24" i="47"/>
  <c r="AC24" i="47"/>
  <c r="AK24" i="47" s="1"/>
  <c r="C24" i="47"/>
  <c r="X21" i="47"/>
  <c r="Z21" i="47" s="1"/>
  <c r="F17" i="47"/>
  <c r="D17" i="47"/>
  <c r="W17" i="47"/>
  <c r="AA17" i="47"/>
  <c r="AJ17" i="47" s="1"/>
  <c r="E12" i="47"/>
  <c r="AC12" i="47"/>
  <c r="AK12" i="47" s="1"/>
  <c r="G12" i="47"/>
  <c r="W12" i="47"/>
  <c r="X12" i="47"/>
  <c r="B12" i="47"/>
  <c r="AA12" i="47"/>
  <c r="AJ12" i="47" s="1"/>
  <c r="D6" i="47"/>
  <c r="D23" i="47"/>
  <c r="AB23" i="47"/>
  <c r="AR23" i="47"/>
  <c r="F21" i="47"/>
  <c r="B21" i="47"/>
  <c r="D19" i="47"/>
  <c r="AB19" i="47"/>
  <c r="C19" i="47"/>
  <c r="AR19" i="47"/>
  <c r="X17" i="47"/>
  <c r="G6" i="47"/>
  <c r="W6" i="47"/>
  <c r="C6" i="47"/>
  <c r="AA6" i="47"/>
  <c r="AJ6" i="47" s="1"/>
  <c r="AQ6" i="47"/>
  <c r="E6" i="47"/>
  <c r="AC6" i="47"/>
  <c r="AK6" i="47" s="1"/>
  <c r="F6" i="47"/>
  <c r="X6" i="47"/>
  <c r="AB6" i="47"/>
  <c r="AR6" i="47"/>
  <c r="AQ23" i="47"/>
  <c r="Y23" i="47"/>
  <c r="G23" i="47"/>
  <c r="AC21" i="47"/>
  <c r="AK21" i="47" s="1"/>
  <c r="AQ17" i="47"/>
  <c r="G17" i="47"/>
  <c r="AA9" i="47"/>
  <c r="AJ9" i="47" s="1"/>
  <c r="E9" i="47"/>
  <c r="X23" i="47"/>
  <c r="F23" i="47"/>
  <c r="AB21" i="47"/>
  <c r="G21" i="47"/>
  <c r="AQ19" i="47"/>
  <c r="G19" i="47"/>
  <c r="AC17" i="47"/>
  <c r="AK17" i="47" s="1"/>
  <c r="E17" i="47"/>
  <c r="Y9" i="47"/>
  <c r="X9" i="47"/>
  <c r="D9" i="47"/>
  <c r="AB9" i="47"/>
  <c r="AR9" i="47"/>
  <c r="F9" i="47"/>
  <c r="G9" i="47"/>
  <c r="W9" i="47"/>
  <c r="B9" i="47"/>
  <c r="X13" i="47"/>
  <c r="B13" i="47"/>
  <c r="C13" i="47"/>
  <c r="AA13" i="47"/>
  <c r="AJ13" i="47" s="1"/>
  <c r="AQ13" i="47"/>
  <c r="B11" i="47"/>
  <c r="D11" i="47"/>
  <c r="AB11" i="47"/>
  <c r="AR11" i="47"/>
  <c r="E11" i="47"/>
  <c r="AC11" i="47"/>
  <c r="AK11" i="47" s="1"/>
  <c r="AC5" i="47"/>
  <c r="AK5" i="47" s="1"/>
  <c r="Y5" i="47"/>
  <c r="W5" i="47"/>
  <c r="G5" i="47"/>
  <c r="C14" i="47"/>
  <c r="AA14" i="47"/>
  <c r="AJ14" i="47" s="1"/>
  <c r="AQ14" i="47"/>
  <c r="E14" i="47"/>
  <c r="AC14" i="47"/>
  <c r="AK14" i="47" s="1"/>
  <c r="F14" i="47"/>
  <c r="G13" i="47"/>
  <c r="D5" i="47"/>
  <c r="AB5" i="47"/>
  <c r="AR5" i="47"/>
  <c r="X5" i="47"/>
  <c r="B5" i="47"/>
  <c r="C5" i="47"/>
  <c r="AA5" i="47"/>
  <c r="AJ5" i="47" s="1"/>
  <c r="AQ5" i="47"/>
  <c r="X4" i="47"/>
  <c r="AQ16" i="47"/>
  <c r="AA16" i="47"/>
  <c r="AJ16" i="47" s="1"/>
  <c r="X15" i="47"/>
  <c r="AQ8" i="47"/>
  <c r="AA8" i="47"/>
  <c r="AJ8" i="47" s="1"/>
  <c r="X7" i="47"/>
  <c r="W4" i="47"/>
  <c r="G4" i="47"/>
  <c r="AC4" i="47"/>
  <c r="AK4" i="47" s="1"/>
  <c r="AC133" i="24"/>
  <c r="AK133" i="24" s="1"/>
  <c r="G3" i="24"/>
  <c r="F139" i="24"/>
  <c r="W139" i="24"/>
  <c r="AG139" i="24"/>
  <c r="X133" i="24"/>
  <c r="F3" i="24"/>
  <c r="AG141" i="24"/>
  <c r="AR134" i="24"/>
  <c r="W133" i="24"/>
  <c r="AB141" i="24"/>
  <c r="AL141" i="24" s="1"/>
  <c r="X134" i="24"/>
  <c r="Y133" i="24"/>
  <c r="AA133" i="24"/>
  <c r="AJ133" i="24" s="1"/>
  <c r="AQ133" i="24"/>
  <c r="AB133" i="24"/>
  <c r="AL133" i="24" s="1"/>
  <c r="AR133" i="24"/>
  <c r="G133" i="24"/>
  <c r="AG133" i="24"/>
  <c r="F118" i="24"/>
  <c r="X118" i="24"/>
  <c r="Y118" i="24"/>
  <c r="AC118" i="24"/>
  <c r="AA134" i="24"/>
  <c r="AJ134" i="24" s="1"/>
  <c r="F134" i="24"/>
  <c r="Y130" i="24"/>
  <c r="F130" i="24"/>
  <c r="AC130" i="24"/>
  <c r="AR130" i="24"/>
  <c r="G130" i="24"/>
  <c r="W130" i="24"/>
  <c r="X130" i="24"/>
  <c r="AA130" i="24"/>
  <c r="AJ130" i="24" s="1"/>
  <c r="W141" i="24"/>
  <c r="G141" i="24"/>
  <c r="AQ141" i="24"/>
  <c r="X141" i="24"/>
  <c r="AR141" i="24"/>
  <c r="Y141" i="24"/>
  <c r="AC141" i="24"/>
  <c r="AK141" i="24" s="1"/>
  <c r="AB101" i="24"/>
  <c r="W99" i="24"/>
  <c r="W81" i="24"/>
  <c r="Y78" i="24"/>
  <c r="W65" i="24"/>
  <c r="G42" i="24"/>
  <c r="AB42" i="24"/>
  <c r="AC42" i="24"/>
  <c r="AK42" i="24" s="1"/>
  <c r="AQ132" i="24"/>
  <c r="Y112" i="24"/>
  <c r="F106" i="24"/>
  <c r="X97" i="24"/>
  <c r="AQ83" i="24"/>
  <c r="G81" i="24"/>
  <c r="X76" i="24"/>
  <c r="G67" i="24"/>
  <c r="X67" i="24"/>
  <c r="Y67" i="24"/>
  <c r="X51" i="24"/>
  <c r="AC51" i="24"/>
  <c r="AK51" i="24" s="1"/>
  <c r="AQ106" i="24"/>
  <c r="W105" i="24"/>
  <c r="AB105" i="24"/>
  <c r="AL105" i="24" s="1"/>
  <c r="AQ101" i="24"/>
  <c r="Y101" i="24"/>
  <c r="G90" i="24"/>
  <c r="AC77" i="24"/>
  <c r="AK77" i="24" s="1"/>
  <c r="F77" i="24"/>
  <c r="AQ77" i="24"/>
  <c r="G77" i="24"/>
  <c r="X74" i="24"/>
  <c r="AB74" i="24"/>
  <c r="AC74" i="24"/>
  <c r="AK74" i="24" s="1"/>
  <c r="W106" i="24"/>
  <c r="AA101" i="24"/>
  <c r="AJ101" i="24" s="1"/>
  <c r="AR101" i="24"/>
  <c r="AA81" i="24"/>
  <c r="AJ81" i="24" s="1"/>
  <c r="AC81" i="24"/>
  <c r="AK81" i="24" s="1"/>
  <c r="F65" i="24"/>
  <c r="G65" i="24"/>
  <c r="AA137" i="24"/>
  <c r="AJ137" i="24" s="1"/>
  <c r="AR105" i="24"/>
  <c r="AC103" i="24"/>
  <c r="AK103" i="24" s="1"/>
  <c r="W101" i="24"/>
  <c r="AR100" i="24"/>
  <c r="AR98" i="24"/>
  <c r="AB89" i="24"/>
  <c r="AC83" i="24"/>
  <c r="AK83" i="24" s="1"/>
  <c r="AQ81" i="24"/>
  <c r="AA71" i="24"/>
  <c r="AJ71" i="24" s="1"/>
  <c r="AR142" i="24"/>
  <c r="Y137" i="24"/>
  <c r="F132" i="24"/>
  <c r="AQ129" i="24"/>
  <c r="AC129" i="24"/>
  <c r="AK129" i="24" s="1"/>
  <c r="G122" i="24"/>
  <c r="AA120" i="24"/>
  <c r="AB117" i="24"/>
  <c r="AB108" i="24"/>
  <c r="AL108" i="24" s="1"/>
  <c r="AR107" i="24"/>
  <c r="AC106" i="24"/>
  <c r="AK106" i="24" s="1"/>
  <c r="F104" i="24"/>
  <c r="AB103" i="24"/>
  <c r="Y91" i="24"/>
  <c r="AQ87" i="24"/>
  <c r="AR78" i="24"/>
  <c r="AA77" i="24"/>
  <c r="AJ77" i="24" s="1"/>
  <c r="Y75" i="24"/>
  <c r="AR75" i="24"/>
  <c r="X57" i="24"/>
  <c r="AQ57" i="24"/>
  <c r="AQ142" i="24"/>
  <c r="W117" i="24"/>
  <c r="AB115" i="24"/>
  <c r="AR113" i="24"/>
  <c r="AA106" i="24"/>
  <c r="AJ106" i="24" s="1"/>
  <c r="G101" i="24"/>
  <c r="AB100" i="24"/>
  <c r="AB90" i="24"/>
  <c r="G85" i="24"/>
  <c r="X83" i="24"/>
  <c r="AQ76" i="24"/>
  <c r="AA76" i="24"/>
  <c r="AJ76" i="24" s="1"/>
  <c r="F76" i="24"/>
  <c r="AB76" i="24"/>
  <c r="AR74" i="24"/>
  <c r="W73" i="24"/>
  <c r="AC73" i="24"/>
  <c r="AK73" i="24" s="1"/>
  <c r="W53" i="24"/>
  <c r="F46" i="24"/>
  <c r="AC43" i="24"/>
  <c r="AK43" i="24" s="1"/>
  <c r="G43" i="24"/>
  <c r="W43" i="24"/>
  <c r="AQ56" i="24"/>
  <c r="W35" i="24"/>
  <c r="AC34" i="24"/>
  <c r="AK34" i="24" s="1"/>
  <c r="F34" i="24"/>
  <c r="G20" i="24"/>
  <c r="AC19" i="24"/>
  <c r="AK19" i="24" s="1"/>
  <c r="F17" i="24"/>
  <c r="AC59" i="24"/>
  <c r="AK59" i="24" s="1"/>
  <c r="AA45" i="24"/>
  <c r="AJ45" i="24" s="1"/>
  <c r="AB34" i="24"/>
  <c r="Y32" i="24"/>
  <c r="AB22" i="24"/>
  <c r="AR20" i="24"/>
  <c r="F20" i="24"/>
  <c r="X19" i="24"/>
  <c r="AB59" i="24"/>
  <c r="Y45" i="24"/>
  <c r="G35" i="24"/>
  <c r="AA34" i="24"/>
  <c r="AJ34" i="24" s="1"/>
  <c r="X32" i="24"/>
  <c r="AA23" i="24"/>
  <c r="AJ23" i="24" s="1"/>
  <c r="Y22" i="24"/>
  <c r="AQ20" i="24"/>
  <c r="W19" i="24"/>
  <c r="AR17" i="24"/>
  <c r="Y13" i="24"/>
  <c r="Y34" i="24"/>
  <c r="G22" i="24"/>
  <c r="AB24" i="24"/>
  <c r="G84" i="24"/>
  <c r="AA69" i="24"/>
  <c r="AJ69" i="24" s="1"/>
  <c r="Y60" i="24"/>
  <c r="X54" i="24"/>
  <c r="AC35" i="24"/>
  <c r="AK35" i="24" s="1"/>
  <c r="AQ34" i="24"/>
  <c r="AB31" i="24"/>
  <c r="G26" i="24"/>
  <c r="AQ23" i="24"/>
  <c r="W20" i="24"/>
  <c r="AR18" i="24"/>
  <c r="Y18" i="24"/>
  <c r="AB6" i="24"/>
  <c r="AC4" i="24"/>
  <c r="AK4" i="24" s="1"/>
  <c r="G34" i="24"/>
  <c r="F138" i="24"/>
  <c r="AR138" i="24"/>
  <c r="X142" i="24"/>
  <c r="AR137" i="24"/>
  <c r="X137" i="24"/>
  <c r="F135" i="24"/>
  <c r="Y135" i="24"/>
  <c r="AB134" i="24"/>
  <c r="AL134" i="24" s="1"/>
  <c r="G131" i="24"/>
  <c r="AQ126" i="24"/>
  <c r="G126" i="24"/>
  <c r="AR126" i="24"/>
  <c r="W126" i="24"/>
  <c r="Y126" i="24"/>
  <c r="Y123" i="24"/>
  <c r="AA109" i="24"/>
  <c r="AJ109" i="24" s="1"/>
  <c r="W142" i="24"/>
  <c r="G139" i="24"/>
  <c r="AC138" i="24"/>
  <c r="AQ137" i="24"/>
  <c r="AC119" i="24"/>
  <c r="AB142" i="24"/>
  <c r="AL142" i="24" s="1"/>
  <c r="AB138" i="24"/>
  <c r="AL138" i="24" s="1"/>
  <c r="G138" i="24"/>
  <c r="F137" i="24"/>
  <c r="G137" i="24"/>
  <c r="F123" i="24"/>
  <c r="X123" i="24"/>
  <c r="AQ123" i="24"/>
  <c r="AA123" i="24"/>
  <c r="AC123" i="24"/>
  <c r="AA138" i="24"/>
  <c r="AJ138" i="24" s="1"/>
  <c r="AR127" i="24"/>
  <c r="G127" i="24"/>
  <c r="AC127" i="24"/>
  <c r="G109" i="24"/>
  <c r="AB109" i="24"/>
  <c r="AL109" i="24" s="1"/>
  <c r="AR109" i="24"/>
  <c r="AC109" i="24"/>
  <c r="AK109" i="24" s="1"/>
  <c r="W109" i="24"/>
  <c r="X109" i="24"/>
  <c r="Y109" i="24"/>
  <c r="Y139" i="24"/>
  <c r="Y138" i="24"/>
  <c r="AB132" i="24"/>
  <c r="AL132" i="24" s="1"/>
  <c r="Y119" i="24"/>
  <c r="AQ119" i="24"/>
  <c r="AA119" i="24"/>
  <c r="AR119" i="24"/>
  <c r="AB119" i="24"/>
  <c r="F119" i="24"/>
  <c r="F114" i="24"/>
  <c r="G114" i="24"/>
  <c r="Y114" i="24"/>
  <c r="AQ114" i="24"/>
  <c r="AA114" i="24"/>
  <c r="AR114" i="24"/>
  <c r="AB114" i="24"/>
  <c r="AA142" i="24"/>
  <c r="AJ142" i="24" s="1"/>
  <c r="G142" i="24"/>
  <c r="X138" i="24"/>
  <c r="AB137" i="24"/>
  <c r="AL137" i="24" s="1"/>
  <c r="AA132" i="24"/>
  <c r="AJ132" i="24" s="1"/>
  <c r="AC131" i="24"/>
  <c r="AB126" i="24"/>
  <c r="Y124" i="24"/>
  <c r="AB124" i="24"/>
  <c r="AC124" i="24"/>
  <c r="AR124" i="24"/>
  <c r="F142" i="24"/>
  <c r="AQ138" i="24"/>
  <c r="W138" i="24"/>
  <c r="Y132" i="24"/>
  <c r="AQ109" i="24"/>
  <c r="W97" i="24"/>
  <c r="Y95" i="24"/>
  <c r="AR95" i="24"/>
  <c r="AC93" i="24"/>
  <c r="AK93" i="24" s="1"/>
  <c r="X87" i="24"/>
  <c r="AR87" i="24"/>
  <c r="Y87" i="24"/>
  <c r="AR80" i="24"/>
  <c r="AB78" i="24"/>
  <c r="AR115" i="24"/>
  <c r="X115" i="24"/>
  <c r="F107" i="24"/>
  <c r="AB104" i="24"/>
  <c r="AL104" i="24" s="1"/>
  <c r="AQ102" i="24"/>
  <c r="G99" i="24"/>
  <c r="AB98" i="24"/>
  <c r="F97" i="24"/>
  <c r="AQ95" i="24"/>
  <c r="AB93" i="24"/>
  <c r="Y86" i="24"/>
  <c r="AA86" i="24"/>
  <c r="AJ86" i="24" s="1"/>
  <c r="X85" i="24"/>
  <c r="AB85" i="24"/>
  <c r="W115" i="24"/>
  <c r="AR97" i="24"/>
  <c r="AA93" i="24"/>
  <c r="AJ93" i="24" s="1"/>
  <c r="G93" i="24"/>
  <c r="G97" i="24"/>
  <c r="AR93" i="24"/>
  <c r="F93" i="24"/>
  <c r="W80" i="24"/>
  <c r="Y80" i="24"/>
  <c r="AQ80" i="24"/>
  <c r="F80" i="24"/>
  <c r="AA80" i="24"/>
  <c r="AJ80" i="24" s="1"/>
  <c r="G80" i="24"/>
  <c r="AB80" i="24"/>
  <c r="AC80" i="24"/>
  <c r="AK80" i="24" s="1"/>
  <c r="W118" i="24"/>
  <c r="AA117" i="24"/>
  <c r="G117" i="24"/>
  <c r="F115" i="24"/>
  <c r="Y107" i="24"/>
  <c r="X105" i="24"/>
  <c r="Y104" i="24"/>
  <c r="Z104" i="24" s="1"/>
  <c r="X102" i="24"/>
  <c r="AC99" i="24"/>
  <c r="AK99" i="24" s="1"/>
  <c r="Y98" i="24"/>
  <c r="AR96" i="24"/>
  <c r="AQ93" i="24"/>
  <c r="Y93" i="24"/>
  <c r="AC78" i="24"/>
  <c r="AK78" i="24" s="1"/>
  <c r="X78" i="24"/>
  <c r="AQ130" i="24"/>
  <c r="Y129" i="24"/>
  <c r="Z129" i="24" s="1"/>
  <c r="Y117" i="24"/>
  <c r="F117" i="24"/>
  <c r="X113" i="24"/>
  <c r="X107" i="24"/>
  <c r="AB99" i="24"/>
  <c r="F99" i="24"/>
  <c r="W98" i="24"/>
  <c r="F95" i="24"/>
  <c r="W93" i="24"/>
  <c r="F87" i="24"/>
  <c r="AR120" i="24"/>
  <c r="X117" i="24"/>
  <c r="W116" i="24"/>
  <c r="AC115" i="24"/>
  <c r="W107" i="24"/>
  <c r="AB106" i="24"/>
  <c r="AL106" i="24" s="1"/>
  <c r="F105" i="24"/>
  <c r="G102" i="24"/>
  <c r="Y99" i="24"/>
  <c r="G98" i="24"/>
  <c r="Y97" i="24"/>
  <c r="AC96" i="24"/>
  <c r="AK96" i="24" s="1"/>
  <c r="AB95" i="24"/>
  <c r="X93" i="24"/>
  <c r="G61" i="24"/>
  <c r="AA61" i="24"/>
  <c r="AJ61" i="24" s="1"/>
  <c r="Y61" i="24"/>
  <c r="AR61" i="24"/>
  <c r="W61" i="24"/>
  <c r="AB61" i="24"/>
  <c r="AC61" i="24"/>
  <c r="AK61" i="24" s="1"/>
  <c r="AQ61" i="24"/>
  <c r="AC72" i="24"/>
  <c r="AK72" i="24" s="1"/>
  <c r="G72" i="24"/>
  <c r="AR67" i="24"/>
  <c r="AC67" i="24"/>
  <c r="AK67" i="24" s="1"/>
  <c r="F51" i="24"/>
  <c r="AA50" i="24"/>
  <c r="AJ50" i="24" s="1"/>
  <c r="AC48" i="24"/>
  <c r="AK48" i="24" s="1"/>
  <c r="G38" i="24"/>
  <c r="X38" i="24"/>
  <c r="F38" i="24"/>
  <c r="W38" i="24"/>
  <c r="AQ38" i="24"/>
  <c r="Y38" i="24"/>
  <c r="AA83" i="24"/>
  <c r="AJ83" i="24" s="1"/>
  <c r="W75" i="24"/>
  <c r="AB72" i="24"/>
  <c r="F72" i="24"/>
  <c r="AQ69" i="24"/>
  <c r="Y69" i="24"/>
  <c r="AQ67" i="24"/>
  <c r="AA67" i="24"/>
  <c r="AJ67" i="24" s="1"/>
  <c r="AB58" i="24"/>
  <c r="Y55" i="24"/>
  <c r="G55" i="24"/>
  <c r="AC55" i="24"/>
  <c r="AK55" i="24" s="1"/>
  <c r="G54" i="24"/>
  <c r="Y48" i="24"/>
  <c r="AA72" i="24"/>
  <c r="AJ72" i="24" s="1"/>
  <c r="AB67" i="24"/>
  <c r="AR54" i="24"/>
  <c r="AC54" i="24"/>
  <c r="AK54" i="24" s="1"/>
  <c r="AQ50" i="24"/>
  <c r="W50" i="24"/>
  <c r="G58" i="24"/>
  <c r="Y53" i="24"/>
  <c r="G53" i="24"/>
  <c r="AC53" i="24"/>
  <c r="AK53" i="24" s="1"/>
  <c r="AA88" i="24"/>
  <c r="AJ88" i="24" s="1"/>
  <c r="F83" i="24"/>
  <c r="Y81" i="24"/>
  <c r="W79" i="24"/>
  <c r="Y76" i="24"/>
  <c r="G76" i="24"/>
  <c r="AQ75" i="24"/>
  <c r="AC75" i="24"/>
  <c r="AK75" i="24" s="1"/>
  <c r="G75" i="24"/>
  <c r="AQ73" i="24"/>
  <c r="AR72" i="24"/>
  <c r="X72" i="24"/>
  <c r="Y68" i="24"/>
  <c r="W67" i="24"/>
  <c r="Y65" i="24"/>
  <c r="Y62" i="24"/>
  <c r="Z62" i="24" s="1"/>
  <c r="AR57" i="24"/>
  <c r="Y57" i="24"/>
  <c r="W55" i="24"/>
  <c r="AB53" i="24"/>
  <c r="AR52" i="24"/>
  <c r="AB51" i="24"/>
  <c r="G50" i="24"/>
  <c r="AR48" i="24"/>
  <c r="F63" i="24"/>
  <c r="AA54" i="24"/>
  <c r="AJ54" i="24" s="1"/>
  <c r="F54" i="24"/>
  <c r="Y54" i="24"/>
  <c r="AQ54" i="24"/>
  <c r="F50" i="24"/>
  <c r="F48" i="24"/>
  <c r="G48" i="24"/>
  <c r="W48" i="24"/>
  <c r="AB48" i="24"/>
  <c r="AA41" i="24"/>
  <c r="AJ41" i="24" s="1"/>
  <c r="AB41" i="24"/>
  <c r="G41" i="24"/>
  <c r="AR41" i="24"/>
  <c r="W41" i="24"/>
  <c r="AA75" i="24"/>
  <c r="AJ75" i="24" s="1"/>
  <c r="F69" i="24"/>
  <c r="AC69" i="24"/>
  <c r="AK69" i="24" s="1"/>
  <c r="F68" i="24"/>
  <c r="AC62" i="24"/>
  <c r="AK62" i="24" s="1"/>
  <c r="AA62" i="24"/>
  <c r="AJ62" i="24" s="1"/>
  <c r="F55" i="24"/>
  <c r="W54" i="24"/>
  <c r="AR53" i="24"/>
  <c r="X53" i="24"/>
  <c r="W51" i="24"/>
  <c r="X50" i="24"/>
  <c r="Y50" i="24"/>
  <c r="AR50" i="24"/>
  <c r="AB50" i="24"/>
  <c r="G40" i="24"/>
  <c r="W40" i="24"/>
  <c r="X40" i="24"/>
  <c r="Y40" i="24"/>
  <c r="AR40" i="24"/>
  <c r="AC40" i="24"/>
  <c r="AK40" i="24" s="1"/>
  <c r="X42" i="24"/>
  <c r="F42" i="24"/>
  <c r="AC36" i="24"/>
  <c r="AK36" i="24" s="1"/>
  <c r="G33" i="24"/>
  <c r="AC27" i="24"/>
  <c r="AK27" i="24" s="1"/>
  <c r="W11" i="24"/>
  <c r="X11" i="24"/>
  <c r="Y11" i="24"/>
  <c r="AQ11" i="24"/>
  <c r="G11" i="24"/>
  <c r="AA11" i="24"/>
  <c r="AJ11" i="24" s="1"/>
  <c r="W10" i="24"/>
  <c r="Y10" i="24"/>
  <c r="AB10" i="24"/>
  <c r="AQ10" i="24"/>
  <c r="X56" i="24"/>
  <c r="AR49" i="24"/>
  <c r="AA37" i="24"/>
  <c r="AJ37" i="24" s="1"/>
  <c r="X35" i="24"/>
  <c r="AR10" i="24"/>
  <c r="F9" i="24"/>
  <c r="AB9" i="24"/>
  <c r="AR9" i="24"/>
  <c r="AB33" i="24"/>
  <c r="W33" i="24"/>
  <c r="AR25" i="24"/>
  <c r="G25" i="24"/>
  <c r="G24" i="24"/>
  <c r="AR24" i="24"/>
  <c r="AA24" i="24"/>
  <c r="AJ24" i="24" s="1"/>
  <c r="AC24" i="24"/>
  <c r="AK24" i="24" s="1"/>
  <c r="W24" i="24"/>
  <c r="F15" i="24"/>
  <c r="W15" i="24"/>
  <c r="AQ15" i="24"/>
  <c r="G15" i="24"/>
  <c r="X15" i="24"/>
  <c r="AR15" i="24"/>
  <c r="Y15" i="24"/>
  <c r="AB15" i="24"/>
  <c r="AC11" i="24"/>
  <c r="AK11" i="24" s="1"/>
  <c r="W7" i="24"/>
  <c r="AQ7" i="24"/>
  <c r="X7" i="24"/>
  <c r="AR7" i="24"/>
  <c r="Y7" i="24"/>
  <c r="F7" i="24"/>
  <c r="AB7" i="24"/>
  <c r="G27" i="24"/>
  <c r="AQ24" i="24"/>
  <c r="Y24" i="24"/>
  <c r="AB11" i="24"/>
  <c r="AB49" i="24"/>
  <c r="X45" i="24"/>
  <c r="AA42" i="24"/>
  <c r="AJ42" i="24" s="1"/>
  <c r="AQ37" i="24"/>
  <c r="W37" i="24"/>
  <c r="X24" i="24"/>
  <c r="AC23" i="24"/>
  <c r="AK23" i="24" s="1"/>
  <c r="AR23" i="24"/>
  <c r="G23" i="24"/>
  <c r="AA15" i="24"/>
  <c r="AJ15" i="24" s="1"/>
  <c r="X13" i="24"/>
  <c r="AR13" i="24"/>
  <c r="AC10" i="24"/>
  <c r="AK10" i="24" s="1"/>
  <c r="Y42" i="24"/>
  <c r="F37" i="24"/>
  <c r="AR37" i="24"/>
  <c r="AA10" i="24"/>
  <c r="AJ10" i="24" s="1"/>
  <c r="X43" i="24"/>
  <c r="W42" i="24"/>
  <c r="AQ36" i="24"/>
  <c r="AA33" i="24"/>
  <c r="AJ33" i="24" s="1"/>
  <c r="Y19" i="24"/>
  <c r="AQ19" i="24"/>
  <c r="F19" i="24"/>
  <c r="AR19" i="24"/>
  <c r="G19" i="24"/>
  <c r="AA19" i="24"/>
  <c r="AJ19" i="24" s="1"/>
  <c r="AB19" i="24"/>
  <c r="G14" i="24"/>
  <c r="AQ14" i="24"/>
  <c r="W14" i="24"/>
  <c r="AR14" i="24"/>
  <c r="AC14" i="24"/>
  <c r="AK14" i="24" s="1"/>
  <c r="AR11" i="24"/>
  <c r="G10" i="24"/>
  <c r="AA7" i="24"/>
  <c r="AJ7" i="24" s="1"/>
  <c r="W46" i="24"/>
  <c r="AB45" i="24"/>
  <c r="G45" i="24"/>
  <c r="Y43" i="24"/>
  <c r="AR42" i="24"/>
  <c r="AB39" i="24"/>
  <c r="AC37" i="24"/>
  <c r="AK37" i="24" s="1"/>
  <c r="X33" i="24"/>
  <c r="F24" i="24"/>
  <c r="AB23" i="24"/>
  <c r="F11" i="24"/>
  <c r="X26" i="24"/>
  <c r="AR22" i="24"/>
  <c r="X22" i="24"/>
  <c r="Y20" i="24"/>
  <c r="W18" i="24"/>
  <c r="W16" i="24"/>
  <c r="AQ8" i="24"/>
  <c r="AR6" i="24"/>
  <c r="W6" i="24"/>
  <c r="AA4" i="24"/>
  <c r="AJ4" i="24" s="1"/>
  <c r="W4" i="24"/>
  <c r="F22" i="24"/>
  <c r="G4" i="24"/>
  <c r="AQ4" i="24"/>
  <c r="AB17" i="24"/>
  <c r="X28" i="24"/>
  <c r="AC22" i="24"/>
  <c r="AK22" i="24" s="1"/>
  <c r="AB18" i="24"/>
  <c r="AC6" i="24"/>
  <c r="AK6" i="24" s="1"/>
  <c r="AR5" i="24"/>
  <c r="AQ135" i="24"/>
  <c r="AC136" i="24"/>
  <c r="AK136" i="24" s="1"/>
  <c r="X135" i="24"/>
  <c r="AA135" i="24"/>
  <c r="AJ135" i="24" s="1"/>
  <c r="AC135" i="24"/>
  <c r="AK135" i="24" s="1"/>
  <c r="W135" i="24"/>
  <c r="AG135" i="24"/>
  <c r="G135" i="24"/>
  <c r="AR135" i="24"/>
  <c r="AR125" i="24"/>
  <c r="AC140" i="24"/>
  <c r="Y136" i="24"/>
  <c r="Y140" i="24"/>
  <c r="AB140" i="24"/>
  <c r="AL140" i="24" s="1"/>
  <c r="AR140" i="24"/>
  <c r="F140" i="24"/>
  <c r="G140" i="24"/>
  <c r="W140" i="24"/>
  <c r="X140" i="24"/>
  <c r="AA140" i="24"/>
  <c r="AJ140" i="24" s="1"/>
  <c r="AQ140" i="24"/>
  <c r="AC125" i="24"/>
  <c r="Y125" i="24"/>
  <c r="F125" i="24"/>
  <c r="AA125" i="24"/>
  <c r="G125" i="24"/>
  <c r="AB125" i="24"/>
  <c r="AQ125" i="24"/>
  <c r="X125" i="24"/>
  <c r="AR136" i="24"/>
  <c r="AA136" i="24"/>
  <c r="AJ136" i="24" s="1"/>
  <c r="AQ136" i="24"/>
  <c r="AB136" i="24"/>
  <c r="AL136" i="24" s="1"/>
  <c r="W136" i="24"/>
  <c r="F136" i="24"/>
  <c r="X136" i="24"/>
  <c r="F141" i="24"/>
  <c r="X139" i="24"/>
  <c r="AQ134" i="24"/>
  <c r="Y134" i="24"/>
  <c r="G134" i="24"/>
  <c r="W131" i="24"/>
  <c r="Z131" i="24" s="1"/>
  <c r="AC126" i="24"/>
  <c r="X126" i="24"/>
  <c r="AA124" i="24"/>
  <c r="AB122" i="24"/>
  <c r="Y121" i="24"/>
  <c r="AB118" i="24"/>
  <c r="AR118" i="24"/>
  <c r="AA118" i="24"/>
  <c r="AB112" i="24"/>
  <c r="AL112" i="24" s="1"/>
  <c r="AB92" i="24"/>
  <c r="AR92" i="24"/>
  <c r="F92" i="24"/>
  <c r="AA92" i="24"/>
  <c r="AJ92" i="24" s="1"/>
  <c r="G92" i="24"/>
  <c r="AC92" i="24"/>
  <c r="AK92" i="24" s="1"/>
  <c r="Y92" i="24"/>
  <c r="W92" i="24"/>
  <c r="X92" i="24"/>
  <c r="AQ92" i="24"/>
  <c r="AB127" i="24"/>
  <c r="F127" i="24"/>
  <c r="X122" i="24"/>
  <c r="F122" i="24"/>
  <c r="Y122" i="24"/>
  <c r="AQ122" i="24"/>
  <c r="F116" i="24"/>
  <c r="AA116" i="24"/>
  <c r="AC116" i="24"/>
  <c r="X116" i="24"/>
  <c r="W113" i="24"/>
  <c r="W112" i="24"/>
  <c r="AC139" i="24"/>
  <c r="W137" i="24"/>
  <c r="AB131" i="24"/>
  <c r="AL131" i="24" s="1"/>
  <c r="AR131" i="24"/>
  <c r="G124" i="24"/>
  <c r="W124" i="24"/>
  <c r="W122" i="24"/>
  <c r="AR121" i="24"/>
  <c r="AQ116" i="24"/>
  <c r="AB116" i="24"/>
  <c r="F113" i="24"/>
  <c r="G112" i="24"/>
  <c r="AC142" i="24"/>
  <c r="AK142" i="24" s="1"/>
  <c r="AR139" i="24"/>
  <c r="AB139" i="24"/>
  <c r="AL139" i="24" s="1"/>
  <c r="G132" i="24"/>
  <c r="W132" i="24"/>
  <c r="AM132" i="24"/>
  <c r="AA131" i="24"/>
  <c r="AJ131" i="24" s="1"/>
  <c r="AA128" i="24"/>
  <c r="AJ128" i="24" s="1"/>
  <c r="AQ128" i="24"/>
  <c r="F128" i="24"/>
  <c r="Y127" i="24"/>
  <c r="AA126" i="24"/>
  <c r="F126" i="24"/>
  <c r="AQ124" i="24"/>
  <c r="AB123" i="24"/>
  <c r="AR123" i="24"/>
  <c r="G123" i="24"/>
  <c r="W123" i="24"/>
  <c r="AQ121" i="24"/>
  <c r="G121" i="24"/>
  <c r="AQ118" i="24"/>
  <c r="G118" i="24"/>
  <c r="AB110" i="24"/>
  <c r="AL110" i="24" s="1"/>
  <c r="AR110" i="24"/>
  <c r="Y110" i="24"/>
  <c r="G110" i="24"/>
  <c r="AA110" i="24"/>
  <c r="AJ110" i="24" s="1"/>
  <c r="AQ139" i="24"/>
  <c r="AA139" i="24"/>
  <c r="AJ139" i="24" s="1"/>
  <c r="AC137" i="24"/>
  <c r="AK137" i="24" s="1"/>
  <c r="AC134" i="24"/>
  <c r="W127" i="24"/>
  <c r="AB121" i="24"/>
  <c r="Y116" i="24"/>
  <c r="X127" i="24"/>
  <c r="AA127" i="24"/>
  <c r="AQ127" i="24"/>
  <c r="AC113" i="24"/>
  <c r="G113" i="24"/>
  <c r="Y113" i="24"/>
  <c r="AQ113" i="24"/>
  <c r="AA113" i="24"/>
  <c r="F112" i="24"/>
  <c r="X112" i="24"/>
  <c r="AQ112" i="24"/>
  <c r="AA112" i="24"/>
  <c r="AJ112" i="24" s="1"/>
  <c r="AC122" i="24"/>
  <c r="AC121" i="24"/>
  <c r="F121" i="24"/>
  <c r="X121" i="24"/>
  <c r="G116" i="24"/>
  <c r="AB113" i="24"/>
  <c r="AR112" i="24"/>
  <c r="AC112" i="24"/>
  <c r="AK112" i="24" s="1"/>
  <c r="AB94" i="24"/>
  <c r="AR94" i="24"/>
  <c r="Y94" i="24"/>
  <c r="G94" i="24"/>
  <c r="AC94" i="24"/>
  <c r="AK94" i="24" s="1"/>
  <c r="X94" i="24"/>
  <c r="AQ94" i="24"/>
  <c r="W94" i="24"/>
  <c r="AA94" i="24"/>
  <c r="AJ94" i="24" s="1"/>
  <c r="F94" i="24"/>
  <c r="AB111" i="24"/>
  <c r="AL111" i="24" s="1"/>
  <c r="F108" i="24"/>
  <c r="AA108" i="24"/>
  <c r="AJ108" i="24" s="1"/>
  <c r="W108" i="24"/>
  <c r="AC105" i="24"/>
  <c r="AK105" i="24" s="1"/>
  <c r="G105" i="24"/>
  <c r="Y105" i="24"/>
  <c r="AQ105" i="24"/>
  <c r="AB102" i="24"/>
  <c r="AR102" i="24"/>
  <c r="W102" i="24"/>
  <c r="AA102" i="24"/>
  <c r="AJ102" i="24" s="1"/>
  <c r="X96" i="24"/>
  <c r="AQ96" i="24"/>
  <c r="W96" i="24"/>
  <c r="Y96" i="24"/>
  <c r="AA96" i="24"/>
  <c r="AJ96" i="24" s="1"/>
  <c r="G119" i="24"/>
  <c r="W119" i="24"/>
  <c r="Z119" i="24" s="1"/>
  <c r="AA115" i="24"/>
  <c r="AQ115" i="24"/>
  <c r="X114" i="24"/>
  <c r="AR111" i="24"/>
  <c r="Y111" i="24"/>
  <c r="AR108" i="24"/>
  <c r="AC107" i="24"/>
  <c r="AK107" i="24" s="1"/>
  <c r="X106" i="24"/>
  <c r="G106" i="24"/>
  <c r="AR106" i="24"/>
  <c r="Y102" i="24"/>
  <c r="AB96" i="24"/>
  <c r="G64" i="24"/>
  <c r="X64" i="24"/>
  <c r="Y64" i="24"/>
  <c r="AC64" i="24"/>
  <c r="AK64" i="24" s="1"/>
  <c r="F64" i="24"/>
  <c r="W64" i="24"/>
  <c r="AA64" i="24"/>
  <c r="AJ64" i="24" s="1"/>
  <c r="AQ64" i="24"/>
  <c r="AB64" i="24"/>
  <c r="AR64" i="24"/>
  <c r="G111" i="24"/>
  <c r="W111" i="24"/>
  <c r="AA107" i="24"/>
  <c r="AJ107" i="24" s="1"/>
  <c r="AQ107" i="24"/>
  <c r="F100" i="24"/>
  <c r="X100" i="24"/>
  <c r="G100" i="24"/>
  <c r="Y100" i="24"/>
  <c r="AQ100" i="24"/>
  <c r="AC100" i="24"/>
  <c r="AK100" i="24" s="1"/>
  <c r="G103" i="24"/>
  <c r="W103" i="24"/>
  <c r="AB97" i="24"/>
  <c r="AC95" i="24"/>
  <c r="AK95" i="24" s="1"/>
  <c r="G95" i="24"/>
  <c r="W95" i="24"/>
  <c r="Y90" i="24"/>
  <c r="AR89" i="24"/>
  <c r="Y88" i="24"/>
  <c r="AQ86" i="24"/>
  <c r="AC86" i="24"/>
  <c r="AK86" i="24" s="1"/>
  <c r="AB66" i="24"/>
  <c r="F66" i="24"/>
  <c r="G66" i="24"/>
  <c r="W66" i="24"/>
  <c r="AA66" i="24"/>
  <c r="AJ66" i="24" s="1"/>
  <c r="AQ66" i="24"/>
  <c r="X66" i="24"/>
  <c r="Y66" i="24"/>
  <c r="AC66" i="24"/>
  <c r="AK66" i="24" s="1"/>
  <c r="AR66" i="24"/>
  <c r="F98" i="24"/>
  <c r="X98" i="24"/>
  <c r="G89" i="24"/>
  <c r="W89" i="24"/>
  <c r="AA89" i="24"/>
  <c r="AJ89" i="24" s="1"/>
  <c r="AQ89" i="24"/>
  <c r="AC89" i="24"/>
  <c r="AK89" i="24" s="1"/>
  <c r="G88" i="24"/>
  <c r="W86" i="24"/>
  <c r="G86" i="24"/>
  <c r="AA97" i="24"/>
  <c r="AJ97" i="24" s="1"/>
  <c r="AQ97" i="24"/>
  <c r="AC97" i="24"/>
  <c r="AK97" i="24" s="1"/>
  <c r="AR90" i="24"/>
  <c r="Y89" i="24"/>
  <c r="F88" i="24"/>
  <c r="AA85" i="24"/>
  <c r="AJ85" i="24" s="1"/>
  <c r="AQ85" i="24"/>
  <c r="AC85" i="24"/>
  <c r="AK85" i="24" s="1"/>
  <c r="F85" i="24"/>
  <c r="W85" i="24"/>
  <c r="Y85" i="24"/>
  <c r="AC98" i="24"/>
  <c r="AK98" i="24" s="1"/>
  <c r="AQ90" i="24"/>
  <c r="AC90" i="24"/>
  <c r="AK90" i="24" s="1"/>
  <c r="X89" i="24"/>
  <c r="AQ88" i="24"/>
  <c r="F86" i="24"/>
  <c r="X86" i="24"/>
  <c r="AB86" i="24"/>
  <c r="AR86" i="24"/>
  <c r="AA98" i="24"/>
  <c r="AJ98" i="24" s="1"/>
  <c r="F90" i="24"/>
  <c r="X90" i="24"/>
  <c r="AB88" i="24"/>
  <c r="AR88" i="24"/>
  <c r="X88" i="24"/>
  <c r="AQ99" i="24"/>
  <c r="AA99" i="24"/>
  <c r="AJ99" i="24" s="1"/>
  <c r="AQ91" i="24"/>
  <c r="AA91" i="24"/>
  <c r="AJ91" i="24" s="1"/>
  <c r="W87" i="24"/>
  <c r="G87" i="24"/>
  <c r="AR84" i="24"/>
  <c r="AR83" i="24"/>
  <c r="Y83" i="24"/>
  <c r="G83" i="24"/>
  <c r="AQ82" i="24"/>
  <c r="Y82" i="24"/>
  <c r="F82" i="24"/>
  <c r="X81" i="24"/>
  <c r="F81" i="24"/>
  <c r="AA78" i="24"/>
  <c r="AJ78" i="24" s="1"/>
  <c r="AQ78" i="24"/>
  <c r="G78" i="24"/>
  <c r="W78" i="24"/>
  <c r="Y77" i="24"/>
  <c r="F75" i="24"/>
  <c r="Y74" i="24"/>
  <c r="AA73" i="24"/>
  <c r="AJ73" i="24" s="1"/>
  <c r="F73" i="24"/>
  <c r="W71" i="24"/>
  <c r="AC70" i="24"/>
  <c r="AK70" i="24" s="1"/>
  <c r="X63" i="24"/>
  <c r="F52" i="24"/>
  <c r="AC52" i="24"/>
  <c r="AK52" i="24" s="1"/>
  <c r="W52" i="24"/>
  <c r="AQ52" i="24"/>
  <c r="G52" i="24"/>
  <c r="X52" i="24"/>
  <c r="Y52" i="24"/>
  <c r="AA52" i="24"/>
  <c r="AJ52" i="24" s="1"/>
  <c r="AB52" i="24"/>
  <c r="AA70" i="24"/>
  <c r="AJ70" i="24" s="1"/>
  <c r="AQ70" i="24"/>
  <c r="G70" i="24"/>
  <c r="W70" i="24"/>
  <c r="AC87" i="24"/>
  <c r="AK87" i="24" s="1"/>
  <c r="X84" i="24"/>
  <c r="Z84" i="24" s="1"/>
  <c r="W83" i="24"/>
  <c r="AB79" i="24"/>
  <c r="X77" i="24"/>
  <c r="AB77" i="24"/>
  <c r="AR77" i="24"/>
  <c r="G74" i="24"/>
  <c r="W74" i="24"/>
  <c r="AA74" i="24"/>
  <c r="AJ74" i="24" s="1"/>
  <c r="AQ74" i="24"/>
  <c r="Y73" i="24"/>
  <c r="AR71" i="24"/>
  <c r="G71" i="24"/>
  <c r="Y70" i="24"/>
  <c r="AB63" i="24"/>
  <c r="AR63" i="24"/>
  <c r="W63" i="24"/>
  <c r="G63" i="24"/>
  <c r="Y63" i="24"/>
  <c r="AQ63" i="24"/>
  <c r="X70" i="24"/>
  <c r="AC82" i="24"/>
  <c r="AK82" i="24" s="1"/>
  <c r="AB81" i="24"/>
  <c r="AR81" i="24"/>
  <c r="AB73" i="24"/>
  <c r="AR73" i="24"/>
  <c r="X73" i="24"/>
  <c r="AB71" i="24"/>
  <c r="F44" i="24"/>
  <c r="G44" i="24"/>
  <c r="W44" i="24"/>
  <c r="Y44" i="24"/>
  <c r="X44" i="24"/>
  <c r="AA44" i="24"/>
  <c r="AJ44" i="24" s="1"/>
  <c r="AQ44" i="24"/>
  <c r="AR44" i="24"/>
  <c r="AB44" i="24"/>
  <c r="AC44" i="24"/>
  <c r="AK44" i="24" s="1"/>
  <c r="G82" i="24"/>
  <c r="W82" i="24"/>
  <c r="AC71" i="24"/>
  <c r="AK71" i="24" s="1"/>
  <c r="F71" i="24"/>
  <c r="AC84" i="24"/>
  <c r="AK84" i="24" s="1"/>
  <c r="AB83" i="24"/>
  <c r="AA82" i="24"/>
  <c r="AJ82" i="24" s="1"/>
  <c r="F79" i="24"/>
  <c r="Y71" i="24"/>
  <c r="F70" i="24"/>
  <c r="G69" i="24"/>
  <c r="W69" i="24"/>
  <c r="X69" i="24"/>
  <c r="AB69" i="24"/>
  <c r="AR69" i="24"/>
  <c r="F67" i="24"/>
  <c r="X65" i="24"/>
  <c r="W60" i="24"/>
  <c r="G57" i="24"/>
  <c r="W57" i="24"/>
  <c r="Y56" i="24"/>
  <c r="G47" i="24"/>
  <c r="W47" i="24"/>
  <c r="X47" i="24"/>
  <c r="F47" i="24"/>
  <c r="AC47" i="24"/>
  <c r="AK47" i="24" s="1"/>
  <c r="AQ47" i="24"/>
  <c r="Y46" i="24"/>
  <c r="AC30" i="24"/>
  <c r="AK30" i="24" s="1"/>
  <c r="AR30" i="24"/>
  <c r="AA30" i="24"/>
  <c r="AJ30" i="24" s="1"/>
  <c r="F30" i="24"/>
  <c r="G30" i="24"/>
  <c r="AQ30" i="24"/>
  <c r="Y30" i="24"/>
  <c r="X30" i="24"/>
  <c r="AB30" i="24"/>
  <c r="W30" i="24"/>
  <c r="AB56" i="24"/>
  <c r="AR56" i="24"/>
  <c r="G56" i="24"/>
  <c r="W56" i="24"/>
  <c r="AB46" i="24"/>
  <c r="AR46" i="24"/>
  <c r="AC46" i="24"/>
  <c r="AK46" i="24" s="1"/>
  <c r="AA46" i="24"/>
  <c r="AJ46" i="24" s="1"/>
  <c r="G46" i="24"/>
  <c r="AQ46" i="24"/>
  <c r="X46" i="24"/>
  <c r="G29" i="24"/>
  <c r="Y29" i="24"/>
  <c r="AR29" i="24"/>
  <c r="AA29" i="24"/>
  <c r="AJ29" i="24" s="1"/>
  <c r="W29" i="24"/>
  <c r="AB29" i="24"/>
  <c r="AC29" i="24"/>
  <c r="AK29" i="24" s="1"/>
  <c r="F29" i="24"/>
  <c r="AQ29" i="24"/>
  <c r="AA60" i="24"/>
  <c r="AJ60" i="24" s="1"/>
  <c r="AQ60" i="24"/>
  <c r="X59" i="24"/>
  <c r="AA58" i="24"/>
  <c r="AJ58" i="24" s="1"/>
  <c r="F58" i="24"/>
  <c r="X49" i="24"/>
  <c r="AC76" i="24"/>
  <c r="AK76" i="24" s="1"/>
  <c r="AC68" i="24"/>
  <c r="AK68" i="24" s="1"/>
  <c r="AR65" i="24"/>
  <c r="AB65" i="24"/>
  <c r="F61" i="24"/>
  <c r="AB60" i="24"/>
  <c r="AA59" i="24"/>
  <c r="AJ59" i="24" s="1"/>
  <c r="AR58" i="24"/>
  <c r="Y58" i="24"/>
  <c r="AB57" i="24"/>
  <c r="F57" i="24"/>
  <c r="W49" i="24"/>
  <c r="AR47" i="24"/>
  <c r="AA47" i="24"/>
  <c r="AJ47" i="24" s="1"/>
  <c r="AQ65" i="24"/>
  <c r="AA65" i="24"/>
  <c r="AJ65" i="24" s="1"/>
  <c r="AR59" i="24"/>
  <c r="G59" i="24"/>
  <c r="AQ58" i="24"/>
  <c r="X58" i="24"/>
  <c r="AC56" i="24"/>
  <c r="AK56" i="24" s="1"/>
  <c r="Y47" i="24"/>
  <c r="AC58" i="24"/>
  <c r="AK58" i="24" s="1"/>
  <c r="AA56" i="24"/>
  <c r="AJ56" i="24" s="1"/>
  <c r="F56" i="24"/>
  <c r="AC49" i="24"/>
  <c r="AK49" i="24" s="1"/>
  <c r="F49" i="24"/>
  <c r="Y49" i="24"/>
  <c r="G49" i="24"/>
  <c r="AA49" i="24"/>
  <c r="AJ49" i="24" s="1"/>
  <c r="X60" i="24"/>
  <c r="F60" i="24"/>
  <c r="W59" i="24"/>
  <c r="AR55" i="24"/>
  <c r="AB55" i="24"/>
  <c r="F53" i="24"/>
  <c r="AR51" i="24"/>
  <c r="Y51" i="24"/>
  <c r="G51" i="24"/>
  <c r="AA48" i="24"/>
  <c r="AJ48" i="24" s="1"/>
  <c r="AQ48" i="24"/>
  <c r="X41" i="24"/>
  <c r="AR33" i="24"/>
  <c r="AB12" i="24"/>
  <c r="AR12" i="24"/>
  <c r="X12" i="24"/>
  <c r="AC12" i="24"/>
  <c r="AK12" i="24" s="1"/>
  <c r="G12" i="24"/>
  <c r="W12" i="24"/>
  <c r="F12" i="24"/>
  <c r="Y12" i="24"/>
  <c r="AQ12" i="24"/>
  <c r="AA12" i="24"/>
  <c r="AJ12" i="24" s="1"/>
  <c r="F36" i="24"/>
  <c r="G36" i="24"/>
  <c r="W36" i="24"/>
  <c r="Y36" i="24"/>
  <c r="AQ53" i="24"/>
  <c r="AA53" i="24"/>
  <c r="AJ53" i="24" s="1"/>
  <c r="AQ39" i="24"/>
  <c r="Y39" i="24"/>
  <c r="F39" i="24"/>
  <c r="AQ31" i="24"/>
  <c r="Y31" i="24"/>
  <c r="F31" i="24"/>
  <c r="AB25" i="24"/>
  <c r="AA25" i="24"/>
  <c r="AJ25" i="24" s="1"/>
  <c r="F25" i="24"/>
  <c r="AC25" i="24"/>
  <c r="AK25" i="24" s="1"/>
  <c r="AQ25" i="24"/>
  <c r="Y25" i="24"/>
  <c r="AA51" i="24"/>
  <c r="AJ51" i="24" s="1"/>
  <c r="AQ51" i="24"/>
  <c r="AC41" i="24"/>
  <c r="AK41" i="24" s="1"/>
  <c r="F41" i="24"/>
  <c r="Y41" i="24"/>
  <c r="AR36" i="24"/>
  <c r="AB36" i="24"/>
  <c r="AC33" i="24"/>
  <c r="AK33" i="24" s="1"/>
  <c r="F33" i="24"/>
  <c r="Y33" i="24"/>
  <c r="X25" i="24"/>
  <c r="G39" i="24"/>
  <c r="W39" i="24"/>
  <c r="X39" i="24"/>
  <c r="AC39" i="24"/>
  <c r="AK39" i="24" s="1"/>
  <c r="X36" i="24"/>
  <c r="G31" i="24"/>
  <c r="W31" i="24"/>
  <c r="X31" i="24"/>
  <c r="AC31" i="24"/>
  <c r="AK31" i="24" s="1"/>
  <c r="AA43" i="24"/>
  <c r="AJ43" i="24" s="1"/>
  <c r="AQ43" i="24"/>
  <c r="AB43" i="24"/>
  <c r="AR43" i="24"/>
  <c r="AA40" i="24"/>
  <c r="AJ40" i="24" s="1"/>
  <c r="AQ40" i="24"/>
  <c r="AA38" i="24"/>
  <c r="AJ38" i="24" s="1"/>
  <c r="AA35" i="24"/>
  <c r="AJ35" i="24" s="1"/>
  <c r="AQ35" i="24"/>
  <c r="AB35" i="24"/>
  <c r="AR35" i="24"/>
  <c r="AA32" i="24"/>
  <c r="AJ32" i="24" s="1"/>
  <c r="AQ32" i="24"/>
  <c r="AA27" i="24"/>
  <c r="AJ27" i="24" s="1"/>
  <c r="W21" i="24"/>
  <c r="X21" i="24"/>
  <c r="AB21" i="24"/>
  <c r="F21" i="24"/>
  <c r="AC21" i="24"/>
  <c r="AK21" i="24" s="1"/>
  <c r="AQ21" i="24"/>
  <c r="AB38" i="24"/>
  <c r="AR38" i="24"/>
  <c r="AC38" i="24"/>
  <c r="AK38" i="24" s="1"/>
  <c r="G28" i="24"/>
  <c r="W28" i="24"/>
  <c r="F28" i="24"/>
  <c r="Y28" i="24"/>
  <c r="AQ28" i="24"/>
  <c r="AR28" i="24"/>
  <c r="AA22" i="24"/>
  <c r="AJ22" i="24" s="1"/>
  <c r="AQ22" i="24"/>
  <c r="W22" i="24"/>
  <c r="F43" i="24"/>
  <c r="AB40" i="24"/>
  <c r="F40" i="24"/>
  <c r="F35" i="24"/>
  <c r="AB32" i="24"/>
  <c r="F32" i="24"/>
  <c r="AA21" i="24"/>
  <c r="AJ21" i="24" s="1"/>
  <c r="AR21" i="24"/>
  <c r="AB27" i="24"/>
  <c r="AR27" i="24"/>
  <c r="X27" i="24"/>
  <c r="F27" i="24"/>
  <c r="Y27" i="24"/>
  <c r="AQ27" i="24"/>
  <c r="Y21" i="24"/>
  <c r="F23" i="24"/>
  <c r="W23" i="24"/>
  <c r="X23" i="24"/>
  <c r="X8" i="24"/>
  <c r="AB8" i="24"/>
  <c r="AR8" i="24"/>
  <c r="F8" i="24"/>
  <c r="AA8" i="24"/>
  <c r="AJ8" i="24" s="1"/>
  <c r="G8" i="24"/>
  <c r="AC8" i="24"/>
  <c r="AK8" i="24" s="1"/>
  <c r="Y8" i="24"/>
  <c r="F14" i="24"/>
  <c r="Y14" i="24"/>
  <c r="AA14" i="24"/>
  <c r="AJ14" i="24" s="1"/>
  <c r="X14" i="24"/>
  <c r="AB14" i="24"/>
  <c r="AC9" i="24"/>
  <c r="AK9" i="24" s="1"/>
  <c r="AQ16" i="24"/>
  <c r="AA9" i="24"/>
  <c r="AJ9" i="24" s="1"/>
  <c r="AQ9" i="24"/>
  <c r="G9" i="24"/>
  <c r="W9" i="24"/>
  <c r="Y9" i="24"/>
  <c r="X9" i="24"/>
  <c r="X16" i="24"/>
  <c r="AB16" i="24"/>
  <c r="AR16" i="24"/>
  <c r="F16" i="24"/>
  <c r="AA16" i="24"/>
  <c r="AJ16" i="24" s="1"/>
  <c r="G16" i="24"/>
  <c r="AC16" i="24"/>
  <c r="AK16" i="24" s="1"/>
  <c r="G5" i="24"/>
  <c r="W5" i="24"/>
  <c r="AA5" i="24"/>
  <c r="AJ5" i="24" s="1"/>
  <c r="AQ5" i="24"/>
  <c r="F5" i="24"/>
  <c r="AB5" i="24"/>
  <c r="AC5" i="24"/>
  <c r="AK5" i="24" s="1"/>
  <c r="Y5" i="24"/>
  <c r="X5" i="24"/>
  <c r="AA17" i="24"/>
  <c r="AJ17" i="24" s="1"/>
  <c r="AQ17" i="24"/>
  <c r="G17" i="24"/>
  <c r="W17" i="24"/>
  <c r="Y17" i="24"/>
  <c r="G13" i="24"/>
  <c r="W13" i="24"/>
  <c r="AA13" i="24"/>
  <c r="AJ13" i="24" s="1"/>
  <c r="AQ13" i="24"/>
  <c r="F13" i="24"/>
  <c r="AB13" i="24"/>
  <c r="AC13" i="24"/>
  <c r="AK13" i="24" s="1"/>
  <c r="AC20" i="24"/>
  <c r="AK20" i="24" s="1"/>
  <c r="AC17" i="24"/>
  <c r="AK17" i="24" s="1"/>
  <c r="Y4" i="24"/>
  <c r="F6" i="24"/>
  <c r="Y6" i="24"/>
  <c r="AA6" i="24"/>
  <c r="AJ6" i="24" s="1"/>
  <c r="AB4" i="24"/>
  <c r="AR4" i="24"/>
  <c r="X4" i="24"/>
  <c r="AQ18" i="24"/>
  <c r="X18" i="24"/>
  <c r="X10" i="24"/>
  <c r="F18" i="24"/>
  <c r="F10" i="24"/>
  <c r="AC15" i="24"/>
  <c r="AK15" i="24" s="1"/>
  <c r="AC7" i="24"/>
  <c r="AK7" i="24" s="1"/>
  <c r="W3" i="49"/>
  <c r="AX20" i="49"/>
  <c r="H15" i="17"/>
  <c r="G15" i="17"/>
  <c r="F15" i="17"/>
  <c r="E15" i="17"/>
  <c r="D15" i="17"/>
  <c r="C15" i="17"/>
  <c r="H7" i="17"/>
  <c r="G7" i="17"/>
  <c r="F7" i="17"/>
  <c r="E7" i="17"/>
  <c r="D7" i="17"/>
  <c r="C7" i="17"/>
  <c r="J28" i="50"/>
  <c r="BB3" i="49"/>
  <c r="Z3" i="49"/>
  <c r="B3" i="49"/>
  <c r="BA2" i="49"/>
  <c r="AZ2" i="49"/>
  <c r="AY2" i="49"/>
  <c r="AX2" i="49"/>
  <c r="AW2" i="49"/>
  <c r="AV2" i="49"/>
  <c r="A1" i="49"/>
  <c r="H15" i="16"/>
  <c r="G15" i="16"/>
  <c r="F15" i="16"/>
  <c r="E15" i="16"/>
  <c r="D15" i="16"/>
  <c r="C15" i="16"/>
  <c r="H7" i="16"/>
  <c r="G7" i="16"/>
  <c r="F7" i="16"/>
  <c r="E7" i="16"/>
  <c r="D7" i="16"/>
  <c r="C7" i="16"/>
  <c r="AM138" i="49" l="1"/>
  <c r="AK131" i="49"/>
  <c r="AK132" i="49"/>
  <c r="AK133" i="49"/>
  <c r="Z110" i="24"/>
  <c r="AH110" i="24" s="1"/>
  <c r="Z94" i="49"/>
  <c r="AE94" i="49" s="1"/>
  <c r="Z34" i="24"/>
  <c r="Z6" i="24"/>
  <c r="AI136" i="49"/>
  <c r="AK140" i="49"/>
  <c r="AK137" i="49"/>
  <c r="AK142" i="49"/>
  <c r="AK141" i="49"/>
  <c r="Z96" i="47"/>
  <c r="Z94" i="47"/>
  <c r="AE104" i="24"/>
  <c r="AF104" i="24"/>
  <c r="AI104" i="24"/>
  <c r="AH104" i="24"/>
  <c r="AF110" i="24"/>
  <c r="Z64" i="47"/>
  <c r="Z68" i="24"/>
  <c r="Z108" i="24"/>
  <c r="Z103" i="47"/>
  <c r="AF103" i="47" s="1"/>
  <c r="Z103" i="24"/>
  <c r="Z75" i="47"/>
  <c r="Z76" i="47"/>
  <c r="AF107" i="47"/>
  <c r="AI107" i="47"/>
  <c r="AH107" i="47"/>
  <c r="AE107" i="47"/>
  <c r="AI96" i="47"/>
  <c r="AH96" i="47"/>
  <c r="AH107" i="49"/>
  <c r="AI107" i="49"/>
  <c r="AF107" i="49"/>
  <c r="AF108" i="49"/>
  <c r="AI108" i="49"/>
  <c r="AE108" i="49"/>
  <c r="Z91" i="47"/>
  <c r="AM133" i="47"/>
  <c r="Z74" i="49"/>
  <c r="Z129" i="47"/>
  <c r="AE129" i="47" s="1"/>
  <c r="AI105" i="49"/>
  <c r="AF105" i="49"/>
  <c r="AF94" i="49"/>
  <c r="AH105" i="49"/>
  <c r="AI101" i="49"/>
  <c r="AF141" i="47"/>
  <c r="AE141" i="47"/>
  <c r="AM140" i="47"/>
  <c r="AK140" i="47"/>
  <c r="AH101" i="49"/>
  <c r="AM140" i="24"/>
  <c r="AK140" i="24"/>
  <c r="AM139" i="47"/>
  <c r="AK139" i="47"/>
  <c r="AM139" i="24"/>
  <c r="AK139" i="24"/>
  <c r="AM138" i="24"/>
  <c r="AK138" i="24"/>
  <c r="AM142" i="47"/>
  <c r="AK142" i="47"/>
  <c r="AM141" i="47"/>
  <c r="AK141" i="47"/>
  <c r="AM128" i="47"/>
  <c r="AM131" i="47"/>
  <c r="AK131" i="47"/>
  <c r="AF133" i="47"/>
  <c r="AE133" i="47"/>
  <c r="AH128" i="47"/>
  <c r="AI128" i="47"/>
  <c r="AM135" i="47"/>
  <c r="AK135" i="47"/>
  <c r="AM134" i="47"/>
  <c r="AK134" i="47"/>
  <c r="AM132" i="47"/>
  <c r="AK132" i="47"/>
  <c r="AM136" i="47"/>
  <c r="AK136" i="47"/>
  <c r="Z45" i="47"/>
  <c r="AM128" i="24"/>
  <c r="Z7" i="47"/>
  <c r="Z128" i="24"/>
  <c r="AI128" i="24" s="1"/>
  <c r="Z72" i="24"/>
  <c r="Z79" i="24"/>
  <c r="Z37" i="49"/>
  <c r="AF129" i="24"/>
  <c r="AE129" i="24"/>
  <c r="AM130" i="24"/>
  <c r="AK130" i="24"/>
  <c r="AM129" i="24"/>
  <c r="AM134" i="24"/>
  <c r="AK134" i="24"/>
  <c r="AM131" i="24"/>
  <c r="AK131" i="24"/>
  <c r="Z49" i="47"/>
  <c r="Z63" i="47"/>
  <c r="Z67" i="47"/>
  <c r="Z80" i="49"/>
  <c r="Z63" i="49"/>
  <c r="Z81" i="47"/>
  <c r="Z34" i="47"/>
  <c r="Z59" i="47"/>
  <c r="Z19" i="47"/>
  <c r="AM142" i="24"/>
  <c r="AM137" i="24"/>
  <c r="Z21" i="49"/>
  <c r="Z51" i="49"/>
  <c r="Z14" i="47"/>
  <c r="Z41" i="47"/>
  <c r="Z83" i="47"/>
  <c r="Z25" i="47"/>
  <c r="Z52" i="49"/>
  <c r="Z15" i="47"/>
  <c r="Z69" i="47"/>
  <c r="Z48" i="47"/>
  <c r="Z86" i="47"/>
  <c r="Z53" i="47"/>
  <c r="Z31" i="47"/>
  <c r="Z56" i="49"/>
  <c r="Z56" i="47"/>
  <c r="Z61" i="49"/>
  <c r="Z42" i="49"/>
  <c r="Z28" i="47"/>
  <c r="Z44" i="47"/>
  <c r="Z38" i="47"/>
  <c r="Z30" i="49"/>
  <c r="AF131" i="24"/>
  <c r="AE131" i="24"/>
  <c r="Z10" i="47"/>
  <c r="Z13" i="47"/>
  <c r="Z18" i="47"/>
  <c r="Z16" i="49"/>
  <c r="Z34" i="49"/>
  <c r="Z43" i="47"/>
  <c r="Z52" i="47"/>
  <c r="H144" i="49"/>
  <c r="H143" i="49"/>
  <c r="J144" i="49"/>
  <c r="J143" i="49"/>
  <c r="K144" i="49"/>
  <c r="K143" i="49"/>
  <c r="L144" i="49"/>
  <c r="L143" i="49"/>
  <c r="M144" i="49"/>
  <c r="M143" i="49"/>
  <c r="I143" i="49"/>
  <c r="I144" i="49"/>
  <c r="Z50" i="49"/>
  <c r="Z62" i="49"/>
  <c r="Z47" i="47"/>
  <c r="Z19" i="49"/>
  <c r="Z40" i="47"/>
  <c r="Z36" i="47"/>
  <c r="AM133" i="24"/>
  <c r="Z75" i="24"/>
  <c r="AM137" i="47"/>
  <c r="Z87" i="47"/>
  <c r="Z26" i="49"/>
  <c r="Z68" i="47"/>
  <c r="Z37" i="47"/>
  <c r="Z11" i="47"/>
  <c r="Z71" i="47"/>
  <c r="Z84" i="47"/>
  <c r="Z37" i="24"/>
  <c r="Z82" i="47"/>
  <c r="Z140" i="49"/>
  <c r="J102" i="49"/>
  <c r="Z58" i="49"/>
  <c r="Z45" i="49"/>
  <c r="Z71" i="49"/>
  <c r="Z28" i="49"/>
  <c r="Z22" i="49"/>
  <c r="Z91" i="24"/>
  <c r="Z55" i="49"/>
  <c r="Z32" i="49"/>
  <c r="Z72" i="49"/>
  <c r="Z75" i="49"/>
  <c r="Z60" i="49"/>
  <c r="Z46" i="49"/>
  <c r="Z68" i="49"/>
  <c r="Z4" i="49"/>
  <c r="Z33" i="49"/>
  <c r="Z83" i="49"/>
  <c r="Z70" i="49"/>
  <c r="Z77" i="49"/>
  <c r="Z54" i="49"/>
  <c r="Z44" i="49"/>
  <c r="Z84" i="49"/>
  <c r="Z53" i="49"/>
  <c r="Z11" i="49"/>
  <c r="Z8" i="49"/>
  <c r="Z14" i="49"/>
  <c r="Z43" i="49"/>
  <c r="Z78" i="49"/>
  <c r="Z29" i="49"/>
  <c r="Z48" i="49"/>
  <c r="Z76" i="49"/>
  <c r="Z31" i="49"/>
  <c r="Z47" i="49"/>
  <c r="Z7" i="49"/>
  <c r="Z64" i="49"/>
  <c r="Z82" i="49"/>
  <c r="Z65" i="49"/>
  <c r="Z38" i="49"/>
  <c r="Z36" i="49"/>
  <c r="Z85" i="49"/>
  <c r="Z35" i="49"/>
  <c r="Z15" i="49"/>
  <c r="Z17" i="49"/>
  <c r="Z73" i="49"/>
  <c r="Z57" i="49"/>
  <c r="Z69" i="49"/>
  <c r="Z40" i="49"/>
  <c r="Z13" i="49"/>
  <c r="Z5" i="49"/>
  <c r="Z24" i="49"/>
  <c r="Z41" i="49"/>
  <c r="Z25" i="49"/>
  <c r="Z81" i="49"/>
  <c r="Z23" i="49"/>
  <c r="Z6" i="49"/>
  <c r="Z10" i="49"/>
  <c r="Z39" i="49"/>
  <c r="Z49" i="49"/>
  <c r="Z9" i="49"/>
  <c r="Z79" i="49"/>
  <c r="Z20" i="49"/>
  <c r="Z27" i="49"/>
  <c r="Z18" i="49"/>
  <c r="Z59" i="49"/>
  <c r="Z12" i="49"/>
  <c r="Z67" i="49"/>
  <c r="Z66" i="49"/>
  <c r="Z67" i="24"/>
  <c r="Z32" i="24"/>
  <c r="Z83" i="24"/>
  <c r="Z43" i="24"/>
  <c r="Z113" i="49"/>
  <c r="Z132" i="24"/>
  <c r="Z139" i="24"/>
  <c r="Z135" i="49"/>
  <c r="Z120" i="47"/>
  <c r="Z112" i="47"/>
  <c r="Z141" i="49"/>
  <c r="Z26" i="24"/>
  <c r="Z93" i="47"/>
  <c r="Z97" i="47"/>
  <c r="Z46" i="24"/>
  <c r="Z90" i="47"/>
  <c r="Z99" i="49"/>
  <c r="Z80" i="24"/>
  <c r="Z18" i="24"/>
  <c r="Z81" i="24"/>
  <c r="Z35" i="24"/>
  <c r="Z131" i="47"/>
  <c r="Z74" i="24"/>
  <c r="Z40" i="24"/>
  <c r="Z134" i="47"/>
  <c r="Z105" i="47"/>
  <c r="Z65" i="24"/>
  <c r="Z48" i="24"/>
  <c r="Z96" i="49"/>
  <c r="Z33" i="24"/>
  <c r="Z71" i="24"/>
  <c r="Z38" i="24"/>
  <c r="Z60" i="24"/>
  <c r="Z39" i="24"/>
  <c r="Z73" i="24"/>
  <c r="Z82" i="24"/>
  <c r="Z22" i="24"/>
  <c r="AM135" i="49"/>
  <c r="Z58" i="24"/>
  <c r="Z136" i="47"/>
  <c r="Z42" i="24"/>
  <c r="Z59" i="24"/>
  <c r="Z78" i="24"/>
  <c r="Z70" i="24"/>
  <c r="Z29" i="24"/>
  <c r="Z85" i="24"/>
  <c r="Z28" i="24"/>
  <c r="Z31" i="24"/>
  <c r="Z30" i="24"/>
  <c r="Z88" i="47"/>
  <c r="Z32" i="47"/>
  <c r="Z104" i="47"/>
  <c r="Z92" i="47"/>
  <c r="Z100" i="47"/>
  <c r="Z102" i="47"/>
  <c r="Z139" i="47"/>
  <c r="AM130" i="47"/>
  <c r="Z132" i="47"/>
  <c r="Z27" i="24"/>
  <c r="Z56" i="24"/>
  <c r="Z36" i="24"/>
  <c r="Z47" i="24"/>
  <c r="Z66" i="24"/>
  <c r="Z41" i="24"/>
  <c r="Z99" i="47"/>
  <c r="Z121" i="49"/>
  <c r="Z95" i="47"/>
  <c r="Z101" i="47"/>
  <c r="Z99" i="24"/>
  <c r="Z88" i="49"/>
  <c r="Z103" i="49"/>
  <c r="Z98" i="24"/>
  <c r="Z89" i="47"/>
  <c r="Z98" i="47"/>
  <c r="Z140" i="47"/>
  <c r="Z130" i="47"/>
  <c r="Z138" i="47"/>
  <c r="Z137" i="47"/>
  <c r="Z135" i="47"/>
  <c r="Z142" i="47"/>
  <c r="Z86" i="49"/>
  <c r="Z93" i="49"/>
  <c r="Z120" i="24"/>
  <c r="Z106" i="49"/>
  <c r="Z112" i="49"/>
  <c r="Z131" i="49"/>
  <c r="Z142" i="49"/>
  <c r="Z133" i="24"/>
  <c r="AM138" i="47"/>
  <c r="Z142" i="24"/>
  <c r="AM136" i="24"/>
  <c r="Z139" i="49"/>
  <c r="Z137" i="49"/>
  <c r="Z138" i="49"/>
  <c r="Z64" i="24"/>
  <c r="Z63" i="24"/>
  <c r="Z51" i="24"/>
  <c r="Z50" i="24"/>
  <c r="Z61" i="24"/>
  <c r="Z44" i="24"/>
  <c r="Z45" i="24"/>
  <c r="Z57" i="24"/>
  <c r="Z52" i="24"/>
  <c r="Z55" i="24"/>
  <c r="Z49" i="24"/>
  <c r="Z53" i="24"/>
  <c r="Z76" i="24"/>
  <c r="Z69" i="24"/>
  <c r="Z77" i="24"/>
  <c r="Z13" i="24"/>
  <c r="Z54" i="24"/>
  <c r="Z19" i="24"/>
  <c r="Z10" i="24"/>
  <c r="Z109" i="47"/>
  <c r="Z119" i="47"/>
  <c r="Z106" i="24"/>
  <c r="Z109" i="24"/>
  <c r="Z25" i="24"/>
  <c r="Z110" i="47"/>
  <c r="Z126" i="24"/>
  <c r="Z24" i="24"/>
  <c r="Z21" i="24"/>
  <c r="Z108" i="47"/>
  <c r="Z126" i="47"/>
  <c r="Z106" i="47"/>
  <c r="Z11" i="24"/>
  <c r="Z123" i="47"/>
  <c r="Z17" i="24"/>
  <c r="Z4" i="24"/>
  <c r="Z5" i="24"/>
  <c r="Z7" i="24"/>
  <c r="Z8" i="24"/>
  <c r="Z23" i="24"/>
  <c r="Z114" i="24"/>
  <c r="Z111" i="47"/>
  <c r="Z127" i="47"/>
  <c r="Z20" i="24"/>
  <c r="Z9" i="24"/>
  <c r="Z12" i="24"/>
  <c r="Z14" i="24"/>
  <c r="Z15" i="24"/>
  <c r="Z16" i="24"/>
  <c r="Z117" i="47"/>
  <c r="Z125" i="47"/>
  <c r="Z114" i="47"/>
  <c r="Z118" i="47"/>
  <c r="Z121" i="47"/>
  <c r="Z116" i="47"/>
  <c r="Z122" i="47"/>
  <c r="Z8" i="47"/>
  <c r="Z107" i="24"/>
  <c r="Z115" i="49"/>
  <c r="Z4" i="47"/>
  <c r="Z62" i="47"/>
  <c r="Z42" i="47"/>
  <c r="Z46" i="47"/>
  <c r="Z124" i="49"/>
  <c r="Z104" i="49"/>
  <c r="Z72" i="47"/>
  <c r="Z80" i="47"/>
  <c r="Z89" i="49"/>
  <c r="Z110" i="49"/>
  <c r="AM136" i="49"/>
  <c r="Z135" i="24"/>
  <c r="AM134" i="49"/>
  <c r="Z6" i="47"/>
  <c r="Z130" i="49"/>
  <c r="Z65" i="47"/>
  <c r="Z137" i="24"/>
  <c r="AM141" i="24"/>
  <c r="Z130" i="24"/>
  <c r="Z132" i="49"/>
  <c r="Z141" i="24"/>
  <c r="Z140" i="24"/>
  <c r="Z134" i="49"/>
  <c r="Z116" i="24"/>
  <c r="Z114" i="49"/>
  <c r="Z118" i="49"/>
  <c r="Z29" i="47"/>
  <c r="Z22" i="47"/>
  <c r="Z124" i="24"/>
  <c r="Z125" i="24"/>
  <c r="Z54" i="47"/>
  <c r="Z111" i="49"/>
  <c r="Z125" i="49"/>
  <c r="Z57" i="47"/>
  <c r="Z98" i="49"/>
  <c r="Z90" i="49"/>
  <c r="Z100" i="49"/>
  <c r="Z102" i="49"/>
  <c r="Z95" i="24"/>
  <c r="Z101" i="24"/>
  <c r="Z9" i="47"/>
  <c r="Z118" i="24"/>
  <c r="Z86" i="24"/>
  <c r="Z116" i="49"/>
  <c r="Z55" i="47"/>
  <c r="AM130" i="49"/>
  <c r="Z33" i="47"/>
  <c r="Z51" i="47"/>
  <c r="Z133" i="49"/>
  <c r="Z134" i="24"/>
  <c r="Z138" i="24"/>
  <c r="Z136" i="24"/>
  <c r="Z5" i="47"/>
  <c r="Z20" i="47"/>
  <c r="Z112" i="24"/>
  <c r="Z90" i="24"/>
  <c r="M37" i="49"/>
  <c r="M117" i="49"/>
  <c r="M90" i="49"/>
  <c r="M133" i="49"/>
  <c r="M98" i="49"/>
  <c r="M68" i="49"/>
  <c r="M89" i="49"/>
  <c r="M140" i="49"/>
  <c r="M131" i="49"/>
  <c r="M59" i="49"/>
  <c r="M116" i="49"/>
  <c r="M42" i="49"/>
  <c r="M56" i="49"/>
  <c r="M52" i="49"/>
  <c r="M27" i="49"/>
  <c r="M55" i="49"/>
  <c r="M86" i="49"/>
  <c r="M26" i="49"/>
  <c r="M141" i="49"/>
  <c r="M142" i="49"/>
  <c r="M103" i="49"/>
  <c r="M94" i="49"/>
  <c r="M75" i="49"/>
  <c r="M4" i="49"/>
  <c r="M136" i="49"/>
  <c r="M51" i="49"/>
  <c r="M6" i="49"/>
  <c r="M101" i="49"/>
  <c r="M35" i="49"/>
  <c r="M102" i="49"/>
  <c r="M46" i="49"/>
  <c r="M38" i="49"/>
  <c r="M13" i="49"/>
  <c r="M40" i="49"/>
  <c r="M9" i="49"/>
  <c r="M113" i="49"/>
  <c r="M128" i="49"/>
  <c r="M107" i="49"/>
  <c r="M41" i="49"/>
  <c r="M45" i="49"/>
  <c r="L4" i="49"/>
  <c r="Z105" i="24"/>
  <c r="H66" i="49"/>
  <c r="H56" i="49"/>
  <c r="H74" i="49"/>
  <c r="H114" i="49"/>
  <c r="H135" i="49"/>
  <c r="H86" i="49"/>
  <c r="H129" i="49"/>
  <c r="H117" i="49"/>
  <c r="H118" i="49"/>
  <c r="H60" i="49"/>
  <c r="H75" i="49"/>
  <c r="H33" i="49"/>
  <c r="H109" i="49"/>
  <c r="H113" i="49"/>
  <c r="H116" i="49"/>
  <c r="H8" i="49"/>
  <c r="H9" i="49"/>
  <c r="H45" i="49"/>
  <c r="H65" i="49"/>
  <c r="H98" i="49"/>
  <c r="H4" i="49"/>
  <c r="H52" i="49"/>
  <c r="H18" i="49"/>
  <c r="H80" i="49"/>
  <c r="H142" i="49"/>
  <c r="H87" i="49"/>
  <c r="H22" i="49"/>
  <c r="H23" i="49"/>
  <c r="H128" i="49"/>
  <c r="H28" i="49"/>
  <c r="H17" i="49"/>
  <c r="H37" i="49"/>
  <c r="H76" i="49"/>
  <c r="H141" i="49"/>
  <c r="H133" i="49"/>
  <c r="H92" i="49"/>
  <c r="H13" i="49"/>
  <c r="H100" i="49"/>
  <c r="H103" i="49"/>
  <c r="H108" i="49"/>
  <c r="H16" i="49"/>
  <c r="H49" i="49"/>
  <c r="I32" i="49"/>
  <c r="I117" i="49"/>
  <c r="I128" i="49"/>
  <c r="I141" i="49"/>
  <c r="I137" i="49"/>
  <c r="I111" i="49"/>
  <c r="I102" i="49"/>
  <c r="I112" i="49"/>
  <c r="I65" i="49"/>
  <c r="I109" i="49"/>
  <c r="I75" i="49"/>
  <c r="I89" i="49"/>
  <c r="I120" i="49"/>
  <c r="I56" i="49"/>
  <c r="I93" i="49"/>
  <c r="I68" i="49"/>
  <c r="I86" i="49"/>
  <c r="I12" i="49"/>
  <c r="I4" i="49"/>
  <c r="I140" i="49"/>
  <c r="I94" i="49"/>
  <c r="I136" i="49"/>
  <c r="I46" i="49"/>
  <c r="I23" i="49"/>
  <c r="I45" i="49"/>
  <c r="I71" i="49"/>
  <c r="I62" i="49"/>
  <c r="I19" i="49"/>
  <c r="I52" i="49"/>
  <c r="I34" i="49"/>
  <c r="I37" i="49"/>
  <c r="I7" i="49"/>
  <c r="I113" i="49"/>
  <c r="I82" i="49"/>
  <c r="I9" i="49"/>
  <c r="I108" i="49"/>
  <c r="I74" i="49"/>
  <c r="I107" i="49"/>
  <c r="I55" i="49"/>
  <c r="I20" i="49"/>
  <c r="I18" i="49"/>
  <c r="I31" i="49"/>
  <c r="I104" i="49"/>
  <c r="I5" i="49"/>
  <c r="I98" i="49"/>
  <c r="I13" i="49"/>
  <c r="I27" i="49"/>
  <c r="I10" i="49"/>
  <c r="I99" i="49"/>
  <c r="I51" i="49"/>
  <c r="I101" i="49"/>
  <c r="I15" i="49"/>
  <c r="H29" i="49"/>
  <c r="L113" i="49"/>
  <c r="L86" i="49"/>
  <c r="L139" i="49"/>
  <c r="L134" i="49"/>
  <c r="L55" i="49"/>
  <c r="L112" i="49"/>
  <c r="L116" i="49"/>
  <c r="L133" i="49"/>
  <c r="L71" i="49"/>
  <c r="L72" i="49"/>
  <c r="L136" i="49"/>
  <c r="L120" i="49"/>
  <c r="L90" i="49"/>
  <c r="L118" i="49"/>
  <c r="L37" i="49"/>
  <c r="L99" i="49"/>
  <c r="L141" i="49"/>
  <c r="L102" i="49"/>
  <c r="L96" i="49"/>
  <c r="L28" i="49"/>
  <c r="L82" i="49"/>
  <c r="L26" i="49"/>
  <c r="L94" i="49"/>
  <c r="L109" i="49"/>
  <c r="L53" i="49"/>
  <c r="L35" i="49"/>
  <c r="L80" i="49"/>
  <c r="L66" i="49"/>
  <c r="L52" i="49"/>
  <c r="L49" i="49"/>
  <c r="L75" i="49"/>
  <c r="L39" i="49"/>
  <c r="L20" i="49"/>
  <c r="L6" i="49"/>
  <c r="L9" i="49"/>
  <c r="L106" i="49"/>
  <c r="L34" i="49"/>
  <c r="L60" i="49"/>
  <c r="L42" i="49"/>
  <c r="L100" i="49"/>
  <c r="L63" i="49"/>
  <c r="L61" i="49"/>
  <c r="L128" i="49"/>
  <c r="L76" i="49"/>
  <c r="L13" i="49"/>
  <c r="J7" i="49"/>
  <c r="J28" i="49"/>
  <c r="J108" i="49"/>
  <c r="J112" i="49"/>
  <c r="J52" i="49"/>
  <c r="J133" i="49"/>
  <c r="J128" i="49"/>
  <c r="J140" i="49"/>
  <c r="J138" i="49"/>
  <c r="J90" i="49"/>
  <c r="J98" i="49"/>
  <c r="J63" i="49"/>
  <c r="J86" i="49"/>
  <c r="J94" i="49"/>
  <c r="J54" i="49"/>
  <c r="J115" i="49"/>
  <c r="J46" i="49"/>
  <c r="J92" i="49"/>
  <c r="J119" i="49"/>
  <c r="J68" i="49"/>
  <c r="J40" i="49"/>
  <c r="J10" i="49"/>
  <c r="J39" i="49"/>
  <c r="J139" i="49"/>
  <c r="J70" i="49"/>
  <c r="J81" i="49"/>
  <c r="J66" i="49"/>
  <c r="J18" i="49"/>
  <c r="J82" i="49"/>
  <c r="J23" i="49"/>
  <c r="J141" i="49"/>
  <c r="J85" i="49"/>
  <c r="J107" i="49"/>
  <c r="J60" i="49"/>
  <c r="J67" i="49"/>
  <c r="J75" i="49"/>
  <c r="J34" i="49"/>
  <c r="J41" i="49"/>
  <c r="J12" i="49"/>
  <c r="J106" i="49"/>
  <c r="J125" i="49"/>
  <c r="J13" i="49"/>
  <c r="J16" i="49"/>
  <c r="J55" i="49"/>
  <c r="J101" i="49"/>
  <c r="J57" i="49"/>
  <c r="J20" i="49"/>
  <c r="J131" i="49"/>
  <c r="B6" i="50"/>
  <c r="K90" i="49"/>
  <c r="K112" i="49"/>
  <c r="K42" i="49"/>
  <c r="K133" i="49"/>
  <c r="K136" i="49"/>
  <c r="K97" i="49"/>
  <c r="K86" i="49"/>
  <c r="K118" i="49"/>
  <c r="K18" i="49"/>
  <c r="K130" i="49"/>
  <c r="K32" i="49"/>
  <c r="K75" i="49"/>
  <c r="K139" i="49"/>
  <c r="K141" i="49"/>
  <c r="K71" i="49"/>
  <c r="K125" i="49"/>
  <c r="K107" i="49"/>
  <c r="K84" i="49"/>
  <c r="K94" i="49"/>
  <c r="K70" i="49"/>
  <c r="K66" i="49"/>
  <c r="K63" i="49"/>
  <c r="K128" i="49"/>
  <c r="K68" i="49"/>
  <c r="K98" i="49"/>
  <c r="K39" i="49"/>
  <c r="K116" i="49"/>
  <c r="K142" i="49"/>
  <c r="K60" i="49"/>
  <c r="K34" i="49"/>
  <c r="K6" i="49"/>
  <c r="K95" i="49"/>
  <c r="K102" i="49"/>
  <c r="K37" i="49"/>
  <c r="K52" i="49"/>
  <c r="K127" i="49"/>
  <c r="K61" i="49"/>
  <c r="K80" i="49"/>
  <c r="K76" i="49"/>
  <c r="K50" i="49"/>
  <c r="K16" i="49"/>
  <c r="K10" i="49"/>
  <c r="K73" i="49"/>
  <c r="K109" i="49"/>
  <c r="K46" i="49"/>
  <c r="K28" i="49"/>
  <c r="Z115" i="24"/>
  <c r="Z127" i="24"/>
  <c r="Z97" i="24"/>
  <c r="Z35" i="47"/>
  <c r="M7" i="49"/>
  <c r="L11" i="49"/>
  <c r="M11" i="49"/>
  <c r="K43" i="49"/>
  <c r="K40" i="49"/>
  <c r="K62" i="49"/>
  <c r="H93" i="49"/>
  <c r="I119" i="49"/>
  <c r="I139" i="49"/>
  <c r="M139" i="49"/>
  <c r="L84" i="49"/>
  <c r="I91" i="49"/>
  <c r="M33" i="49"/>
  <c r="H39" i="49"/>
  <c r="L29" i="49"/>
  <c r="L51" i="49"/>
  <c r="I41" i="49"/>
  <c r="K36" i="49"/>
  <c r="I48" i="49"/>
  <c r="M129" i="49"/>
  <c r="Z113" i="24"/>
  <c r="Z24" i="47"/>
  <c r="Z60" i="47"/>
  <c r="J49" i="49"/>
  <c r="M84" i="49"/>
  <c r="L114" i="49"/>
  <c r="M112" i="49"/>
  <c r="Z96" i="24"/>
  <c r="K114" i="49"/>
  <c r="Z26" i="47"/>
  <c r="M54" i="49"/>
  <c r="I54" i="49"/>
  <c r="L58" i="49"/>
  <c r="H44" i="49"/>
  <c r="K20" i="49"/>
  <c r="M58" i="49"/>
  <c r="Z93" i="24"/>
  <c r="I72" i="49"/>
  <c r="K57" i="49"/>
  <c r="H59" i="49"/>
  <c r="L110" i="49"/>
  <c r="Z87" i="24"/>
  <c r="Z100" i="24"/>
  <c r="Z70" i="47"/>
  <c r="H89" i="49"/>
  <c r="J5" i="49"/>
  <c r="M16" i="49"/>
  <c r="I22" i="49"/>
  <c r="I28" i="49"/>
  <c r="L15" i="49"/>
  <c r="K7" i="49"/>
  <c r="K15" i="49"/>
  <c r="L30" i="49"/>
  <c r="H24" i="49"/>
  <c r="M25" i="49"/>
  <c r="L57" i="49"/>
  <c r="H57" i="49"/>
  <c r="M73" i="49"/>
  <c r="I76" i="49"/>
  <c r="K77" i="49"/>
  <c r="J22" i="49"/>
  <c r="H84" i="49"/>
  <c r="J136" i="49"/>
  <c r="Z97" i="49"/>
  <c r="H122" i="49"/>
  <c r="Z27" i="47"/>
  <c r="Z78" i="47"/>
  <c r="Z79" i="47"/>
  <c r="L21" i="49"/>
  <c r="J21" i="49"/>
  <c r="H21" i="49"/>
  <c r="I26" i="49"/>
  <c r="M43" i="49"/>
  <c r="J36" i="49"/>
  <c r="H36" i="49"/>
  <c r="L36" i="49"/>
  <c r="L48" i="49"/>
  <c r="I66" i="49"/>
  <c r="I40" i="49"/>
  <c r="K58" i="49"/>
  <c r="I58" i="49"/>
  <c r="K59" i="49"/>
  <c r="Z92" i="49"/>
  <c r="J95" i="49"/>
  <c r="K92" i="49"/>
  <c r="K5" i="49"/>
  <c r="H94" i="49"/>
  <c r="H106" i="49"/>
  <c r="L104" i="49"/>
  <c r="I133" i="49"/>
  <c r="H136" i="49"/>
  <c r="I135" i="49"/>
  <c r="L83" i="49"/>
  <c r="Z50" i="47"/>
  <c r="Z74" i="47"/>
  <c r="J6" i="49"/>
  <c r="L12" i="49"/>
  <c r="L17" i="49"/>
  <c r="M19" i="49"/>
  <c r="L14" i="49"/>
  <c r="K9" i="49"/>
  <c r="M14" i="49"/>
  <c r="M10" i="49"/>
  <c r="J32" i="49"/>
  <c r="K30" i="49"/>
  <c r="L27" i="49"/>
  <c r="K38" i="49"/>
  <c r="H25" i="49"/>
  <c r="H34" i="49"/>
  <c r="K51" i="49"/>
  <c r="K29" i="49"/>
  <c r="K65" i="49"/>
  <c r="J69" i="49"/>
  <c r="M71" i="49"/>
  <c r="K67" i="49"/>
  <c r="L103" i="49"/>
  <c r="M100" i="49"/>
  <c r="K100" i="49"/>
  <c r="J15" i="49"/>
  <c r="M8" i="49"/>
  <c r="H102" i="49"/>
  <c r="M108" i="49"/>
  <c r="I64" i="49"/>
  <c r="J17" i="49"/>
  <c r="H11" i="49"/>
  <c r="I14" i="49"/>
  <c r="L43" i="49"/>
  <c r="I43" i="49"/>
  <c r="H48" i="49"/>
  <c r="J65" i="49"/>
  <c r="M49" i="49"/>
  <c r="I49" i="49"/>
  <c r="K53" i="49"/>
  <c r="M53" i="49"/>
  <c r="H70" i="49"/>
  <c r="L73" i="49"/>
  <c r="I59" i="49"/>
  <c r="I87" i="49"/>
  <c r="M95" i="49"/>
  <c r="K87" i="49"/>
  <c r="J84" i="49"/>
  <c r="L124" i="49"/>
  <c r="I130" i="49"/>
  <c r="L130" i="49"/>
  <c r="H7" i="49"/>
  <c r="J51" i="49"/>
  <c r="H96" i="49"/>
  <c r="M15" i="49"/>
  <c r="K14" i="49"/>
  <c r="M12" i="49"/>
  <c r="H19" i="49"/>
  <c r="I30" i="49"/>
  <c r="M30" i="49"/>
  <c r="J27" i="49"/>
  <c r="L33" i="49"/>
  <c r="M29" i="49"/>
  <c r="K25" i="49"/>
  <c r="L41" i="49"/>
  <c r="L44" i="49"/>
  <c r="J44" i="49"/>
  <c r="L92" i="49"/>
  <c r="I96" i="49"/>
  <c r="J87" i="49"/>
  <c r="M80" i="49"/>
  <c r="I80" i="49"/>
  <c r="H97" i="49"/>
  <c r="L107" i="49"/>
  <c r="M130" i="49"/>
  <c r="L22" i="49"/>
  <c r="I17" i="49"/>
  <c r="K35" i="49"/>
  <c r="J42" i="49"/>
  <c r="K48" i="49"/>
  <c r="I125" i="49"/>
  <c r="Z85" i="47"/>
  <c r="K4" i="49"/>
  <c r="M17" i="49"/>
  <c r="H20" i="49"/>
  <c r="J33" i="49"/>
  <c r="M39" i="49"/>
  <c r="L24" i="49"/>
  <c r="K24" i="49"/>
  <c r="J29" i="49"/>
  <c r="I25" i="49"/>
  <c r="K45" i="49"/>
  <c r="I50" i="49"/>
  <c r="M50" i="49"/>
  <c r="J61" i="49"/>
  <c r="K64" i="49"/>
  <c r="L62" i="49"/>
  <c r="M65" i="49"/>
  <c r="H53" i="49"/>
  <c r="I53" i="49"/>
  <c r="M67" i="49"/>
  <c r="K85" i="49"/>
  <c r="K106" i="49"/>
  <c r="M110" i="49"/>
  <c r="H111" i="49"/>
  <c r="K119" i="49"/>
  <c r="L137" i="49"/>
  <c r="I123" i="49"/>
  <c r="I132" i="49"/>
  <c r="L140" i="49"/>
  <c r="H140" i="49"/>
  <c r="I127" i="49"/>
  <c r="J127" i="49"/>
  <c r="J142" i="49"/>
  <c r="I8" i="49"/>
  <c r="K13" i="49"/>
  <c r="K17" i="49"/>
  <c r="M21" i="49"/>
  <c r="L25" i="49"/>
  <c r="L31" i="49"/>
  <c r="J31" i="49"/>
  <c r="I73" i="49"/>
  <c r="I35" i="49"/>
  <c r="M82" i="49"/>
  <c r="J93" i="49"/>
  <c r="L79" i="49"/>
  <c r="K134" i="49"/>
  <c r="L7" i="49"/>
  <c r="M20" i="49"/>
  <c r="L10" i="49"/>
  <c r="M22" i="49"/>
  <c r="M32" i="49"/>
  <c r="H27" i="49"/>
  <c r="K27" i="49"/>
  <c r="I38" i="49"/>
  <c r="J38" i="49"/>
  <c r="I24" i="49"/>
  <c r="K56" i="49"/>
  <c r="I36" i="49"/>
  <c r="M36" i="49"/>
  <c r="J62" i="49"/>
  <c r="H40" i="49"/>
  <c r="H50" i="49"/>
  <c r="L50" i="49"/>
  <c r="I61" i="49"/>
  <c r="J64" i="49"/>
  <c r="M62" i="49"/>
  <c r="J53" i="49"/>
  <c r="I67" i="49"/>
  <c r="H58" i="49"/>
  <c r="L59" i="49"/>
  <c r="J72" i="49"/>
  <c r="M44" i="49"/>
  <c r="I44" i="49"/>
  <c r="J79" i="49"/>
  <c r="J80" i="49"/>
  <c r="L95" i="49"/>
  <c r="L97" i="49"/>
  <c r="K81" i="49"/>
  <c r="I88" i="49"/>
  <c r="K96" i="49"/>
  <c r="L85" i="49"/>
  <c r="H85" i="49"/>
  <c r="J76" i="49"/>
  <c r="I84" i="49"/>
  <c r="J89" i="49"/>
  <c r="I106" i="49"/>
  <c r="J113" i="49"/>
  <c r="Z117" i="49"/>
  <c r="L117" i="49"/>
  <c r="L111" i="49"/>
  <c r="K110" i="49"/>
  <c r="I114" i="49"/>
  <c r="M126" i="49"/>
  <c r="I131" i="49"/>
  <c r="J134" i="49"/>
  <c r="L135" i="49"/>
  <c r="M122" i="49"/>
  <c r="I126" i="49"/>
  <c r="J129" i="49"/>
  <c r="L119" i="49"/>
  <c r="L129" i="49"/>
  <c r="J123" i="49"/>
  <c r="J4" i="49"/>
  <c r="J26" i="49"/>
  <c r="L46" i="49"/>
  <c r="M66" i="49"/>
  <c r="H5" i="49"/>
  <c r="K22" i="49"/>
  <c r="L5" i="49"/>
  <c r="H12" i="49"/>
  <c r="K49" i="49"/>
  <c r="H62" i="49"/>
  <c r="L68" i="49"/>
  <c r="H42" i="49"/>
  <c r="H32" i="49"/>
  <c r="H90" i="49"/>
  <c r="H105" i="49"/>
  <c r="H101" i="49"/>
  <c r="I105" i="49"/>
  <c r="H30" i="49"/>
  <c r="L88" i="49"/>
  <c r="M120" i="49"/>
  <c r="I11" i="49"/>
  <c r="J14" i="49"/>
  <c r="K12" i="49"/>
  <c r="K11" i="49"/>
  <c r="L18" i="49"/>
  <c r="J9" i="49"/>
  <c r="J30" i="49"/>
  <c r="M24" i="49"/>
  <c r="J24" i="49"/>
  <c r="I29" i="49"/>
  <c r="M34" i="49"/>
  <c r="L45" i="49"/>
  <c r="I47" i="49"/>
  <c r="K41" i="49"/>
  <c r="M48" i="49"/>
  <c r="M64" i="49"/>
  <c r="H67" i="49"/>
  <c r="M72" i="49"/>
  <c r="H81" i="49"/>
  <c r="L81" i="49"/>
  <c r="Z87" i="49"/>
  <c r="J91" i="49"/>
  <c r="M92" i="49"/>
  <c r="I77" i="49"/>
  <c r="M77" i="49"/>
  <c r="L89" i="49"/>
  <c r="J109" i="49"/>
  <c r="J105" i="49"/>
  <c r="J117" i="49"/>
  <c r="J122" i="49"/>
  <c r="J118" i="49"/>
  <c r="K138" i="49"/>
  <c r="K122" i="49"/>
  <c r="H123" i="49"/>
  <c r="L132" i="49"/>
  <c r="L142" i="49"/>
  <c r="H6" i="49"/>
  <c r="H10" i="49"/>
  <c r="H15" i="49"/>
  <c r="J45" i="49"/>
  <c r="J48" i="49"/>
  <c r="L56" i="49"/>
  <c r="L65" i="49"/>
  <c r="L74" i="49"/>
  <c r="I63" i="49"/>
  <c r="I103" i="49"/>
  <c r="H61" i="49"/>
  <c r="H99" i="49"/>
  <c r="K55" i="49"/>
  <c r="I60" i="49"/>
  <c r="H71" i="49"/>
  <c r="J132" i="49"/>
  <c r="K69" i="49"/>
  <c r="I79" i="49"/>
  <c r="K79" i="49"/>
  <c r="I116" i="49"/>
  <c r="L78" i="49"/>
  <c r="H134" i="49"/>
  <c r="H110" i="49"/>
  <c r="M88" i="49"/>
  <c r="J99" i="49"/>
  <c r="I85" i="49"/>
  <c r="M85" i="49"/>
  <c r="M76" i="49"/>
  <c r="M87" i="49"/>
  <c r="L93" i="49"/>
  <c r="H107" i="49"/>
  <c r="K115" i="49"/>
  <c r="M115" i="49"/>
  <c r="K121" i="49"/>
  <c r="L115" i="49"/>
  <c r="J100" i="49"/>
  <c r="H131" i="49"/>
  <c r="I134" i="49"/>
  <c r="L131" i="49"/>
  <c r="M135" i="49"/>
  <c r="K137" i="49"/>
  <c r="J126" i="49"/>
  <c r="K129" i="49"/>
  <c r="H119" i="49"/>
  <c r="M134" i="49"/>
  <c r="K124" i="49"/>
  <c r="L123" i="49"/>
  <c r="Z123" i="49"/>
  <c r="M127" i="49"/>
  <c r="J130" i="49"/>
  <c r="M28" i="49"/>
  <c r="M5" i="49"/>
  <c r="K8" i="49"/>
  <c r="H68" i="49"/>
  <c r="H51" i="49"/>
  <c r="J56" i="49"/>
  <c r="I33" i="49"/>
  <c r="H63" i="49"/>
  <c r="I70" i="49"/>
  <c r="J71" i="49"/>
  <c r="H64" i="49"/>
  <c r="J88" i="49"/>
  <c r="J114" i="49"/>
  <c r="H47" i="49"/>
  <c r="H78" i="49"/>
  <c r="J110" i="49"/>
  <c r="M18" i="49"/>
  <c r="K21" i="49"/>
  <c r="I21" i="49"/>
  <c r="K26" i="49"/>
  <c r="H26" i="49"/>
  <c r="K33" i="49"/>
  <c r="L38" i="49"/>
  <c r="I39" i="49"/>
  <c r="J25" i="49"/>
  <c r="H41" i="49"/>
  <c r="J43" i="49"/>
  <c r="M61" i="49"/>
  <c r="J73" i="49"/>
  <c r="I57" i="49"/>
  <c r="K54" i="49"/>
  <c r="L54" i="49"/>
  <c r="H54" i="49"/>
  <c r="M93" i="49"/>
  <c r="K101" i="49"/>
  <c r="L87" i="49"/>
  <c r="M99" i="49"/>
  <c r="L101" i="49"/>
  <c r="M106" i="49"/>
  <c r="K105" i="49"/>
  <c r="M111" i="49"/>
  <c r="J124" i="49"/>
  <c r="M123" i="49"/>
  <c r="H132" i="49"/>
  <c r="Z127" i="49"/>
  <c r="L127" i="49"/>
  <c r="H130" i="49"/>
  <c r="H139" i="49"/>
  <c r="I16" i="49"/>
  <c r="J19" i="49"/>
  <c r="H14" i="49"/>
  <c r="K19" i="49"/>
  <c r="M23" i="49"/>
  <c r="H46" i="49"/>
  <c r="J74" i="49"/>
  <c r="K31" i="49"/>
  <c r="H31" i="49"/>
  <c r="I42" i="49"/>
  <c r="L70" i="49"/>
  <c r="J103" i="49"/>
  <c r="I90" i="49"/>
  <c r="L98" i="49"/>
  <c r="K103" i="49"/>
  <c r="M109" i="49"/>
  <c r="J135" i="49"/>
  <c r="J120" i="49"/>
  <c r="K47" i="49"/>
  <c r="I115" i="49"/>
  <c r="H126" i="49"/>
  <c r="I110" i="49"/>
  <c r="M105" i="49"/>
  <c r="Z119" i="49"/>
  <c r="I118" i="49"/>
  <c r="L126" i="49"/>
  <c r="L138" i="49"/>
  <c r="M124" i="49"/>
  <c r="K123" i="49"/>
  <c r="K140" i="49"/>
  <c r="H127" i="49"/>
  <c r="I142" i="49"/>
  <c r="I6" i="49"/>
  <c r="K23" i="49"/>
  <c r="J8" i="49"/>
  <c r="L16" i="49"/>
  <c r="L19" i="49"/>
  <c r="J37" i="49"/>
  <c r="H38" i="49"/>
  <c r="K74" i="49"/>
  <c r="J35" i="49"/>
  <c r="H35" i="49"/>
  <c r="H43" i="49"/>
  <c r="M74" i="49"/>
  <c r="K108" i="49"/>
  <c r="H82" i="49"/>
  <c r="H55" i="49"/>
  <c r="K111" i="49"/>
  <c r="J58" i="49"/>
  <c r="I95" i="49"/>
  <c r="J59" i="49"/>
  <c r="M69" i="49"/>
  <c r="H69" i="49"/>
  <c r="I69" i="49"/>
  <c r="K78" i="49"/>
  <c r="H115" i="49"/>
  <c r="H83" i="49"/>
  <c r="J83" i="49"/>
  <c r="L40" i="49"/>
  <c r="M57" i="49"/>
  <c r="L67" i="49"/>
  <c r="M70" i="49"/>
  <c r="K44" i="49"/>
  <c r="H73" i="49"/>
  <c r="K89" i="49"/>
  <c r="M96" i="49"/>
  <c r="M81" i="49"/>
  <c r="I81" i="49"/>
  <c r="I92" i="49"/>
  <c r="L77" i="49"/>
  <c r="H77" i="49"/>
  <c r="K117" i="49"/>
  <c r="L105" i="49"/>
  <c r="K113" i="49"/>
  <c r="I100" i="49"/>
  <c r="L122" i="49"/>
  <c r="M119" i="49"/>
  <c r="M118" i="49"/>
  <c r="K135" i="49"/>
  <c r="I124" i="49"/>
  <c r="H124" i="49"/>
  <c r="K132" i="49"/>
  <c r="J11" i="49"/>
  <c r="L8" i="49"/>
  <c r="L23" i="49"/>
  <c r="M31" i="49"/>
  <c r="J50" i="49"/>
  <c r="L32" i="49"/>
  <c r="M63" i="49"/>
  <c r="K82" i="49"/>
  <c r="M60" i="49"/>
  <c r="K99" i="49"/>
  <c r="M104" i="49"/>
  <c r="H104" i="49"/>
  <c r="K131" i="49"/>
  <c r="H95" i="49"/>
  <c r="K120" i="49"/>
  <c r="J116" i="49"/>
  <c r="M47" i="49"/>
  <c r="M83" i="49"/>
  <c r="K91" i="49"/>
  <c r="H137" i="49"/>
  <c r="I121" i="49"/>
  <c r="J111" i="49"/>
  <c r="K104" i="49"/>
  <c r="K88" i="49"/>
  <c r="H72" i="49"/>
  <c r="H79" i="49"/>
  <c r="J96" i="49"/>
  <c r="J77" i="49"/>
  <c r="J78" i="49"/>
  <c r="M97" i="49"/>
  <c r="M138" i="49"/>
  <c r="M91" i="49"/>
  <c r="H91" i="49"/>
  <c r="H125" i="49"/>
  <c r="M125" i="49"/>
  <c r="Z73" i="47"/>
  <c r="H121" i="49"/>
  <c r="J47" i="49"/>
  <c r="J97" i="49"/>
  <c r="I122" i="49"/>
  <c r="I129" i="49"/>
  <c r="J137" i="49"/>
  <c r="Z61" i="47"/>
  <c r="H120" i="49"/>
  <c r="L69" i="49"/>
  <c r="M114" i="49"/>
  <c r="M78" i="49"/>
  <c r="I97" i="49"/>
  <c r="K83" i="49"/>
  <c r="I83" i="49"/>
  <c r="K126" i="49"/>
  <c r="L91" i="49"/>
  <c r="L125" i="49"/>
  <c r="I138" i="49"/>
  <c r="Z66" i="47"/>
  <c r="J121" i="49"/>
  <c r="L108" i="49"/>
  <c r="K93" i="49"/>
  <c r="H112" i="49"/>
  <c r="J104" i="49"/>
  <c r="L64" i="49"/>
  <c r="H88" i="49"/>
  <c r="M132" i="49"/>
  <c r="K72" i="49"/>
  <c r="M79" i="49"/>
  <c r="L47" i="49"/>
  <c r="I78" i="49"/>
  <c r="H138" i="49"/>
  <c r="M121" i="49"/>
  <c r="M137" i="49"/>
  <c r="Z16" i="47"/>
  <c r="L121" i="49"/>
  <c r="Z109" i="49"/>
  <c r="Z122" i="49"/>
  <c r="Z95" i="49"/>
  <c r="Z91" i="49"/>
  <c r="Z39" i="47"/>
  <c r="Z58" i="47"/>
  <c r="Z12" i="47"/>
  <c r="Z30" i="47"/>
  <c r="Z23" i="47"/>
  <c r="Z17" i="47"/>
  <c r="Z77" i="47"/>
  <c r="Z122" i="24"/>
  <c r="Z111" i="24"/>
  <c r="Z123" i="24"/>
  <c r="Z92" i="24"/>
  <c r="Z121" i="24"/>
  <c r="Z88" i="24"/>
  <c r="Z89" i="24"/>
  <c r="Z94" i="24"/>
  <c r="Z117" i="24"/>
  <c r="AM135" i="24"/>
  <c r="Z102" i="24"/>
  <c r="AG2" i="49"/>
  <c r="AS3" i="49"/>
  <c r="AG3" i="49"/>
  <c r="AA2" i="49"/>
  <c r="B10" i="50"/>
  <c r="H16" i="1"/>
  <c r="AC2" i="49"/>
  <c r="F2" i="49"/>
  <c r="L2" i="49" s="1"/>
  <c r="Z2" i="49"/>
  <c r="D2" i="49"/>
  <c r="J2" i="49" s="1"/>
  <c r="C2" i="49"/>
  <c r="I2" i="49" s="1"/>
  <c r="AP2" i="49"/>
  <c r="AQ2" i="49"/>
  <c r="AR2" i="49"/>
  <c r="AU2" i="49"/>
  <c r="V2" i="49"/>
  <c r="B2" i="49"/>
  <c r="H2" i="49" s="1"/>
  <c r="X2" i="49"/>
  <c r="E2" i="49"/>
  <c r="K2" i="49" s="1"/>
  <c r="AB2" i="49"/>
  <c r="E9" i="50"/>
  <c r="J19" i="50" s="1"/>
  <c r="AU71" i="49"/>
  <c r="X3" i="49"/>
  <c r="H25" i="1"/>
  <c r="B3" i="50"/>
  <c r="B8" i="50"/>
  <c r="B7" i="50"/>
  <c r="B4" i="50"/>
  <c r="B9" i="50"/>
  <c r="J16" i="50" s="1"/>
  <c r="H20" i="1"/>
  <c r="B11" i="50"/>
  <c r="B5" i="50"/>
  <c r="H3" i="49"/>
  <c r="AU3" i="49"/>
  <c r="V3" i="49"/>
  <c r="F3" i="49"/>
  <c r="L3" i="49" s="1"/>
  <c r="AR3" i="49"/>
  <c r="AB3" i="49"/>
  <c r="D3" i="49"/>
  <c r="J3" i="49" s="1"/>
  <c r="AQ3" i="49"/>
  <c r="AA3" i="49"/>
  <c r="Y3" i="49"/>
  <c r="AM3" i="49"/>
  <c r="C3" i="49"/>
  <c r="I3" i="49" s="1"/>
  <c r="AC3" i="49"/>
  <c r="AU4" i="49"/>
  <c r="E3" i="49"/>
  <c r="K3" i="49" s="1"/>
  <c r="AP3" i="49"/>
  <c r="G3" i="49"/>
  <c r="M3" i="49" s="1"/>
  <c r="AX22" i="49"/>
  <c r="G2" i="49"/>
  <c r="M2" i="49" s="1"/>
  <c r="W2" i="49"/>
  <c r="AM2" i="49"/>
  <c r="Y2" i="49"/>
  <c r="G16" i="1"/>
  <c r="J27" i="48"/>
  <c r="BB3" i="47"/>
  <c r="BA2" i="47"/>
  <c r="AZ2" i="47"/>
  <c r="AY2" i="47"/>
  <c r="AX2" i="47"/>
  <c r="AW2" i="47"/>
  <c r="AV2" i="47"/>
  <c r="A1" i="47"/>
  <c r="AE131" i="49" l="1"/>
  <c r="AF131" i="49"/>
  <c r="AI132" i="49"/>
  <c r="AH132" i="49"/>
  <c r="AE110" i="24"/>
  <c r="AE133" i="49"/>
  <c r="AF133" i="49"/>
  <c r="AI110" i="24"/>
  <c r="AF135" i="49"/>
  <c r="AE135" i="49"/>
  <c r="AH134" i="49"/>
  <c r="AI134" i="49"/>
  <c r="AI130" i="49"/>
  <c r="AH130" i="49"/>
  <c r="AF141" i="49"/>
  <c r="AE141" i="49"/>
  <c r="AI142" i="49"/>
  <c r="AH142" i="49"/>
  <c r="AH138" i="49"/>
  <c r="AI138" i="49"/>
  <c r="AE137" i="49"/>
  <c r="AF137" i="49"/>
  <c r="AH140" i="49"/>
  <c r="AI140" i="49"/>
  <c r="AE139" i="49"/>
  <c r="AF139" i="49"/>
  <c r="AE103" i="47"/>
  <c r="AH103" i="47"/>
  <c r="AI103" i="47"/>
  <c r="AE100" i="24"/>
  <c r="AF100" i="24"/>
  <c r="AH106" i="24"/>
  <c r="AF106" i="24"/>
  <c r="AI106" i="24"/>
  <c r="AE106" i="24"/>
  <c r="AH105" i="24"/>
  <c r="AE105" i="24"/>
  <c r="AI105" i="24"/>
  <c r="AF105" i="24"/>
  <c r="AH111" i="24"/>
  <c r="AI111" i="24"/>
  <c r="AF111" i="24"/>
  <c r="AE111" i="24"/>
  <c r="AH103" i="24"/>
  <c r="AI103" i="24"/>
  <c r="AH101" i="24"/>
  <c r="AI101" i="24"/>
  <c r="AE102" i="24"/>
  <c r="AF102" i="24"/>
  <c r="AF112" i="24"/>
  <c r="AI112" i="24"/>
  <c r="AH112" i="24"/>
  <c r="AE112" i="24"/>
  <c r="AH107" i="24"/>
  <c r="AI107" i="24"/>
  <c r="AF107" i="24"/>
  <c r="AE107" i="24"/>
  <c r="AF108" i="24"/>
  <c r="AE108" i="24"/>
  <c r="AI108" i="24"/>
  <c r="AH108" i="24"/>
  <c r="AI109" i="24"/>
  <c r="AF109" i="24"/>
  <c r="AH109" i="24"/>
  <c r="AE109" i="24"/>
  <c r="AH99" i="24"/>
  <c r="AI99" i="24"/>
  <c r="AF111" i="47"/>
  <c r="AI111" i="47"/>
  <c r="AH111" i="47"/>
  <c r="AE111" i="47"/>
  <c r="AI106" i="47"/>
  <c r="AH106" i="47"/>
  <c r="AF106" i="47"/>
  <c r="AE106" i="47"/>
  <c r="AI108" i="47"/>
  <c r="AF108" i="47"/>
  <c r="AE108" i="47"/>
  <c r="AH108" i="47"/>
  <c r="AI110" i="47"/>
  <c r="AH110" i="47"/>
  <c r="AF110" i="47"/>
  <c r="AE110" i="47"/>
  <c r="AF109" i="47"/>
  <c r="AI109" i="47"/>
  <c r="AH109" i="47"/>
  <c r="AE109" i="47"/>
  <c r="AI98" i="47"/>
  <c r="AH98" i="47"/>
  <c r="AF101" i="47"/>
  <c r="AI101" i="47"/>
  <c r="AH101" i="47"/>
  <c r="AE101" i="47"/>
  <c r="AF99" i="47"/>
  <c r="AI99" i="47"/>
  <c r="AH99" i="47"/>
  <c r="AE99" i="47"/>
  <c r="AI102" i="47"/>
  <c r="AH102" i="47"/>
  <c r="AF102" i="47"/>
  <c r="AE102" i="47"/>
  <c r="AI100" i="47"/>
  <c r="AF100" i="47"/>
  <c r="AE100" i="47"/>
  <c r="AH100" i="47"/>
  <c r="AI104" i="47"/>
  <c r="AF104" i="47"/>
  <c r="AE104" i="47"/>
  <c r="AH104" i="47"/>
  <c r="AF105" i="47"/>
  <c r="AI105" i="47"/>
  <c r="AH105" i="47"/>
  <c r="AE105" i="47"/>
  <c r="AF97" i="47"/>
  <c r="AE97" i="47"/>
  <c r="AI112" i="47"/>
  <c r="AF112" i="47"/>
  <c r="AE112" i="47"/>
  <c r="AH112" i="47"/>
  <c r="AE109" i="49"/>
  <c r="AI109" i="49"/>
  <c r="AH109" i="49"/>
  <c r="AF109" i="49"/>
  <c r="AE111" i="49"/>
  <c r="AI111" i="49"/>
  <c r="AH111" i="49"/>
  <c r="AF111" i="49"/>
  <c r="AH110" i="49"/>
  <c r="AF110" i="49"/>
  <c r="AE110" i="49"/>
  <c r="AI110" i="49"/>
  <c r="AH112" i="49"/>
  <c r="AE112" i="49"/>
  <c r="AI112" i="49"/>
  <c r="AF112" i="49"/>
  <c r="AH106" i="49"/>
  <c r="AF106" i="49"/>
  <c r="AE106" i="49"/>
  <c r="AI106" i="49"/>
  <c r="AF129" i="47"/>
  <c r="AI104" i="49"/>
  <c r="AF104" i="49"/>
  <c r="AE104" i="49"/>
  <c r="AH104" i="49"/>
  <c r="AI103" i="49"/>
  <c r="AH103" i="49"/>
  <c r="AF139" i="24"/>
  <c r="AE139" i="24"/>
  <c r="AI91" i="49"/>
  <c r="AH91" i="49"/>
  <c r="AE100" i="49"/>
  <c r="AF100" i="49"/>
  <c r="AE141" i="24"/>
  <c r="AF141" i="24"/>
  <c r="AI138" i="47"/>
  <c r="AH138" i="47"/>
  <c r="AE96" i="49"/>
  <c r="AF96" i="49"/>
  <c r="AI95" i="49"/>
  <c r="AH95" i="49"/>
  <c r="AF92" i="49"/>
  <c r="AE92" i="49"/>
  <c r="AF90" i="49"/>
  <c r="AE90" i="49"/>
  <c r="AH138" i="24"/>
  <c r="AI138" i="24"/>
  <c r="AE98" i="49"/>
  <c r="AF98" i="49"/>
  <c r="AI140" i="47"/>
  <c r="AH140" i="47"/>
  <c r="AI140" i="24"/>
  <c r="AH140" i="24"/>
  <c r="AI93" i="49"/>
  <c r="AH93" i="49"/>
  <c r="AH97" i="49"/>
  <c r="AI97" i="49"/>
  <c r="AH99" i="49"/>
  <c r="AI99" i="49"/>
  <c r="AF102" i="49"/>
  <c r="AE102" i="49"/>
  <c r="AI142" i="47"/>
  <c r="AH142" i="47"/>
  <c r="AE139" i="47"/>
  <c r="AF139" i="47"/>
  <c r="AH136" i="47"/>
  <c r="AI136" i="47"/>
  <c r="AH134" i="47"/>
  <c r="AI134" i="47"/>
  <c r="AE135" i="47"/>
  <c r="AF135" i="47"/>
  <c r="AF137" i="47"/>
  <c r="AE137" i="47"/>
  <c r="AF131" i="47"/>
  <c r="AE131" i="47"/>
  <c r="AI130" i="47"/>
  <c r="AH130" i="47"/>
  <c r="AH132" i="47"/>
  <c r="AI132" i="47"/>
  <c r="AH128" i="24"/>
  <c r="AH134" i="24"/>
  <c r="AI134" i="24"/>
  <c r="AI130" i="24"/>
  <c r="AH130" i="24"/>
  <c r="AE133" i="24"/>
  <c r="AF133" i="24"/>
  <c r="AF135" i="24"/>
  <c r="AE135" i="24"/>
  <c r="AI132" i="24"/>
  <c r="AH132" i="24"/>
  <c r="AI136" i="24"/>
  <c r="AH136" i="24"/>
  <c r="AF137" i="24"/>
  <c r="AE137" i="24"/>
  <c r="AH142" i="24"/>
  <c r="AI142" i="24"/>
  <c r="I119" i="47"/>
  <c r="I143" i="47"/>
  <c r="I144" i="47"/>
  <c r="J124" i="47"/>
  <c r="J143" i="47"/>
  <c r="J144" i="47"/>
  <c r="K132" i="47"/>
  <c r="K143" i="47"/>
  <c r="K144" i="47"/>
  <c r="M144" i="47"/>
  <c r="M143" i="47"/>
  <c r="H144" i="47"/>
  <c r="H143" i="47"/>
  <c r="L143" i="47"/>
  <c r="L144" i="47"/>
  <c r="N143" i="49"/>
  <c r="N144" i="49"/>
  <c r="M130" i="47"/>
  <c r="H87" i="47"/>
  <c r="N123" i="49"/>
  <c r="R123" i="49" s="1"/>
  <c r="N107" i="49"/>
  <c r="O107" i="49" s="1"/>
  <c r="N36" i="49"/>
  <c r="O36" i="49" s="1"/>
  <c r="N111" i="49"/>
  <c r="R111" i="49" s="1"/>
  <c r="N131" i="49"/>
  <c r="S131" i="49" s="1"/>
  <c r="N54" i="49"/>
  <c r="O54" i="49" s="1"/>
  <c r="N25" i="49"/>
  <c r="S25" i="49" s="1"/>
  <c r="N48" i="49"/>
  <c r="S48" i="49" s="1"/>
  <c r="N20" i="49"/>
  <c r="Q20" i="49" s="1"/>
  <c r="N89" i="49"/>
  <c r="O89" i="49" s="1"/>
  <c r="N26" i="49"/>
  <c r="S26" i="49" s="1"/>
  <c r="N53" i="49"/>
  <c r="P53" i="49" s="1"/>
  <c r="N81" i="49"/>
  <c r="Q81" i="49" s="1"/>
  <c r="N85" i="49"/>
  <c r="Q85" i="49" s="1"/>
  <c r="N44" i="49"/>
  <c r="O44" i="49" s="1"/>
  <c r="N130" i="49"/>
  <c r="O130" i="49" s="1"/>
  <c r="N34" i="49"/>
  <c r="T34" i="49" s="1"/>
  <c r="N67" i="49"/>
  <c r="S67" i="49" s="1"/>
  <c r="N57" i="49"/>
  <c r="O57" i="49" s="1"/>
  <c r="N39" i="49"/>
  <c r="O39" i="49" s="1"/>
  <c r="N93" i="49"/>
  <c r="O93" i="49" s="1"/>
  <c r="N124" i="49"/>
  <c r="Q124" i="49" s="1"/>
  <c r="N73" i="49"/>
  <c r="T73" i="49" s="1"/>
  <c r="N99" i="49"/>
  <c r="P99" i="49" s="1"/>
  <c r="N97" i="49"/>
  <c r="S97" i="49" s="1"/>
  <c r="N102" i="49"/>
  <c r="T102" i="49" s="1"/>
  <c r="N139" i="49"/>
  <c r="O139" i="49" s="1"/>
  <c r="N127" i="49"/>
  <c r="O127" i="49" s="1"/>
  <c r="N77" i="49"/>
  <c r="O77" i="49" s="1"/>
  <c r="N83" i="49"/>
  <c r="Q83" i="49" s="1"/>
  <c r="N23" i="49"/>
  <c r="S23" i="49" s="1"/>
  <c r="N41" i="49"/>
  <c r="P41" i="49" s="1"/>
  <c r="N21" i="49"/>
  <c r="S21" i="49" s="1"/>
  <c r="N56" i="49"/>
  <c r="Q56" i="49" s="1"/>
  <c r="N10" i="49"/>
  <c r="Q10" i="49" s="1"/>
  <c r="N58" i="49"/>
  <c r="R58" i="49" s="1"/>
  <c r="N119" i="49"/>
  <c r="T119" i="49" s="1"/>
  <c r="N19" i="49"/>
  <c r="T19" i="49" s="1"/>
  <c r="N94" i="49"/>
  <c r="N112" i="49"/>
  <c r="T112" i="49" s="1"/>
  <c r="N120" i="49"/>
  <c r="S120" i="49" s="1"/>
  <c r="N92" i="49"/>
  <c r="Q92" i="49" s="1"/>
  <c r="N113" i="49"/>
  <c r="P113" i="49" s="1"/>
  <c r="N88" i="49"/>
  <c r="S88" i="49" s="1"/>
  <c r="N7" i="49"/>
  <c r="S7" i="49" s="1"/>
  <c r="N55" i="49"/>
  <c r="N18" i="49"/>
  <c r="N96" i="49"/>
  <c r="N86" i="49"/>
  <c r="S86" i="49" s="1"/>
  <c r="N40" i="49"/>
  <c r="N17" i="49"/>
  <c r="N109" i="49"/>
  <c r="T109" i="49" s="1"/>
  <c r="N12" i="49"/>
  <c r="N90" i="49"/>
  <c r="R90" i="49" s="1"/>
  <c r="N68" i="49"/>
  <c r="R68" i="49" s="1"/>
  <c r="N122" i="49"/>
  <c r="Q122" i="49" s="1"/>
  <c r="N140" i="49"/>
  <c r="T140" i="49" s="1"/>
  <c r="K41" i="47"/>
  <c r="K7" i="47"/>
  <c r="K91" i="47"/>
  <c r="K28" i="47"/>
  <c r="K59" i="47"/>
  <c r="K98" i="47"/>
  <c r="K53" i="47"/>
  <c r="K86" i="47"/>
  <c r="K38" i="47"/>
  <c r="K107" i="47"/>
  <c r="K18" i="47"/>
  <c r="K74" i="47"/>
  <c r="K36" i="47"/>
  <c r="K90" i="47"/>
  <c r="K57" i="47"/>
  <c r="K96" i="47"/>
  <c r="K30" i="47"/>
  <c r="K13" i="47"/>
  <c r="K97" i="47"/>
  <c r="K73" i="47"/>
  <c r="K44" i="47"/>
  <c r="K117" i="47"/>
  <c r="K54" i="47"/>
  <c r="K63" i="47"/>
  <c r="K138" i="47"/>
  <c r="K62" i="47"/>
  <c r="K112" i="47"/>
  <c r="K115" i="47"/>
  <c r="K81" i="47"/>
  <c r="K125" i="47"/>
  <c r="K65" i="47"/>
  <c r="K19" i="47"/>
  <c r="K124" i="47"/>
  <c r="K10" i="47"/>
  <c r="K127" i="47"/>
  <c r="K31" i="47"/>
  <c r="K104" i="47"/>
  <c r="K66" i="47"/>
  <c r="K27" i="47"/>
  <c r="K24" i="47"/>
  <c r="K106" i="47"/>
  <c r="K29" i="47"/>
  <c r="K121" i="47"/>
  <c r="K12" i="47"/>
  <c r="K42" i="47"/>
  <c r="K49" i="47"/>
  <c r="K113" i="47"/>
  <c r="K77" i="47"/>
  <c r="K116" i="47"/>
  <c r="K102" i="47"/>
  <c r="K80" i="47"/>
  <c r="K131" i="47"/>
  <c r="K70" i="47"/>
  <c r="K11" i="47"/>
  <c r="K139" i="47"/>
  <c r="K17" i="47"/>
  <c r="K35" i="47"/>
  <c r="K48" i="47"/>
  <c r="K46" i="47"/>
  <c r="K93" i="47"/>
  <c r="K123" i="47"/>
  <c r="K108" i="47"/>
  <c r="K26" i="47"/>
  <c r="K56" i="47"/>
  <c r="K122" i="47"/>
  <c r="K109" i="47"/>
  <c r="K16" i="47"/>
  <c r="K47" i="47"/>
  <c r="K14" i="47"/>
  <c r="K20" i="47"/>
  <c r="K51" i="47"/>
  <c r="K87" i="47"/>
  <c r="K64" i="47"/>
  <c r="K8" i="47"/>
  <c r="K61" i="47"/>
  <c r="K71" i="47"/>
  <c r="K43" i="47"/>
  <c r="K60" i="47"/>
  <c r="K79" i="47"/>
  <c r="K120" i="47"/>
  <c r="K129" i="47"/>
  <c r="K69" i="47"/>
  <c r="K76" i="47"/>
  <c r="K78" i="47"/>
  <c r="K84" i="47"/>
  <c r="K23" i="47"/>
  <c r="K37" i="47"/>
  <c r="K83" i="47"/>
  <c r="K118" i="47"/>
  <c r="K105" i="47"/>
  <c r="K92" i="47"/>
  <c r="K114" i="47"/>
  <c r="K88" i="47"/>
  <c r="K15" i="47"/>
  <c r="K32" i="47"/>
  <c r="K130" i="47"/>
  <c r="K128" i="47"/>
  <c r="K39" i="47"/>
  <c r="K85" i="47"/>
  <c r="K134" i="47"/>
  <c r="K50" i="47"/>
  <c r="K72" i="47"/>
  <c r="K99" i="47"/>
  <c r="K110" i="47"/>
  <c r="K25" i="47"/>
  <c r="K133" i="47"/>
  <c r="K135" i="47"/>
  <c r="K4" i="47"/>
  <c r="K33" i="47"/>
  <c r="K9" i="47"/>
  <c r="K140" i="47"/>
  <c r="K100" i="47"/>
  <c r="K55" i="47"/>
  <c r="K82" i="47"/>
  <c r="K126" i="47"/>
  <c r="K95" i="47"/>
  <c r="K142" i="47"/>
  <c r="K40" i="47"/>
  <c r="K89" i="47"/>
  <c r="K103" i="47"/>
  <c r="K75" i="47"/>
  <c r="K52" i="47"/>
  <c r="K111" i="47"/>
  <c r="K68" i="47"/>
  <c r="K6" i="47"/>
  <c r="K34" i="47"/>
  <c r="K94" i="47"/>
  <c r="K137" i="47"/>
  <c r="K21" i="47"/>
  <c r="K101" i="47"/>
  <c r="K119" i="47"/>
  <c r="K5" i="47"/>
  <c r="K45" i="47"/>
  <c r="K58" i="47"/>
  <c r="K22" i="47"/>
  <c r="K67" i="47"/>
  <c r="H128" i="47"/>
  <c r="K141" i="47"/>
  <c r="J54" i="47"/>
  <c r="J55" i="47"/>
  <c r="M57" i="47"/>
  <c r="H28" i="47"/>
  <c r="K136" i="47"/>
  <c r="M10" i="47"/>
  <c r="M96" i="47"/>
  <c r="M125" i="47"/>
  <c r="M117" i="47"/>
  <c r="M138" i="47"/>
  <c r="M104" i="47"/>
  <c r="M83" i="47"/>
  <c r="M33" i="47"/>
  <c r="M38" i="47"/>
  <c r="M91" i="47"/>
  <c r="M78" i="47"/>
  <c r="M45" i="47"/>
  <c r="M101" i="47"/>
  <c r="M109" i="47"/>
  <c r="M120" i="47"/>
  <c r="M49" i="47"/>
  <c r="M142" i="47"/>
  <c r="M97" i="47"/>
  <c r="M15" i="47"/>
  <c r="M68" i="47"/>
  <c r="M81" i="47"/>
  <c r="M112" i="47"/>
  <c r="M100" i="47"/>
  <c r="M134" i="47"/>
  <c r="M53" i="47"/>
  <c r="M8" i="47"/>
  <c r="M26" i="47"/>
  <c r="M58" i="47"/>
  <c r="M124" i="47"/>
  <c r="M11" i="47"/>
  <c r="M135" i="47"/>
  <c r="M88" i="47"/>
  <c r="M36" i="47"/>
  <c r="M87" i="47"/>
  <c r="M131" i="47"/>
  <c r="M69" i="47"/>
  <c r="M73" i="47"/>
  <c r="M86" i="47"/>
  <c r="M107" i="47"/>
  <c r="M65" i="47"/>
  <c r="M105" i="47"/>
  <c r="M7" i="47"/>
  <c r="M37" i="47"/>
  <c r="M31" i="47"/>
  <c r="M12" i="47"/>
  <c r="M43" i="47"/>
  <c r="M85" i="47"/>
  <c r="M25" i="47"/>
  <c r="M23" i="47"/>
  <c r="M6" i="47"/>
  <c r="M24" i="47"/>
  <c r="M106" i="47"/>
  <c r="M140" i="47"/>
  <c r="M13" i="47"/>
  <c r="M72" i="47"/>
  <c r="M47" i="47"/>
  <c r="M102" i="47"/>
  <c r="M9" i="47"/>
  <c r="M21" i="47"/>
  <c r="M27" i="47"/>
  <c r="M84" i="47"/>
  <c r="M17" i="47"/>
  <c r="M121" i="47"/>
  <c r="M79" i="47"/>
  <c r="M4" i="47"/>
  <c r="M119" i="47"/>
  <c r="M75" i="47"/>
  <c r="M132" i="47"/>
  <c r="M98" i="47"/>
  <c r="M118" i="47"/>
  <c r="M63" i="47"/>
  <c r="M99" i="47"/>
  <c r="M14" i="47"/>
  <c r="M52" i="47"/>
  <c r="M44" i="47"/>
  <c r="M136" i="47"/>
  <c r="M116" i="47"/>
  <c r="M42" i="47"/>
  <c r="M60" i="47"/>
  <c r="M82" i="47"/>
  <c r="M5" i="47"/>
  <c r="M127" i="47"/>
  <c r="M133" i="47"/>
  <c r="M128" i="47"/>
  <c r="M28" i="47"/>
  <c r="M46" i="47"/>
  <c r="M92" i="47"/>
  <c r="M30" i="47"/>
  <c r="M93" i="47"/>
  <c r="M54" i="47"/>
  <c r="M66" i="47"/>
  <c r="M80" i="47"/>
  <c r="M114" i="47"/>
  <c r="M48" i="47"/>
  <c r="M113" i="47"/>
  <c r="M110" i="47"/>
  <c r="M18" i="47"/>
  <c r="M115" i="47"/>
  <c r="M62" i="47"/>
  <c r="M76" i="47"/>
  <c r="M40" i="47"/>
  <c r="M123" i="47"/>
  <c r="M20" i="47"/>
  <c r="M59" i="47"/>
  <c r="M95" i="47"/>
  <c r="M67" i="47"/>
  <c r="M22" i="47"/>
  <c r="M141" i="47"/>
  <c r="M50" i="47"/>
  <c r="M122" i="47"/>
  <c r="M70" i="47"/>
  <c r="M51" i="47"/>
  <c r="M64" i="47"/>
  <c r="M35" i="47"/>
  <c r="M137" i="47"/>
  <c r="M34" i="47"/>
  <c r="M103" i="47"/>
  <c r="M129" i="47"/>
  <c r="M77" i="47"/>
  <c r="M16" i="47"/>
  <c r="M29" i="47"/>
  <c r="M41" i="47"/>
  <c r="M56" i="47"/>
  <c r="M55" i="47"/>
  <c r="M108" i="47"/>
  <c r="M139" i="47"/>
  <c r="M94" i="47"/>
  <c r="M39" i="47"/>
  <c r="M126" i="47"/>
  <c r="M61" i="47"/>
  <c r="M19" i="47"/>
  <c r="M111" i="47"/>
  <c r="M74" i="47"/>
  <c r="M71" i="47"/>
  <c r="M90" i="47"/>
  <c r="M89" i="47"/>
  <c r="M32" i="47"/>
  <c r="H34" i="1"/>
  <c r="H35" i="1" s="1"/>
  <c r="I23" i="47"/>
  <c r="I11" i="47"/>
  <c r="I34" i="47"/>
  <c r="I36" i="47"/>
  <c r="I121" i="47"/>
  <c r="I106" i="47"/>
  <c r="I69" i="47"/>
  <c r="I45" i="47"/>
  <c r="I28" i="47"/>
  <c r="I73" i="47"/>
  <c r="I15" i="47"/>
  <c r="I91" i="47"/>
  <c r="I29" i="47"/>
  <c r="I87" i="47"/>
  <c r="I104" i="47"/>
  <c r="I125" i="47"/>
  <c r="I131" i="47"/>
  <c r="I62" i="47"/>
  <c r="I10" i="47"/>
  <c r="I9" i="47"/>
  <c r="I130" i="47"/>
  <c r="I96" i="47"/>
  <c r="I88" i="47"/>
  <c r="I65" i="47"/>
  <c r="I64" i="47"/>
  <c r="I8" i="47"/>
  <c r="I57" i="47"/>
  <c r="I33" i="47"/>
  <c r="I47" i="47"/>
  <c r="I124" i="47"/>
  <c r="I112" i="47"/>
  <c r="I50" i="47"/>
  <c r="I53" i="47"/>
  <c r="I85" i="47"/>
  <c r="I48" i="47"/>
  <c r="I138" i="47"/>
  <c r="I100" i="47"/>
  <c r="I81" i="47"/>
  <c r="I127" i="47"/>
  <c r="I117" i="47"/>
  <c r="I7" i="47"/>
  <c r="I103" i="47"/>
  <c r="I137" i="47"/>
  <c r="I55" i="47"/>
  <c r="I111" i="47"/>
  <c r="I89" i="47"/>
  <c r="I108" i="47"/>
  <c r="I24" i="47"/>
  <c r="I19" i="47"/>
  <c r="I70" i="47"/>
  <c r="I20" i="47"/>
  <c r="I27" i="47"/>
  <c r="I52" i="47"/>
  <c r="I132" i="47"/>
  <c r="I94" i="47"/>
  <c r="I13" i="47"/>
  <c r="I84" i="47"/>
  <c r="I30" i="47"/>
  <c r="I31" i="47"/>
  <c r="I35" i="47"/>
  <c r="I77" i="47"/>
  <c r="I102" i="47"/>
  <c r="I51" i="47"/>
  <c r="I129" i="47"/>
  <c r="I25" i="47"/>
  <c r="I74" i="47"/>
  <c r="I14" i="47"/>
  <c r="I141" i="47"/>
  <c r="I82" i="47"/>
  <c r="I118" i="47"/>
  <c r="I93" i="47"/>
  <c r="I107" i="47"/>
  <c r="I142" i="47"/>
  <c r="I114" i="47"/>
  <c r="I56" i="47"/>
  <c r="I41" i="47"/>
  <c r="I90" i="47"/>
  <c r="I135" i="47"/>
  <c r="I17" i="47"/>
  <c r="I105" i="47"/>
  <c r="I113" i="47"/>
  <c r="I123" i="47"/>
  <c r="I38" i="47"/>
  <c r="I75" i="47"/>
  <c r="I122" i="47"/>
  <c r="I80" i="47"/>
  <c r="I71" i="47"/>
  <c r="I79" i="47"/>
  <c r="I115" i="47"/>
  <c r="I37" i="47"/>
  <c r="I76" i="47"/>
  <c r="I78" i="47"/>
  <c r="I66" i="47"/>
  <c r="I83" i="47"/>
  <c r="I6" i="47"/>
  <c r="I26" i="47"/>
  <c r="I67" i="47"/>
  <c r="I97" i="47"/>
  <c r="I126" i="47"/>
  <c r="I72" i="47"/>
  <c r="I95" i="47"/>
  <c r="I133" i="47"/>
  <c r="I42" i="47"/>
  <c r="I63" i="47"/>
  <c r="I61" i="47"/>
  <c r="I21" i="47"/>
  <c r="I22" i="47"/>
  <c r="I120" i="47"/>
  <c r="I16" i="47"/>
  <c r="I18" i="47"/>
  <c r="I139" i="47"/>
  <c r="I43" i="47"/>
  <c r="I101" i="47"/>
  <c r="I49" i="47"/>
  <c r="I54" i="47"/>
  <c r="I46" i="47"/>
  <c r="I110" i="47"/>
  <c r="I5" i="47"/>
  <c r="I128" i="47"/>
  <c r="I59" i="47"/>
  <c r="I136" i="47"/>
  <c r="I39" i="47"/>
  <c r="I58" i="47"/>
  <c r="I44" i="47"/>
  <c r="I116" i="47"/>
  <c r="I134" i="47"/>
  <c r="I109" i="47"/>
  <c r="I98" i="47"/>
  <c r="I68" i="47"/>
  <c r="I60" i="47"/>
  <c r="I140" i="47"/>
  <c r="I86" i="47"/>
  <c r="I4" i="47"/>
  <c r="I32" i="47"/>
  <c r="I99" i="47"/>
  <c r="I12" i="47"/>
  <c r="I40" i="47"/>
  <c r="I92" i="47"/>
  <c r="L7" i="47"/>
  <c r="L10" i="47"/>
  <c r="L81" i="47"/>
  <c r="L138" i="47"/>
  <c r="L51" i="47"/>
  <c r="L12" i="47"/>
  <c r="L106" i="47"/>
  <c r="L117" i="47"/>
  <c r="L13" i="47"/>
  <c r="L20" i="47"/>
  <c r="L66" i="47"/>
  <c r="L92" i="47"/>
  <c r="L130" i="47"/>
  <c r="L19" i="47"/>
  <c r="L57" i="47"/>
  <c r="L33" i="47"/>
  <c r="L47" i="47"/>
  <c r="L4" i="47"/>
  <c r="L69" i="47"/>
  <c r="L97" i="47"/>
  <c r="L120" i="47"/>
  <c r="L73" i="47"/>
  <c r="L86" i="47"/>
  <c r="L63" i="47"/>
  <c r="L41" i="47"/>
  <c r="L8" i="47"/>
  <c r="L135" i="47"/>
  <c r="L115" i="47"/>
  <c r="L68" i="47"/>
  <c r="L107" i="47"/>
  <c r="L59" i="47"/>
  <c r="L131" i="47"/>
  <c r="L11" i="47"/>
  <c r="L96" i="47"/>
  <c r="L29" i="47"/>
  <c r="L49" i="47"/>
  <c r="L127" i="47"/>
  <c r="L91" i="47"/>
  <c r="L84" i="47"/>
  <c r="L38" i="47"/>
  <c r="L45" i="47"/>
  <c r="L133" i="47"/>
  <c r="L23" i="47"/>
  <c r="L90" i="47"/>
  <c r="L141" i="47"/>
  <c r="L27" i="47"/>
  <c r="L70" i="47"/>
  <c r="L71" i="47"/>
  <c r="L95" i="47"/>
  <c r="L26" i="47"/>
  <c r="L94" i="47"/>
  <c r="L6" i="47"/>
  <c r="L87" i="47"/>
  <c r="L34" i="47"/>
  <c r="L17" i="47"/>
  <c r="L50" i="47"/>
  <c r="L132" i="47"/>
  <c r="L101" i="47"/>
  <c r="L21" i="47"/>
  <c r="L56" i="47"/>
  <c r="L111" i="47"/>
  <c r="L80" i="47"/>
  <c r="L14" i="47"/>
  <c r="L100" i="47"/>
  <c r="L124" i="47"/>
  <c r="L44" i="47"/>
  <c r="L77" i="47"/>
  <c r="L119" i="47"/>
  <c r="L83" i="47"/>
  <c r="L28" i="47"/>
  <c r="L35" i="47"/>
  <c r="L62" i="47"/>
  <c r="L60" i="47"/>
  <c r="L118" i="47"/>
  <c r="L43" i="47"/>
  <c r="L121" i="47"/>
  <c r="L76" i="47"/>
  <c r="L53" i="47"/>
  <c r="L112" i="47"/>
  <c r="L9" i="47"/>
  <c r="L48" i="47"/>
  <c r="L136" i="47"/>
  <c r="L140" i="47"/>
  <c r="L42" i="47"/>
  <c r="L37" i="47"/>
  <c r="L88" i="47"/>
  <c r="L58" i="47"/>
  <c r="L32" i="47"/>
  <c r="L67" i="47"/>
  <c r="L40" i="47"/>
  <c r="L139" i="47"/>
  <c r="L52" i="47"/>
  <c r="L85" i="47"/>
  <c r="L116" i="47"/>
  <c r="L109" i="47"/>
  <c r="L105" i="47"/>
  <c r="L104" i="47"/>
  <c r="L31" i="47"/>
  <c r="L74" i="47"/>
  <c r="L78" i="47"/>
  <c r="L110" i="47"/>
  <c r="L64" i="47"/>
  <c r="L122" i="47"/>
  <c r="L30" i="47"/>
  <c r="L46" i="47"/>
  <c r="L103" i="47"/>
  <c r="L134" i="47"/>
  <c r="L65" i="47"/>
  <c r="L25" i="47"/>
  <c r="L18" i="47"/>
  <c r="L75" i="47"/>
  <c r="L108" i="47"/>
  <c r="L99" i="47"/>
  <c r="L137" i="47"/>
  <c r="L82" i="47"/>
  <c r="L102" i="47"/>
  <c r="L126" i="47"/>
  <c r="L93" i="47"/>
  <c r="L24" i="47"/>
  <c r="L113" i="47"/>
  <c r="L72" i="47"/>
  <c r="L54" i="47"/>
  <c r="L36" i="47"/>
  <c r="L123" i="47"/>
  <c r="L142" i="47"/>
  <c r="L98" i="47"/>
  <c r="L5" i="47"/>
  <c r="L114" i="47"/>
  <c r="L15" i="47"/>
  <c r="L79" i="47"/>
  <c r="L16" i="47"/>
  <c r="L125" i="47"/>
  <c r="L61" i="47"/>
  <c r="L22" i="47"/>
  <c r="L129" i="47"/>
  <c r="L39" i="47"/>
  <c r="L55" i="47"/>
  <c r="L89" i="47"/>
  <c r="L128" i="47"/>
  <c r="H10" i="47"/>
  <c r="H53" i="47"/>
  <c r="H124" i="47"/>
  <c r="H131" i="47"/>
  <c r="H77" i="47"/>
  <c r="H142" i="47"/>
  <c r="H38" i="47"/>
  <c r="H97" i="47"/>
  <c r="H82" i="47"/>
  <c r="H106" i="47"/>
  <c r="H136" i="47"/>
  <c r="H89" i="47"/>
  <c r="H96" i="47"/>
  <c r="H100" i="47"/>
  <c r="H29" i="47"/>
  <c r="H81" i="47"/>
  <c r="H63" i="47"/>
  <c r="H14" i="47"/>
  <c r="H135" i="47"/>
  <c r="H139" i="47"/>
  <c r="H93" i="47"/>
  <c r="H8" i="47"/>
  <c r="H19" i="47"/>
  <c r="H113" i="47"/>
  <c r="H41" i="47"/>
  <c r="H69" i="47"/>
  <c r="H103" i="47"/>
  <c r="H134" i="47"/>
  <c r="H123" i="47"/>
  <c r="H20" i="47"/>
  <c r="H45" i="47"/>
  <c r="H78" i="47"/>
  <c r="H70" i="47"/>
  <c r="H84" i="47"/>
  <c r="H138" i="47"/>
  <c r="H118" i="47"/>
  <c r="H92" i="47"/>
  <c r="H65" i="47"/>
  <c r="H125" i="47"/>
  <c r="H109" i="47"/>
  <c r="H49" i="47"/>
  <c r="H59" i="47"/>
  <c r="H91" i="47"/>
  <c r="H117" i="47"/>
  <c r="H42" i="47"/>
  <c r="H4" i="47"/>
  <c r="H7" i="47"/>
  <c r="H47" i="47"/>
  <c r="H94" i="47"/>
  <c r="H21" i="47"/>
  <c r="H54" i="47"/>
  <c r="H95" i="47"/>
  <c r="H140" i="47"/>
  <c r="H11" i="47"/>
  <c r="H85" i="47"/>
  <c r="H9" i="47"/>
  <c r="H56" i="47"/>
  <c r="H13" i="47"/>
  <c r="H74" i="47"/>
  <c r="H36" i="47"/>
  <c r="H24" i="47"/>
  <c r="H86" i="47"/>
  <c r="H64" i="47"/>
  <c r="H25" i="47"/>
  <c r="H50" i="47"/>
  <c r="H16" i="47"/>
  <c r="H18" i="47"/>
  <c r="H6" i="47"/>
  <c r="H55" i="47"/>
  <c r="H108" i="47"/>
  <c r="H104" i="47"/>
  <c r="H35" i="47"/>
  <c r="H75" i="47"/>
  <c r="H66" i="47"/>
  <c r="H112" i="47"/>
  <c r="H71" i="47"/>
  <c r="H114" i="47"/>
  <c r="H30" i="47"/>
  <c r="H17" i="47"/>
  <c r="H127" i="47"/>
  <c r="H116" i="47"/>
  <c r="H130" i="47"/>
  <c r="H121" i="47"/>
  <c r="H57" i="47"/>
  <c r="H48" i="47"/>
  <c r="H110" i="47"/>
  <c r="H80" i="47"/>
  <c r="H52" i="47"/>
  <c r="H32" i="47"/>
  <c r="H37" i="47"/>
  <c r="H132" i="47"/>
  <c r="H133" i="47"/>
  <c r="H99" i="47"/>
  <c r="H90" i="47"/>
  <c r="H120" i="47"/>
  <c r="H68" i="47"/>
  <c r="H33" i="47"/>
  <c r="H62" i="47"/>
  <c r="H111" i="47"/>
  <c r="H105" i="47"/>
  <c r="H119" i="47"/>
  <c r="H12" i="47"/>
  <c r="H60" i="47"/>
  <c r="H115" i="47"/>
  <c r="H51" i="47"/>
  <c r="H107" i="47"/>
  <c r="H76" i="47"/>
  <c r="H39" i="47"/>
  <c r="H27" i="47"/>
  <c r="H73" i="47"/>
  <c r="H44" i="47"/>
  <c r="H98" i="47"/>
  <c r="H43" i="47"/>
  <c r="H15" i="47"/>
  <c r="H61" i="47"/>
  <c r="H58" i="47"/>
  <c r="H137" i="47"/>
  <c r="H40" i="47"/>
  <c r="H129" i="47"/>
  <c r="H5" i="47"/>
  <c r="H26" i="47"/>
  <c r="H126" i="47"/>
  <c r="H72" i="47"/>
  <c r="H23" i="47"/>
  <c r="H46" i="47"/>
  <c r="H31" i="47"/>
  <c r="H67" i="47"/>
  <c r="H88" i="47"/>
  <c r="H122" i="47"/>
  <c r="H22" i="47"/>
  <c r="H79" i="47"/>
  <c r="H141" i="47"/>
  <c r="H34" i="47"/>
  <c r="H83" i="47"/>
  <c r="H101" i="47"/>
  <c r="H102" i="47"/>
  <c r="J8" i="47"/>
  <c r="J109" i="47"/>
  <c r="J43" i="47"/>
  <c r="J120" i="47"/>
  <c r="J14" i="47"/>
  <c r="J41" i="47"/>
  <c r="J103" i="47"/>
  <c r="J78" i="47"/>
  <c r="J86" i="47"/>
  <c r="J13" i="47"/>
  <c r="J133" i="47"/>
  <c r="J117" i="47"/>
  <c r="J36" i="47"/>
  <c r="J10" i="47"/>
  <c r="J138" i="47"/>
  <c r="J106" i="47"/>
  <c r="J135" i="47"/>
  <c r="J121" i="47"/>
  <c r="J32" i="47"/>
  <c r="J68" i="47"/>
  <c r="J130" i="47"/>
  <c r="J21" i="47"/>
  <c r="J45" i="47"/>
  <c r="J83" i="47"/>
  <c r="J53" i="47"/>
  <c r="J50" i="47"/>
  <c r="J51" i="47"/>
  <c r="J12" i="47"/>
  <c r="J37" i="47"/>
  <c r="J81" i="47"/>
  <c r="J63" i="47"/>
  <c r="J4" i="47"/>
  <c r="J59" i="47"/>
  <c r="J52" i="47"/>
  <c r="J141" i="47"/>
  <c r="J95" i="47"/>
  <c r="J40" i="47"/>
  <c r="J15" i="47"/>
  <c r="J107" i="47"/>
  <c r="J49" i="47"/>
  <c r="J125" i="47"/>
  <c r="J16" i="47"/>
  <c r="J24" i="47"/>
  <c r="J69" i="47"/>
  <c r="J17" i="47"/>
  <c r="J92" i="47"/>
  <c r="J34" i="47"/>
  <c r="J58" i="47"/>
  <c r="J99" i="47"/>
  <c r="J38" i="47"/>
  <c r="J5" i="47"/>
  <c r="J137" i="47"/>
  <c r="J25" i="47"/>
  <c r="J20" i="47"/>
  <c r="J74" i="47"/>
  <c r="J85" i="47"/>
  <c r="J6" i="47"/>
  <c r="J72" i="47"/>
  <c r="J42" i="47"/>
  <c r="J105" i="47"/>
  <c r="J94" i="47"/>
  <c r="J116" i="47"/>
  <c r="J61" i="47"/>
  <c r="J87" i="47"/>
  <c r="J39" i="47"/>
  <c r="J97" i="47"/>
  <c r="J91" i="47"/>
  <c r="J114" i="47"/>
  <c r="J75" i="47"/>
  <c r="J30" i="47"/>
  <c r="J108" i="47"/>
  <c r="J9" i="47"/>
  <c r="J26" i="47"/>
  <c r="J90" i="47"/>
  <c r="J67" i="47"/>
  <c r="J104" i="47"/>
  <c r="J56" i="47"/>
  <c r="J93" i="47"/>
  <c r="J35" i="47"/>
  <c r="J71" i="47"/>
  <c r="J122" i="47"/>
  <c r="J11" i="47"/>
  <c r="J89" i="47"/>
  <c r="J142" i="47"/>
  <c r="J19" i="47"/>
  <c r="J27" i="47"/>
  <c r="J22" i="47"/>
  <c r="J60" i="47"/>
  <c r="J18" i="47"/>
  <c r="J48" i="47"/>
  <c r="J98" i="47"/>
  <c r="J129" i="47"/>
  <c r="J76" i="47"/>
  <c r="J66" i="47"/>
  <c r="J113" i="47"/>
  <c r="J140" i="47"/>
  <c r="J23" i="47"/>
  <c r="J100" i="47"/>
  <c r="J123" i="47"/>
  <c r="J28" i="47"/>
  <c r="J46" i="47"/>
  <c r="J110" i="47"/>
  <c r="J126" i="47"/>
  <c r="J112" i="47"/>
  <c r="J115" i="47"/>
  <c r="J101" i="47"/>
  <c r="J33" i="47"/>
  <c r="J96" i="47"/>
  <c r="J127" i="47"/>
  <c r="J73" i="47"/>
  <c r="J79" i="47"/>
  <c r="J84" i="47"/>
  <c r="J111" i="47"/>
  <c r="J80" i="47"/>
  <c r="J82" i="47"/>
  <c r="J128" i="47"/>
  <c r="J132" i="47"/>
  <c r="J47" i="47"/>
  <c r="J134" i="47"/>
  <c r="J131" i="47"/>
  <c r="J62" i="47"/>
  <c r="J102" i="47"/>
  <c r="J136" i="47"/>
  <c r="J70" i="47"/>
  <c r="J31" i="47"/>
  <c r="J7" i="47"/>
  <c r="J57" i="47"/>
  <c r="J77" i="47"/>
  <c r="J139" i="47"/>
  <c r="J29" i="47"/>
  <c r="J64" i="47"/>
  <c r="J65" i="47"/>
  <c r="J88" i="47"/>
  <c r="J118" i="47"/>
  <c r="J119" i="47"/>
  <c r="J44" i="47"/>
  <c r="N104" i="49"/>
  <c r="N137" i="49"/>
  <c r="N65" i="49"/>
  <c r="N30" i="49"/>
  <c r="N32" i="49"/>
  <c r="N125" i="49"/>
  <c r="N35" i="49"/>
  <c r="N63" i="49"/>
  <c r="N138" i="49"/>
  <c r="N114" i="49"/>
  <c r="N106" i="49"/>
  <c r="N50" i="49"/>
  <c r="N38" i="49"/>
  <c r="N78" i="49"/>
  <c r="N6" i="49"/>
  <c r="N47" i="49"/>
  <c r="N42" i="49"/>
  <c r="N5" i="49"/>
  <c r="N129" i="49"/>
  <c r="N43" i="49"/>
  <c r="N51" i="49"/>
  <c r="N76" i="49"/>
  <c r="N59" i="49"/>
  <c r="N135" i="49"/>
  <c r="N46" i="49"/>
  <c r="N134" i="49"/>
  <c r="N126" i="49"/>
  <c r="N84" i="49"/>
  <c r="N62" i="49"/>
  <c r="N27" i="49"/>
  <c r="N33" i="49"/>
  <c r="N70" i="49"/>
  <c r="N118" i="49"/>
  <c r="N31" i="49"/>
  <c r="N14" i="49"/>
  <c r="N103" i="49"/>
  <c r="N82" i="49"/>
  <c r="N101" i="49"/>
  <c r="N117" i="49"/>
  <c r="N29" i="49"/>
  <c r="N79" i="49"/>
  <c r="N22" i="49"/>
  <c r="N45" i="49"/>
  <c r="N80" i="49"/>
  <c r="N11" i="49"/>
  <c r="N115" i="49"/>
  <c r="N105" i="49"/>
  <c r="N91" i="49"/>
  <c r="N64" i="49"/>
  <c r="N4" i="49"/>
  <c r="N71" i="49"/>
  <c r="N95" i="49"/>
  <c r="N142" i="49"/>
  <c r="N110" i="49"/>
  <c r="N132" i="49"/>
  <c r="N8" i="49"/>
  <c r="N121" i="49"/>
  <c r="N61" i="49"/>
  <c r="N87" i="49"/>
  <c r="N69" i="49"/>
  <c r="N24" i="49"/>
  <c r="N66" i="49"/>
  <c r="N28" i="49"/>
  <c r="N72" i="49"/>
  <c r="N108" i="49"/>
  <c r="N37" i="49"/>
  <c r="N136" i="49"/>
  <c r="N100" i="49"/>
  <c r="N9" i="49"/>
  <c r="N13" i="49"/>
  <c r="N128" i="49"/>
  <c r="N60" i="49"/>
  <c r="N74" i="49"/>
  <c r="N15" i="49"/>
  <c r="N116" i="49"/>
  <c r="N133" i="49"/>
  <c r="N98" i="49"/>
  <c r="N75" i="49"/>
  <c r="N52" i="49"/>
  <c r="N49" i="49"/>
  <c r="N141" i="49"/>
  <c r="N16" i="49"/>
  <c r="AU4" i="47"/>
  <c r="AC3" i="47"/>
  <c r="AM3" i="47"/>
  <c r="AR3" i="47"/>
  <c r="AP3" i="47"/>
  <c r="AQ3" i="47"/>
  <c r="AG3" i="47"/>
  <c r="AG2" i="47"/>
  <c r="E9" i="48"/>
  <c r="J19" i="48" s="1"/>
  <c r="C2" i="48"/>
  <c r="D2" i="47"/>
  <c r="J2" i="47" s="1"/>
  <c r="G2" i="47"/>
  <c r="M2" i="47" s="1"/>
  <c r="V2" i="47"/>
  <c r="AA3" i="47"/>
  <c r="AM2" i="47"/>
  <c r="AA2" i="47"/>
  <c r="AB2" i="47"/>
  <c r="AQ2" i="47"/>
  <c r="Y2" i="47"/>
  <c r="F2" i="47"/>
  <c r="L2" i="47" s="1"/>
  <c r="AB3" i="47"/>
  <c r="K3" i="47"/>
  <c r="L3" i="47"/>
  <c r="AX20" i="47"/>
  <c r="G20" i="1"/>
  <c r="N2" i="49"/>
  <c r="T2" i="49" s="1"/>
  <c r="N3" i="49"/>
  <c r="G25" i="1"/>
  <c r="G34" i="1" s="1"/>
  <c r="G35" i="1" s="1"/>
  <c r="B5" i="48"/>
  <c r="B7" i="48"/>
  <c r="B8" i="48"/>
  <c r="B9" i="48"/>
  <c r="J16" i="48" s="1"/>
  <c r="B10" i="48"/>
  <c r="B11" i="48"/>
  <c r="G23" i="1"/>
  <c r="B3" i="48"/>
  <c r="G17" i="1"/>
  <c r="G24" i="1"/>
  <c r="B4" i="48"/>
  <c r="G18" i="1"/>
  <c r="H3" i="47"/>
  <c r="W3" i="47"/>
  <c r="G3" i="47"/>
  <c r="M3" i="47" s="1"/>
  <c r="AU2" i="47"/>
  <c r="AC2" i="47"/>
  <c r="E2" i="47"/>
  <c r="K2" i="47" s="1"/>
  <c r="AP2" i="47"/>
  <c r="Z2" i="47"/>
  <c r="B2" i="47"/>
  <c r="H2" i="47" s="1"/>
  <c r="W2" i="47"/>
  <c r="AR2" i="47"/>
  <c r="I3" i="47"/>
  <c r="X3" i="47"/>
  <c r="C2" i="47"/>
  <c r="I2" i="47" s="1"/>
  <c r="X2" i="47"/>
  <c r="J3" i="47"/>
  <c r="Y3" i="47"/>
  <c r="AU3" i="47"/>
  <c r="AX22" i="47"/>
  <c r="AU71" i="47"/>
  <c r="O19" i="49" l="1"/>
  <c r="P68" i="49"/>
  <c r="N143" i="47"/>
  <c r="R143" i="47" s="1"/>
  <c r="Q143" i="49"/>
  <c r="R143" i="49"/>
  <c r="O143" i="49"/>
  <c r="S143" i="49"/>
  <c r="T143" i="49"/>
  <c r="P143" i="49"/>
  <c r="N144" i="47"/>
  <c r="R144" i="49"/>
  <c r="Q144" i="49"/>
  <c r="P144" i="49"/>
  <c r="O144" i="49"/>
  <c r="T144" i="49"/>
  <c r="S144" i="49"/>
  <c r="Q57" i="49"/>
  <c r="T131" i="49"/>
  <c r="P7" i="49"/>
  <c r="R99" i="49"/>
  <c r="R21" i="49"/>
  <c r="R67" i="49"/>
  <c r="R25" i="49"/>
  <c r="S68" i="49"/>
  <c r="O21" i="49"/>
  <c r="Q68" i="49"/>
  <c r="P67" i="49"/>
  <c r="O67" i="49"/>
  <c r="T67" i="49"/>
  <c r="T68" i="49"/>
  <c r="T39" i="49"/>
  <c r="S85" i="49"/>
  <c r="T48" i="49"/>
  <c r="O112" i="49"/>
  <c r="S140" i="49"/>
  <c r="S139" i="49"/>
  <c r="Q67" i="49"/>
  <c r="R97" i="49"/>
  <c r="O68" i="49"/>
  <c r="R41" i="49"/>
  <c r="O7" i="49"/>
  <c r="T127" i="49"/>
  <c r="S34" i="49"/>
  <c r="T58" i="49"/>
  <c r="T36" i="49"/>
  <c r="R36" i="49"/>
  <c r="S83" i="49"/>
  <c r="Q36" i="49"/>
  <c r="S113" i="49"/>
  <c r="P36" i="49"/>
  <c r="S73" i="49"/>
  <c r="S36" i="49"/>
  <c r="Q26" i="49"/>
  <c r="R34" i="49"/>
  <c r="R86" i="49"/>
  <c r="O83" i="49"/>
  <c r="O53" i="49"/>
  <c r="Q53" i="49"/>
  <c r="R88" i="49"/>
  <c r="R53" i="49"/>
  <c r="T53" i="49"/>
  <c r="S53" i="49"/>
  <c r="P111" i="49"/>
  <c r="P139" i="49"/>
  <c r="R93" i="49"/>
  <c r="P85" i="49"/>
  <c r="O48" i="49"/>
  <c r="O140" i="49"/>
  <c r="R85" i="49"/>
  <c r="T123" i="49"/>
  <c r="Q48" i="49"/>
  <c r="P93" i="49"/>
  <c r="R140" i="49"/>
  <c r="O85" i="49"/>
  <c r="P48" i="49"/>
  <c r="Q123" i="49"/>
  <c r="T93" i="49"/>
  <c r="P123" i="49"/>
  <c r="S93" i="49"/>
  <c r="O123" i="49"/>
  <c r="Q93" i="49"/>
  <c r="T85" i="49"/>
  <c r="R48" i="49"/>
  <c r="S123" i="49"/>
  <c r="R109" i="49"/>
  <c r="P20" i="49"/>
  <c r="O20" i="49"/>
  <c r="P120" i="49"/>
  <c r="R44" i="49"/>
  <c r="T20" i="49"/>
  <c r="S20" i="49"/>
  <c r="R20" i="49"/>
  <c r="P124" i="49"/>
  <c r="T77" i="49"/>
  <c r="P25" i="49"/>
  <c r="R39" i="49"/>
  <c r="Q89" i="49"/>
  <c r="T130" i="49"/>
  <c r="R77" i="49"/>
  <c r="O124" i="49"/>
  <c r="O25" i="49"/>
  <c r="S39" i="49"/>
  <c r="P130" i="49"/>
  <c r="Q39" i="49"/>
  <c r="P21" i="49"/>
  <c r="T25" i="49"/>
  <c r="P39" i="49"/>
  <c r="Q21" i="49"/>
  <c r="Q25" i="49"/>
  <c r="T21" i="49"/>
  <c r="O102" i="49"/>
  <c r="Q97" i="49"/>
  <c r="S90" i="49"/>
  <c r="T97" i="49"/>
  <c r="S41" i="49"/>
  <c r="T57" i="49"/>
  <c r="Q90" i="49"/>
  <c r="S57" i="49"/>
  <c r="R57" i="49"/>
  <c r="O90" i="49"/>
  <c r="O97" i="49"/>
  <c r="P90" i="49"/>
  <c r="T41" i="49"/>
  <c r="P57" i="49"/>
  <c r="P97" i="49"/>
  <c r="O41" i="49"/>
  <c r="T90" i="49"/>
  <c r="Q41" i="49"/>
  <c r="Q34" i="49"/>
  <c r="R83" i="49"/>
  <c r="R26" i="49"/>
  <c r="T83" i="49"/>
  <c r="O131" i="49"/>
  <c r="Q58" i="49"/>
  <c r="Q73" i="49"/>
  <c r="P58" i="49"/>
  <c r="R73" i="49"/>
  <c r="P86" i="49"/>
  <c r="Q86" i="49"/>
  <c r="R131" i="49"/>
  <c r="O58" i="49"/>
  <c r="P34" i="49"/>
  <c r="P73" i="49"/>
  <c r="O86" i="49"/>
  <c r="S58" i="49"/>
  <c r="O34" i="49"/>
  <c r="O73" i="49"/>
  <c r="T86" i="49"/>
  <c r="P83" i="49"/>
  <c r="Q107" i="49"/>
  <c r="P107" i="49"/>
  <c r="Q77" i="49"/>
  <c r="S124" i="49"/>
  <c r="T26" i="49"/>
  <c r="Q130" i="49"/>
  <c r="P77" i="49"/>
  <c r="P26" i="49"/>
  <c r="R124" i="49"/>
  <c r="S130" i="49"/>
  <c r="S77" i="49"/>
  <c r="Q131" i="49"/>
  <c r="O26" i="49"/>
  <c r="R130" i="49"/>
  <c r="T124" i="49"/>
  <c r="P131" i="49"/>
  <c r="S107" i="49"/>
  <c r="T44" i="49"/>
  <c r="T89" i="49"/>
  <c r="Q127" i="49"/>
  <c r="S44" i="49"/>
  <c r="S89" i="49"/>
  <c r="P10" i="49"/>
  <c r="S127" i="49"/>
  <c r="P89" i="49"/>
  <c r="O10" i="49"/>
  <c r="R10" i="49"/>
  <c r="R127" i="49"/>
  <c r="T111" i="49"/>
  <c r="S111" i="49"/>
  <c r="R89" i="49"/>
  <c r="Q111" i="49"/>
  <c r="P127" i="49"/>
  <c r="Q44" i="49"/>
  <c r="P44" i="49"/>
  <c r="O111" i="49"/>
  <c r="O23" i="49"/>
  <c r="O119" i="49"/>
  <c r="R107" i="49"/>
  <c r="T107" i="49"/>
  <c r="P122" i="49"/>
  <c r="R81" i="49"/>
  <c r="S54" i="49"/>
  <c r="R54" i="49"/>
  <c r="S122" i="49"/>
  <c r="T122" i="49"/>
  <c r="P81" i="49"/>
  <c r="R119" i="49"/>
  <c r="T23" i="49"/>
  <c r="O81" i="49"/>
  <c r="Q54" i="49"/>
  <c r="O122" i="49"/>
  <c r="T54" i="49"/>
  <c r="S81" i="49"/>
  <c r="Q23" i="49"/>
  <c r="P54" i="49"/>
  <c r="R122" i="49"/>
  <c r="T81" i="49"/>
  <c r="Q119" i="49"/>
  <c r="N55" i="47"/>
  <c r="Q55" i="47" s="1"/>
  <c r="S56" i="49"/>
  <c r="T99" i="49"/>
  <c r="T139" i="49"/>
  <c r="Q140" i="49"/>
  <c r="Q19" i="49"/>
  <c r="P119" i="49"/>
  <c r="S99" i="49"/>
  <c r="R23" i="49"/>
  <c r="P56" i="49"/>
  <c r="S102" i="49"/>
  <c r="Q102" i="49"/>
  <c r="R102" i="49"/>
  <c r="S19" i="49"/>
  <c r="Q139" i="49"/>
  <c r="P140" i="49"/>
  <c r="P19" i="49"/>
  <c r="S119" i="49"/>
  <c r="O99" i="49"/>
  <c r="T120" i="49"/>
  <c r="P23" i="49"/>
  <c r="Q99" i="49"/>
  <c r="N114" i="47"/>
  <c r="R114" i="47" s="1"/>
  <c r="R139" i="49"/>
  <c r="O56" i="49"/>
  <c r="P102" i="49"/>
  <c r="R19" i="49"/>
  <c r="N129" i="47"/>
  <c r="Q129" i="47" s="1"/>
  <c r="N91" i="47"/>
  <c r="Q91" i="47" s="1"/>
  <c r="N101" i="47"/>
  <c r="T101" i="47" s="1"/>
  <c r="N61" i="47"/>
  <c r="P61" i="47" s="1"/>
  <c r="T56" i="49"/>
  <c r="R56" i="49"/>
  <c r="T10" i="49"/>
  <c r="S10" i="49"/>
  <c r="N9" i="47"/>
  <c r="N117" i="47"/>
  <c r="R117" i="47" s="1"/>
  <c r="N41" i="47"/>
  <c r="S41" i="47" s="1"/>
  <c r="N53" i="47"/>
  <c r="O53" i="47" s="1"/>
  <c r="O92" i="49"/>
  <c r="S92" i="49"/>
  <c r="R92" i="49"/>
  <c r="T92" i="49"/>
  <c r="P92" i="49"/>
  <c r="O12" i="49"/>
  <c r="P12" i="49"/>
  <c r="Q12" i="49"/>
  <c r="S12" i="49"/>
  <c r="R12" i="49"/>
  <c r="T12" i="49"/>
  <c r="O120" i="49"/>
  <c r="N22" i="47"/>
  <c r="Q22" i="47" s="1"/>
  <c r="N71" i="47"/>
  <c r="T71" i="47" s="1"/>
  <c r="S109" i="49"/>
  <c r="O109" i="49"/>
  <c r="P109" i="49"/>
  <c r="Q109" i="49"/>
  <c r="S112" i="49"/>
  <c r="P112" i="49"/>
  <c r="R112" i="49"/>
  <c r="Q112" i="49"/>
  <c r="N92" i="47"/>
  <c r="O92" i="47" s="1"/>
  <c r="N39" i="47"/>
  <c r="O39" i="47" s="1"/>
  <c r="N119" i="47"/>
  <c r="O119" i="47" s="1"/>
  <c r="N120" i="47"/>
  <c r="Q120" i="47" s="1"/>
  <c r="N127" i="47"/>
  <c r="T127" i="47" s="1"/>
  <c r="N95" i="47"/>
  <c r="R95" i="47" s="1"/>
  <c r="N7" i="47"/>
  <c r="S7" i="47" s="1"/>
  <c r="N109" i="47"/>
  <c r="T109" i="47" s="1"/>
  <c r="N134" i="47"/>
  <c r="S134" i="47" s="1"/>
  <c r="N59" i="47"/>
  <c r="R59" i="47" s="1"/>
  <c r="N82" i="47"/>
  <c r="O82" i="47" s="1"/>
  <c r="R120" i="49"/>
  <c r="P96" i="49"/>
  <c r="R96" i="49"/>
  <c r="S96" i="49"/>
  <c r="O96" i="49"/>
  <c r="T96" i="49"/>
  <c r="Q96" i="49"/>
  <c r="T7" i="49"/>
  <c r="R7" i="49"/>
  <c r="Q7" i="49"/>
  <c r="Q120" i="49"/>
  <c r="N131" i="47"/>
  <c r="P131" i="47" s="1"/>
  <c r="N69" i="47"/>
  <c r="T69" i="47" s="1"/>
  <c r="N83" i="47"/>
  <c r="T83" i="47" s="1"/>
  <c r="R17" i="49"/>
  <c r="T17" i="49"/>
  <c r="S17" i="49"/>
  <c r="P17" i="49"/>
  <c r="O17" i="49"/>
  <c r="Q17" i="49"/>
  <c r="O18" i="49"/>
  <c r="T18" i="49"/>
  <c r="P18" i="49"/>
  <c r="Q18" i="49"/>
  <c r="R18" i="49"/>
  <c r="S18" i="49"/>
  <c r="O88" i="49"/>
  <c r="P88" i="49"/>
  <c r="Q88" i="49"/>
  <c r="T88" i="49"/>
  <c r="Q94" i="49"/>
  <c r="T94" i="49"/>
  <c r="O94" i="49"/>
  <c r="R94" i="49"/>
  <c r="S94" i="49"/>
  <c r="P94" i="49"/>
  <c r="P40" i="49"/>
  <c r="O40" i="49"/>
  <c r="T40" i="49"/>
  <c r="R40" i="49"/>
  <c r="Q40" i="49"/>
  <c r="S40" i="49"/>
  <c r="T55" i="49"/>
  <c r="S55" i="49"/>
  <c r="Q55" i="49"/>
  <c r="R55" i="49"/>
  <c r="O55" i="49"/>
  <c r="P55" i="49"/>
  <c r="O113" i="49"/>
  <c r="T113" i="49"/>
  <c r="R113" i="49"/>
  <c r="Q113" i="49"/>
  <c r="O71" i="49"/>
  <c r="Q71" i="49"/>
  <c r="S71" i="49"/>
  <c r="T71" i="49"/>
  <c r="P71" i="49"/>
  <c r="R71" i="49"/>
  <c r="N36" i="47"/>
  <c r="R52" i="49"/>
  <c r="T52" i="49"/>
  <c r="Q52" i="49"/>
  <c r="P52" i="49"/>
  <c r="O52" i="49"/>
  <c r="S52" i="49"/>
  <c r="P128" i="49"/>
  <c r="O128" i="49"/>
  <c r="T128" i="49"/>
  <c r="S128" i="49"/>
  <c r="Q128" i="49"/>
  <c r="R128" i="49"/>
  <c r="T28" i="49"/>
  <c r="O28" i="49"/>
  <c r="S28" i="49"/>
  <c r="P28" i="49"/>
  <c r="Q28" i="49"/>
  <c r="R28" i="49"/>
  <c r="P95" i="49"/>
  <c r="S95" i="49"/>
  <c r="T95" i="49"/>
  <c r="Q95" i="49"/>
  <c r="R95" i="49"/>
  <c r="O95" i="49"/>
  <c r="S101" i="49"/>
  <c r="Q101" i="49"/>
  <c r="O101" i="49"/>
  <c r="R101" i="49"/>
  <c r="P101" i="49"/>
  <c r="T101" i="49"/>
  <c r="O134" i="49"/>
  <c r="S134" i="49"/>
  <c r="P134" i="49"/>
  <c r="T134" i="49"/>
  <c r="Q134" i="49"/>
  <c r="R134" i="49"/>
  <c r="S129" i="49"/>
  <c r="P129" i="49"/>
  <c r="T129" i="49"/>
  <c r="Q129" i="49"/>
  <c r="O129" i="49"/>
  <c r="R129" i="49"/>
  <c r="R106" i="49"/>
  <c r="P106" i="49"/>
  <c r="T106" i="49"/>
  <c r="S106" i="49"/>
  <c r="O106" i="49"/>
  <c r="Q106" i="49"/>
  <c r="R125" i="49"/>
  <c r="O125" i="49"/>
  <c r="S125" i="49"/>
  <c r="T125" i="49"/>
  <c r="Q125" i="49"/>
  <c r="P125" i="49"/>
  <c r="T30" i="49"/>
  <c r="O30" i="49"/>
  <c r="Q30" i="49"/>
  <c r="R30" i="49"/>
  <c r="S30" i="49"/>
  <c r="P30" i="49"/>
  <c r="O137" i="49"/>
  <c r="R137" i="49"/>
  <c r="S137" i="49"/>
  <c r="P137" i="49"/>
  <c r="Q137" i="49"/>
  <c r="T137" i="49"/>
  <c r="N139" i="47"/>
  <c r="N100" i="47"/>
  <c r="N104" i="47"/>
  <c r="N34" i="47"/>
  <c r="N12" i="47"/>
  <c r="N68" i="47"/>
  <c r="N32" i="47"/>
  <c r="N116" i="47"/>
  <c r="N24" i="47"/>
  <c r="N140" i="47"/>
  <c r="N8" i="47"/>
  <c r="N138" i="47"/>
  <c r="N136" i="47"/>
  <c r="N105" i="47"/>
  <c r="N118" i="47"/>
  <c r="N19" i="47"/>
  <c r="N96" i="47"/>
  <c r="N112" i="47"/>
  <c r="O9" i="49"/>
  <c r="S9" i="49"/>
  <c r="T9" i="49"/>
  <c r="P9" i="49"/>
  <c r="Q9" i="49"/>
  <c r="R9" i="49"/>
  <c r="R24" i="49"/>
  <c r="S24" i="49"/>
  <c r="T24" i="49"/>
  <c r="O24" i="49"/>
  <c r="P24" i="49"/>
  <c r="Q24" i="49"/>
  <c r="Q4" i="49"/>
  <c r="P4" i="49"/>
  <c r="T4" i="49"/>
  <c r="O4" i="49"/>
  <c r="S4" i="49"/>
  <c r="R4" i="49"/>
  <c r="P80" i="49"/>
  <c r="T80" i="49"/>
  <c r="Q80" i="49"/>
  <c r="S80" i="49"/>
  <c r="O80" i="49"/>
  <c r="R80" i="49"/>
  <c r="P82" i="49"/>
  <c r="Q82" i="49"/>
  <c r="R82" i="49"/>
  <c r="O82" i="49"/>
  <c r="S82" i="49"/>
  <c r="T82" i="49"/>
  <c r="T46" i="49"/>
  <c r="P46" i="49"/>
  <c r="Q46" i="49"/>
  <c r="S46" i="49"/>
  <c r="O46" i="49"/>
  <c r="R46" i="49"/>
  <c r="N75" i="47"/>
  <c r="N17" i="47"/>
  <c r="N88" i="47"/>
  <c r="N26" i="47"/>
  <c r="N15" i="47"/>
  <c r="N76" i="47"/>
  <c r="N80" i="47"/>
  <c r="N18" i="47"/>
  <c r="N74" i="47"/>
  <c r="N54" i="47"/>
  <c r="N124" i="47"/>
  <c r="N128" i="47"/>
  <c r="N43" i="47"/>
  <c r="N97" i="47"/>
  <c r="N102" i="47"/>
  <c r="N132" i="47"/>
  <c r="N108" i="47"/>
  <c r="N49" i="47"/>
  <c r="R13" i="49"/>
  <c r="P13" i="49"/>
  <c r="Q13" i="49"/>
  <c r="O13" i="49"/>
  <c r="S13" i="49"/>
  <c r="T13" i="49"/>
  <c r="T70" i="49"/>
  <c r="Q70" i="49"/>
  <c r="R70" i="49"/>
  <c r="S70" i="49"/>
  <c r="P70" i="49"/>
  <c r="O70" i="49"/>
  <c r="Q100" i="49"/>
  <c r="T100" i="49"/>
  <c r="R100" i="49"/>
  <c r="O100" i="49"/>
  <c r="P100" i="49"/>
  <c r="S100" i="49"/>
  <c r="Q8" i="49"/>
  <c r="O8" i="49"/>
  <c r="T8" i="49"/>
  <c r="R8" i="49"/>
  <c r="P8" i="49"/>
  <c r="S8" i="49"/>
  <c r="T64" i="49"/>
  <c r="O64" i="49"/>
  <c r="Q64" i="49"/>
  <c r="R64" i="49"/>
  <c r="S64" i="49"/>
  <c r="P64" i="49"/>
  <c r="Q45" i="49"/>
  <c r="T45" i="49"/>
  <c r="R45" i="49"/>
  <c r="O45" i="49"/>
  <c r="S45" i="49"/>
  <c r="P45" i="49"/>
  <c r="S33" i="49"/>
  <c r="R33" i="49"/>
  <c r="O33" i="49"/>
  <c r="Q33" i="49"/>
  <c r="P33" i="49"/>
  <c r="T33" i="49"/>
  <c r="S5" i="49"/>
  <c r="P5" i="49"/>
  <c r="T5" i="49"/>
  <c r="Q5" i="49"/>
  <c r="O5" i="49"/>
  <c r="R5" i="49"/>
  <c r="T104" i="49"/>
  <c r="Q104" i="49"/>
  <c r="O104" i="49"/>
  <c r="P104" i="49"/>
  <c r="R104" i="49"/>
  <c r="S104" i="49"/>
  <c r="N67" i="47"/>
  <c r="N5" i="47"/>
  <c r="N99" i="47"/>
  <c r="N110" i="47"/>
  <c r="N30" i="47"/>
  <c r="N16" i="47"/>
  <c r="N13" i="47"/>
  <c r="N21" i="47"/>
  <c r="N103" i="47"/>
  <c r="N135" i="47"/>
  <c r="N57" i="47"/>
  <c r="N142" i="47"/>
  <c r="N77" i="47"/>
  <c r="N52" i="47"/>
  <c r="N29" i="47"/>
  <c r="Q75" i="49"/>
  <c r="T75" i="49"/>
  <c r="P75" i="49"/>
  <c r="S75" i="49"/>
  <c r="O75" i="49"/>
  <c r="R75" i="49"/>
  <c r="S11" i="49"/>
  <c r="T11" i="49"/>
  <c r="R11" i="49"/>
  <c r="O11" i="49"/>
  <c r="P11" i="49"/>
  <c r="Q11" i="49"/>
  <c r="N122" i="47"/>
  <c r="O15" i="49"/>
  <c r="P15" i="49"/>
  <c r="S15" i="49"/>
  <c r="Q15" i="49"/>
  <c r="T15" i="49"/>
  <c r="R15" i="49"/>
  <c r="P136" i="49"/>
  <c r="S136" i="49"/>
  <c r="O136" i="49"/>
  <c r="T136" i="49"/>
  <c r="R136" i="49"/>
  <c r="Q136" i="49"/>
  <c r="O132" i="49"/>
  <c r="Q132" i="49"/>
  <c r="T132" i="49"/>
  <c r="R132" i="49"/>
  <c r="S132" i="49"/>
  <c r="P132" i="49"/>
  <c r="R22" i="49"/>
  <c r="Q22" i="49"/>
  <c r="S22" i="49"/>
  <c r="O22" i="49"/>
  <c r="P22" i="49"/>
  <c r="T22" i="49"/>
  <c r="O103" i="49"/>
  <c r="S103" i="49"/>
  <c r="T103" i="49"/>
  <c r="Q103" i="49"/>
  <c r="R103" i="49"/>
  <c r="P103" i="49"/>
  <c r="O27" i="49"/>
  <c r="Q27" i="49"/>
  <c r="S27" i="49"/>
  <c r="P27" i="49"/>
  <c r="R27" i="49"/>
  <c r="T27" i="49"/>
  <c r="P135" i="49"/>
  <c r="R135" i="49"/>
  <c r="O135" i="49"/>
  <c r="T135" i="49"/>
  <c r="Q135" i="49"/>
  <c r="S135" i="49"/>
  <c r="O59" i="49"/>
  <c r="R59" i="49"/>
  <c r="S59" i="49"/>
  <c r="P59" i="49"/>
  <c r="Q59" i="49"/>
  <c r="T59" i="49"/>
  <c r="R42" i="49"/>
  <c r="P42" i="49"/>
  <c r="Q42" i="49"/>
  <c r="O42" i="49"/>
  <c r="S42" i="49"/>
  <c r="T42" i="49"/>
  <c r="R138" i="49"/>
  <c r="P138" i="49"/>
  <c r="T138" i="49"/>
  <c r="O138" i="49"/>
  <c r="Q138" i="49"/>
  <c r="S138" i="49"/>
  <c r="N65" i="47"/>
  <c r="N66" i="47"/>
  <c r="N38" i="47"/>
  <c r="N141" i="47"/>
  <c r="N31" i="47"/>
  <c r="N107" i="47"/>
  <c r="N62" i="47"/>
  <c r="N133" i="47"/>
  <c r="N48" i="47"/>
  <c r="N50" i="47"/>
  <c r="N56" i="47"/>
  <c r="N94" i="47"/>
  <c r="N14" i="47"/>
  <c r="N89" i="47"/>
  <c r="N10" i="47"/>
  <c r="N106" i="47"/>
  <c r="Q66" i="49"/>
  <c r="S66" i="49"/>
  <c r="O66" i="49"/>
  <c r="T66" i="49"/>
  <c r="P66" i="49"/>
  <c r="R66" i="49"/>
  <c r="P74" i="49"/>
  <c r="O74" i="49"/>
  <c r="T74" i="49"/>
  <c r="R74" i="49"/>
  <c r="Q74" i="49"/>
  <c r="S74" i="49"/>
  <c r="S37" i="49"/>
  <c r="R37" i="49"/>
  <c r="Q37" i="49"/>
  <c r="T37" i="49"/>
  <c r="O37" i="49"/>
  <c r="P37" i="49"/>
  <c r="T69" i="49"/>
  <c r="S69" i="49"/>
  <c r="P69" i="49"/>
  <c r="R69" i="49"/>
  <c r="O69" i="49"/>
  <c r="Q69" i="49"/>
  <c r="S91" i="49"/>
  <c r="R91" i="49"/>
  <c r="T91" i="49"/>
  <c r="P91" i="49"/>
  <c r="O91" i="49"/>
  <c r="Q91" i="49"/>
  <c r="P79" i="49"/>
  <c r="R79" i="49"/>
  <c r="Q79" i="49"/>
  <c r="T79" i="49"/>
  <c r="O79" i="49"/>
  <c r="S79" i="49"/>
  <c r="S14" i="49"/>
  <c r="O14" i="49"/>
  <c r="Q14" i="49"/>
  <c r="T14" i="49"/>
  <c r="P14" i="49"/>
  <c r="R14" i="49"/>
  <c r="Q62" i="49"/>
  <c r="R62" i="49"/>
  <c r="O62" i="49"/>
  <c r="P62" i="49"/>
  <c r="T62" i="49"/>
  <c r="S62" i="49"/>
  <c r="T76" i="49"/>
  <c r="P76" i="49"/>
  <c r="Q76" i="49"/>
  <c r="O76" i="49"/>
  <c r="S76" i="49"/>
  <c r="R76" i="49"/>
  <c r="S47" i="49"/>
  <c r="R47" i="49"/>
  <c r="Q47" i="49"/>
  <c r="O47" i="49"/>
  <c r="P47" i="49"/>
  <c r="T47" i="49"/>
  <c r="O63" i="49"/>
  <c r="T63" i="49"/>
  <c r="Q63" i="49"/>
  <c r="S63" i="49"/>
  <c r="R63" i="49"/>
  <c r="P63" i="49"/>
  <c r="N51" i="47"/>
  <c r="N25" i="47"/>
  <c r="N130" i="47"/>
  <c r="N46" i="47"/>
  <c r="N6" i="47"/>
  <c r="N123" i="47"/>
  <c r="N20" i="47"/>
  <c r="N111" i="47"/>
  <c r="N4" i="47"/>
  <c r="N73" i="47"/>
  <c r="N42" i="47"/>
  <c r="O116" i="49"/>
  <c r="R116" i="49"/>
  <c r="Q116" i="49"/>
  <c r="S116" i="49"/>
  <c r="T116" i="49"/>
  <c r="P116" i="49"/>
  <c r="S114" i="49"/>
  <c r="P114" i="49"/>
  <c r="Q114" i="49"/>
  <c r="O114" i="49"/>
  <c r="R114" i="49"/>
  <c r="T114" i="49"/>
  <c r="N126" i="47"/>
  <c r="P141" i="49"/>
  <c r="S141" i="49"/>
  <c r="O141" i="49"/>
  <c r="R141" i="49"/>
  <c r="T141" i="49"/>
  <c r="Q141" i="49"/>
  <c r="S98" i="49"/>
  <c r="Q98" i="49"/>
  <c r="P98" i="49"/>
  <c r="T98" i="49"/>
  <c r="O98" i="49"/>
  <c r="R98" i="49"/>
  <c r="Q108" i="49"/>
  <c r="S108" i="49"/>
  <c r="R108" i="49"/>
  <c r="T108" i="49"/>
  <c r="O108" i="49"/>
  <c r="P108" i="49"/>
  <c r="P87" i="49"/>
  <c r="O87" i="49"/>
  <c r="R87" i="49"/>
  <c r="Q87" i="49"/>
  <c r="S87" i="49"/>
  <c r="T87" i="49"/>
  <c r="Q110" i="49"/>
  <c r="P110" i="49"/>
  <c r="O110" i="49"/>
  <c r="S110" i="49"/>
  <c r="T110" i="49"/>
  <c r="R110" i="49"/>
  <c r="O105" i="49"/>
  <c r="R105" i="49"/>
  <c r="S105" i="49"/>
  <c r="P105" i="49"/>
  <c r="T105" i="49"/>
  <c r="Q105" i="49"/>
  <c r="R29" i="49"/>
  <c r="S29" i="49"/>
  <c r="T29" i="49"/>
  <c r="O29" i="49"/>
  <c r="P29" i="49"/>
  <c r="Q29" i="49"/>
  <c r="R31" i="49"/>
  <c r="T31" i="49"/>
  <c r="P31" i="49"/>
  <c r="Q31" i="49"/>
  <c r="S31" i="49"/>
  <c r="O31" i="49"/>
  <c r="P84" i="49"/>
  <c r="Q84" i="49"/>
  <c r="T84" i="49"/>
  <c r="O84" i="49"/>
  <c r="S84" i="49"/>
  <c r="R84" i="49"/>
  <c r="T51" i="49"/>
  <c r="Q51" i="49"/>
  <c r="O51" i="49"/>
  <c r="R51" i="49"/>
  <c r="S51" i="49"/>
  <c r="P51" i="49"/>
  <c r="O6" i="49"/>
  <c r="Q6" i="49"/>
  <c r="S6" i="49"/>
  <c r="T6" i="49"/>
  <c r="R6" i="49"/>
  <c r="P6" i="49"/>
  <c r="T38" i="49"/>
  <c r="R38" i="49"/>
  <c r="O38" i="49"/>
  <c r="P38" i="49"/>
  <c r="Q38" i="49"/>
  <c r="S38" i="49"/>
  <c r="N47" i="47"/>
  <c r="N58" i="47"/>
  <c r="N40" i="47"/>
  <c r="N115" i="47"/>
  <c r="N33" i="47"/>
  <c r="N37" i="47"/>
  <c r="N64" i="47"/>
  <c r="N85" i="47"/>
  <c r="N90" i="47"/>
  <c r="N79" i="47"/>
  <c r="N113" i="47"/>
  <c r="N28" i="47"/>
  <c r="N87" i="47"/>
  <c r="N35" i="47"/>
  <c r="Q121" i="49"/>
  <c r="T121" i="49"/>
  <c r="P121" i="49"/>
  <c r="O121" i="49"/>
  <c r="R121" i="49"/>
  <c r="S121" i="49"/>
  <c r="S16" i="49"/>
  <c r="O16" i="49"/>
  <c r="R16" i="49"/>
  <c r="T16" i="49"/>
  <c r="Q16" i="49"/>
  <c r="P16" i="49"/>
  <c r="T49" i="49"/>
  <c r="Q49" i="49"/>
  <c r="P49" i="49"/>
  <c r="R49" i="49"/>
  <c r="S49" i="49"/>
  <c r="O49" i="49"/>
  <c r="R133" i="49"/>
  <c r="P133" i="49"/>
  <c r="Q133" i="49"/>
  <c r="T133" i="49"/>
  <c r="O133" i="49"/>
  <c r="S133" i="49"/>
  <c r="O60" i="49"/>
  <c r="R60" i="49"/>
  <c r="P60" i="49"/>
  <c r="Q60" i="49"/>
  <c r="T60" i="49"/>
  <c r="S60" i="49"/>
  <c r="O72" i="49"/>
  <c r="P72" i="49"/>
  <c r="Q72" i="49"/>
  <c r="S72" i="49"/>
  <c r="T72" i="49"/>
  <c r="R72" i="49"/>
  <c r="O61" i="49"/>
  <c r="Q61" i="49"/>
  <c r="R61" i="49"/>
  <c r="P61" i="49"/>
  <c r="S61" i="49"/>
  <c r="T61" i="49"/>
  <c r="Q142" i="49"/>
  <c r="P142" i="49"/>
  <c r="T142" i="49"/>
  <c r="S142" i="49"/>
  <c r="O142" i="49"/>
  <c r="R142" i="49"/>
  <c r="Q115" i="49"/>
  <c r="O115" i="49"/>
  <c r="S115" i="49"/>
  <c r="P115" i="49"/>
  <c r="T115" i="49"/>
  <c r="R115" i="49"/>
  <c r="R117" i="49"/>
  <c r="T117" i="49"/>
  <c r="O117" i="49"/>
  <c r="S117" i="49"/>
  <c r="P117" i="49"/>
  <c r="Q117" i="49"/>
  <c r="S118" i="49"/>
  <c r="O118" i="49"/>
  <c r="Q118" i="49"/>
  <c r="T118" i="49"/>
  <c r="P118" i="49"/>
  <c r="R118" i="49"/>
  <c r="S126" i="49"/>
  <c r="P126" i="49"/>
  <c r="T126" i="49"/>
  <c r="Q126" i="49"/>
  <c r="O126" i="49"/>
  <c r="R126" i="49"/>
  <c r="Q43" i="49"/>
  <c r="S43" i="49"/>
  <c r="O43" i="49"/>
  <c r="P43" i="49"/>
  <c r="R43" i="49"/>
  <c r="T43" i="49"/>
  <c r="Q78" i="49"/>
  <c r="P78" i="49"/>
  <c r="R78" i="49"/>
  <c r="S78" i="49"/>
  <c r="T78" i="49"/>
  <c r="O78" i="49"/>
  <c r="Q50" i="49"/>
  <c r="S50" i="49"/>
  <c r="T50" i="49"/>
  <c r="P50" i="49"/>
  <c r="O50" i="49"/>
  <c r="R50" i="49"/>
  <c r="O35" i="49"/>
  <c r="R35" i="49"/>
  <c r="S35" i="49"/>
  <c r="Q35" i="49"/>
  <c r="P35" i="49"/>
  <c r="T35" i="49"/>
  <c r="Q32" i="49"/>
  <c r="S32" i="49"/>
  <c r="T32" i="49"/>
  <c r="O32" i="49"/>
  <c r="P32" i="49"/>
  <c r="R32" i="49"/>
  <c r="R65" i="49"/>
  <c r="O65" i="49"/>
  <c r="Q65" i="49"/>
  <c r="P65" i="49"/>
  <c r="T65" i="49"/>
  <c r="S65" i="49"/>
  <c r="N98" i="47"/>
  <c r="N125" i="47"/>
  <c r="N72" i="47"/>
  <c r="N27" i="47"/>
  <c r="N60" i="47"/>
  <c r="N86" i="47"/>
  <c r="N11" i="47"/>
  <c r="N45" i="47"/>
  <c r="N81" i="47"/>
  <c r="N44" i="47"/>
  <c r="N23" i="47"/>
  <c r="N93" i="47"/>
  <c r="N84" i="47"/>
  <c r="N70" i="47"/>
  <c r="N137" i="47"/>
  <c r="N63" i="47"/>
  <c r="N78" i="47"/>
  <c r="N121" i="47"/>
  <c r="G26" i="1"/>
  <c r="E5" i="48"/>
  <c r="C6" i="48"/>
  <c r="O2" i="49"/>
  <c r="Q2" i="49"/>
  <c r="S2" i="49"/>
  <c r="C9" i="48"/>
  <c r="G22" i="1"/>
  <c r="P2" i="49"/>
  <c r="R2" i="49"/>
  <c r="T3" i="49"/>
  <c r="S3" i="49"/>
  <c r="R3" i="49"/>
  <c r="Q3" i="49"/>
  <c r="O3" i="49"/>
  <c r="P3" i="49"/>
  <c r="C7" i="48"/>
  <c r="C8" i="48"/>
  <c r="C3" i="48"/>
  <c r="C4" i="48"/>
  <c r="C10" i="48"/>
  <c r="C11" i="48"/>
  <c r="C5" i="48"/>
  <c r="Z3" i="47"/>
  <c r="N2" i="47"/>
  <c r="N3" i="47"/>
  <c r="B6" i="48"/>
  <c r="J8" i="48" s="1"/>
  <c r="S143" i="47" l="1"/>
  <c r="T143" i="47"/>
  <c r="Q143" i="47"/>
  <c r="O143" i="47"/>
  <c r="P143" i="47"/>
  <c r="R144" i="47"/>
  <c r="Q144" i="47"/>
  <c r="P144" i="47"/>
  <c r="O144" i="47"/>
  <c r="T144" i="47"/>
  <c r="S144" i="47"/>
  <c r="U143" i="49"/>
  <c r="V143" i="49" s="1"/>
  <c r="AD143" i="49" s="1"/>
  <c r="AN143" i="49" s="1"/>
  <c r="AN142" i="49" s="1"/>
  <c r="U144" i="49"/>
  <c r="U67" i="49"/>
  <c r="V67" i="49" s="1"/>
  <c r="U68" i="49"/>
  <c r="V68" i="49" s="1"/>
  <c r="O71" i="47"/>
  <c r="Q71" i="47"/>
  <c r="T55" i="47"/>
  <c r="P71" i="47"/>
  <c r="R71" i="47"/>
  <c r="T41" i="47"/>
  <c r="O59" i="47"/>
  <c r="U122" i="49"/>
  <c r="V122" i="49" s="1"/>
  <c r="U48" i="49"/>
  <c r="V48" i="49" s="1"/>
  <c r="S55" i="47"/>
  <c r="S127" i="47"/>
  <c r="T129" i="47"/>
  <c r="R55" i="47"/>
  <c r="O55" i="47"/>
  <c r="P55" i="47"/>
  <c r="P129" i="47"/>
  <c r="R92" i="47"/>
  <c r="S92" i="47"/>
  <c r="U25" i="49"/>
  <c r="V25" i="49" s="1"/>
  <c r="U85" i="49"/>
  <c r="V85" i="49" s="1"/>
  <c r="U53" i="49"/>
  <c r="V53" i="49" s="1"/>
  <c r="U36" i="49"/>
  <c r="V36" i="49" s="1"/>
  <c r="R61" i="47"/>
  <c r="U130" i="49"/>
  <c r="V130" i="49" s="1"/>
  <c r="AG130" i="49" s="1"/>
  <c r="U93" i="49"/>
  <c r="V93" i="49" s="1"/>
  <c r="U89" i="49"/>
  <c r="V89" i="49" s="1"/>
  <c r="U73" i="49"/>
  <c r="V73" i="49" s="1"/>
  <c r="U39" i="49"/>
  <c r="V39" i="49" s="1"/>
  <c r="U20" i="49"/>
  <c r="V20" i="49" s="1"/>
  <c r="T22" i="47"/>
  <c r="P22" i="47"/>
  <c r="R109" i="47"/>
  <c r="R83" i="47"/>
  <c r="U123" i="49"/>
  <c r="V123" i="49" s="1"/>
  <c r="AG123" i="49" s="1"/>
  <c r="S109" i="47"/>
  <c r="S83" i="47"/>
  <c r="O109" i="47"/>
  <c r="Q83" i="47"/>
  <c r="Q109" i="47"/>
  <c r="P83" i="47"/>
  <c r="P109" i="47"/>
  <c r="O83" i="47"/>
  <c r="U34" i="49"/>
  <c r="V34" i="49" s="1"/>
  <c r="U21" i="49"/>
  <c r="V21" i="49" s="1"/>
  <c r="O22" i="47"/>
  <c r="S22" i="47"/>
  <c r="R127" i="47"/>
  <c r="R22" i="47"/>
  <c r="P92" i="47"/>
  <c r="Q92" i="47"/>
  <c r="U41" i="49"/>
  <c r="V41" i="49" s="1"/>
  <c r="Q95" i="47"/>
  <c r="T91" i="47"/>
  <c r="S71" i="47"/>
  <c r="T92" i="47"/>
  <c r="P59" i="47"/>
  <c r="U124" i="49"/>
  <c r="V124" i="49" s="1"/>
  <c r="U26" i="49"/>
  <c r="V26" i="49" s="1"/>
  <c r="U97" i="49"/>
  <c r="V97" i="49" s="1"/>
  <c r="U86" i="49"/>
  <c r="V86" i="49" s="1"/>
  <c r="T82" i="47"/>
  <c r="U83" i="49"/>
  <c r="V83" i="49" s="1"/>
  <c r="U90" i="49"/>
  <c r="V90" i="49" s="1"/>
  <c r="AD90" i="49" s="1"/>
  <c r="U44" i="49"/>
  <c r="V44" i="49" s="1"/>
  <c r="U131" i="49"/>
  <c r="V131" i="49" s="1"/>
  <c r="AD131" i="49" s="1"/>
  <c r="U57" i="49"/>
  <c r="V57" i="49" s="1"/>
  <c r="Q59" i="47"/>
  <c r="Q41" i="47"/>
  <c r="T61" i="47"/>
  <c r="S61" i="47"/>
  <c r="P41" i="47"/>
  <c r="O61" i="47"/>
  <c r="O41" i="47"/>
  <c r="Q61" i="47"/>
  <c r="U111" i="49"/>
  <c r="V111" i="49" s="1"/>
  <c r="U77" i="49"/>
  <c r="V77" i="49" s="1"/>
  <c r="R41" i="47"/>
  <c r="U58" i="49"/>
  <c r="V58" i="49" s="1"/>
  <c r="O127" i="47"/>
  <c r="Q127" i="47"/>
  <c r="U107" i="49"/>
  <c r="V107" i="49" s="1"/>
  <c r="P127" i="47"/>
  <c r="U139" i="49"/>
  <c r="V139" i="49" s="1"/>
  <c r="AD139" i="49" s="1"/>
  <c r="U54" i="49"/>
  <c r="V54" i="49" s="1"/>
  <c r="U81" i="49"/>
  <c r="V81" i="49" s="1"/>
  <c r="U127" i="49"/>
  <c r="V127" i="49" s="1"/>
  <c r="AG127" i="49" s="1"/>
  <c r="R69" i="47"/>
  <c r="P69" i="47"/>
  <c r="O69" i="47"/>
  <c r="U19" i="49"/>
  <c r="V19" i="49" s="1"/>
  <c r="U99" i="49"/>
  <c r="V99" i="49" s="1"/>
  <c r="S82" i="47"/>
  <c r="S91" i="47"/>
  <c r="P82" i="47"/>
  <c r="O91" i="47"/>
  <c r="O120" i="47"/>
  <c r="U7" i="49"/>
  <c r="V7" i="49" s="1"/>
  <c r="S114" i="47"/>
  <c r="U56" i="49"/>
  <c r="V56" i="49" s="1"/>
  <c r="U23" i="49"/>
  <c r="V23" i="49" s="1"/>
  <c r="U119" i="49"/>
  <c r="V119" i="49" s="1"/>
  <c r="AG119" i="49" s="1"/>
  <c r="R82" i="47"/>
  <c r="P91" i="47"/>
  <c r="T120" i="47"/>
  <c r="S95" i="47"/>
  <c r="R91" i="47"/>
  <c r="S120" i="47"/>
  <c r="P120" i="47"/>
  <c r="R120" i="47"/>
  <c r="Q82" i="47"/>
  <c r="T53" i="47"/>
  <c r="S53" i="47"/>
  <c r="R53" i="47"/>
  <c r="U35" i="49"/>
  <c r="V35" i="49" s="1"/>
  <c r="P53" i="47"/>
  <c r="Q53" i="47"/>
  <c r="S69" i="47"/>
  <c r="S39" i="47"/>
  <c r="Q69" i="47"/>
  <c r="P119" i="47"/>
  <c r="O134" i="47"/>
  <c r="U120" i="49"/>
  <c r="V120" i="49" s="1"/>
  <c r="U88" i="49"/>
  <c r="V88" i="49" s="1"/>
  <c r="U140" i="49"/>
  <c r="V140" i="49" s="1"/>
  <c r="AG140" i="49" s="1"/>
  <c r="S101" i="47"/>
  <c r="O114" i="47"/>
  <c r="P114" i="47"/>
  <c r="O129" i="47"/>
  <c r="U6" i="49"/>
  <c r="V6" i="49" s="1"/>
  <c r="U116" i="49"/>
  <c r="V116" i="49" s="1"/>
  <c r="Q117" i="47"/>
  <c r="R101" i="47"/>
  <c r="U66" i="49"/>
  <c r="V66" i="49" s="1"/>
  <c r="R134" i="47"/>
  <c r="O117" i="47"/>
  <c r="O101" i="47"/>
  <c r="T39" i="47"/>
  <c r="Q134" i="47"/>
  <c r="U112" i="49"/>
  <c r="V112" i="49" s="1"/>
  <c r="AD112" i="49" s="1"/>
  <c r="S129" i="47"/>
  <c r="T117" i="47"/>
  <c r="R39" i="47"/>
  <c r="P101" i="47"/>
  <c r="R131" i="47"/>
  <c r="P39" i="47"/>
  <c r="Q114" i="47"/>
  <c r="U109" i="49"/>
  <c r="V109" i="49" s="1"/>
  <c r="T114" i="47"/>
  <c r="R129" i="47"/>
  <c r="S117" i="47"/>
  <c r="Q101" i="47"/>
  <c r="O131" i="47"/>
  <c r="O7" i="47"/>
  <c r="U102" i="49"/>
  <c r="V102" i="49" s="1"/>
  <c r="AD102" i="49" s="1"/>
  <c r="P117" i="47"/>
  <c r="S131" i="47"/>
  <c r="T131" i="47"/>
  <c r="R7" i="47"/>
  <c r="U40" i="49"/>
  <c r="V40" i="49" s="1"/>
  <c r="U94" i="49"/>
  <c r="V94" i="49" s="1"/>
  <c r="AD94" i="49" s="1"/>
  <c r="U17" i="49"/>
  <c r="V17" i="49" s="1"/>
  <c r="U10" i="49"/>
  <c r="V10" i="49" s="1"/>
  <c r="T59" i="47"/>
  <c r="U8" i="49"/>
  <c r="V8" i="49" s="1"/>
  <c r="Q7" i="47"/>
  <c r="S119" i="47"/>
  <c r="P134" i="47"/>
  <c r="U18" i="49"/>
  <c r="V18" i="49" s="1"/>
  <c r="U96" i="49"/>
  <c r="V96" i="49" s="1"/>
  <c r="AD96" i="49" s="1"/>
  <c r="S59" i="47"/>
  <c r="U91" i="49"/>
  <c r="V91" i="49" s="1"/>
  <c r="U138" i="49"/>
  <c r="V138" i="49" s="1"/>
  <c r="AG138" i="49" s="1"/>
  <c r="U132" i="49"/>
  <c r="V132" i="49" s="1"/>
  <c r="AG132" i="49" s="1"/>
  <c r="P7" i="47"/>
  <c r="T119" i="47"/>
  <c r="Q39" i="47"/>
  <c r="U126" i="49"/>
  <c r="V126" i="49" s="1"/>
  <c r="R119" i="47"/>
  <c r="U55" i="49"/>
  <c r="V55" i="49" s="1"/>
  <c r="U32" i="49"/>
  <c r="V32" i="49" s="1"/>
  <c r="U84" i="49"/>
  <c r="V84" i="49" s="1"/>
  <c r="T7" i="47"/>
  <c r="U106" i="49"/>
  <c r="V106" i="49" s="1"/>
  <c r="AD106" i="49" s="1"/>
  <c r="U71" i="49"/>
  <c r="V71" i="49" s="1"/>
  <c r="U113" i="49"/>
  <c r="V113" i="49" s="1"/>
  <c r="AG113" i="49" s="1"/>
  <c r="P95" i="47"/>
  <c r="T95" i="47"/>
  <c r="U14" i="49"/>
  <c r="V14" i="49" s="1"/>
  <c r="Q131" i="47"/>
  <c r="T134" i="47"/>
  <c r="U45" i="49"/>
  <c r="V45" i="49" s="1"/>
  <c r="Q119" i="47"/>
  <c r="O95" i="47"/>
  <c r="O9" i="47"/>
  <c r="R9" i="47"/>
  <c r="P9" i="47"/>
  <c r="S9" i="47"/>
  <c r="Q9" i="47"/>
  <c r="T9" i="47"/>
  <c r="U82" i="49"/>
  <c r="V82" i="49" s="1"/>
  <c r="U134" i="49"/>
  <c r="V134" i="49" s="1"/>
  <c r="AG134" i="49" s="1"/>
  <c r="U12" i="49"/>
  <c r="V12" i="49" s="1"/>
  <c r="U92" i="49"/>
  <c r="V92" i="49" s="1"/>
  <c r="AD92" i="49" s="1"/>
  <c r="R84" i="47"/>
  <c r="P84" i="47"/>
  <c r="T84" i="47"/>
  <c r="S84" i="47"/>
  <c r="O84" i="47"/>
  <c r="Q84" i="47"/>
  <c r="Q81" i="47"/>
  <c r="O81" i="47"/>
  <c r="P81" i="47"/>
  <c r="T81" i="47"/>
  <c r="R81" i="47"/>
  <c r="S81" i="47"/>
  <c r="U121" i="49"/>
  <c r="V121" i="49" s="1"/>
  <c r="AG121" i="49" s="1"/>
  <c r="T33" i="47"/>
  <c r="Q33" i="47"/>
  <c r="O33" i="47"/>
  <c r="P33" i="47"/>
  <c r="R33" i="47"/>
  <c r="S33" i="47"/>
  <c r="U141" i="49"/>
  <c r="V141" i="49" s="1"/>
  <c r="AD141" i="49" s="1"/>
  <c r="S111" i="47"/>
  <c r="T111" i="47"/>
  <c r="O111" i="47"/>
  <c r="Q111" i="47"/>
  <c r="R111" i="47"/>
  <c r="P111" i="47"/>
  <c r="U76" i="49"/>
  <c r="V76" i="49" s="1"/>
  <c r="P50" i="47"/>
  <c r="T50" i="47"/>
  <c r="O50" i="47"/>
  <c r="S50" i="47"/>
  <c r="Q50" i="47"/>
  <c r="R50" i="47"/>
  <c r="R141" i="47"/>
  <c r="S141" i="47"/>
  <c r="Q141" i="47"/>
  <c r="O141" i="47"/>
  <c r="P141" i="47"/>
  <c r="T141" i="47"/>
  <c r="T142" i="47"/>
  <c r="O142" i="47"/>
  <c r="Q142" i="47"/>
  <c r="S142" i="47"/>
  <c r="P142" i="47"/>
  <c r="R142" i="47"/>
  <c r="U100" i="49"/>
  <c r="V100" i="49" s="1"/>
  <c r="AD100" i="49" s="1"/>
  <c r="U13" i="49"/>
  <c r="V13" i="49" s="1"/>
  <c r="S108" i="47"/>
  <c r="T108" i="47"/>
  <c r="O108" i="47"/>
  <c r="P108" i="47"/>
  <c r="Q108" i="47"/>
  <c r="R108" i="47"/>
  <c r="P88" i="47"/>
  <c r="Q88" i="47"/>
  <c r="T88" i="47"/>
  <c r="R88" i="47"/>
  <c r="S88" i="47"/>
  <c r="O88" i="47"/>
  <c r="U4" i="49"/>
  <c r="V4" i="49" s="1"/>
  <c r="Q32" i="47"/>
  <c r="O32" i="47"/>
  <c r="R32" i="47"/>
  <c r="S32" i="47"/>
  <c r="T32" i="47"/>
  <c r="P32" i="47"/>
  <c r="U137" i="49"/>
  <c r="V137" i="49" s="1"/>
  <c r="AD137" i="49" s="1"/>
  <c r="U128" i="49"/>
  <c r="R36" i="47"/>
  <c r="Q36" i="47"/>
  <c r="S36" i="47"/>
  <c r="P36" i="47"/>
  <c r="O36" i="47"/>
  <c r="T36" i="47"/>
  <c r="O106" i="47"/>
  <c r="P106" i="47"/>
  <c r="S106" i="47"/>
  <c r="T106" i="47"/>
  <c r="Q106" i="47"/>
  <c r="R106" i="47"/>
  <c r="S38" i="47"/>
  <c r="R38" i="47"/>
  <c r="T38" i="47"/>
  <c r="P38" i="47"/>
  <c r="Q38" i="47"/>
  <c r="O38" i="47"/>
  <c r="U50" i="49"/>
  <c r="V50" i="49" s="1"/>
  <c r="U118" i="49"/>
  <c r="V118" i="49" s="1"/>
  <c r="U117" i="49"/>
  <c r="V117" i="49" s="1"/>
  <c r="AG117" i="49" s="1"/>
  <c r="U133" i="49"/>
  <c r="V133" i="49" s="1"/>
  <c r="AD133" i="49" s="1"/>
  <c r="S35" i="47"/>
  <c r="O35" i="47"/>
  <c r="T35" i="47"/>
  <c r="P35" i="47"/>
  <c r="R35" i="47"/>
  <c r="Q35" i="47"/>
  <c r="S40" i="47"/>
  <c r="T40" i="47"/>
  <c r="R40" i="47"/>
  <c r="P40" i="47"/>
  <c r="O40" i="47"/>
  <c r="Q40" i="47"/>
  <c r="P47" i="47"/>
  <c r="Q47" i="47"/>
  <c r="S47" i="47"/>
  <c r="T47" i="47"/>
  <c r="O47" i="47"/>
  <c r="R47" i="47"/>
  <c r="U51" i="49"/>
  <c r="V51" i="49" s="1"/>
  <c r="U29" i="49"/>
  <c r="V29" i="49" s="1"/>
  <c r="U110" i="49"/>
  <c r="V110" i="49" s="1"/>
  <c r="AD110" i="49" s="1"/>
  <c r="U62" i="49"/>
  <c r="V62" i="49" s="1"/>
  <c r="P10" i="47"/>
  <c r="Q10" i="47"/>
  <c r="O10" i="47"/>
  <c r="R10" i="47"/>
  <c r="S10" i="47"/>
  <c r="T10" i="47"/>
  <c r="O66" i="47"/>
  <c r="P66" i="47"/>
  <c r="Q66" i="47"/>
  <c r="R66" i="47"/>
  <c r="T66" i="47"/>
  <c r="S66" i="47"/>
  <c r="U59" i="49"/>
  <c r="V59" i="49" s="1"/>
  <c r="U135" i="49"/>
  <c r="V135" i="49" s="1"/>
  <c r="AD135" i="49" s="1"/>
  <c r="U22" i="49"/>
  <c r="V22" i="49" s="1"/>
  <c r="S135" i="47"/>
  <c r="T135" i="47"/>
  <c r="P135" i="47"/>
  <c r="Q135" i="47"/>
  <c r="O135" i="47"/>
  <c r="R135" i="47"/>
  <c r="R110" i="47"/>
  <c r="O110" i="47"/>
  <c r="P110" i="47"/>
  <c r="Q110" i="47"/>
  <c r="S110" i="47"/>
  <c r="T110" i="47"/>
  <c r="P102" i="47"/>
  <c r="Q102" i="47"/>
  <c r="R102" i="47"/>
  <c r="T102" i="47"/>
  <c r="S102" i="47"/>
  <c r="O102" i="47"/>
  <c r="S74" i="47"/>
  <c r="T74" i="47"/>
  <c r="R74" i="47"/>
  <c r="O74" i="47"/>
  <c r="Q74" i="47"/>
  <c r="P74" i="47"/>
  <c r="O75" i="47"/>
  <c r="S75" i="47"/>
  <c r="P75" i="47"/>
  <c r="Q75" i="47"/>
  <c r="R75" i="47"/>
  <c r="T75" i="47"/>
  <c r="U46" i="49"/>
  <c r="V46" i="49" s="1"/>
  <c r="U9" i="49"/>
  <c r="V9" i="49" s="1"/>
  <c r="S138" i="47"/>
  <c r="T138" i="47"/>
  <c r="Q138" i="47"/>
  <c r="R138" i="47"/>
  <c r="O138" i="47"/>
  <c r="P138" i="47"/>
  <c r="S12" i="47"/>
  <c r="Q12" i="47"/>
  <c r="R12" i="47"/>
  <c r="O12" i="47"/>
  <c r="P12" i="47"/>
  <c r="T12" i="47"/>
  <c r="O54" i="47"/>
  <c r="Q54" i="47"/>
  <c r="P54" i="47"/>
  <c r="T54" i="47"/>
  <c r="S54" i="47"/>
  <c r="R54" i="47"/>
  <c r="R17" i="47"/>
  <c r="P17" i="47"/>
  <c r="Q17" i="47"/>
  <c r="S17" i="47"/>
  <c r="T17" i="47"/>
  <c r="O17" i="47"/>
  <c r="Q136" i="47"/>
  <c r="R136" i="47"/>
  <c r="O136" i="47"/>
  <c r="P136" i="47"/>
  <c r="S136" i="47"/>
  <c r="T136" i="47"/>
  <c r="S121" i="47"/>
  <c r="T121" i="47"/>
  <c r="O121" i="47"/>
  <c r="P121" i="47"/>
  <c r="Q121" i="47"/>
  <c r="R121" i="47"/>
  <c r="O11" i="47"/>
  <c r="P11" i="47"/>
  <c r="Q11" i="47"/>
  <c r="S11" i="47"/>
  <c r="T11" i="47"/>
  <c r="R11" i="47"/>
  <c r="U43" i="49"/>
  <c r="V43" i="49" s="1"/>
  <c r="U115" i="49"/>
  <c r="V115" i="49" s="1"/>
  <c r="AG115" i="49" s="1"/>
  <c r="U142" i="49"/>
  <c r="V142" i="49" s="1"/>
  <c r="AG142" i="49" s="1"/>
  <c r="U60" i="49"/>
  <c r="V60" i="49" s="1"/>
  <c r="U49" i="49"/>
  <c r="V49" i="49" s="1"/>
  <c r="R87" i="47"/>
  <c r="Q87" i="47"/>
  <c r="O87" i="47"/>
  <c r="P87" i="47"/>
  <c r="S87" i="47"/>
  <c r="T87" i="47"/>
  <c r="T58" i="47"/>
  <c r="P58" i="47"/>
  <c r="O58" i="47"/>
  <c r="Q58" i="47"/>
  <c r="R58" i="47"/>
  <c r="S58" i="47"/>
  <c r="U98" i="49"/>
  <c r="V98" i="49" s="1"/>
  <c r="AD98" i="49" s="1"/>
  <c r="O25" i="47"/>
  <c r="S25" i="47"/>
  <c r="Q25" i="47"/>
  <c r="R25" i="47"/>
  <c r="P25" i="47"/>
  <c r="T25" i="47"/>
  <c r="U63" i="49"/>
  <c r="V63" i="49" s="1"/>
  <c r="S89" i="47"/>
  <c r="T89" i="47"/>
  <c r="Q89" i="47"/>
  <c r="O89" i="47"/>
  <c r="P89" i="47"/>
  <c r="R89" i="47"/>
  <c r="T48" i="47"/>
  <c r="O48" i="47"/>
  <c r="P48" i="47"/>
  <c r="Q48" i="47"/>
  <c r="S48" i="47"/>
  <c r="R48" i="47"/>
  <c r="U15" i="49"/>
  <c r="V15" i="49" s="1"/>
  <c r="S122" i="47"/>
  <c r="T122" i="47"/>
  <c r="P122" i="47"/>
  <c r="O122" i="47"/>
  <c r="Q122" i="47"/>
  <c r="R122" i="47"/>
  <c r="U75" i="49"/>
  <c r="V75" i="49" s="1"/>
  <c r="O103" i="47"/>
  <c r="R103" i="47"/>
  <c r="S103" i="47"/>
  <c r="T103" i="47"/>
  <c r="P103" i="47"/>
  <c r="Q103" i="47"/>
  <c r="Q99" i="47"/>
  <c r="S99" i="47"/>
  <c r="T99" i="47"/>
  <c r="R99" i="47"/>
  <c r="P99" i="47"/>
  <c r="O99" i="47"/>
  <c r="U5" i="49"/>
  <c r="V5" i="49" s="1"/>
  <c r="Q18" i="47"/>
  <c r="R18" i="47"/>
  <c r="S18" i="47"/>
  <c r="T18" i="47"/>
  <c r="O18" i="47"/>
  <c r="P18" i="47"/>
  <c r="U80" i="49"/>
  <c r="V80" i="49" s="1"/>
  <c r="Q112" i="47"/>
  <c r="R112" i="47"/>
  <c r="T112" i="47"/>
  <c r="O112" i="47"/>
  <c r="P112" i="47"/>
  <c r="S112" i="47"/>
  <c r="U30" i="49"/>
  <c r="V30" i="49" s="1"/>
  <c r="S20" i="47"/>
  <c r="O20" i="47"/>
  <c r="T20" i="47"/>
  <c r="P20" i="47"/>
  <c r="Q20" i="47"/>
  <c r="R20" i="47"/>
  <c r="T57" i="47"/>
  <c r="R57" i="47"/>
  <c r="S57" i="47"/>
  <c r="P57" i="47"/>
  <c r="O57" i="47"/>
  <c r="Q57" i="47"/>
  <c r="R30" i="47"/>
  <c r="S30" i="47"/>
  <c r="T30" i="47"/>
  <c r="O30" i="47"/>
  <c r="P30" i="47"/>
  <c r="Q30" i="47"/>
  <c r="O132" i="47"/>
  <c r="P132" i="47"/>
  <c r="T132" i="47"/>
  <c r="Q132" i="47"/>
  <c r="R132" i="47"/>
  <c r="S132" i="47"/>
  <c r="T68" i="47"/>
  <c r="S68" i="47"/>
  <c r="Q68" i="47"/>
  <c r="R68" i="47"/>
  <c r="P68" i="47"/>
  <c r="O68" i="47"/>
  <c r="P78" i="47"/>
  <c r="O78" i="47"/>
  <c r="Q78" i="47"/>
  <c r="R78" i="47"/>
  <c r="S78" i="47"/>
  <c r="T78" i="47"/>
  <c r="P23" i="47"/>
  <c r="S23" i="47"/>
  <c r="Q23" i="47"/>
  <c r="R23" i="47"/>
  <c r="T23" i="47"/>
  <c r="O23" i="47"/>
  <c r="Q86" i="47"/>
  <c r="T86" i="47"/>
  <c r="R86" i="47"/>
  <c r="S86" i="47"/>
  <c r="O86" i="47"/>
  <c r="P86" i="47"/>
  <c r="O60" i="47"/>
  <c r="P60" i="47"/>
  <c r="T60" i="47"/>
  <c r="R60" i="47"/>
  <c r="S60" i="47"/>
  <c r="Q60" i="47"/>
  <c r="O98" i="47"/>
  <c r="S98" i="47"/>
  <c r="Q98" i="47"/>
  <c r="R98" i="47"/>
  <c r="T98" i="47"/>
  <c r="P98" i="47"/>
  <c r="Q28" i="47"/>
  <c r="R28" i="47"/>
  <c r="P28" i="47"/>
  <c r="O28" i="47"/>
  <c r="S28" i="47"/>
  <c r="T28" i="47"/>
  <c r="O113" i="47"/>
  <c r="P113" i="47"/>
  <c r="Q113" i="47"/>
  <c r="S113" i="47"/>
  <c r="T113" i="47"/>
  <c r="R113" i="47"/>
  <c r="U105" i="49"/>
  <c r="V105" i="49" s="1"/>
  <c r="U114" i="49"/>
  <c r="V114" i="49" s="1"/>
  <c r="R123" i="47"/>
  <c r="T123" i="47"/>
  <c r="S123" i="47"/>
  <c r="P123" i="47"/>
  <c r="Q123" i="47"/>
  <c r="O123" i="47"/>
  <c r="U69" i="49"/>
  <c r="V69" i="49" s="1"/>
  <c r="T14" i="47"/>
  <c r="P14" i="47"/>
  <c r="Q14" i="47"/>
  <c r="R14" i="47"/>
  <c r="S14" i="47"/>
  <c r="O14" i="47"/>
  <c r="O133" i="47"/>
  <c r="P133" i="47"/>
  <c r="R133" i="47"/>
  <c r="S133" i="47"/>
  <c r="T133" i="47"/>
  <c r="Q133" i="47"/>
  <c r="O65" i="47"/>
  <c r="Q65" i="47"/>
  <c r="T65" i="47"/>
  <c r="S65" i="47"/>
  <c r="P65" i="47"/>
  <c r="R65" i="47"/>
  <c r="U42" i="49"/>
  <c r="V42" i="49" s="1"/>
  <c r="U33" i="49"/>
  <c r="V33" i="49" s="1"/>
  <c r="T97" i="47"/>
  <c r="R97" i="47"/>
  <c r="O97" i="47"/>
  <c r="P97" i="47"/>
  <c r="Q97" i="47"/>
  <c r="S97" i="47"/>
  <c r="P80" i="47"/>
  <c r="Q80" i="47"/>
  <c r="T80" i="47"/>
  <c r="O80" i="47"/>
  <c r="R80" i="47"/>
  <c r="S80" i="47"/>
  <c r="U24" i="49"/>
  <c r="V24" i="49" s="1"/>
  <c r="R96" i="47"/>
  <c r="T96" i="47"/>
  <c r="O96" i="47"/>
  <c r="S96" i="47"/>
  <c r="P96" i="47"/>
  <c r="Q96" i="47"/>
  <c r="S8" i="47"/>
  <c r="P8" i="47"/>
  <c r="Q8" i="47"/>
  <c r="T8" i="47"/>
  <c r="O8" i="47"/>
  <c r="R8" i="47"/>
  <c r="R34" i="47"/>
  <c r="S34" i="47"/>
  <c r="P34" i="47"/>
  <c r="T34" i="47"/>
  <c r="O34" i="47"/>
  <c r="Q34" i="47"/>
  <c r="U129" i="49"/>
  <c r="U95" i="49"/>
  <c r="V95" i="49" s="1"/>
  <c r="U28" i="49"/>
  <c r="V28" i="49" s="1"/>
  <c r="O45" i="47"/>
  <c r="S45" i="47"/>
  <c r="T45" i="47"/>
  <c r="Q45" i="47"/>
  <c r="R45" i="47"/>
  <c r="P45" i="47"/>
  <c r="R115" i="47"/>
  <c r="S115" i="47"/>
  <c r="O115" i="47"/>
  <c r="P115" i="47"/>
  <c r="Q115" i="47"/>
  <c r="T115" i="47"/>
  <c r="Q63" i="47"/>
  <c r="P63" i="47"/>
  <c r="S63" i="47"/>
  <c r="O63" i="47"/>
  <c r="R63" i="47"/>
  <c r="T63" i="47"/>
  <c r="R44" i="47"/>
  <c r="S44" i="47"/>
  <c r="T44" i="47"/>
  <c r="O44" i="47"/>
  <c r="P44" i="47"/>
  <c r="Q44" i="47"/>
  <c r="Q27" i="47"/>
  <c r="P27" i="47"/>
  <c r="O27" i="47"/>
  <c r="R27" i="47"/>
  <c r="S27" i="47"/>
  <c r="T27" i="47"/>
  <c r="Q125" i="47"/>
  <c r="P125" i="47"/>
  <c r="R125" i="47"/>
  <c r="O125" i="47"/>
  <c r="S125" i="47"/>
  <c r="T125" i="47"/>
  <c r="U72" i="49"/>
  <c r="V72" i="49" s="1"/>
  <c r="P79" i="47"/>
  <c r="Q79" i="47"/>
  <c r="R79" i="47"/>
  <c r="T79" i="47"/>
  <c r="S79" i="47"/>
  <c r="O79" i="47"/>
  <c r="O85" i="47"/>
  <c r="S85" i="47"/>
  <c r="P85" i="47"/>
  <c r="R85" i="47"/>
  <c r="Q85" i="47"/>
  <c r="T85" i="47"/>
  <c r="U31" i="49"/>
  <c r="V31" i="49" s="1"/>
  <c r="P126" i="47"/>
  <c r="Q126" i="47"/>
  <c r="R126" i="47"/>
  <c r="S126" i="47"/>
  <c r="T126" i="47"/>
  <c r="O126" i="47"/>
  <c r="R6" i="47"/>
  <c r="T6" i="47"/>
  <c r="O6" i="47"/>
  <c r="S6" i="47"/>
  <c r="P6" i="47"/>
  <c r="Q6" i="47"/>
  <c r="O51" i="47"/>
  <c r="Q51" i="47"/>
  <c r="T51" i="47"/>
  <c r="R51" i="47"/>
  <c r="P51" i="47"/>
  <c r="S51" i="47"/>
  <c r="U47" i="49"/>
  <c r="V47" i="49" s="1"/>
  <c r="P62" i="47"/>
  <c r="T62" i="47"/>
  <c r="O62" i="47"/>
  <c r="Q62" i="47"/>
  <c r="R62" i="47"/>
  <c r="S62" i="47"/>
  <c r="U11" i="49"/>
  <c r="V11" i="49" s="1"/>
  <c r="S29" i="47"/>
  <c r="T29" i="47"/>
  <c r="Q29" i="47"/>
  <c r="R29" i="47"/>
  <c r="P29" i="47"/>
  <c r="O29" i="47"/>
  <c r="R21" i="47"/>
  <c r="Q21" i="47"/>
  <c r="S21" i="47"/>
  <c r="O21" i="47"/>
  <c r="P21" i="47"/>
  <c r="T21" i="47"/>
  <c r="O5" i="47"/>
  <c r="R5" i="47"/>
  <c r="Q5" i="47"/>
  <c r="T5" i="47"/>
  <c r="P5" i="47"/>
  <c r="S5" i="47"/>
  <c r="U64" i="49"/>
  <c r="V64" i="49" s="1"/>
  <c r="Q43" i="47"/>
  <c r="R43" i="47"/>
  <c r="P43" i="47"/>
  <c r="T43" i="47"/>
  <c r="S43" i="47"/>
  <c r="O43" i="47"/>
  <c r="S76" i="47"/>
  <c r="T76" i="47"/>
  <c r="O76" i="47"/>
  <c r="P76" i="47"/>
  <c r="Q76" i="47"/>
  <c r="R76" i="47"/>
  <c r="T19" i="47"/>
  <c r="Q19" i="47"/>
  <c r="S19" i="47"/>
  <c r="O19" i="47"/>
  <c r="P19" i="47"/>
  <c r="R19" i="47"/>
  <c r="O140" i="47"/>
  <c r="P140" i="47"/>
  <c r="T140" i="47"/>
  <c r="Q140" i="47"/>
  <c r="R140" i="47"/>
  <c r="S140" i="47"/>
  <c r="O104" i="47"/>
  <c r="P104" i="47"/>
  <c r="R104" i="47"/>
  <c r="S104" i="47"/>
  <c r="T104" i="47"/>
  <c r="Q104" i="47"/>
  <c r="U101" i="49"/>
  <c r="V101" i="49" s="1"/>
  <c r="U52" i="49"/>
  <c r="V52" i="49" s="1"/>
  <c r="O93" i="47"/>
  <c r="P93" i="47"/>
  <c r="R93" i="47"/>
  <c r="S93" i="47"/>
  <c r="Q93" i="47"/>
  <c r="T93" i="47"/>
  <c r="Q137" i="47"/>
  <c r="R137" i="47"/>
  <c r="S137" i="47"/>
  <c r="T137" i="47"/>
  <c r="O137" i="47"/>
  <c r="P137" i="47"/>
  <c r="R72" i="47"/>
  <c r="S72" i="47"/>
  <c r="P72" i="47"/>
  <c r="T72" i="47"/>
  <c r="O72" i="47"/>
  <c r="Q72" i="47"/>
  <c r="U65" i="49"/>
  <c r="V65" i="49" s="1"/>
  <c r="U78" i="49"/>
  <c r="V78" i="49" s="1"/>
  <c r="U61" i="49"/>
  <c r="V61" i="49" s="1"/>
  <c r="U16" i="49"/>
  <c r="V16" i="49" s="1"/>
  <c r="P90" i="47"/>
  <c r="R90" i="47"/>
  <c r="S90" i="47"/>
  <c r="Q90" i="47"/>
  <c r="O90" i="47"/>
  <c r="T90" i="47"/>
  <c r="S64" i="47"/>
  <c r="T64" i="47"/>
  <c r="R64" i="47"/>
  <c r="P64" i="47"/>
  <c r="Q64" i="47"/>
  <c r="O64" i="47"/>
  <c r="U38" i="49"/>
  <c r="V38" i="49" s="1"/>
  <c r="T73" i="47"/>
  <c r="S73" i="47"/>
  <c r="P73" i="47"/>
  <c r="Q73" i="47"/>
  <c r="R73" i="47"/>
  <c r="O73" i="47"/>
  <c r="O46" i="47"/>
  <c r="P46" i="47"/>
  <c r="R46" i="47"/>
  <c r="S46" i="47"/>
  <c r="T46" i="47"/>
  <c r="Q46" i="47"/>
  <c r="U74" i="49"/>
  <c r="V74" i="49" s="1"/>
  <c r="R94" i="47"/>
  <c r="S94" i="47"/>
  <c r="O94" i="47"/>
  <c r="P94" i="47"/>
  <c r="Q94" i="47"/>
  <c r="T94" i="47"/>
  <c r="T107" i="47"/>
  <c r="O107" i="47"/>
  <c r="P107" i="47"/>
  <c r="R107" i="47"/>
  <c r="S107" i="47"/>
  <c r="Q107" i="47"/>
  <c r="U27" i="49"/>
  <c r="V27" i="49" s="1"/>
  <c r="U136" i="49"/>
  <c r="V136" i="49" s="1"/>
  <c r="AG136" i="49" s="1"/>
  <c r="Q52" i="47"/>
  <c r="O52" i="47"/>
  <c r="R52" i="47"/>
  <c r="S52" i="47"/>
  <c r="T52" i="47"/>
  <c r="P52" i="47"/>
  <c r="Q13" i="47"/>
  <c r="T13" i="47"/>
  <c r="P13" i="47"/>
  <c r="S13" i="47"/>
  <c r="R13" i="47"/>
  <c r="O13" i="47"/>
  <c r="Q67" i="47"/>
  <c r="S67" i="47"/>
  <c r="P67" i="47"/>
  <c r="R67" i="47"/>
  <c r="T67" i="47"/>
  <c r="O67" i="47"/>
  <c r="U104" i="49"/>
  <c r="V104" i="49" s="1"/>
  <c r="AD104" i="49" s="1"/>
  <c r="S128" i="47"/>
  <c r="T128" i="47"/>
  <c r="Q128" i="47"/>
  <c r="R128" i="47"/>
  <c r="O128" i="47"/>
  <c r="P128" i="47"/>
  <c r="O15" i="47"/>
  <c r="R15" i="47"/>
  <c r="S15" i="47"/>
  <c r="P15" i="47"/>
  <c r="Q15" i="47"/>
  <c r="T15" i="47"/>
  <c r="S118" i="47"/>
  <c r="T118" i="47"/>
  <c r="Q118" i="47"/>
  <c r="R118" i="47"/>
  <c r="O118" i="47"/>
  <c r="P118" i="47"/>
  <c r="O24" i="47"/>
  <c r="P24" i="47"/>
  <c r="R24" i="47"/>
  <c r="Q24" i="47"/>
  <c r="T24" i="47"/>
  <c r="S24" i="47"/>
  <c r="S100" i="47"/>
  <c r="T100" i="47"/>
  <c r="O100" i="47"/>
  <c r="P100" i="47"/>
  <c r="Q100" i="47"/>
  <c r="R100" i="47"/>
  <c r="U125" i="49"/>
  <c r="V125" i="49" s="1"/>
  <c r="AG125" i="49" s="1"/>
  <c r="O70" i="47"/>
  <c r="P70" i="47"/>
  <c r="T70" i="47"/>
  <c r="R70" i="47"/>
  <c r="S70" i="47"/>
  <c r="Q70" i="47"/>
  <c r="Q37" i="47"/>
  <c r="R37" i="47"/>
  <c r="O37" i="47"/>
  <c r="S37" i="47"/>
  <c r="T37" i="47"/>
  <c r="P37" i="47"/>
  <c r="U87" i="49"/>
  <c r="V87" i="49" s="1"/>
  <c r="U108" i="49"/>
  <c r="V108" i="49" s="1"/>
  <c r="AD108" i="49" s="1"/>
  <c r="Q42" i="47"/>
  <c r="R42" i="47"/>
  <c r="P42" i="47"/>
  <c r="T42" i="47"/>
  <c r="O42" i="47"/>
  <c r="S42" i="47"/>
  <c r="Q4" i="47"/>
  <c r="R4" i="47"/>
  <c r="S4" i="47"/>
  <c r="O4" i="47"/>
  <c r="P4" i="47"/>
  <c r="T4" i="47"/>
  <c r="P130" i="47"/>
  <c r="S130" i="47"/>
  <c r="T130" i="47"/>
  <c r="Q130" i="47"/>
  <c r="O130" i="47"/>
  <c r="R130" i="47"/>
  <c r="U79" i="49"/>
  <c r="V79" i="49" s="1"/>
  <c r="U37" i="49"/>
  <c r="V37" i="49" s="1"/>
  <c r="P56" i="47"/>
  <c r="Q56" i="47"/>
  <c r="R56" i="47"/>
  <c r="O56" i="47"/>
  <c r="T56" i="47"/>
  <c r="S56" i="47"/>
  <c r="Q31" i="47"/>
  <c r="T31" i="47"/>
  <c r="O31" i="47"/>
  <c r="R31" i="47"/>
  <c r="S31" i="47"/>
  <c r="P31" i="47"/>
  <c r="U103" i="49"/>
  <c r="V103" i="49" s="1"/>
  <c r="R77" i="47"/>
  <c r="S77" i="47"/>
  <c r="O77" i="47"/>
  <c r="T77" i="47"/>
  <c r="P77" i="47"/>
  <c r="Q77" i="47"/>
  <c r="S16" i="47"/>
  <c r="Q16" i="47"/>
  <c r="O16" i="47"/>
  <c r="R16" i="47"/>
  <c r="T16" i="47"/>
  <c r="P16" i="47"/>
  <c r="U70" i="49"/>
  <c r="V70" i="49" s="1"/>
  <c r="S49" i="47"/>
  <c r="O49" i="47"/>
  <c r="T49" i="47"/>
  <c r="Q49" i="47"/>
  <c r="R49" i="47"/>
  <c r="P49" i="47"/>
  <c r="Q124" i="47"/>
  <c r="R124" i="47"/>
  <c r="O124" i="47"/>
  <c r="P124" i="47"/>
  <c r="S124" i="47"/>
  <c r="T124" i="47"/>
  <c r="S26" i="47"/>
  <c r="Q26" i="47"/>
  <c r="R26" i="47"/>
  <c r="O26" i="47"/>
  <c r="T26" i="47"/>
  <c r="P26" i="47"/>
  <c r="T105" i="47"/>
  <c r="P105" i="47"/>
  <c r="Q105" i="47"/>
  <c r="O105" i="47"/>
  <c r="R105" i="47"/>
  <c r="S105" i="47"/>
  <c r="P116" i="47"/>
  <c r="Q116" i="47"/>
  <c r="O116" i="47"/>
  <c r="R116" i="47"/>
  <c r="S116" i="47"/>
  <c r="T116" i="47"/>
  <c r="T139" i="47"/>
  <c r="O139" i="47"/>
  <c r="Q139" i="47"/>
  <c r="R139" i="47"/>
  <c r="S139" i="47"/>
  <c r="P139" i="47"/>
  <c r="F16" i="1"/>
  <c r="C2" i="4" s="1"/>
  <c r="B6" i="4"/>
  <c r="U2" i="49"/>
  <c r="F20" i="1"/>
  <c r="U3" i="49"/>
  <c r="J13" i="48"/>
  <c r="R3" i="47"/>
  <c r="O3" i="47"/>
  <c r="P3" i="47"/>
  <c r="T3" i="47"/>
  <c r="S3" i="47"/>
  <c r="Q3" i="47"/>
  <c r="R2" i="47"/>
  <c r="P2" i="47"/>
  <c r="O2" i="47"/>
  <c r="S2" i="47"/>
  <c r="T2" i="47"/>
  <c r="Q2" i="47"/>
  <c r="F25" i="1"/>
  <c r="J28" i="4"/>
  <c r="AN141" i="49" l="1"/>
  <c r="AN140" i="49" s="1"/>
  <c r="AN139" i="49" s="1"/>
  <c r="AN138" i="49" s="1"/>
  <c r="AN137" i="49" s="1"/>
  <c r="AN136" i="49" s="1"/>
  <c r="AN135" i="49" s="1"/>
  <c r="AN134" i="49" s="1"/>
  <c r="AN133" i="49" s="1"/>
  <c r="AN132" i="49" s="1"/>
  <c r="AN131" i="49" s="1"/>
  <c r="AN130" i="49" s="1"/>
  <c r="AN129" i="49" s="1"/>
  <c r="AN128" i="49" s="1"/>
  <c r="AN127" i="49" s="1"/>
  <c r="AN126" i="49" s="1"/>
  <c r="AN125" i="49" s="1"/>
  <c r="AN124" i="49" s="1"/>
  <c r="AN123" i="49" s="1"/>
  <c r="AN122" i="49" s="1"/>
  <c r="AN121" i="49" s="1"/>
  <c r="AN120" i="49" s="1"/>
  <c r="AN119" i="49" s="1"/>
  <c r="AN118" i="49" s="1"/>
  <c r="AN117" i="49" s="1"/>
  <c r="AN116" i="49" s="1"/>
  <c r="AN115" i="49" s="1"/>
  <c r="AN114" i="49" s="1"/>
  <c r="AN113" i="49" s="1"/>
  <c r="AG109" i="49"/>
  <c r="AD109" i="49"/>
  <c r="AG107" i="49"/>
  <c r="AD107" i="49"/>
  <c r="AG111" i="49"/>
  <c r="AD111" i="49"/>
  <c r="AG103" i="49"/>
  <c r="AG101" i="49"/>
  <c r="AG93" i="49"/>
  <c r="AG105" i="49"/>
  <c r="AD105" i="49"/>
  <c r="AG91" i="49"/>
  <c r="AG99" i="49"/>
  <c r="AG97" i="49"/>
  <c r="AG95" i="49"/>
  <c r="U143" i="47"/>
  <c r="V143" i="47" s="1"/>
  <c r="AD143" i="47" s="1"/>
  <c r="AN143" i="47" s="1"/>
  <c r="AN142" i="47" s="1"/>
  <c r="U144" i="47"/>
  <c r="U71" i="47"/>
  <c r="V71" i="47" s="1"/>
  <c r="U55" i="47"/>
  <c r="V55" i="47" s="1"/>
  <c r="U109" i="47"/>
  <c r="V109" i="47" s="1"/>
  <c r="U83" i="47"/>
  <c r="V83" i="47" s="1"/>
  <c r="U22" i="47"/>
  <c r="V22" i="47" s="1"/>
  <c r="U92" i="47"/>
  <c r="V92" i="47" s="1"/>
  <c r="U61" i="47"/>
  <c r="V61" i="47" s="1"/>
  <c r="U127" i="47"/>
  <c r="V127" i="47" s="1"/>
  <c r="U41" i="47"/>
  <c r="V41" i="47" s="1"/>
  <c r="U134" i="47"/>
  <c r="V134" i="47" s="1"/>
  <c r="AG134" i="47" s="1"/>
  <c r="U69" i="47"/>
  <c r="V69" i="47" s="1"/>
  <c r="U91" i="47"/>
  <c r="V91" i="47" s="1"/>
  <c r="U82" i="47"/>
  <c r="V82" i="47" s="1"/>
  <c r="U53" i="47"/>
  <c r="V53" i="47" s="1"/>
  <c r="U120" i="47"/>
  <c r="V120" i="47" s="1"/>
  <c r="U117" i="47"/>
  <c r="V117" i="47" s="1"/>
  <c r="AG117" i="47" s="1"/>
  <c r="U7" i="47"/>
  <c r="V7" i="47" s="1"/>
  <c r="U39" i="47"/>
  <c r="V39" i="47" s="1"/>
  <c r="U129" i="47"/>
  <c r="V129" i="47" s="1"/>
  <c r="AD129" i="47" s="1"/>
  <c r="U114" i="47"/>
  <c r="V114" i="47" s="1"/>
  <c r="U101" i="47"/>
  <c r="V101" i="47" s="1"/>
  <c r="U24" i="47"/>
  <c r="V24" i="47" s="1"/>
  <c r="U131" i="47"/>
  <c r="V131" i="47" s="1"/>
  <c r="AD131" i="47" s="1"/>
  <c r="U119" i="47"/>
  <c r="V119" i="47" s="1"/>
  <c r="U95" i="47"/>
  <c r="V95" i="47" s="1"/>
  <c r="U59" i="47"/>
  <c r="V59" i="47" s="1"/>
  <c r="U108" i="47"/>
  <c r="V108" i="47" s="1"/>
  <c r="AD108" i="47" s="1"/>
  <c r="U76" i="47"/>
  <c r="V76" i="47" s="1"/>
  <c r="U29" i="47"/>
  <c r="V29" i="47" s="1"/>
  <c r="U62" i="47"/>
  <c r="V62" i="47" s="1"/>
  <c r="U58" i="47"/>
  <c r="V58" i="47" s="1"/>
  <c r="U130" i="47"/>
  <c r="V130" i="47" s="1"/>
  <c r="AG130" i="47" s="1"/>
  <c r="U26" i="47"/>
  <c r="V26" i="47" s="1"/>
  <c r="U138" i="47"/>
  <c r="V138" i="47" s="1"/>
  <c r="AG138" i="47" s="1"/>
  <c r="U66" i="47"/>
  <c r="V66" i="47" s="1"/>
  <c r="U47" i="47"/>
  <c r="V47" i="47" s="1"/>
  <c r="U40" i="47"/>
  <c r="V40" i="47" s="1"/>
  <c r="U139" i="47"/>
  <c r="V139" i="47" s="1"/>
  <c r="AD139" i="47" s="1"/>
  <c r="U6" i="47"/>
  <c r="V6" i="47" s="1"/>
  <c r="U116" i="47"/>
  <c r="V116" i="47" s="1"/>
  <c r="U100" i="47"/>
  <c r="V100" i="47" s="1"/>
  <c r="AD100" i="47" s="1"/>
  <c r="U84" i="47"/>
  <c r="V84" i="47" s="1"/>
  <c r="U60" i="47"/>
  <c r="V60" i="47" s="1"/>
  <c r="U10" i="47"/>
  <c r="V10" i="47" s="1"/>
  <c r="U9" i="47"/>
  <c r="V9" i="47" s="1"/>
  <c r="U98" i="47"/>
  <c r="V98" i="47" s="1"/>
  <c r="U49" i="47"/>
  <c r="V49" i="47" s="1"/>
  <c r="U128" i="47"/>
  <c r="V128" i="47" s="1"/>
  <c r="AG128" i="47" s="1"/>
  <c r="U73" i="47"/>
  <c r="V73" i="47" s="1"/>
  <c r="U56" i="47"/>
  <c r="V56" i="47" s="1"/>
  <c r="U52" i="47"/>
  <c r="V52" i="47" s="1"/>
  <c r="U137" i="47"/>
  <c r="V137" i="47" s="1"/>
  <c r="AD137" i="47" s="1"/>
  <c r="U5" i="47"/>
  <c r="V5" i="47" s="1"/>
  <c r="U27" i="47"/>
  <c r="V27" i="47" s="1"/>
  <c r="U80" i="47"/>
  <c r="V80" i="47" s="1"/>
  <c r="U97" i="47"/>
  <c r="V97" i="47" s="1"/>
  <c r="AD97" i="47" s="1"/>
  <c r="U133" i="47"/>
  <c r="V133" i="47" s="1"/>
  <c r="AD133" i="47" s="1"/>
  <c r="U123" i="47"/>
  <c r="V123" i="47" s="1"/>
  <c r="U113" i="47"/>
  <c r="V113" i="47" s="1"/>
  <c r="U23" i="47"/>
  <c r="V23" i="47" s="1"/>
  <c r="U122" i="47"/>
  <c r="V122" i="47" s="1"/>
  <c r="U87" i="47"/>
  <c r="V87" i="47" s="1"/>
  <c r="U102" i="47"/>
  <c r="V102" i="47" s="1"/>
  <c r="AD102" i="47" s="1"/>
  <c r="U135" i="47"/>
  <c r="V135" i="47" s="1"/>
  <c r="AD135" i="47" s="1"/>
  <c r="U106" i="47"/>
  <c r="V106" i="47" s="1"/>
  <c r="AD106" i="47" s="1"/>
  <c r="U51" i="47"/>
  <c r="V51" i="47" s="1"/>
  <c r="U125" i="47"/>
  <c r="V125" i="47" s="1"/>
  <c r="U44" i="47"/>
  <c r="V44" i="47" s="1"/>
  <c r="U14" i="47"/>
  <c r="V14" i="47" s="1"/>
  <c r="U30" i="47"/>
  <c r="V30" i="47" s="1"/>
  <c r="U57" i="47"/>
  <c r="V57" i="47" s="1"/>
  <c r="U99" i="47"/>
  <c r="V99" i="47" s="1"/>
  <c r="U75" i="47"/>
  <c r="V75" i="47" s="1"/>
  <c r="U142" i="47"/>
  <c r="V142" i="47" s="1"/>
  <c r="AG142" i="47" s="1"/>
  <c r="U81" i="47"/>
  <c r="V81" i="47" s="1"/>
  <c r="U118" i="47"/>
  <c r="V118" i="47" s="1"/>
  <c r="U70" i="47"/>
  <c r="V70" i="47" s="1"/>
  <c r="U93" i="47"/>
  <c r="V93" i="47" s="1"/>
  <c r="U112" i="47"/>
  <c r="V112" i="47" s="1"/>
  <c r="AD112" i="47" s="1"/>
  <c r="U18" i="47"/>
  <c r="V18" i="47" s="1"/>
  <c r="U89" i="47"/>
  <c r="V89" i="47" s="1"/>
  <c r="U121" i="47"/>
  <c r="V121" i="47" s="1"/>
  <c r="U35" i="47"/>
  <c r="V35" i="47" s="1"/>
  <c r="U38" i="47"/>
  <c r="V38" i="47" s="1"/>
  <c r="U77" i="47"/>
  <c r="V77" i="47" s="1"/>
  <c r="U4" i="47"/>
  <c r="V4" i="47" s="1"/>
  <c r="U42" i="47"/>
  <c r="V42" i="47" s="1"/>
  <c r="U37" i="47"/>
  <c r="V37" i="47" s="1"/>
  <c r="U67" i="47"/>
  <c r="V67" i="47" s="1"/>
  <c r="U107" i="47"/>
  <c r="V107" i="47" s="1"/>
  <c r="AD107" i="47" s="1"/>
  <c r="U72" i="47"/>
  <c r="V72" i="47" s="1"/>
  <c r="U21" i="47"/>
  <c r="V21" i="47" s="1"/>
  <c r="U126" i="47"/>
  <c r="V126" i="47" s="1"/>
  <c r="U85" i="47"/>
  <c r="V85" i="47" s="1"/>
  <c r="U79" i="47"/>
  <c r="V79" i="47" s="1"/>
  <c r="U115" i="47"/>
  <c r="V115" i="47" s="1"/>
  <c r="U8" i="47"/>
  <c r="V8" i="47" s="1"/>
  <c r="U96" i="47"/>
  <c r="V96" i="47" s="1"/>
  <c r="U65" i="47"/>
  <c r="V65" i="47" s="1"/>
  <c r="U132" i="47"/>
  <c r="V132" i="47" s="1"/>
  <c r="AG132" i="47" s="1"/>
  <c r="U11" i="47"/>
  <c r="V11" i="47" s="1"/>
  <c r="U54" i="47"/>
  <c r="V54" i="47" s="1"/>
  <c r="U12" i="47"/>
  <c r="V12" i="47" s="1"/>
  <c r="U74" i="47"/>
  <c r="V74" i="47" s="1"/>
  <c r="U36" i="47"/>
  <c r="V36" i="47" s="1"/>
  <c r="U88" i="47"/>
  <c r="V88" i="47" s="1"/>
  <c r="U105" i="47"/>
  <c r="V105" i="47" s="1"/>
  <c r="U16" i="47"/>
  <c r="V16" i="47" s="1"/>
  <c r="U31" i="47"/>
  <c r="V31" i="47" s="1"/>
  <c r="U15" i="47"/>
  <c r="V15" i="47" s="1"/>
  <c r="U13" i="47"/>
  <c r="V13" i="47" s="1"/>
  <c r="U94" i="47"/>
  <c r="V94" i="47" s="1"/>
  <c r="U46" i="47"/>
  <c r="V46" i="47" s="1"/>
  <c r="U64" i="47"/>
  <c r="V64" i="47" s="1"/>
  <c r="U104" i="47"/>
  <c r="V104" i="47" s="1"/>
  <c r="AD104" i="47" s="1"/>
  <c r="U140" i="47"/>
  <c r="V140" i="47" s="1"/>
  <c r="AG140" i="47" s="1"/>
  <c r="U19" i="47"/>
  <c r="V19" i="47" s="1"/>
  <c r="U63" i="47"/>
  <c r="V63" i="47" s="1"/>
  <c r="U45" i="47"/>
  <c r="V45" i="47" s="1"/>
  <c r="U28" i="47"/>
  <c r="V28" i="47" s="1"/>
  <c r="U86" i="47"/>
  <c r="V86" i="47" s="1"/>
  <c r="U78" i="47"/>
  <c r="V78" i="47" s="1"/>
  <c r="U17" i="47"/>
  <c r="V17" i="47" s="1"/>
  <c r="U32" i="47"/>
  <c r="V32" i="47" s="1"/>
  <c r="U141" i="47"/>
  <c r="V141" i="47" s="1"/>
  <c r="AD141" i="47" s="1"/>
  <c r="U111" i="47"/>
  <c r="V111" i="47" s="1"/>
  <c r="AD111" i="47" s="1"/>
  <c r="U34" i="47"/>
  <c r="V34" i="47" s="1"/>
  <c r="U48" i="47"/>
  <c r="V48" i="47" s="1"/>
  <c r="U136" i="47"/>
  <c r="V136" i="47" s="1"/>
  <c r="AG136" i="47" s="1"/>
  <c r="U110" i="47"/>
  <c r="V110" i="47" s="1"/>
  <c r="AD110" i="47" s="1"/>
  <c r="U33" i="47"/>
  <c r="V33" i="47" s="1"/>
  <c r="U124" i="47"/>
  <c r="V124" i="47" s="1"/>
  <c r="U90" i="47"/>
  <c r="V90" i="47" s="1"/>
  <c r="U43" i="47"/>
  <c r="V43" i="47" s="1"/>
  <c r="U68" i="47"/>
  <c r="V68" i="47" s="1"/>
  <c r="U20" i="47"/>
  <c r="V20" i="47" s="1"/>
  <c r="U103" i="47"/>
  <c r="V103" i="47" s="1"/>
  <c r="U25" i="47"/>
  <c r="V25" i="47" s="1"/>
  <c r="U50" i="47"/>
  <c r="V50" i="47" s="1"/>
  <c r="E5" i="4"/>
  <c r="F22" i="1"/>
  <c r="C6" i="4"/>
  <c r="U3" i="47"/>
  <c r="V3" i="47" s="1"/>
  <c r="U2" i="47"/>
  <c r="AG103" i="47" l="1"/>
  <c r="AD103" i="47"/>
  <c r="AG105" i="47"/>
  <c r="AD105" i="47"/>
  <c r="AG99" i="47"/>
  <c r="AD99" i="47"/>
  <c r="AG101" i="47"/>
  <c r="AD101" i="47"/>
  <c r="AG109" i="47"/>
  <c r="AD109" i="47"/>
  <c r="AN141" i="47"/>
  <c r="AN140" i="47" s="1"/>
  <c r="AN139" i="47" s="1"/>
  <c r="AN138" i="47" s="1"/>
  <c r="AN137" i="47" s="1"/>
  <c r="AN136" i="47" s="1"/>
  <c r="AN135" i="47" s="1"/>
  <c r="AN134" i="47" s="1"/>
  <c r="AN133" i="47" s="1"/>
  <c r="AN132" i="47" s="1"/>
  <c r="AN131" i="47" s="1"/>
  <c r="AN130" i="47" s="1"/>
  <c r="AN129" i="47" s="1"/>
  <c r="AG127" i="47"/>
  <c r="AG111" i="47"/>
  <c r="AG115" i="47"/>
  <c r="AG113" i="47"/>
  <c r="AG123" i="47"/>
  <c r="AG121" i="47"/>
  <c r="AG125" i="47"/>
  <c r="AG119" i="47"/>
  <c r="AG107" i="47"/>
  <c r="AG2" i="24"/>
  <c r="BA2" i="24"/>
  <c r="AZ2" i="24"/>
  <c r="AY2" i="24"/>
  <c r="AX2" i="24"/>
  <c r="AW2" i="24"/>
  <c r="AA7" i="15"/>
  <c r="AV2" i="24"/>
  <c r="AN128" i="47" l="1"/>
  <c r="J144" i="24"/>
  <c r="J143" i="24"/>
  <c r="K143" i="24"/>
  <c r="K144" i="24"/>
  <c r="L144" i="24"/>
  <c r="L143" i="24"/>
  <c r="M144" i="24"/>
  <c r="M143" i="24"/>
  <c r="I143" i="24"/>
  <c r="I144" i="24"/>
  <c r="H143" i="24"/>
  <c r="H144" i="24"/>
  <c r="M62" i="24"/>
  <c r="M32" i="24"/>
  <c r="M37" i="24"/>
  <c r="M108" i="24"/>
  <c r="M68" i="24"/>
  <c r="M91" i="24"/>
  <c r="M129" i="24"/>
  <c r="M60" i="24"/>
  <c r="M115" i="24"/>
  <c r="M31" i="24"/>
  <c r="M95" i="24"/>
  <c r="M134" i="24"/>
  <c r="M101" i="24"/>
  <c r="M109" i="24"/>
  <c r="M94" i="24"/>
  <c r="M44" i="24"/>
  <c r="M86" i="24"/>
  <c r="M92" i="24"/>
  <c r="M20" i="24"/>
  <c r="M47" i="24"/>
  <c r="M102" i="24"/>
  <c r="M126" i="24"/>
  <c r="M43" i="24"/>
  <c r="M10" i="24"/>
  <c r="M41" i="24"/>
  <c r="M61" i="24"/>
  <c r="M65" i="24"/>
  <c r="M56" i="24"/>
  <c r="M5" i="24"/>
  <c r="M39" i="24"/>
  <c r="M36" i="24"/>
  <c r="M29" i="24"/>
  <c r="M38" i="24"/>
  <c r="M54" i="24"/>
  <c r="M114" i="24"/>
  <c r="M15" i="24"/>
  <c r="M99" i="24"/>
  <c r="M138" i="24"/>
  <c r="M82" i="24"/>
  <c r="M52" i="24"/>
  <c r="M121" i="24"/>
  <c r="M135" i="24"/>
  <c r="M139" i="24"/>
  <c r="M51" i="24"/>
  <c r="M57" i="24"/>
  <c r="M16" i="24"/>
  <c r="M66" i="24"/>
  <c r="M76" i="24"/>
  <c r="M97" i="24"/>
  <c r="M33" i="24"/>
  <c r="M34" i="24"/>
  <c r="M63" i="24"/>
  <c r="M55" i="24"/>
  <c r="M87" i="24"/>
  <c r="M83" i="24"/>
  <c r="M103" i="24"/>
  <c r="M116" i="24"/>
  <c r="M112" i="24"/>
  <c r="M25" i="24"/>
  <c r="M111" i="24"/>
  <c r="M80" i="24"/>
  <c r="M78" i="24"/>
  <c r="M84" i="24"/>
  <c r="M133" i="24"/>
  <c r="M19" i="24"/>
  <c r="M98" i="24"/>
  <c r="M131" i="24"/>
  <c r="M93" i="24"/>
  <c r="M26" i="24"/>
  <c r="M74" i="24"/>
  <c r="M59" i="24"/>
  <c r="M90" i="24"/>
  <c r="M71" i="24"/>
  <c r="M141" i="24"/>
  <c r="M27" i="24"/>
  <c r="M70" i="24"/>
  <c r="M113" i="24"/>
  <c r="M24" i="24"/>
  <c r="M117" i="24"/>
  <c r="M127" i="24"/>
  <c r="M49" i="24"/>
  <c r="M28" i="24"/>
  <c r="M8" i="24"/>
  <c r="M9" i="24"/>
  <c r="M110" i="24"/>
  <c r="M17" i="24"/>
  <c r="M40" i="24"/>
  <c r="M142" i="24"/>
  <c r="M30" i="24"/>
  <c r="M105" i="24"/>
  <c r="M85" i="24"/>
  <c r="M64" i="24"/>
  <c r="M35" i="24"/>
  <c r="M122" i="24"/>
  <c r="M125" i="24"/>
  <c r="M45" i="24"/>
  <c r="M106" i="24"/>
  <c r="M50" i="24"/>
  <c r="M42" i="24"/>
  <c r="M12" i="24"/>
  <c r="M3" i="24"/>
  <c r="M140" i="24"/>
  <c r="M89" i="24"/>
  <c r="M13" i="24"/>
  <c r="M124" i="24"/>
  <c r="M11" i="24"/>
  <c r="M23" i="24"/>
  <c r="M77" i="24"/>
  <c r="M81" i="24"/>
  <c r="M137" i="24"/>
  <c r="M130" i="24"/>
  <c r="M128" i="24"/>
  <c r="M48" i="24"/>
  <c r="M118" i="24"/>
  <c r="M53" i="24"/>
  <c r="M21" i="24"/>
  <c r="M107" i="24"/>
  <c r="M75" i="24"/>
  <c r="M100" i="24"/>
  <c r="M46" i="24"/>
  <c r="M58" i="24"/>
  <c r="M104" i="24"/>
  <c r="M22" i="24"/>
  <c r="M119" i="24"/>
  <c r="M132" i="24"/>
  <c r="M14" i="24"/>
  <c r="M4" i="24"/>
  <c r="M72" i="24"/>
  <c r="M18" i="24"/>
  <c r="M7" i="24"/>
  <c r="M79" i="24"/>
  <c r="M96" i="24"/>
  <c r="M88" i="24"/>
  <c r="M6" i="24"/>
  <c r="M67" i="24"/>
  <c r="M120" i="24"/>
  <c r="M69" i="24"/>
  <c r="M73" i="24"/>
  <c r="M123" i="24"/>
  <c r="M136" i="24"/>
  <c r="H39" i="24"/>
  <c r="H108" i="24"/>
  <c r="H84" i="24"/>
  <c r="H59" i="24"/>
  <c r="H91" i="24"/>
  <c r="H47" i="24"/>
  <c r="H60" i="24"/>
  <c r="H31" i="24"/>
  <c r="H68" i="24"/>
  <c r="H131" i="24"/>
  <c r="H45" i="24"/>
  <c r="H126" i="24"/>
  <c r="H96" i="24"/>
  <c r="H10" i="24"/>
  <c r="H120" i="24"/>
  <c r="H106" i="24"/>
  <c r="H15" i="24"/>
  <c r="H138" i="24"/>
  <c r="H125" i="24"/>
  <c r="H40" i="24"/>
  <c r="H35" i="24"/>
  <c r="H94" i="24"/>
  <c r="H4" i="24"/>
  <c r="H104" i="24"/>
  <c r="H8" i="24"/>
  <c r="H122" i="24"/>
  <c r="H53" i="24"/>
  <c r="H99" i="24"/>
  <c r="H100" i="24"/>
  <c r="H30" i="24"/>
  <c r="H16" i="24"/>
  <c r="H25" i="24"/>
  <c r="H18" i="24"/>
  <c r="H12" i="24"/>
  <c r="H92" i="24"/>
  <c r="H66" i="24"/>
  <c r="H73" i="24"/>
  <c r="H117" i="24"/>
  <c r="H121" i="24"/>
  <c r="H52" i="24"/>
  <c r="H89" i="24"/>
  <c r="H133" i="24"/>
  <c r="H42" i="24"/>
  <c r="H135" i="24"/>
  <c r="H5" i="24"/>
  <c r="H20" i="24"/>
  <c r="H139" i="24"/>
  <c r="H17" i="24"/>
  <c r="H80" i="24"/>
  <c r="H11" i="24"/>
  <c r="H115" i="24"/>
  <c r="H127" i="24"/>
  <c r="H6" i="24"/>
  <c r="H62" i="24"/>
  <c r="H93" i="24"/>
  <c r="H75" i="24"/>
  <c r="H78" i="24"/>
  <c r="H57" i="24"/>
  <c r="H90" i="24"/>
  <c r="H130" i="24"/>
  <c r="H50" i="24"/>
  <c r="H109" i="24"/>
  <c r="H24" i="24"/>
  <c r="H98" i="24"/>
  <c r="H58" i="24"/>
  <c r="H44" i="24"/>
  <c r="H32" i="24"/>
  <c r="H124" i="24"/>
  <c r="H69" i="24"/>
  <c r="H61" i="24"/>
  <c r="H71" i="24"/>
  <c r="H19" i="24"/>
  <c r="H41" i="24"/>
  <c r="H51" i="24"/>
  <c r="H14" i="24"/>
  <c r="H63" i="24"/>
  <c r="H86" i="24"/>
  <c r="H74" i="24"/>
  <c r="H83" i="24"/>
  <c r="H85" i="24"/>
  <c r="H7" i="24"/>
  <c r="H9" i="24"/>
  <c r="H114" i="24"/>
  <c r="H43" i="24"/>
  <c r="H36" i="24"/>
  <c r="H119" i="24"/>
  <c r="H95" i="24"/>
  <c r="H101" i="24"/>
  <c r="H27" i="24"/>
  <c r="H82" i="24"/>
  <c r="H123" i="24"/>
  <c r="H103" i="24"/>
  <c r="H136" i="24"/>
  <c r="H70" i="24"/>
  <c r="H112" i="24"/>
  <c r="H23" i="24"/>
  <c r="H46" i="24"/>
  <c r="H132" i="24"/>
  <c r="H3" i="24"/>
  <c r="H37" i="24"/>
  <c r="H77" i="24"/>
  <c r="H140" i="24"/>
  <c r="H48" i="24"/>
  <c r="H134" i="24"/>
  <c r="H54" i="24"/>
  <c r="H118" i="24"/>
  <c r="H22" i="24"/>
  <c r="H64" i="24"/>
  <c r="H110" i="24"/>
  <c r="H111" i="24"/>
  <c r="H102" i="24"/>
  <c r="H107" i="24"/>
  <c r="H87" i="24"/>
  <c r="H88" i="24"/>
  <c r="H67" i="24"/>
  <c r="H113" i="24"/>
  <c r="H29" i="24"/>
  <c r="H129" i="24"/>
  <c r="H38" i="24"/>
  <c r="H105" i="24"/>
  <c r="H13" i="24"/>
  <c r="H141" i="24"/>
  <c r="H81" i="24"/>
  <c r="H65" i="24"/>
  <c r="H56" i="24"/>
  <c r="H79" i="24"/>
  <c r="H76" i="24"/>
  <c r="H28" i="24"/>
  <c r="H34" i="24"/>
  <c r="H55" i="24"/>
  <c r="H49" i="24"/>
  <c r="H72" i="24"/>
  <c r="H26" i="24"/>
  <c r="H142" i="24"/>
  <c r="H137" i="24"/>
  <c r="H116" i="24"/>
  <c r="H97" i="24"/>
  <c r="H21" i="24"/>
  <c r="H33" i="24"/>
  <c r="H128" i="24"/>
  <c r="I37" i="24"/>
  <c r="I117" i="24"/>
  <c r="I88" i="24"/>
  <c r="I85" i="24"/>
  <c r="I72" i="24"/>
  <c r="I84" i="24"/>
  <c r="I8" i="24"/>
  <c r="I62" i="24"/>
  <c r="I131" i="24"/>
  <c r="I116" i="24"/>
  <c r="I79" i="24"/>
  <c r="I121" i="24"/>
  <c r="I36" i="24"/>
  <c r="I125" i="24"/>
  <c r="I92" i="24"/>
  <c r="I29" i="24"/>
  <c r="I48" i="24"/>
  <c r="I82" i="24"/>
  <c r="I120" i="24"/>
  <c r="I47" i="24"/>
  <c r="I115" i="24"/>
  <c r="I96" i="24"/>
  <c r="I71" i="24"/>
  <c r="I13" i="24"/>
  <c r="I41" i="24"/>
  <c r="I70" i="24"/>
  <c r="I10" i="24"/>
  <c r="I130" i="24"/>
  <c r="I133" i="24"/>
  <c r="I26" i="24"/>
  <c r="I124" i="24"/>
  <c r="I114" i="24"/>
  <c r="I43" i="24"/>
  <c r="I97" i="24"/>
  <c r="I32" i="24"/>
  <c r="I113" i="24"/>
  <c r="I22" i="24"/>
  <c r="I17" i="24"/>
  <c r="I30" i="24"/>
  <c r="I9" i="24"/>
  <c r="I129" i="24"/>
  <c r="I20" i="24"/>
  <c r="I67" i="24"/>
  <c r="I28" i="24"/>
  <c r="I66" i="24"/>
  <c r="I4" i="24"/>
  <c r="I54" i="24"/>
  <c r="I119" i="24"/>
  <c r="I123" i="24"/>
  <c r="I52" i="24"/>
  <c r="I16" i="24"/>
  <c r="I44" i="24"/>
  <c r="I46" i="24"/>
  <c r="I140" i="24"/>
  <c r="I11" i="24"/>
  <c r="I59" i="24"/>
  <c r="I104" i="24"/>
  <c r="I49" i="24"/>
  <c r="I127" i="24"/>
  <c r="I132" i="24"/>
  <c r="I101" i="24"/>
  <c r="I73" i="24"/>
  <c r="I51" i="24"/>
  <c r="I27" i="24"/>
  <c r="I14" i="24"/>
  <c r="I81" i="24"/>
  <c r="I128" i="24"/>
  <c r="I45" i="24"/>
  <c r="I3" i="24"/>
  <c r="I89" i="24"/>
  <c r="I76" i="24"/>
  <c r="I12" i="24"/>
  <c r="I5" i="24"/>
  <c r="I58" i="24"/>
  <c r="I23" i="24"/>
  <c r="I34" i="24"/>
  <c r="I50" i="24"/>
  <c r="I142" i="24"/>
  <c r="I38" i="24"/>
  <c r="I19" i="24"/>
  <c r="I98" i="24"/>
  <c r="I134" i="24"/>
  <c r="I57" i="24"/>
  <c r="I33" i="24"/>
  <c r="I21" i="24"/>
  <c r="I25" i="24"/>
  <c r="I55" i="24"/>
  <c r="I112" i="24"/>
  <c r="I126" i="24"/>
  <c r="I56" i="24"/>
  <c r="I109" i="24"/>
  <c r="I99" i="24"/>
  <c r="I87" i="24"/>
  <c r="I78" i="24"/>
  <c r="I106" i="24"/>
  <c r="I141" i="24"/>
  <c r="I94" i="24"/>
  <c r="I61" i="24"/>
  <c r="I103" i="24"/>
  <c r="I60" i="24"/>
  <c r="I40" i="24"/>
  <c r="I100" i="24"/>
  <c r="I118" i="24"/>
  <c r="I102" i="24"/>
  <c r="I122" i="24"/>
  <c r="I105" i="24"/>
  <c r="I139" i="24"/>
  <c r="I83" i="24"/>
  <c r="I63" i="24"/>
  <c r="I80" i="24"/>
  <c r="I31" i="24"/>
  <c r="I110" i="24"/>
  <c r="I35" i="24"/>
  <c r="I39" i="24"/>
  <c r="I138" i="24"/>
  <c r="I135" i="24"/>
  <c r="I137" i="24"/>
  <c r="I136" i="24"/>
  <c r="I6" i="24"/>
  <c r="I24" i="24"/>
  <c r="I74" i="24"/>
  <c r="I42" i="24"/>
  <c r="I107" i="24"/>
  <c r="I64" i="24"/>
  <c r="I95" i="24"/>
  <c r="I18" i="24"/>
  <c r="I7" i="24"/>
  <c r="I53" i="24"/>
  <c r="I111" i="24"/>
  <c r="I65" i="24"/>
  <c r="I91" i="24"/>
  <c r="I15" i="24"/>
  <c r="I86" i="24"/>
  <c r="I75" i="24"/>
  <c r="I68" i="24"/>
  <c r="I90" i="24"/>
  <c r="I69" i="24"/>
  <c r="I93" i="24"/>
  <c r="I77" i="24"/>
  <c r="I108" i="24"/>
  <c r="J26" i="24"/>
  <c r="J91" i="24"/>
  <c r="J37" i="24"/>
  <c r="J71" i="24"/>
  <c r="J32" i="24"/>
  <c r="J79" i="24"/>
  <c r="J84" i="24"/>
  <c r="J3" i="24"/>
  <c r="J120" i="24"/>
  <c r="J117" i="24"/>
  <c r="J38" i="24"/>
  <c r="J58" i="24"/>
  <c r="J89" i="24"/>
  <c r="J36" i="24"/>
  <c r="J114" i="24"/>
  <c r="J88" i="24"/>
  <c r="J44" i="24"/>
  <c r="J82" i="24"/>
  <c r="J21" i="24"/>
  <c r="J17" i="24"/>
  <c r="J9" i="24"/>
  <c r="J61" i="24"/>
  <c r="J74" i="24"/>
  <c r="J63" i="24"/>
  <c r="J40" i="24"/>
  <c r="J85" i="24"/>
  <c r="J5" i="24"/>
  <c r="J4" i="24"/>
  <c r="J12" i="24"/>
  <c r="J34" i="24"/>
  <c r="J134" i="24"/>
  <c r="J119" i="24"/>
  <c r="J75" i="24"/>
  <c r="J10" i="24"/>
  <c r="J51" i="24"/>
  <c r="J39" i="24"/>
  <c r="J35" i="24"/>
  <c r="J25" i="24"/>
  <c r="J110" i="24"/>
  <c r="J6" i="24"/>
  <c r="J8" i="24"/>
  <c r="J52" i="24"/>
  <c r="J123" i="24"/>
  <c r="J87" i="24"/>
  <c r="J100" i="24"/>
  <c r="J64" i="24"/>
  <c r="J60" i="24"/>
  <c r="J78" i="24"/>
  <c r="J13" i="24"/>
  <c r="J138" i="24"/>
  <c r="J92" i="24"/>
  <c r="J33" i="24"/>
  <c r="J53" i="24"/>
  <c r="J125" i="24"/>
  <c r="J108" i="24"/>
  <c r="J73" i="24"/>
  <c r="J42" i="24"/>
  <c r="J67" i="24"/>
  <c r="J98" i="24"/>
  <c r="J105" i="24"/>
  <c r="J109" i="24"/>
  <c r="J113" i="24"/>
  <c r="J140" i="24"/>
  <c r="J55" i="24"/>
  <c r="J135" i="24"/>
  <c r="J93" i="24"/>
  <c r="J102" i="24"/>
  <c r="J118" i="24"/>
  <c r="J80" i="24"/>
  <c r="J27" i="24"/>
  <c r="J127" i="24"/>
  <c r="J49" i="24"/>
  <c r="J96" i="24"/>
  <c r="J19" i="24"/>
  <c r="J20" i="24"/>
  <c r="J23" i="24"/>
  <c r="J86" i="24"/>
  <c r="J56" i="24"/>
  <c r="J43" i="24"/>
  <c r="J65" i="24"/>
  <c r="J101" i="24"/>
  <c r="J77" i="24"/>
  <c r="J45" i="24"/>
  <c r="J99" i="24"/>
  <c r="J30" i="24"/>
  <c r="J15" i="24"/>
  <c r="J139" i="24"/>
  <c r="J46" i="24"/>
  <c r="J81" i="24"/>
  <c r="J137" i="24"/>
  <c r="J76" i="24"/>
  <c r="J95" i="24"/>
  <c r="J106" i="24"/>
  <c r="J122" i="24"/>
  <c r="J112" i="24"/>
  <c r="J131" i="24"/>
  <c r="J18" i="24"/>
  <c r="J7" i="24"/>
  <c r="J129" i="24"/>
  <c r="J66" i="24"/>
  <c r="J22" i="24"/>
  <c r="J16" i="24"/>
  <c r="J90" i="24"/>
  <c r="J11" i="24"/>
  <c r="J130" i="24"/>
  <c r="J136" i="24"/>
  <c r="J54" i="24"/>
  <c r="J132" i="24"/>
  <c r="J107" i="24"/>
  <c r="J47" i="24"/>
  <c r="J59" i="24"/>
  <c r="J48" i="24"/>
  <c r="J41" i="24"/>
  <c r="J133" i="24"/>
  <c r="J142" i="24"/>
  <c r="J128" i="24"/>
  <c r="J115" i="24"/>
  <c r="J97" i="24"/>
  <c r="J24" i="24"/>
  <c r="J126" i="24"/>
  <c r="J72" i="24"/>
  <c r="J94" i="24"/>
  <c r="J29" i="24"/>
  <c r="J57" i="24"/>
  <c r="J69" i="24"/>
  <c r="J62" i="24"/>
  <c r="J141" i="24"/>
  <c r="J68" i="24"/>
  <c r="J124" i="24"/>
  <c r="J116" i="24"/>
  <c r="J111" i="24"/>
  <c r="J31" i="24"/>
  <c r="J50" i="24"/>
  <c r="J104" i="24"/>
  <c r="J103" i="24"/>
  <c r="J121" i="24"/>
  <c r="J70" i="24"/>
  <c r="J83" i="24"/>
  <c r="J14" i="24"/>
  <c r="J28" i="24"/>
  <c r="K39" i="24"/>
  <c r="K31" i="24"/>
  <c r="K114" i="24"/>
  <c r="K141" i="24"/>
  <c r="K111" i="24"/>
  <c r="K129" i="24"/>
  <c r="K130" i="24"/>
  <c r="K119" i="24"/>
  <c r="K62" i="24"/>
  <c r="K46" i="24"/>
  <c r="K33" i="24"/>
  <c r="K57" i="24"/>
  <c r="K80" i="24"/>
  <c r="K95" i="24"/>
  <c r="K16" i="24"/>
  <c r="K61" i="24"/>
  <c r="K87" i="24"/>
  <c r="K88" i="24"/>
  <c r="K135" i="24"/>
  <c r="K101" i="24"/>
  <c r="K37" i="24"/>
  <c r="K94" i="24"/>
  <c r="K127" i="24"/>
  <c r="K21" i="24"/>
  <c r="K29" i="24"/>
  <c r="K100" i="24"/>
  <c r="K58" i="24"/>
  <c r="K77" i="24"/>
  <c r="K41" i="24"/>
  <c r="K138" i="24"/>
  <c r="K63" i="24"/>
  <c r="K11" i="24"/>
  <c r="K83" i="24"/>
  <c r="K99" i="24"/>
  <c r="K51" i="24"/>
  <c r="K6" i="24"/>
  <c r="K59" i="24"/>
  <c r="K35" i="24"/>
  <c r="K73" i="24"/>
  <c r="K52" i="24"/>
  <c r="K110" i="24"/>
  <c r="K125" i="24"/>
  <c r="K54" i="24"/>
  <c r="K103" i="24"/>
  <c r="K116" i="24"/>
  <c r="K67" i="24"/>
  <c r="K53" i="24"/>
  <c r="K107" i="24"/>
  <c r="K25" i="24"/>
  <c r="K27" i="24"/>
  <c r="K9" i="24"/>
  <c r="K14" i="24"/>
  <c r="K38" i="24"/>
  <c r="K47" i="24"/>
  <c r="K23" i="24"/>
  <c r="K96" i="24"/>
  <c r="K40" i="24"/>
  <c r="K132" i="24"/>
  <c r="K43" i="24"/>
  <c r="K49" i="24"/>
  <c r="K64" i="24"/>
  <c r="K112" i="24"/>
  <c r="K13" i="24"/>
  <c r="K8" i="24"/>
  <c r="K123" i="24"/>
  <c r="K75" i="24"/>
  <c r="K121" i="24"/>
  <c r="K7" i="24"/>
  <c r="K17" i="24"/>
  <c r="K12" i="24"/>
  <c r="K102" i="24"/>
  <c r="K19" i="24"/>
  <c r="K115" i="24"/>
  <c r="K65" i="24"/>
  <c r="K56" i="24"/>
  <c r="K90" i="24"/>
  <c r="K20" i="24"/>
  <c r="K42" i="24"/>
  <c r="K4" i="24"/>
  <c r="K133" i="24"/>
  <c r="K136" i="24"/>
  <c r="K72" i="24"/>
  <c r="K70" i="24"/>
  <c r="K66" i="24"/>
  <c r="K126" i="24"/>
  <c r="K76" i="24"/>
  <c r="K44" i="24"/>
  <c r="K122" i="24"/>
  <c r="K84" i="24"/>
  <c r="K36" i="24"/>
  <c r="K137" i="24"/>
  <c r="K104" i="24"/>
  <c r="K109" i="24"/>
  <c r="K69" i="24"/>
  <c r="K28" i="24"/>
  <c r="K71" i="24"/>
  <c r="K74" i="24"/>
  <c r="K98" i="24"/>
  <c r="K134" i="24"/>
  <c r="K24" i="24"/>
  <c r="K113" i="24"/>
  <c r="K68" i="24"/>
  <c r="K85" i="24"/>
  <c r="K3" i="24"/>
  <c r="K86" i="24"/>
  <c r="K97" i="24"/>
  <c r="K50" i="24"/>
  <c r="K60" i="24"/>
  <c r="K55" i="24"/>
  <c r="K108" i="24"/>
  <c r="K142" i="24"/>
  <c r="K140" i="24"/>
  <c r="K26" i="24"/>
  <c r="K5" i="24"/>
  <c r="K48" i="24"/>
  <c r="K45" i="24"/>
  <c r="K78" i="24"/>
  <c r="K89" i="24"/>
  <c r="K93" i="24"/>
  <c r="K92" i="24"/>
  <c r="K34" i="24"/>
  <c r="K30" i="24"/>
  <c r="K124" i="24"/>
  <c r="K22" i="24"/>
  <c r="K105" i="24"/>
  <c r="K18" i="24"/>
  <c r="K139" i="24"/>
  <c r="K79" i="24"/>
  <c r="K91" i="24"/>
  <c r="K82" i="24"/>
  <c r="K32" i="24"/>
  <c r="K118" i="24"/>
  <c r="K117" i="24"/>
  <c r="K10" i="24"/>
  <c r="K120" i="24"/>
  <c r="K106" i="24"/>
  <c r="K81" i="24"/>
  <c r="K128" i="24"/>
  <c r="K131" i="24"/>
  <c r="K15" i="24"/>
  <c r="L120" i="24"/>
  <c r="L91" i="24"/>
  <c r="L96" i="24"/>
  <c r="L103" i="24"/>
  <c r="L45" i="24"/>
  <c r="L59" i="24"/>
  <c r="L101" i="24"/>
  <c r="L102" i="24"/>
  <c r="L5" i="24"/>
  <c r="L125" i="24"/>
  <c r="L40" i="24"/>
  <c r="L8" i="24"/>
  <c r="L27" i="24"/>
  <c r="L60" i="24"/>
  <c r="L18" i="24"/>
  <c r="L16" i="24"/>
  <c r="L55" i="24"/>
  <c r="L127" i="24"/>
  <c r="L7" i="24"/>
  <c r="L63" i="24"/>
  <c r="L9" i="24"/>
  <c r="L87" i="24"/>
  <c r="L128" i="24"/>
  <c r="L132" i="24"/>
  <c r="L43" i="24"/>
  <c r="L31" i="24"/>
  <c r="L95" i="24"/>
  <c r="L48" i="24"/>
  <c r="L123" i="24"/>
  <c r="L79" i="24"/>
  <c r="L98" i="24"/>
  <c r="L99" i="24"/>
  <c r="L46" i="24"/>
  <c r="L33" i="24"/>
  <c r="L17" i="24"/>
  <c r="L54" i="24"/>
  <c r="L22" i="24"/>
  <c r="L64" i="24"/>
  <c r="L92" i="24"/>
  <c r="L114" i="24"/>
  <c r="L80" i="24"/>
  <c r="L106" i="24"/>
  <c r="L41" i="24"/>
  <c r="L14" i="24"/>
  <c r="L34" i="24"/>
  <c r="L36" i="24"/>
  <c r="L28" i="24"/>
  <c r="L61" i="24"/>
  <c r="L30" i="24"/>
  <c r="L65" i="24"/>
  <c r="L51" i="24"/>
  <c r="L66" i="24"/>
  <c r="L117" i="24"/>
  <c r="L15" i="24"/>
  <c r="L107" i="24"/>
  <c r="L47" i="24"/>
  <c r="L138" i="24"/>
  <c r="L67" i="24"/>
  <c r="L56" i="24"/>
  <c r="L23" i="24"/>
  <c r="L70" i="24"/>
  <c r="L83" i="24"/>
  <c r="L44" i="24"/>
  <c r="L140" i="24"/>
  <c r="L122" i="24"/>
  <c r="L38" i="24"/>
  <c r="L72" i="24"/>
  <c r="L12" i="24"/>
  <c r="L71" i="24"/>
  <c r="L32" i="24"/>
  <c r="L25" i="24"/>
  <c r="L10" i="24"/>
  <c r="L35" i="24"/>
  <c r="L136" i="24"/>
  <c r="L21" i="24"/>
  <c r="L121" i="24"/>
  <c r="L94" i="24"/>
  <c r="L37" i="24"/>
  <c r="L142" i="24"/>
  <c r="L77" i="24"/>
  <c r="L76" i="24"/>
  <c r="L82" i="24"/>
  <c r="L100" i="24"/>
  <c r="L113" i="24"/>
  <c r="L116" i="24"/>
  <c r="L50" i="24"/>
  <c r="L115" i="24"/>
  <c r="L104" i="24"/>
  <c r="L130" i="24"/>
  <c r="L126" i="24"/>
  <c r="L68" i="24"/>
  <c r="L118" i="24"/>
  <c r="L52" i="24"/>
  <c r="L11" i="24"/>
  <c r="L105" i="24"/>
  <c r="L19" i="24"/>
  <c r="L53" i="24"/>
  <c r="L74" i="24"/>
  <c r="L62" i="24"/>
  <c r="L78" i="24"/>
  <c r="L6" i="24"/>
  <c r="L93" i="24"/>
  <c r="L112" i="24"/>
  <c r="L49" i="24"/>
  <c r="L73" i="24"/>
  <c r="L141" i="24"/>
  <c r="L42" i="24"/>
  <c r="L129" i="24"/>
  <c r="L88" i="24"/>
  <c r="L58" i="24"/>
  <c r="L75" i="24"/>
  <c r="L137" i="24"/>
  <c r="L20" i="24"/>
  <c r="L124" i="24"/>
  <c r="L39" i="24"/>
  <c r="L13" i="24"/>
  <c r="L85" i="24"/>
  <c r="L29" i="24"/>
  <c r="L81" i="24"/>
  <c r="L97" i="24"/>
  <c r="L134" i="24"/>
  <c r="L131" i="24"/>
  <c r="L26" i="24"/>
  <c r="L111" i="24"/>
  <c r="L69" i="24"/>
  <c r="L135" i="24"/>
  <c r="L3" i="24"/>
  <c r="L86" i="24"/>
  <c r="L133" i="24"/>
  <c r="L109" i="24"/>
  <c r="L90" i="24"/>
  <c r="L139" i="24"/>
  <c r="L119" i="24"/>
  <c r="L89" i="24"/>
  <c r="L57" i="24"/>
  <c r="L108" i="24"/>
  <c r="L4" i="24"/>
  <c r="L110" i="24"/>
  <c r="L84" i="24"/>
  <c r="L24" i="24"/>
  <c r="AN127" i="47" l="1"/>
  <c r="AN126" i="47" s="1"/>
  <c r="AN125" i="47" s="1"/>
  <c r="AN124" i="47" s="1"/>
  <c r="AN123" i="47" s="1"/>
  <c r="AN122" i="47" s="1"/>
  <c r="AN121" i="47" s="1"/>
  <c r="AN120" i="47" s="1"/>
  <c r="AN119" i="47" s="1"/>
  <c r="AN118" i="47" s="1"/>
  <c r="AN117" i="47" s="1"/>
  <c r="AN116" i="47" s="1"/>
  <c r="AN115" i="47" s="1"/>
  <c r="AN114" i="47" s="1"/>
  <c r="AN113" i="47" s="1"/>
  <c r="N144" i="24"/>
  <c r="N143" i="24"/>
  <c r="N128" i="24"/>
  <c r="R128" i="24" s="1"/>
  <c r="N28" i="24"/>
  <c r="O28" i="24" s="1"/>
  <c r="N62" i="24"/>
  <c r="R62" i="24" s="1"/>
  <c r="N18" i="24"/>
  <c r="R18" i="24" s="1"/>
  <c r="N39" i="24"/>
  <c r="Q39" i="24" s="1"/>
  <c r="N31" i="24"/>
  <c r="R31" i="24" s="1"/>
  <c r="N109" i="24"/>
  <c r="O109" i="24" s="1"/>
  <c r="N34" i="24"/>
  <c r="S34" i="24" s="1"/>
  <c r="N49" i="24"/>
  <c r="Q49" i="24" s="1"/>
  <c r="N70" i="24"/>
  <c r="P70" i="24" s="1"/>
  <c r="N67" i="24"/>
  <c r="R67" i="24" s="1"/>
  <c r="N69" i="24"/>
  <c r="T69" i="24" s="1"/>
  <c r="N120" i="24"/>
  <c r="R120" i="24" s="1"/>
  <c r="N77" i="24"/>
  <c r="N73" i="24"/>
  <c r="N63" i="24"/>
  <c r="N141" i="24"/>
  <c r="N47" i="24"/>
  <c r="N101" i="24"/>
  <c r="N33" i="24"/>
  <c r="N113" i="24"/>
  <c r="N110" i="24"/>
  <c r="N134" i="24"/>
  <c r="N3" i="24"/>
  <c r="N112" i="24"/>
  <c r="N9" i="24"/>
  <c r="N61" i="24"/>
  <c r="N93" i="24"/>
  <c r="N17" i="24"/>
  <c r="N89" i="24"/>
  <c r="N12" i="24"/>
  <c r="N40" i="24"/>
  <c r="N68" i="24"/>
  <c r="N108" i="24"/>
  <c r="N103" i="24"/>
  <c r="N64" i="24"/>
  <c r="N45" i="24"/>
  <c r="N142" i="24"/>
  <c r="N137" i="24"/>
  <c r="N76" i="24"/>
  <c r="N88" i="24"/>
  <c r="N136" i="24"/>
  <c r="N7" i="24"/>
  <c r="N51" i="24"/>
  <c r="N124" i="24"/>
  <c r="N50" i="24"/>
  <c r="N6" i="24"/>
  <c r="N139" i="24"/>
  <c r="N25" i="24"/>
  <c r="N8" i="24"/>
  <c r="N125" i="24"/>
  <c r="N10" i="24"/>
  <c r="N116" i="24"/>
  <c r="N48" i="24"/>
  <c r="N95" i="24"/>
  <c r="N52" i="24"/>
  <c r="N53" i="24"/>
  <c r="N138" i="24"/>
  <c r="N131" i="24"/>
  <c r="N4" i="24"/>
  <c r="N107" i="24"/>
  <c r="N123" i="24"/>
  <c r="N13" i="24"/>
  <c r="N115" i="24"/>
  <c r="N36" i="24"/>
  <c r="N79" i="24"/>
  <c r="N22" i="24"/>
  <c r="N140" i="24"/>
  <c r="N85" i="24"/>
  <c r="N41" i="24"/>
  <c r="N32" i="24"/>
  <c r="N130" i="24"/>
  <c r="N127" i="24"/>
  <c r="N20" i="24"/>
  <c r="N121" i="24"/>
  <c r="N16" i="24"/>
  <c r="N104" i="24"/>
  <c r="N96" i="24"/>
  <c r="N60" i="24"/>
  <c r="N132" i="24"/>
  <c r="N87" i="24"/>
  <c r="N14" i="24"/>
  <c r="N37" i="24"/>
  <c r="N81" i="24"/>
  <c r="N26" i="24"/>
  <c r="N105" i="24"/>
  <c r="N118" i="24"/>
  <c r="N83" i="24"/>
  <c r="N19" i="24"/>
  <c r="N44" i="24"/>
  <c r="N90" i="24"/>
  <c r="N5" i="24"/>
  <c r="N117" i="24"/>
  <c r="N30" i="24"/>
  <c r="N119" i="24"/>
  <c r="N122" i="24"/>
  <c r="N111" i="24"/>
  <c r="N72" i="24"/>
  <c r="N56" i="24"/>
  <c r="N38" i="24"/>
  <c r="N43" i="24"/>
  <c r="N74" i="24"/>
  <c r="N58" i="24"/>
  <c r="N57" i="24"/>
  <c r="N135" i="24"/>
  <c r="N100" i="24"/>
  <c r="N126" i="24"/>
  <c r="N91" i="24"/>
  <c r="N21" i="24"/>
  <c r="N65" i="24"/>
  <c r="N129" i="24"/>
  <c r="N102" i="24"/>
  <c r="N46" i="24"/>
  <c r="N82" i="24"/>
  <c r="N114" i="24"/>
  <c r="N86" i="24"/>
  <c r="N71" i="24"/>
  <c r="N98" i="24"/>
  <c r="N78" i="24"/>
  <c r="N11" i="24"/>
  <c r="N42" i="24"/>
  <c r="N66" i="24"/>
  <c r="N99" i="24"/>
  <c r="N94" i="24"/>
  <c r="N15" i="24"/>
  <c r="N59" i="24"/>
  <c r="N84" i="24"/>
  <c r="N97" i="24"/>
  <c r="N55" i="24"/>
  <c r="N29" i="24"/>
  <c r="N23" i="24"/>
  <c r="N27" i="24"/>
  <c r="N24" i="24"/>
  <c r="N75" i="24"/>
  <c r="N80" i="24"/>
  <c r="N133" i="24"/>
  <c r="N92" i="24"/>
  <c r="N35" i="24"/>
  <c r="N106" i="24"/>
  <c r="N54" i="24"/>
  <c r="R144" i="24" l="1"/>
  <c r="S144" i="24"/>
  <c r="P144" i="24"/>
  <c r="O144" i="24"/>
  <c r="Q144" i="24"/>
  <c r="T144" i="24"/>
  <c r="S143" i="24"/>
  <c r="T143" i="24"/>
  <c r="Q143" i="24"/>
  <c r="O143" i="24"/>
  <c r="P143" i="24"/>
  <c r="R143" i="24"/>
  <c r="P31" i="24"/>
  <c r="Q28" i="24"/>
  <c r="P128" i="24"/>
  <c r="P18" i="24"/>
  <c r="S67" i="24"/>
  <c r="P49" i="24"/>
  <c r="S109" i="24"/>
  <c r="T67" i="24"/>
  <c r="O67" i="24"/>
  <c r="Q67" i="24"/>
  <c r="P67" i="24"/>
  <c r="O128" i="24"/>
  <c r="Q62" i="24"/>
  <c r="S49" i="24"/>
  <c r="T31" i="24"/>
  <c r="R49" i="24"/>
  <c r="O49" i="24"/>
  <c r="T49" i="24"/>
  <c r="P28" i="24"/>
  <c r="S128" i="24"/>
  <c r="O34" i="24"/>
  <c r="R34" i="24"/>
  <c r="Q34" i="24"/>
  <c r="P34" i="24"/>
  <c r="T34" i="24"/>
  <c r="T62" i="24"/>
  <c r="R109" i="24"/>
  <c r="O70" i="24"/>
  <c r="Q109" i="24"/>
  <c r="O62" i="24"/>
  <c r="Q70" i="24"/>
  <c r="T18" i="24"/>
  <c r="P62" i="24"/>
  <c r="R70" i="24"/>
  <c r="S62" i="24"/>
  <c r="T109" i="24"/>
  <c r="P109" i="24"/>
  <c r="S31" i="24"/>
  <c r="T120" i="24"/>
  <c r="R28" i="24"/>
  <c r="Q128" i="24"/>
  <c r="O31" i="24"/>
  <c r="Q120" i="24"/>
  <c r="S120" i="24"/>
  <c r="S70" i="24"/>
  <c r="S28" i="24"/>
  <c r="T128" i="24"/>
  <c r="Q31" i="24"/>
  <c r="P120" i="24"/>
  <c r="R39" i="24"/>
  <c r="T70" i="24"/>
  <c r="T28" i="24"/>
  <c r="O120" i="24"/>
  <c r="O39" i="24"/>
  <c r="S39" i="24"/>
  <c r="O69" i="24"/>
  <c r="S18" i="24"/>
  <c r="P39" i="24"/>
  <c r="R69" i="24"/>
  <c r="P69" i="24"/>
  <c r="Q18" i="24"/>
  <c r="S69" i="24"/>
  <c r="O18" i="24"/>
  <c r="T39" i="24"/>
  <c r="Q69" i="24"/>
  <c r="T38" i="24"/>
  <c r="P38" i="24"/>
  <c r="O38" i="24"/>
  <c r="Q38" i="24"/>
  <c r="S38" i="24"/>
  <c r="R38" i="24"/>
  <c r="O132" i="24"/>
  <c r="P132" i="24"/>
  <c r="Q132" i="24"/>
  <c r="S132" i="24"/>
  <c r="R132" i="24"/>
  <c r="T132" i="24"/>
  <c r="T80" i="24"/>
  <c r="Q80" i="24"/>
  <c r="R80" i="24"/>
  <c r="S80" i="24"/>
  <c r="O80" i="24"/>
  <c r="P80" i="24"/>
  <c r="T102" i="24"/>
  <c r="R102" i="24"/>
  <c r="Q102" i="24"/>
  <c r="S102" i="24"/>
  <c r="P102" i="24"/>
  <c r="O102" i="24"/>
  <c r="T30" i="24"/>
  <c r="O30" i="24"/>
  <c r="P30" i="24"/>
  <c r="Q30" i="24"/>
  <c r="R30" i="24"/>
  <c r="S30" i="24"/>
  <c r="Q53" i="24"/>
  <c r="S53" i="24"/>
  <c r="O53" i="24"/>
  <c r="R53" i="24"/>
  <c r="P53" i="24"/>
  <c r="T53" i="24"/>
  <c r="R51" i="24"/>
  <c r="O51" i="24"/>
  <c r="Q51" i="24"/>
  <c r="T51" i="24"/>
  <c r="S51" i="24"/>
  <c r="P51" i="24"/>
  <c r="R93" i="24"/>
  <c r="S93" i="24"/>
  <c r="O93" i="24"/>
  <c r="Q93" i="24"/>
  <c r="P93" i="24"/>
  <c r="T93" i="24"/>
  <c r="R72" i="24"/>
  <c r="S72" i="24"/>
  <c r="T72" i="24"/>
  <c r="P72" i="24"/>
  <c r="Q72" i="24"/>
  <c r="O72" i="24"/>
  <c r="Q113" i="24"/>
  <c r="P113" i="24"/>
  <c r="S113" i="24"/>
  <c r="O113" i="24"/>
  <c r="R113" i="24"/>
  <c r="T113" i="24"/>
  <c r="R48" i="24"/>
  <c r="P48" i="24"/>
  <c r="T48" i="24"/>
  <c r="O48" i="24"/>
  <c r="Q48" i="24"/>
  <c r="S48" i="24"/>
  <c r="Q29" i="24"/>
  <c r="S29" i="24"/>
  <c r="R29" i="24"/>
  <c r="P29" i="24"/>
  <c r="O29" i="24"/>
  <c r="T29" i="24"/>
  <c r="O60" i="24"/>
  <c r="P60" i="24"/>
  <c r="R60" i="24"/>
  <c r="S60" i="24"/>
  <c r="T60" i="24"/>
  <c r="Q60" i="24"/>
  <c r="R142" i="24"/>
  <c r="Q142" i="24"/>
  <c r="P142" i="24"/>
  <c r="S142" i="24"/>
  <c r="T142" i="24"/>
  <c r="O142" i="24"/>
  <c r="S129" i="24"/>
  <c r="Q129" i="24"/>
  <c r="T129" i="24"/>
  <c r="P129" i="24"/>
  <c r="O129" i="24"/>
  <c r="R129" i="24"/>
  <c r="Q117" i="24"/>
  <c r="T117" i="24"/>
  <c r="P117" i="24"/>
  <c r="R117" i="24"/>
  <c r="O117" i="24"/>
  <c r="S117" i="24"/>
  <c r="P115" i="24"/>
  <c r="S115" i="24"/>
  <c r="T115" i="24"/>
  <c r="Q115" i="24"/>
  <c r="O115" i="24"/>
  <c r="R115" i="24"/>
  <c r="P7" i="24"/>
  <c r="S7" i="24"/>
  <c r="O7" i="24"/>
  <c r="Q7" i="24"/>
  <c r="T7" i="24"/>
  <c r="R7" i="24"/>
  <c r="R108" i="24"/>
  <c r="Q108" i="24"/>
  <c r="T108" i="24"/>
  <c r="P108" i="24"/>
  <c r="S108" i="24"/>
  <c r="O108" i="24"/>
  <c r="O54" i="24"/>
  <c r="S54" i="24"/>
  <c r="Q54" i="24"/>
  <c r="P54" i="24"/>
  <c r="T54" i="24"/>
  <c r="R54" i="24"/>
  <c r="Q15" i="24"/>
  <c r="O15" i="24"/>
  <c r="R15" i="24"/>
  <c r="P15" i="24"/>
  <c r="S15" i="24"/>
  <c r="T15" i="24"/>
  <c r="O91" i="24"/>
  <c r="T91" i="24"/>
  <c r="R91" i="24"/>
  <c r="S91" i="24"/>
  <c r="P91" i="24"/>
  <c r="Q91" i="24"/>
  <c r="Q26" i="24"/>
  <c r="T26" i="24"/>
  <c r="O26" i="24"/>
  <c r="P26" i="24"/>
  <c r="R26" i="24"/>
  <c r="S26" i="24"/>
  <c r="T104" i="24"/>
  <c r="R104" i="24"/>
  <c r="O104" i="24"/>
  <c r="P104" i="24"/>
  <c r="Q104" i="24"/>
  <c r="S104" i="24"/>
  <c r="O13" i="24"/>
  <c r="Q13" i="24"/>
  <c r="R13" i="24"/>
  <c r="T13" i="24"/>
  <c r="S13" i="24"/>
  <c r="P13" i="24"/>
  <c r="O25" i="24"/>
  <c r="S25" i="24"/>
  <c r="T25" i="24"/>
  <c r="Q25" i="24"/>
  <c r="R25" i="24"/>
  <c r="P25" i="24"/>
  <c r="R68" i="24"/>
  <c r="S68" i="24"/>
  <c r="T68" i="24"/>
  <c r="Q68" i="24"/>
  <c r="O68" i="24"/>
  <c r="P68" i="24"/>
  <c r="Q61" i="24"/>
  <c r="P61" i="24"/>
  <c r="R61" i="24"/>
  <c r="T61" i="24"/>
  <c r="S61" i="24"/>
  <c r="O61" i="24"/>
  <c r="R33" i="24"/>
  <c r="O33" i="24"/>
  <c r="T33" i="24"/>
  <c r="P33" i="24"/>
  <c r="Q33" i="24"/>
  <c r="S33" i="24"/>
  <c r="S106" i="24"/>
  <c r="T106" i="24"/>
  <c r="P106" i="24"/>
  <c r="Q106" i="24"/>
  <c r="R106" i="24"/>
  <c r="O106" i="24"/>
  <c r="P97" i="24"/>
  <c r="S97" i="24"/>
  <c r="Q97" i="24"/>
  <c r="R97" i="24"/>
  <c r="T97" i="24"/>
  <c r="O97" i="24"/>
  <c r="T94" i="24"/>
  <c r="O94" i="24"/>
  <c r="S94" i="24"/>
  <c r="P94" i="24"/>
  <c r="R94" i="24"/>
  <c r="Q94" i="24"/>
  <c r="R86" i="24"/>
  <c r="P86" i="24"/>
  <c r="T86" i="24"/>
  <c r="O86" i="24"/>
  <c r="Q86" i="24"/>
  <c r="S86" i="24"/>
  <c r="Q21" i="24"/>
  <c r="O21" i="24"/>
  <c r="T21" i="24"/>
  <c r="R21" i="24"/>
  <c r="P21" i="24"/>
  <c r="S21" i="24"/>
  <c r="P126" i="24"/>
  <c r="Q126" i="24"/>
  <c r="O126" i="24"/>
  <c r="T126" i="24"/>
  <c r="S126" i="24"/>
  <c r="R126" i="24"/>
  <c r="T74" i="24"/>
  <c r="O74" i="24"/>
  <c r="Q74" i="24"/>
  <c r="S74" i="24"/>
  <c r="R74" i="24"/>
  <c r="P74" i="24"/>
  <c r="Q122" i="24"/>
  <c r="O122" i="24"/>
  <c r="S122" i="24"/>
  <c r="T122" i="24"/>
  <c r="P122" i="24"/>
  <c r="R122" i="24"/>
  <c r="R90" i="24"/>
  <c r="O90" i="24"/>
  <c r="S90" i="24"/>
  <c r="T90" i="24"/>
  <c r="P90" i="24"/>
  <c r="Q90" i="24"/>
  <c r="R14" i="24"/>
  <c r="O14" i="24"/>
  <c r="Q14" i="24"/>
  <c r="T14" i="24"/>
  <c r="P14" i="24"/>
  <c r="S14" i="24"/>
  <c r="P16" i="24"/>
  <c r="T16" i="24"/>
  <c r="Q16" i="24"/>
  <c r="O16" i="24"/>
  <c r="R16" i="24"/>
  <c r="S16" i="24"/>
  <c r="T123" i="24"/>
  <c r="O123" i="24"/>
  <c r="S123" i="24"/>
  <c r="P123" i="24"/>
  <c r="R123" i="24"/>
  <c r="Q123" i="24"/>
  <c r="O101" i="24"/>
  <c r="T101" i="24"/>
  <c r="P101" i="24"/>
  <c r="R101" i="24"/>
  <c r="S101" i="24"/>
  <c r="Q101" i="24"/>
  <c r="O78" i="24"/>
  <c r="R78" i="24"/>
  <c r="Q78" i="24"/>
  <c r="T78" i="24"/>
  <c r="S78" i="24"/>
  <c r="P78" i="24"/>
  <c r="O56" i="24"/>
  <c r="Q56" i="24"/>
  <c r="S56" i="24"/>
  <c r="T56" i="24"/>
  <c r="R56" i="24"/>
  <c r="P56" i="24"/>
  <c r="R36" i="24"/>
  <c r="S36" i="24"/>
  <c r="O36" i="24"/>
  <c r="T36" i="24"/>
  <c r="P36" i="24"/>
  <c r="Q36" i="24"/>
  <c r="P125" i="24"/>
  <c r="S125" i="24"/>
  <c r="Q125" i="24"/>
  <c r="R125" i="24"/>
  <c r="T125" i="24"/>
  <c r="O125" i="24"/>
  <c r="Q98" i="24"/>
  <c r="S98" i="24"/>
  <c r="T98" i="24"/>
  <c r="R98" i="24"/>
  <c r="O98" i="24"/>
  <c r="P98" i="24"/>
  <c r="O41" i="24"/>
  <c r="T41" i="24"/>
  <c r="P41" i="24"/>
  <c r="S41" i="24"/>
  <c r="Q41" i="24"/>
  <c r="R41" i="24"/>
  <c r="R111" i="24"/>
  <c r="Q111" i="24"/>
  <c r="T111" i="24"/>
  <c r="P111" i="24"/>
  <c r="O111" i="24"/>
  <c r="S111" i="24"/>
  <c r="P85" i="24"/>
  <c r="Q85" i="24"/>
  <c r="R85" i="24"/>
  <c r="T85" i="24"/>
  <c r="S85" i="24"/>
  <c r="O85" i="24"/>
  <c r="R119" i="24"/>
  <c r="T119" i="24"/>
  <c r="O119" i="24"/>
  <c r="P119" i="24"/>
  <c r="S119" i="24"/>
  <c r="Q119" i="24"/>
  <c r="R44" i="24"/>
  <c r="O44" i="24"/>
  <c r="S44" i="24"/>
  <c r="P44" i="24"/>
  <c r="T44" i="24"/>
  <c r="Q44" i="24"/>
  <c r="Q121" i="24"/>
  <c r="S121" i="24"/>
  <c r="O121" i="24"/>
  <c r="T121" i="24"/>
  <c r="R121" i="24"/>
  <c r="P121" i="24"/>
  <c r="S140" i="24"/>
  <c r="P140" i="24"/>
  <c r="R140" i="24"/>
  <c r="O140" i="24"/>
  <c r="T140" i="24"/>
  <c r="Q140" i="24"/>
  <c r="P107" i="24"/>
  <c r="R107" i="24"/>
  <c r="S107" i="24"/>
  <c r="Q107" i="24"/>
  <c r="O107" i="24"/>
  <c r="T107" i="24"/>
  <c r="T139" i="24"/>
  <c r="P139" i="24"/>
  <c r="O139" i="24"/>
  <c r="R139" i="24"/>
  <c r="Q139" i="24"/>
  <c r="S139" i="24"/>
  <c r="T40" i="24"/>
  <c r="R40" i="24"/>
  <c r="P40" i="24"/>
  <c r="S40" i="24"/>
  <c r="Q40" i="24"/>
  <c r="O40" i="24"/>
  <c r="R9" i="24"/>
  <c r="S9" i="24"/>
  <c r="O9" i="24"/>
  <c r="P9" i="24"/>
  <c r="T9" i="24"/>
  <c r="Q9" i="24"/>
  <c r="R47" i="24"/>
  <c r="Q47" i="24"/>
  <c r="O47" i="24"/>
  <c r="S47" i="24"/>
  <c r="T47" i="24"/>
  <c r="P47" i="24"/>
  <c r="R11" i="24"/>
  <c r="O11" i="24"/>
  <c r="T11" i="24"/>
  <c r="Q11" i="24"/>
  <c r="S11" i="24"/>
  <c r="P11" i="24"/>
  <c r="S118" i="24"/>
  <c r="Q118" i="24"/>
  <c r="R118" i="24"/>
  <c r="T118" i="24"/>
  <c r="P118" i="24"/>
  <c r="O118" i="24"/>
  <c r="Q79" i="24"/>
  <c r="S79" i="24"/>
  <c r="T79" i="24"/>
  <c r="O79" i="24"/>
  <c r="R79" i="24"/>
  <c r="P79" i="24"/>
  <c r="Q137" i="24"/>
  <c r="S137" i="24"/>
  <c r="R137" i="24"/>
  <c r="T137" i="24"/>
  <c r="P137" i="24"/>
  <c r="O137" i="24"/>
  <c r="S105" i="24"/>
  <c r="T105" i="24"/>
  <c r="R105" i="24"/>
  <c r="P105" i="24"/>
  <c r="O105" i="24"/>
  <c r="Q105" i="24"/>
  <c r="Q32" i="24"/>
  <c r="T32" i="24"/>
  <c r="O32" i="24"/>
  <c r="R32" i="24"/>
  <c r="S32" i="24"/>
  <c r="P32" i="24"/>
  <c r="S77" i="24"/>
  <c r="P77" i="24"/>
  <c r="Q77" i="24"/>
  <c r="R77" i="24"/>
  <c r="O77" i="24"/>
  <c r="T77" i="24"/>
  <c r="S75" i="24"/>
  <c r="R75" i="24"/>
  <c r="P75" i="24"/>
  <c r="T75" i="24"/>
  <c r="O75" i="24"/>
  <c r="Q75" i="24"/>
  <c r="R58" i="24"/>
  <c r="O58" i="24"/>
  <c r="P58" i="24"/>
  <c r="Q58" i="24"/>
  <c r="S58" i="24"/>
  <c r="T58" i="24"/>
  <c r="R96" i="24"/>
  <c r="T96" i="24"/>
  <c r="S96" i="24"/>
  <c r="P96" i="24"/>
  <c r="O96" i="24"/>
  <c r="Q96" i="24"/>
  <c r="T24" i="24"/>
  <c r="R24" i="24"/>
  <c r="P24" i="24"/>
  <c r="O24" i="24"/>
  <c r="Q24" i="24"/>
  <c r="S24" i="24"/>
  <c r="Q65" i="24"/>
  <c r="S65" i="24"/>
  <c r="T65" i="24"/>
  <c r="P65" i="24"/>
  <c r="O65" i="24"/>
  <c r="R65" i="24"/>
  <c r="S114" i="24"/>
  <c r="Q114" i="24"/>
  <c r="O114" i="24"/>
  <c r="T114" i="24"/>
  <c r="R114" i="24"/>
  <c r="P114" i="24"/>
  <c r="P43" i="24"/>
  <c r="Q43" i="24"/>
  <c r="O43" i="24"/>
  <c r="R43" i="24"/>
  <c r="S43" i="24"/>
  <c r="T43" i="24"/>
  <c r="T66" i="24"/>
  <c r="S66" i="24"/>
  <c r="P66" i="24"/>
  <c r="O66" i="24"/>
  <c r="R66" i="24"/>
  <c r="Q66" i="24"/>
  <c r="O100" i="24"/>
  <c r="P100" i="24"/>
  <c r="Q100" i="24"/>
  <c r="S100" i="24"/>
  <c r="T100" i="24"/>
  <c r="R100" i="24"/>
  <c r="S19" i="24"/>
  <c r="O19" i="24"/>
  <c r="Q19" i="24"/>
  <c r="T19" i="24"/>
  <c r="P19" i="24"/>
  <c r="R19" i="24"/>
  <c r="R81" i="24"/>
  <c r="S81" i="24"/>
  <c r="O81" i="24"/>
  <c r="P81" i="24"/>
  <c r="T81" i="24"/>
  <c r="Q81" i="24"/>
  <c r="R20" i="24"/>
  <c r="S20" i="24"/>
  <c r="Q20" i="24"/>
  <c r="P20" i="24"/>
  <c r="O20" i="24"/>
  <c r="T20" i="24"/>
  <c r="T22" i="24"/>
  <c r="S22" i="24"/>
  <c r="Q22" i="24"/>
  <c r="P22" i="24"/>
  <c r="R22" i="24"/>
  <c r="O22" i="24"/>
  <c r="T4" i="24"/>
  <c r="S4" i="24"/>
  <c r="R4" i="24"/>
  <c r="P4" i="24"/>
  <c r="Q4" i="24"/>
  <c r="O4" i="24"/>
  <c r="O6" i="24"/>
  <c r="S6" i="24"/>
  <c r="P6" i="24"/>
  <c r="T6" i="24"/>
  <c r="Q6" i="24"/>
  <c r="R6" i="24"/>
  <c r="R88" i="24"/>
  <c r="S88" i="24"/>
  <c r="T88" i="24"/>
  <c r="P88" i="24"/>
  <c r="O88" i="24"/>
  <c r="Q88" i="24"/>
  <c r="T12" i="24"/>
  <c r="P12" i="24"/>
  <c r="R12" i="24"/>
  <c r="S12" i="24"/>
  <c r="O12" i="24"/>
  <c r="Q12" i="24"/>
  <c r="S112" i="24"/>
  <c r="T112" i="24"/>
  <c r="R112" i="24"/>
  <c r="Q112" i="24"/>
  <c r="P112" i="24"/>
  <c r="O112" i="24"/>
  <c r="P141" i="24"/>
  <c r="T141" i="24"/>
  <c r="O141" i="24"/>
  <c r="R141" i="24"/>
  <c r="Q141" i="24"/>
  <c r="S141" i="24"/>
  <c r="Q130" i="24"/>
  <c r="P130" i="24"/>
  <c r="T130" i="24"/>
  <c r="R130" i="24"/>
  <c r="O130" i="24"/>
  <c r="S130" i="24"/>
  <c r="S52" i="24"/>
  <c r="O52" i="24"/>
  <c r="R52" i="24"/>
  <c r="P52" i="24"/>
  <c r="T52" i="24"/>
  <c r="Q52" i="24"/>
  <c r="R59" i="24"/>
  <c r="T59" i="24"/>
  <c r="O59" i="24"/>
  <c r="P59" i="24"/>
  <c r="Q59" i="24"/>
  <c r="S59" i="24"/>
  <c r="P8" i="24"/>
  <c r="Q8" i="24"/>
  <c r="R8" i="24"/>
  <c r="S8" i="24"/>
  <c r="O8" i="24"/>
  <c r="T8" i="24"/>
  <c r="Q45" i="24"/>
  <c r="T45" i="24"/>
  <c r="O45" i="24"/>
  <c r="R45" i="24"/>
  <c r="S45" i="24"/>
  <c r="P45" i="24"/>
  <c r="Q55" i="24"/>
  <c r="O55" i="24"/>
  <c r="S55" i="24"/>
  <c r="T55" i="24"/>
  <c r="P55" i="24"/>
  <c r="R55" i="24"/>
  <c r="T71" i="24"/>
  <c r="S71" i="24"/>
  <c r="R71" i="24"/>
  <c r="Q71" i="24"/>
  <c r="O71" i="24"/>
  <c r="P71" i="24"/>
  <c r="R5" i="24"/>
  <c r="T5" i="24"/>
  <c r="S5" i="24"/>
  <c r="P5" i="24"/>
  <c r="Q5" i="24"/>
  <c r="O5" i="24"/>
  <c r="S136" i="24"/>
  <c r="R136" i="24"/>
  <c r="P136" i="24"/>
  <c r="O136" i="24"/>
  <c r="Q136" i="24"/>
  <c r="T136" i="24"/>
  <c r="Q64" i="24"/>
  <c r="P64" i="24"/>
  <c r="S64" i="24"/>
  <c r="O64" i="24"/>
  <c r="T64" i="24"/>
  <c r="R64" i="24"/>
  <c r="S35" i="24"/>
  <c r="T35" i="24"/>
  <c r="R35" i="24"/>
  <c r="P35" i="24"/>
  <c r="Q35" i="24"/>
  <c r="O35" i="24"/>
  <c r="S84" i="24"/>
  <c r="O84" i="24"/>
  <c r="Q84" i="24"/>
  <c r="R84" i="24"/>
  <c r="P84" i="24"/>
  <c r="T84" i="24"/>
  <c r="Q99" i="24"/>
  <c r="S99" i="24"/>
  <c r="O99" i="24"/>
  <c r="T99" i="24"/>
  <c r="R99" i="24"/>
  <c r="P99" i="24"/>
  <c r="T27" i="24"/>
  <c r="O27" i="24"/>
  <c r="P27" i="24"/>
  <c r="R27" i="24"/>
  <c r="S27" i="24"/>
  <c r="Q27" i="24"/>
  <c r="O82" i="24"/>
  <c r="R82" i="24"/>
  <c r="S82" i="24"/>
  <c r="Q82" i="24"/>
  <c r="T82" i="24"/>
  <c r="P82" i="24"/>
  <c r="T92" i="24"/>
  <c r="Q92" i="24"/>
  <c r="S92" i="24"/>
  <c r="R92" i="24"/>
  <c r="P92" i="24"/>
  <c r="O92" i="24"/>
  <c r="O23" i="24"/>
  <c r="P23" i="24"/>
  <c r="Q23" i="24"/>
  <c r="S23" i="24"/>
  <c r="R23" i="24"/>
  <c r="T23" i="24"/>
  <c r="Q42" i="24"/>
  <c r="R42" i="24"/>
  <c r="S42" i="24"/>
  <c r="O42" i="24"/>
  <c r="P42" i="24"/>
  <c r="T42" i="24"/>
  <c r="S46" i="24"/>
  <c r="Q46" i="24"/>
  <c r="T46" i="24"/>
  <c r="O46" i="24"/>
  <c r="R46" i="24"/>
  <c r="P46" i="24"/>
  <c r="O135" i="24"/>
  <c r="Q135" i="24"/>
  <c r="S135" i="24"/>
  <c r="R135" i="24"/>
  <c r="T135" i="24"/>
  <c r="P135" i="24"/>
  <c r="Q83" i="24"/>
  <c r="S83" i="24"/>
  <c r="T83" i="24"/>
  <c r="R83" i="24"/>
  <c r="P83" i="24"/>
  <c r="O83" i="24"/>
  <c r="Q37" i="24"/>
  <c r="R37" i="24"/>
  <c r="T37" i="24"/>
  <c r="O37" i="24"/>
  <c r="S37" i="24"/>
  <c r="P37" i="24"/>
  <c r="Q87" i="24"/>
  <c r="O87" i="24"/>
  <c r="P87" i="24"/>
  <c r="R87" i="24"/>
  <c r="S87" i="24"/>
  <c r="T87" i="24"/>
  <c r="R127" i="24"/>
  <c r="P127" i="24"/>
  <c r="T127" i="24"/>
  <c r="Q127" i="24"/>
  <c r="O127" i="24"/>
  <c r="S127" i="24"/>
  <c r="O131" i="24"/>
  <c r="Q131" i="24"/>
  <c r="S131" i="24"/>
  <c r="P131" i="24"/>
  <c r="T131" i="24"/>
  <c r="R131" i="24"/>
  <c r="T95" i="24"/>
  <c r="R95" i="24"/>
  <c r="O95" i="24"/>
  <c r="S95" i="24"/>
  <c r="P95" i="24"/>
  <c r="Q95" i="24"/>
  <c r="R50" i="24"/>
  <c r="P50" i="24"/>
  <c r="O50" i="24"/>
  <c r="Q50" i="24"/>
  <c r="T50" i="24"/>
  <c r="S50" i="24"/>
  <c r="T76" i="24"/>
  <c r="P76" i="24"/>
  <c r="R76" i="24"/>
  <c r="O76" i="24"/>
  <c r="Q76" i="24"/>
  <c r="S76" i="24"/>
  <c r="R89" i="24"/>
  <c r="Q89" i="24"/>
  <c r="O89" i="24"/>
  <c r="T89" i="24"/>
  <c r="S89" i="24"/>
  <c r="P89" i="24"/>
  <c r="O3" i="24"/>
  <c r="R3" i="24"/>
  <c r="P3" i="24"/>
  <c r="T3" i="24"/>
  <c r="Q3" i="24"/>
  <c r="S3" i="24"/>
  <c r="P63" i="24"/>
  <c r="Q63" i="24"/>
  <c r="O63" i="24"/>
  <c r="S63" i="24"/>
  <c r="R63" i="24"/>
  <c r="T63" i="24"/>
  <c r="P138" i="24"/>
  <c r="R138" i="24"/>
  <c r="O138" i="24"/>
  <c r="Q138" i="24"/>
  <c r="T138" i="24"/>
  <c r="S138" i="24"/>
  <c r="T10" i="24"/>
  <c r="R10" i="24"/>
  <c r="S10" i="24"/>
  <c r="Q10" i="24"/>
  <c r="O10" i="24"/>
  <c r="P10" i="24"/>
  <c r="P124" i="24"/>
  <c r="R124" i="24"/>
  <c r="S124" i="24"/>
  <c r="Q124" i="24"/>
  <c r="T124" i="24"/>
  <c r="O124" i="24"/>
  <c r="O103" i="24"/>
  <c r="S103" i="24"/>
  <c r="P103" i="24"/>
  <c r="R103" i="24"/>
  <c r="T103" i="24"/>
  <c r="Q103" i="24"/>
  <c r="Q17" i="24"/>
  <c r="O17" i="24"/>
  <c r="T17" i="24"/>
  <c r="P17" i="24"/>
  <c r="R17" i="24"/>
  <c r="S17" i="24"/>
  <c r="Q134" i="24"/>
  <c r="S134" i="24"/>
  <c r="T134" i="24"/>
  <c r="O134" i="24"/>
  <c r="P134" i="24"/>
  <c r="R134" i="24"/>
  <c r="S73" i="24"/>
  <c r="Q73" i="24"/>
  <c r="T73" i="24"/>
  <c r="P73" i="24"/>
  <c r="O73" i="24"/>
  <c r="R73" i="24"/>
  <c r="P133" i="24"/>
  <c r="Q133" i="24"/>
  <c r="O133" i="24"/>
  <c r="S133" i="24"/>
  <c r="R133" i="24"/>
  <c r="T133" i="24"/>
  <c r="Q57" i="24"/>
  <c r="O57" i="24"/>
  <c r="P57" i="24"/>
  <c r="R57" i="24"/>
  <c r="S57" i="24"/>
  <c r="T57" i="24"/>
  <c r="O116" i="24"/>
  <c r="R116" i="24"/>
  <c r="T116" i="24"/>
  <c r="P116" i="24"/>
  <c r="S116" i="24"/>
  <c r="Q116" i="24"/>
  <c r="T110" i="24"/>
  <c r="Q110" i="24"/>
  <c r="P110" i="24"/>
  <c r="O110" i="24"/>
  <c r="R110" i="24"/>
  <c r="S110" i="24"/>
  <c r="U143" i="24" l="1"/>
  <c r="V143" i="24" s="1"/>
  <c r="U144" i="24"/>
  <c r="U67" i="24"/>
  <c r="V67" i="24" s="1"/>
  <c r="U18" i="24"/>
  <c r="V18" i="24" s="1"/>
  <c r="U49" i="24"/>
  <c r="V49" i="24" s="1"/>
  <c r="U34" i="24"/>
  <c r="V34" i="24" s="1"/>
  <c r="U120" i="24"/>
  <c r="V120" i="24" s="1"/>
  <c r="U109" i="24"/>
  <c r="V109" i="24" s="1"/>
  <c r="U39" i="24"/>
  <c r="V39" i="24" s="1"/>
  <c r="U70" i="24"/>
  <c r="V70" i="24" s="1"/>
  <c r="U128" i="24"/>
  <c r="V128" i="24" s="1"/>
  <c r="AG128" i="24" s="1"/>
  <c r="U62" i="24"/>
  <c r="V62" i="24" s="1"/>
  <c r="U69" i="24"/>
  <c r="V69" i="24" s="1"/>
  <c r="U28" i="24"/>
  <c r="V28" i="24" s="1"/>
  <c r="U31" i="24"/>
  <c r="V31" i="24" s="1"/>
  <c r="U88" i="24"/>
  <c r="V88" i="24" s="1"/>
  <c r="U89" i="24"/>
  <c r="V89" i="24" s="1"/>
  <c r="U126" i="24"/>
  <c r="V126" i="24" s="1"/>
  <c r="U10" i="24"/>
  <c r="V10" i="24" s="1"/>
  <c r="U4" i="24"/>
  <c r="V4" i="24" s="1"/>
  <c r="U24" i="24"/>
  <c r="V24" i="24" s="1"/>
  <c r="U121" i="24"/>
  <c r="V121" i="24" s="1"/>
  <c r="AG121" i="24" s="1"/>
  <c r="U60" i="24"/>
  <c r="V60" i="24" s="1"/>
  <c r="U57" i="24"/>
  <c r="V57" i="24" s="1"/>
  <c r="U66" i="24"/>
  <c r="V66" i="24" s="1"/>
  <c r="U118" i="24"/>
  <c r="V118" i="24" s="1"/>
  <c r="U139" i="24"/>
  <c r="V139" i="24" s="1"/>
  <c r="AD139" i="24" s="1"/>
  <c r="U140" i="24"/>
  <c r="V140" i="24" s="1"/>
  <c r="AG140" i="24" s="1"/>
  <c r="U36" i="24"/>
  <c r="V36" i="24" s="1"/>
  <c r="U122" i="24"/>
  <c r="V122" i="24" s="1"/>
  <c r="U104" i="24"/>
  <c r="V104" i="24" s="1"/>
  <c r="AD104" i="24" s="1"/>
  <c r="U117" i="24"/>
  <c r="V117" i="24" s="1"/>
  <c r="AG117" i="24" s="1"/>
  <c r="U92" i="24"/>
  <c r="V92" i="24" s="1"/>
  <c r="U59" i="24"/>
  <c r="V59" i="24" s="1"/>
  <c r="U84" i="24"/>
  <c r="V84" i="24" s="1"/>
  <c r="U133" i="24"/>
  <c r="V133" i="24" s="1"/>
  <c r="AD133" i="24" s="1"/>
  <c r="U42" i="24"/>
  <c r="V42" i="24" s="1"/>
  <c r="U64" i="24"/>
  <c r="V64" i="24" s="1"/>
  <c r="U5" i="24"/>
  <c r="V5" i="24" s="1"/>
  <c r="U55" i="24"/>
  <c r="V55" i="24" s="1"/>
  <c r="U8" i="24"/>
  <c r="V8" i="24" s="1"/>
  <c r="U20" i="24"/>
  <c r="V20" i="24" s="1"/>
  <c r="U58" i="24"/>
  <c r="V58" i="24" s="1"/>
  <c r="U75" i="24"/>
  <c r="V75" i="24" s="1"/>
  <c r="U85" i="24"/>
  <c r="V85" i="24" s="1"/>
  <c r="U56" i="24"/>
  <c r="V56" i="24" s="1"/>
  <c r="U123" i="24"/>
  <c r="V123" i="24" s="1"/>
  <c r="AG123" i="24" s="1"/>
  <c r="U14" i="24"/>
  <c r="V14" i="24" s="1"/>
  <c r="U26" i="24"/>
  <c r="V26" i="24" s="1"/>
  <c r="U15" i="24"/>
  <c r="V15" i="24" s="1"/>
  <c r="U93" i="24"/>
  <c r="V93" i="24" s="1"/>
  <c r="U51" i="24"/>
  <c r="V51" i="24" s="1"/>
  <c r="U73" i="24"/>
  <c r="V73" i="24" s="1"/>
  <c r="U103" i="24"/>
  <c r="V103" i="24" s="1"/>
  <c r="U50" i="24"/>
  <c r="V50" i="24" s="1"/>
  <c r="U43" i="24"/>
  <c r="V43" i="24" s="1"/>
  <c r="U114" i="24"/>
  <c r="V114" i="24" s="1"/>
  <c r="U65" i="24"/>
  <c r="V65" i="24" s="1"/>
  <c r="U98" i="24"/>
  <c r="V98" i="24" s="1"/>
  <c r="U33" i="24"/>
  <c r="V33" i="24" s="1"/>
  <c r="U13" i="24"/>
  <c r="V13" i="24" s="1"/>
  <c r="U107" i="24"/>
  <c r="V107" i="24" s="1"/>
  <c r="U125" i="24"/>
  <c r="V125" i="24" s="1"/>
  <c r="AG125" i="24" s="1"/>
  <c r="U16" i="24"/>
  <c r="V16" i="24" s="1"/>
  <c r="U74" i="24"/>
  <c r="V74" i="24" s="1"/>
  <c r="U86" i="24"/>
  <c r="V86" i="24" s="1"/>
  <c r="U94" i="24"/>
  <c r="V94" i="24" s="1"/>
  <c r="U7" i="24"/>
  <c r="V7" i="24" s="1"/>
  <c r="U115" i="24"/>
  <c r="V115" i="24" s="1"/>
  <c r="AG115" i="24" s="1"/>
  <c r="U142" i="24"/>
  <c r="V142" i="24" s="1"/>
  <c r="AG142" i="24" s="1"/>
  <c r="U80" i="24"/>
  <c r="V80" i="24" s="1"/>
  <c r="U110" i="24"/>
  <c r="V110" i="24" s="1"/>
  <c r="AD110" i="24" s="1"/>
  <c r="U127" i="24"/>
  <c r="V127" i="24" s="1"/>
  <c r="AG127" i="24" s="1"/>
  <c r="U12" i="24"/>
  <c r="V12" i="24" s="1"/>
  <c r="U11" i="24"/>
  <c r="V11" i="24" s="1"/>
  <c r="U82" i="24"/>
  <c r="V82" i="24" s="1"/>
  <c r="U112" i="24"/>
  <c r="V112" i="24" s="1"/>
  <c r="AD112" i="24" s="1"/>
  <c r="U77" i="24"/>
  <c r="V77" i="24" s="1"/>
  <c r="U105" i="24"/>
  <c r="V105" i="24" s="1"/>
  <c r="U9" i="24"/>
  <c r="V9" i="24" s="1"/>
  <c r="U90" i="24"/>
  <c r="V90" i="24" s="1"/>
  <c r="U106" i="24"/>
  <c r="V106" i="24" s="1"/>
  <c r="AD106" i="24" s="1"/>
  <c r="U25" i="24"/>
  <c r="V25" i="24" s="1"/>
  <c r="U53" i="24"/>
  <c r="V53" i="24" s="1"/>
  <c r="U132" i="24"/>
  <c r="V132" i="24" s="1"/>
  <c r="AG132" i="24" s="1"/>
  <c r="U83" i="24"/>
  <c r="V83" i="24" s="1"/>
  <c r="U46" i="24"/>
  <c r="V46" i="24" s="1"/>
  <c r="U35" i="24"/>
  <c r="V35" i="24" s="1"/>
  <c r="U136" i="24"/>
  <c r="V136" i="24" s="1"/>
  <c r="AG136" i="24" s="1"/>
  <c r="U71" i="24"/>
  <c r="V71" i="24" s="1"/>
  <c r="U44" i="24"/>
  <c r="V44" i="24" s="1"/>
  <c r="U78" i="24"/>
  <c r="V78" i="24" s="1"/>
  <c r="U21" i="24"/>
  <c r="V21" i="24" s="1"/>
  <c r="U97" i="24"/>
  <c r="V97" i="24" s="1"/>
  <c r="U68" i="24"/>
  <c r="V68" i="24" s="1"/>
  <c r="U102" i="24"/>
  <c r="V102" i="24" s="1"/>
  <c r="AD102" i="24" s="1"/>
  <c r="U95" i="24"/>
  <c r="V95" i="24" s="1"/>
  <c r="U87" i="24"/>
  <c r="V87" i="24" s="1"/>
  <c r="U47" i="24"/>
  <c r="V47" i="24" s="1"/>
  <c r="U40" i="24"/>
  <c r="V40" i="24" s="1"/>
  <c r="U119" i="24"/>
  <c r="V119" i="24" s="1"/>
  <c r="AG119" i="24" s="1"/>
  <c r="U41" i="24"/>
  <c r="V41" i="24" s="1"/>
  <c r="U61" i="24"/>
  <c r="V61" i="24" s="1"/>
  <c r="U91" i="24"/>
  <c r="V91" i="24" s="1"/>
  <c r="U29" i="24"/>
  <c r="V29" i="24" s="1"/>
  <c r="U113" i="24"/>
  <c r="V113" i="24" s="1"/>
  <c r="AG113" i="24" s="1"/>
  <c r="U138" i="24"/>
  <c r="V138" i="24" s="1"/>
  <c r="AG138" i="24" s="1"/>
  <c r="U17" i="24"/>
  <c r="V17" i="24" s="1"/>
  <c r="U131" i="24"/>
  <c r="V131" i="24" s="1"/>
  <c r="AD131" i="24" s="1"/>
  <c r="U135" i="24"/>
  <c r="V135" i="24" s="1"/>
  <c r="AD135" i="24" s="1"/>
  <c r="U27" i="24"/>
  <c r="V27" i="24" s="1"/>
  <c r="U45" i="24"/>
  <c r="V45" i="24" s="1"/>
  <c r="U52" i="24"/>
  <c r="V52" i="24" s="1"/>
  <c r="U130" i="24"/>
  <c r="V130" i="24" s="1"/>
  <c r="AG130" i="24" s="1"/>
  <c r="U141" i="24"/>
  <c r="V141" i="24" s="1"/>
  <c r="AD141" i="24" s="1"/>
  <c r="U19" i="24"/>
  <c r="V19" i="24" s="1"/>
  <c r="U96" i="24"/>
  <c r="V96" i="24" s="1"/>
  <c r="U32" i="24"/>
  <c r="V32" i="24" s="1"/>
  <c r="U116" i="24"/>
  <c r="V116" i="24" s="1"/>
  <c r="U134" i="24"/>
  <c r="V134" i="24" s="1"/>
  <c r="AG134" i="24" s="1"/>
  <c r="U124" i="24"/>
  <c r="V124" i="24" s="1"/>
  <c r="U63" i="24"/>
  <c r="V63" i="24" s="1"/>
  <c r="U3" i="24"/>
  <c r="U76" i="24"/>
  <c r="V76" i="24" s="1"/>
  <c r="U37" i="24"/>
  <c r="V37" i="24" s="1"/>
  <c r="U23" i="24"/>
  <c r="V23" i="24" s="1"/>
  <c r="U99" i="24"/>
  <c r="V99" i="24" s="1"/>
  <c r="U6" i="24"/>
  <c r="V6" i="24" s="1"/>
  <c r="U22" i="24"/>
  <c r="V22" i="24" s="1"/>
  <c r="U81" i="24"/>
  <c r="V81" i="24" s="1"/>
  <c r="U100" i="24"/>
  <c r="V100" i="24" s="1"/>
  <c r="AD100" i="24" s="1"/>
  <c r="U137" i="24"/>
  <c r="V137" i="24" s="1"/>
  <c r="AD137" i="24" s="1"/>
  <c r="U79" i="24"/>
  <c r="V79" i="24" s="1"/>
  <c r="U111" i="24"/>
  <c r="V111" i="24" s="1"/>
  <c r="U101" i="24"/>
  <c r="V101" i="24" s="1"/>
  <c r="U54" i="24"/>
  <c r="V54" i="24" s="1"/>
  <c r="U108" i="24"/>
  <c r="V108" i="24" s="1"/>
  <c r="AD108" i="24" s="1"/>
  <c r="U129" i="24"/>
  <c r="V129" i="24" s="1"/>
  <c r="AD129" i="24" s="1"/>
  <c r="U48" i="24"/>
  <c r="V48" i="24" s="1"/>
  <c r="U72" i="24"/>
  <c r="V72" i="24" s="1"/>
  <c r="U30" i="24"/>
  <c r="V30" i="24" s="1"/>
  <c r="U38" i="24"/>
  <c r="V38" i="24" s="1"/>
  <c r="AG109" i="24" l="1"/>
  <c r="AD109" i="24"/>
  <c r="AG105" i="24"/>
  <c r="AD105" i="24"/>
  <c r="AG111" i="24"/>
  <c r="AD111" i="24"/>
  <c r="AG107" i="24"/>
  <c r="AD107" i="24"/>
  <c r="AG101" i="24"/>
  <c r="AG99" i="24"/>
  <c r="AG103" i="24"/>
  <c r="AD143" i="24"/>
  <c r="AN143" i="24" s="1"/>
  <c r="AN142" i="24" s="1"/>
  <c r="AN141" i="24" s="1"/>
  <c r="AN140" i="24" s="1"/>
  <c r="AN139" i="24" s="1"/>
  <c r="AN138" i="24" s="1"/>
  <c r="AN137" i="24" s="1"/>
  <c r="AN136" i="24" s="1"/>
  <c r="AN135" i="24" s="1"/>
  <c r="AN134" i="24" s="1"/>
  <c r="AN133" i="24" s="1"/>
  <c r="AN132" i="24" s="1"/>
  <c r="AN131" i="24" s="1"/>
  <c r="AN130" i="24" s="1"/>
  <c r="AN129" i="24" s="1"/>
  <c r="P128" i="15"/>
  <c r="O128" i="15"/>
  <c r="N128" i="15"/>
  <c r="M128" i="15"/>
  <c r="L128" i="15"/>
  <c r="K128" i="15"/>
  <c r="J128" i="15"/>
  <c r="P127" i="15"/>
  <c r="O127" i="15"/>
  <c r="N127" i="15"/>
  <c r="M127" i="15"/>
  <c r="L127" i="15"/>
  <c r="K127" i="15"/>
  <c r="J127" i="15"/>
  <c r="P126" i="15"/>
  <c r="O126" i="15"/>
  <c r="N126" i="15"/>
  <c r="M126" i="15"/>
  <c r="L126" i="15"/>
  <c r="K126" i="15"/>
  <c r="J126" i="15"/>
  <c r="P125" i="15"/>
  <c r="O125" i="15"/>
  <c r="N125" i="15"/>
  <c r="M125" i="15"/>
  <c r="L125" i="15"/>
  <c r="K125" i="15"/>
  <c r="J125" i="15"/>
  <c r="P124" i="15"/>
  <c r="O124" i="15"/>
  <c r="N124" i="15"/>
  <c r="M124" i="15"/>
  <c r="L124" i="15"/>
  <c r="K124" i="15"/>
  <c r="J124" i="15"/>
  <c r="P123" i="15"/>
  <c r="O123" i="15"/>
  <c r="N123" i="15"/>
  <c r="M123" i="15"/>
  <c r="L123" i="15"/>
  <c r="K123" i="15"/>
  <c r="J123" i="15"/>
  <c r="P122" i="15"/>
  <c r="O122" i="15"/>
  <c r="N122" i="15"/>
  <c r="M122" i="15"/>
  <c r="L122" i="15"/>
  <c r="K122" i="15"/>
  <c r="J122" i="15"/>
  <c r="P121" i="15"/>
  <c r="O121" i="15"/>
  <c r="N121" i="15"/>
  <c r="M121" i="15"/>
  <c r="L121" i="15"/>
  <c r="K121" i="15"/>
  <c r="J121" i="15"/>
  <c r="P120" i="15"/>
  <c r="O120" i="15"/>
  <c r="N120" i="15"/>
  <c r="M120" i="15"/>
  <c r="L120" i="15"/>
  <c r="K120" i="15"/>
  <c r="J120" i="15"/>
  <c r="P119" i="15"/>
  <c r="O119" i="15"/>
  <c r="N119" i="15"/>
  <c r="M119" i="15"/>
  <c r="L119" i="15"/>
  <c r="K119" i="15"/>
  <c r="J119" i="15"/>
  <c r="P118" i="15"/>
  <c r="O118" i="15"/>
  <c r="N118" i="15"/>
  <c r="M118" i="15"/>
  <c r="L118" i="15"/>
  <c r="K118" i="15"/>
  <c r="J118" i="15"/>
  <c r="P117" i="15"/>
  <c r="O117" i="15"/>
  <c r="N117" i="15"/>
  <c r="M117" i="15"/>
  <c r="L117" i="15"/>
  <c r="K117" i="15"/>
  <c r="J117" i="15"/>
  <c r="P116" i="15"/>
  <c r="O116" i="15"/>
  <c r="N116" i="15"/>
  <c r="M116" i="15"/>
  <c r="L116" i="15"/>
  <c r="K116" i="15"/>
  <c r="J116" i="15"/>
  <c r="P115" i="15"/>
  <c r="O115" i="15"/>
  <c r="N115" i="15"/>
  <c r="M115" i="15"/>
  <c r="L115" i="15"/>
  <c r="K115" i="15"/>
  <c r="J115" i="15"/>
  <c r="P114" i="15"/>
  <c r="O114" i="15"/>
  <c r="N114" i="15"/>
  <c r="M114" i="15"/>
  <c r="L114" i="15"/>
  <c r="K114" i="15"/>
  <c r="J114" i="15"/>
  <c r="P113" i="15"/>
  <c r="O113" i="15"/>
  <c r="N113" i="15"/>
  <c r="M113" i="15"/>
  <c r="L113" i="15"/>
  <c r="K113" i="15"/>
  <c r="J113" i="15"/>
  <c r="P112" i="15"/>
  <c r="O112" i="15"/>
  <c r="N112" i="15"/>
  <c r="M112" i="15"/>
  <c r="L112" i="15"/>
  <c r="K112" i="15"/>
  <c r="J112" i="15"/>
  <c r="P111" i="15"/>
  <c r="O111" i="15"/>
  <c r="N111" i="15"/>
  <c r="M111" i="15"/>
  <c r="L111" i="15"/>
  <c r="K111" i="15"/>
  <c r="J111" i="15"/>
  <c r="P110" i="15"/>
  <c r="O110" i="15"/>
  <c r="N110" i="15"/>
  <c r="M110" i="15"/>
  <c r="L110" i="15"/>
  <c r="K110" i="15"/>
  <c r="J110" i="15"/>
  <c r="P109" i="15"/>
  <c r="O109" i="15"/>
  <c r="N109" i="15"/>
  <c r="M109" i="15"/>
  <c r="L109" i="15"/>
  <c r="K109" i="15"/>
  <c r="J109" i="15"/>
  <c r="P108" i="15"/>
  <c r="O108" i="15"/>
  <c r="N108" i="15"/>
  <c r="M108" i="15"/>
  <c r="L108" i="15"/>
  <c r="K108" i="15"/>
  <c r="J108" i="15"/>
  <c r="P107" i="15"/>
  <c r="O107" i="15"/>
  <c r="N107" i="15"/>
  <c r="M107" i="15"/>
  <c r="L107" i="15"/>
  <c r="K107" i="15"/>
  <c r="J107" i="15"/>
  <c r="P106" i="15"/>
  <c r="O106" i="15"/>
  <c r="N106" i="15"/>
  <c r="M106" i="15"/>
  <c r="L106" i="15"/>
  <c r="K106" i="15"/>
  <c r="J106" i="15"/>
  <c r="P105" i="15"/>
  <c r="O105" i="15"/>
  <c r="N105" i="15"/>
  <c r="M105" i="15"/>
  <c r="L105" i="15"/>
  <c r="K105" i="15"/>
  <c r="J105" i="15"/>
  <c r="P104" i="15"/>
  <c r="O104" i="15"/>
  <c r="N104" i="15"/>
  <c r="M104" i="15"/>
  <c r="L104" i="15"/>
  <c r="K104" i="15"/>
  <c r="J104" i="15"/>
  <c r="P103" i="15"/>
  <c r="O103" i="15"/>
  <c r="N103" i="15"/>
  <c r="M103" i="15"/>
  <c r="L103" i="15"/>
  <c r="K103" i="15"/>
  <c r="J103" i="15"/>
  <c r="P102" i="15"/>
  <c r="O102" i="15"/>
  <c r="N102" i="15"/>
  <c r="M102" i="15"/>
  <c r="L102" i="15"/>
  <c r="K102" i="15"/>
  <c r="J102" i="15"/>
  <c r="P101" i="15"/>
  <c r="O101" i="15"/>
  <c r="N101" i="15"/>
  <c r="M101" i="15"/>
  <c r="L101" i="15"/>
  <c r="K101" i="15"/>
  <c r="J101" i="15"/>
  <c r="P100" i="15"/>
  <c r="O100" i="15"/>
  <c r="N100" i="15"/>
  <c r="M100" i="15"/>
  <c r="L100" i="15"/>
  <c r="K100" i="15"/>
  <c r="J100" i="15"/>
  <c r="P99" i="15"/>
  <c r="O99" i="15"/>
  <c r="N99" i="15"/>
  <c r="M99" i="15"/>
  <c r="L99" i="15"/>
  <c r="K99" i="15"/>
  <c r="J99" i="15"/>
  <c r="P98" i="15"/>
  <c r="O98" i="15"/>
  <c r="N98" i="15"/>
  <c r="M98" i="15"/>
  <c r="L98" i="15"/>
  <c r="K98" i="15"/>
  <c r="J98" i="15"/>
  <c r="P97" i="15"/>
  <c r="O97" i="15"/>
  <c r="N97" i="15"/>
  <c r="M97" i="15"/>
  <c r="L97" i="15"/>
  <c r="K97" i="15"/>
  <c r="J97" i="15"/>
  <c r="P96" i="15"/>
  <c r="O96" i="15"/>
  <c r="N96" i="15"/>
  <c r="M96" i="15"/>
  <c r="L96" i="15"/>
  <c r="K96" i="15"/>
  <c r="J96" i="15"/>
  <c r="P95" i="15"/>
  <c r="O95" i="15"/>
  <c r="N95" i="15"/>
  <c r="M95" i="15"/>
  <c r="L95" i="15"/>
  <c r="K95" i="15"/>
  <c r="J95" i="15"/>
  <c r="P94" i="15"/>
  <c r="O94" i="15"/>
  <c r="N94" i="15"/>
  <c r="M94" i="15"/>
  <c r="L94" i="15"/>
  <c r="K94" i="15"/>
  <c r="J94" i="15"/>
  <c r="P93" i="15"/>
  <c r="O93" i="15"/>
  <c r="N93" i="15"/>
  <c r="M93" i="15"/>
  <c r="L93" i="15"/>
  <c r="K93" i="15"/>
  <c r="J93" i="15"/>
  <c r="P92" i="15"/>
  <c r="O92" i="15"/>
  <c r="N92" i="15"/>
  <c r="M92" i="15"/>
  <c r="L92" i="15"/>
  <c r="K92" i="15"/>
  <c r="J92" i="15"/>
  <c r="P91" i="15"/>
  <c r="O91" i="15"/>
  <c r="N91" i="15"/>
  <c r="M91" i="15"/>
  <c r="L91" i="15"/>
  <c r="K91" i="15"/>
  <c r="J91" i="15"/>
  <c r="P90" i="15"/>
  <c r="O90" i="15"/>
  <c r="N90" i="15"/>
  <c r="M90" i="15"/>
  <c r="L90" i="15"/>
  <c r="K90" i="15"/>
  <c r="J90" i="15"/>
  <c r="P89" i="15"/>
  <c r="O89" i="15"/>
  <c r="N89" i="15"/>
  <c r="M89" i="15"/>
  <c r="L89" i="15"/>
  <c r="K89" i="15"/>
  <c r="J89" i="15"/>
  <c r="P88" i="15"/>
  <c r="O88" i="15"/>
  <c r="N88" i="15"/>
  <c r="M88" i="15"/>
  <c r="L88" i="15"/>
  <c r="K88" i="15"/>
  <c r="J88" i="15"/>
  <c r="P87" i="15"/>
  <c r="O87" i="15"/>
  <c r="N87" i="15"/>
  <c r="M87" i="15"/>
  <c r="L87" i="15"/>
  <c r="K87" i="15"/>
  <c r="J87" i="15"/>
  <c r="P86" i="15"/>
  <c r="O86" i="15"/>
  <c r="N86" i="15"/>
  <c r="M86" i="15"/>
  <c r="L86" i="15"/>
  <c r="K86" i="15"/>
  <c r="J86" i="15"/>
  <c r="P85" i="15"/>
  <c r="O85" i="15"/>
  <c r="N85" i="15"/>
  <c r="M85" i="15"/>
  <c r="L85" i="15"/>
  <c r="K85" i="15"/>
  <c r="J85" i="15"/>
  <c r="P84" i="15"/>
  <c r="O84" i="15"/>
  <c r="N84" i="15"/>
  <c r="M84" i="15"/>
  <c r="L84" i="15"/>
  <c r="K84" i="15"/>
  <c r="J84" i="15"/>
  <c r="P83" i="15"/>
  <c r="O83" i="15"/>
  <c r="N83" i="15"/>
  <c r="M83" i="15"/>
  <c r="L83" i="15"/>
  <c r="K83" i="15"/>
  <c r="J83" i="15"/>
  <c r="P82" i="15"/>
  <c r="O82" i="15"/>
  <c r="N82" i="15"/>
  <c r="M82" i="15"/>
  <c r="L82" i="15"/>
  <c r="K82" i="15"/>
  <c r="J82" i="15"/>
  <c r="P81" i="15"/>
  <c r="O81" i="15"/>
  <c r="N81" i="15"/>
  <c r="M81" i="15"/>
  <c r="L81" i="15"/>
  <c r="K81" i="15"/>
  <c r="J81" i="15"/>
  <c r="P80" i="15"/>
  <c r="O80" i="15"/>
  <c r="N80" i="15"/>
  <c r="M80" i="15"/>
  <c r="L80" i="15"/>
  <c r="K80" i="15"/>
  <c r="J80" i="15"/>
  <c r="P79" i="15"/>
  <c r="O79" i="15"/>
  <c r="N79" i="15"/>
  <c r="M79" i="15"/>
  <c r="L79" i="15"/>
  <c r="K79" i="15"/>
  <c r="J79" i="15"/>
  <c r="P78" i="15"/>
  <c r="O78" i="15"/>
  <c r="N78" i="15"/>
  <c r="M78" i="15"/>
  <c r="L78" i="15"/>
  <c r="K78" i="15"/>
  <c r="J78" i="15"/>
  <c r="P77" i="15"/>
  <c r="O77" i="15"/>
  <c r="N77" i="15"/>
  <c r="M77" i="15"/>
  <c r="L77" i="15"/>
  <c r="K77" i="15"/>
  <c r="J77" i="15"/>
  <c r="P76" i="15"/>
  <c r="O76" i="15"/>
  <c r="N76" i="15"/>
  <c r="M76" i="15"/>
  <c r="L76" i="15"/>
  <c r="K76" i="15"/>
  <c r="J76" i="15"/>
  <c r="P75" i="15"/>
  <c r="O75" i="15"/>
  <c r="N75" i="15"/>
  <c r="M75" i="15"/>
  <c r="L75" i="15"/>
  <c r="K75" i="15"/>
  <c r="J75" i="15"/>
  <c r="P74" i="15"/>
  <c r="O74" i="15"/>
  <c r="N74" i="15"/>
  <c r="M74" i="15"/>
  <c r="L74" i="15"/>
  <c r="K74" i="15"/>
  <c r="J74" i="15"/>
  <c r="P73" i="15"/>
  <c r="O73" i="15"/>
  <c r="N73" i="15"/>
  <c r="M73" i="15"/>
  <c r="L73" i="15"/>
  <c r="K73" i="15"/>
  <c r="J73" i="15"/>
  <c r="P72" i="15"/>
  <c r="O72" i="15"/>
  <c r="N72" i="15"/>
  <c r="M72" i="15"/>
  <c r="L72" i="15"/>
  <c r="K72" i="15"/>
  <c r="J72" i="15"/>
  <c r="P71" i="15"/>
  <c r="O71" i="15"/>
  <c r="N71" i="15"/>
  <c r="M71" i="15"/>
  <c r="L71" i="15"/>
  <c r="K71" i="15"/>
  <c r="J71" i="15"/>
  <c r="P70" i="15"/>
  <c r="O70" i="15"/>
  <c r="N70" i="15"/>
  <c r="M70" i="15"/>
  <c r="L70" i="15"/>
  <c r="K70" i="15"/>
  <c r="J70" i="15"/>
  <c r="P69" i="15"/>
  <c r="O69" i="15"/>
  <c r="N69" i="15"/>
  <c r="M69" i="15"/>
  <c r="L69" i="15"/>
  <c r="K69" i="15"/>
  <c r="J69" i="15"/>
  <c r="P68" i="15"/>
  <c r="O68" i="15"/>
  <c r="N68" i="15"/>
  <c r="M68" i="15"/>
  <c r="L68" i="15"/>
  <c r="K68" i="15"/>
  <c r="J68" i="15"/>
  <c r="P67" i="15"/>
  <c r="O67" i="15"/>
  <c r="N67" i="15"/>
  <c r="M67" i="15"/>
  <c r="L67" i="15"/>
  <c r="K67" i="15"/>
  <c r="J67" i="15"/>
  <c r="P66" i="15"/>
  <c r="O66" i="15"/>
  <c r="N66" i="15"/>
  <c r="M66" i="15"/>
  <c r="L66" i="15"/>
  <c r="K66" i="15"/>
  <c r="J66" i="15"/>
  <c r="P65" i="15"/>
  <c r="O65" i="15"/>
  <c r="N65" i="15"/>
  <c r="M65" i="15"/>
  <c r="L65" i="15"/>
  <c r="K65" i="15"/>
  <c r="J65" i="15"/>
  <c r="P64" i="15"/>
  <c r="O64" i="15"/>
  <c r="N64" i="15"/>
  <c r="M64" i="15"/>
  <c r="L64" i="15"/>
  <c r="K64" i="15"/>
  <c r="J64" i="15"/>
  <c r="P63" i="15"/>
  <c r="O63" i="15"/>
  <c r="N63" i="15"/>
  <c r="M63" i="15"/>
  <c r="L63" i="15"/>
  <c r="K63" i="15"/>
  <c r="J63" i="15"/>
  <c r="P62" i="15"/>
  <c r="O62" i="15"/>
  <c r="N62" i="15"/>
  <c r="M62" i="15"/>
  <c r="L62" i="15"/>
  <c r="K62" i="15"/>
  <c r="J62" i="15"/>
  <c r="P61" i="15"/>
  <c r="O61" i="15"/>
  <c r="N61" i="15"/>
  <c r="M61" i="15"/>
  <c r="L61" i="15"/>
  <c r="K61" i="15"/>
  <c r="J61" i="15"/>
  <c r="P60" i="15"/>
  <c r="O60" i="15"/>
  <c r="N60" i="15"/>
  <c r="M60" i="15"/>
  <c r="L60" i="15"/>
  <c r="K60" i="15"/>
  <c r="J60" i="15"/>
  <c r="P59" i="15"/>
  <c r="O59" i="15"/>
  <c r="N59" i="15"/>
  <c r="M59" i="15"/>
  <c r="L59" i="15"/>
  <c r="K59" i="15"/>
  <c r="J59" i="15"/>
  <c r="P58" i="15"/>
  <c r="O58" i="15"/>
  <c r="N58" i="15"/>
  <c r="M58" i="15"/>
  <c r="L58" i="15"/>
  <c r="K58" i="15"/>
  <c r="J58" i="15"/>
  <c r="P57" i="15"/>
  <c r="O57" i="15"/>
  <c r="N57" i="15"/>
  <c r="M57" i="15"/>
  <c r="L57" i="15"/>
  <c r="K57" i="15"/>
  <c r="J57" i="15"/>
  <c r="P56" i="15"/>
  <c r="O56" i="15"/>
  <c r="N56" i="15"/>
  <c r="M56" i="15"/>
  <c r="L56" i="15"/>
  <c r="K56" i="15"/>
  <c r="J56" i="15"/>
  <c r="P55" i="15"/>
  <c r="O55" i="15"/>
  <c r="N55" i="15"/>
  <c r="M55" i="15"/>
  <c r="L55" i="15"/>
  <c r="K55" i="15"/>
  <c r="J55" i="15"/>
  <c r="P54" i="15"/>
  <c r="O54" i="15"/>
  <c r="N54" i="15"/>
  <c r="M54" i="15"/>
  <c r="L54" i="15"/>
  <c r="K54" i="15"/>
  <c r="J54" i="15"/>
  <c r="P53" i="15"/>
  <c r="O53" i="15"/>
  <c r="N53" i="15"/>
  <c r="M53" i="15"/>
  <c r="L53" i="15"/>
  <c r="K53" i="15"/>
  <c r="J53" i="15"/>
  <c r="P52" i="15"/>
  <c r="O52" i="15"/>
  <c r="N52" i="15"/>
  <c r="M52" i="15"/>
  <c r="L52" i="15"/>
  <c r="K52" i="15"/>
  <c r="J52" i="15"/>
  <c r="P51" i="15"/>
  <c r="O51" i="15"/>
  <c r="N51" i="15"/>
  <c r="M51" i="15"/>
  <c r="L51" i="15"/>
  <c r="K51" i="15"/>
  <c r="J51" i="15"/>
  <c r="P50" i="15"/>
  <c r="O50" i="15"/>
  <c r="N50" i="15"/>
  <c r="M50" i="15"/>
  <c r="L50" i="15"/>
  <c r="K50" i="15"/>
  <c r="J50" i="15"/>
  <c r="P49" i="15"/>
  <c r="O49" i="15"/>
  <c r="N49" i="15"/>
  <c r="M49" i="15"/>
  <c r="L49" i="15"/>
  <c r="K49" i="15"/>
  <c r="J49" i="15"/>
  <c r="P48" i="15"/>
  <c r="O48" i="15"/>
  <c r="N48" i="15"/>
  <c r="M48" i="15"/>
  <c r="L48" i="15"/>
  <c r="K48" i="15"/>
  <c r="J48" i="15"/>
  <c r="P47" i="15"/>
  <c r="O47" i="15"/>
  <c r="N47" i="15"/>
  <c r="M47" i="15"/>
  <c r="L47" i="15"/>
  <c r="K47" i="15"/>
  <c r="J47" i="15"/>
  <c r="P46" i="15"/>
  <c r="O46" i="15"/>
  <c r="N46" i="15"/>
  <c r="M46" i="15"/>
  <c r="L46" i="15"/>
  <c r="K46" i="15"/>
  <c r="J46" i="15"/>
  <c r="P45" i="15"/>
  <c r="O45" i="15"/>
  <c r="N45" i="15"/>
  <c r="M45" i="15"/>
  <c r="L45" i="15"/>
  <c r="K45" i="15"/>
  <c r="J45" i="15"/>
  <c r="P44" i="15"/>
  <c r="O44" i="15"/>
  <c r="N44" i="15"/>
  <c r="M44" i="15"/>
  <c r="L44" i="15"/>
  <c r="K44" i="15"/>
  <c r="J44" i="15"/>
  <c r="P43" i="15"/>
  <c r="O43" i="15"/>
  <c r="N43" i="15"/>
  <c r="M43" i="15"/>
  <c r="L43" i="15"/>
  <c r="K43" i="15"/>
  <c r="J43" i="15"/>
  <c r="P42" i="15"/>
  <c r="O42" i="15"/>
  <c r="N42" i="15"/>
  <c r="M42" i="15"/>
  <c r="L42" i="15"/>
  <c r="K42" i="15"/>
  <c r="J42" i="15"/>
  <c r="P41" i="15"/>
  <c r="O41" i="15"/>
  <c r="N41" i="15"/>
  <c r="M41" i="15"/>
  <c r="L41" i="15"/>
  <c r="K41" i="15"/>
  <c r="J41" i="15"/>
  <c r="P40" i="15"/>
  <c r="O40" i="15"/>
  <c r="N40" i="15"/>
  <c r="M40" i="15"/>
  <c r="L40" i="15"/>
  <c r="K40" i="15"/>
  <c r="J40" i="15"/>
  <c r="P39" i="15"/>
  <c r="O39" i="15"/>
  <c r="N39" i="15"/>
  <c r="M39" i="15"/>
  <c r="L39" i="15"/>
  <c r="K39" i="15"/>
  <c r="J39" i="15"/>
  <c r="P38" i="15"/>
  <c r="O38" i="15"/>
  <c r="N38" i="15"/>
  <c r="M38" i="15"/>
  <c r="L38" i="15"/>
  <c r="K38" i="15"/>
  <c r="J38" i="15"/>
  <c r="P37" i="15"/>
  <c r="O37" i="15"/>
  <c r="N37" i="15"/>
  <c r="M37" i="15"/>
  <c r="L37" i="15"/>
  <c r="K37" i="15"/>
  <c r="J37" i="15"/>
  <c r="P36" i="15"/>
  <c r="O36" i="15"/>
  <c r="N36" i="15"/>
  <c r="M36" i="15"/>
  <c r="L36" i="15"/>
  <c r="K36" i="15"/>
  <c r="J36" i="15"/>
  <c r="U35" i="15"/>
  <c r="P35" i="15"/>
  <c r="O35" i="15"/>
  <c r="N35" i="15"/>
  <c r="M35" i="15"/>
  <c r="L35" i="15"/>
  <c r="K35" i="15"/>
  <c r="J35" i="15"/>
  <c r="U34" i="15"/>
  <c r="P34" i="15"/>
  <c r="O34" i="15"/>
  <c r="N34" i="15"/>
  <c r="M34" i="15"/>
  <c r="L34" i="15"/>
  <c r="K34" i="15"/>
  <c r="J34" i="15"/>
  <c r="U33" i="15"/>
  <c r="P33" i="15"/>
  <c r="O33" i="15"/>
  <c r="N33" i="15"/>
  <c r="M33" i="15"/>
  <c r="L33" i="15"/>
  <c r="K33" i="15"/>
  <c r="J33" i="15"/>
  <c r="U32" i="15"/>
  <c r="P32" i="15"/>
  <c r="O32" i="15"/>
  <c r="N32" i="15"/>
  <c r="M32" i="15"/>
  <c r="L32" i="15"/>
  <c r="K32" i="15"/>
  <c r="J32" i="15"/>
  <c r="U31" i="15"/>
  <c r="P31" i="15"/>
  <c r="O31" i="15"/>
  <c r="N31" i="15"/>
  <c r="M31" i="15"/>
  <c r="L31" i="15"/>
  <c r="K31" i="15"/>
  <c r="J31" i="15"/>
  <c r="U30" i="15"/>
  <c r="P30" i="15"/>
  <c r="O30" i="15"/>
  <c r="N30" i="15"/>
  <c r="M30" i="15"/>
  <c r="L30" i="15"/>
  <c r="K30" i="15"/>
  <c r="J30" i="15"/>
  <c r="P29" i="15"/>
  <c r="O29" i="15"/>
  <c r="N29" i="15"/>
  <c r="M29" i="15"/>
  <c r="L29" i="15"/>
  <c r="K29" i="15"/>
  <c r="J29" i="15"/>
  <c r="P28" i="15"/>
  <c r="O28" i="15"/>
  <c r="N28" i="15"/>
  <c r="M28" i="15"/>
  <c r="L28" i="15"/>
  <c r="K28" i="15"/>
  <c r="J28" i="15"/>
  <c r="U27" i="15"/>
  <c r="P27" i="15"/>
  <c r="O27" i="15"/>
  <c r="N27" i="15"/>
  <c r="M27" i="15"/>
  <c r="L27" i="15"/>
  <c r="K27" i="15"/>
  <c r="J27" i="15"/>
  <c r="P26" i="15"/>
  <c r="O26" i="15"/>
  <c r="N26" i="15"/>
  <c r="M26" i="15"/>
  <c r="L26" i="15"/>
  <c r="K26" i="15"/>
  <c r="J26" i="15"/>
  <c r="P25" i="15"/>
  <c r="O25" i="15"/>
  <c r="N25" i="15"/>
  <c r="M25" i="15"/>
  <c r="L25" i="15"/>
  <c r="K25" i="15"/>
  <c r="J25" i="15"/>
  <c r="P24" i="15"/>
  <c r="O24" i="15"/>
  <c r="N24" i="15"/>
  <c r="M24" i="15"/>
  <c r="L24" i="15"/>
  <c r="K24" i="15"/>
  <c r="J24" i="15"/>
  <c r="P23" i="15"/>
  <c r="O23" i="15"/>
  <c r="N23" i="15"/>
  <c r="M23" i="15"/>
  <c r="L23" i="15"/>
  <c r="K23" i="15"/>
  <c r="J23" i="15"/>
  <c r="P22" i="15"/>
  <c r="O22" i="15"/>
  <c r="N22" i="15"/>
  <c r="M22" i="15"/>
  <c r="L22" i="15"/>
  <c r="K22" i="15"/>
  <c r="J22" i="15"/>
  <c r="U21" i="15"/>
  <c r="P21" i="15"/>
  <c r="O21" i="15"/>
  <c r="N21" i="15"/>
  <c r="M21" i="15"/>
  <c r="L21" i="15"/>
  <c r="K21" i="15"/>
  <c r="J21" i="15"/>
  <c r="P20" i="15"/>
  <c r="O20" i="15"/>
  <c r="N20" i="15"/>
  <c r="M20" i="15"/>
  <c r="L20" i="15"/>
  <c r="K20" i="15"/>
  <c r="J20" i="15"/>
  <c r="U19" i="15"/>
  <c r="P19" i="15"/>
  <c r="O19" i="15"/>
  <c r="N19" i="15"/>
  <c r="M19" i="15"/>
  <c r="L19" i="15"/>
  <c r="K19" i="15"/>
  <c r="J19" i="15"/>
  <c r="P18" i="15"/>
  <c r="O18" i="15"/>
  <c r="N18" i="15"/>
  <c r="M18" i="15"/>
  <c r="L18" i="15"/>
  <c r="K18" i="15"/>
  <c r="J18" i="15"/>
  <c r="P17" i="15"/>
  <c r="O17" i="15"/>
  <c r="N17" i="15"/>
  <c r="M17" i="15"/>
  <c r="L17" i="15"/>
  <c r="K17" i="15"/>
  <c r="J17" i="15"/>
  <c r="P16" i="15"/>
  <c r="O16" i="15"/>
  <c r="N16" i="15"/>
  <c r="M16" i="15"/>
  <c r="L16" i="15"/>
  <c r="K16" i="15"/>
  <c r="J16" i="15"/>
  <c r="AA15" i="15"/>
  <c r="Z15" i="15"/>
  <c r="Y15" i="15"/>
  <c r="X15" i="15"/>
  <c r="W15" i="15"/>
  <c r="V15" i="15"/>
  <c r="P15" i="15"/>
  <c r="O15" i="15"/>
  <c r="N15" i="15"/>
  <c r="M15" i="15"/>
  <c r="L15" i="15"/>
  <c r="K15" i="15"/>
  <c r="J15" i="15"/>
  <c r="P14" i="15"/>
  <c r="O14" i="15"/>
  <c r="N14" i="15"/>
  <c r="M14" i="15"/>
  <c r="L14" i="15"/>
  <c r="K14" i="15"/>
  <c r="J14" i="15"/>
  <c r="P13" i="15"/>
  <c r="O13" i="15"/>
  <c r="N13" i="15"/>
  <c r="M13" i="15"/>
  <c r="L13" i="15"/>
  <c r="K13" i="15"/>
  <c r="J13" i="15"/>
  <c r="P12" i="15"/>
  <c r="O12" i="15"/>
  <c r="N12" i="15"/>
  <c r="M12" i="15"/>
  <c r="L12" i="15"/>
  <c r="K12" i="15"/>
  <c r="J12" i="15"/>
  <c r="U11" i="15"/>
  <c r="P11" i="15"/>
  <c r="O11" i="15"/>
  <c r="N11" i="15"/>
  <c r="M11" i="15"/>
  <c r="L11" i="15"/>
  <c r="K11" i="15"/>
  <c r="J11" i="15"/>
  <c r="P10" i="15"/>
  <c r="O10" i="15"/>
  <c r="N10" i="15"/>
  <c r="M10" i="15"/>
  <c r="L10" i="15"/>
  <c r="K10" i="15"/>
  <c r="J10" i="15"/>
  <c r="P9" i="15"/>
  <c r="O9" i="15"/>
  <c r="N9" i="15"/>
  <c r="M9" i="15"/>
  <c r="L9" i="15"/>
  <c r="K9" i="15"/>
  <c r="J9" i="15"/>
  <c r="P8" i="15"/>
  <c r="O8" i="15"/>
  <c r="N8" i="15"/>
  <c r="M8" i="15"/>
  <c r="L8" i="15"/>
  <c r="K8" i="15"/>
  <c r="J8" i="15"/>
  <c r="Z7" i="15"/>
  <c r="Y7" i="15"/>
  <c r="X7" i="15"/>
  <c r="W7" i="15"/>
  <c r="V7" i="15"/>
  <c r="P7" i="15"/>
  <c r="O7" i="15"/>
  <c r="N7" i="15"/>
  <c r="M7" i="15"/>
  <c r="L7" i="15"/>
  <c r="K7" i="15"/>
  <c r="J7" i="15"/>
  <c r="P6" i="15"/>
  <c r="O6" i="15"/>
  <c r="N6" i="15"/>
  <c r="M6" i="15"/>
  <c r="L6" i="15"/>
  <c r="K6" i="15"/>
  <c r="J6" i="15"/>
  <c r="P5" i="15"/>
  <c r="O5" i="15"/>
  <c r="N5" i="15"/>
  <c r="M5" i="15"/>
  <c r="L5" i="15"/>
  <c r="K5" i="15"/>
  <c r="J5" i="15"/>
  <c r="P4" i="15"/>
  <c r="O4" i="15"/>
  <c r="N4" i="15"/>
  <c r="M4" i="15"/>
  <c r="L4" i="15"/>
  <c r="K4" i="15"/>
  <c r="J4" i="15"/>
  <c r="P3" i="15"/>
  <c r="O3" i="15"/>
  <c r="N3" i="15"/>
  <c r="M3" i="15"/>
  <c r="L3" i="15"/>
  <c r="K3" i="15"/>
  <c r="J3" i="15"/>
  <c r="P2" i="15"/>
  <c r="O2" i="15"/>
  <c r="N2" i="15"/>
  <c r="M2" i="15"/>
  <c r="L2" i="15"/>
  <c r="K2" i="15"/>
  <c r="J2" i="15"/>
  <c r="AN128" i="24" l="1"/>
  <c r="C30" i="1"/>
  <c r="AL82" i="24" l="1"/>
  <c r="AL100" i="49"/>
  <c r="AL74" i="24"/>
  <c r="AL99" i="49"/>
  <c r="AL91" i="49"/>
  <c r="AL81" i="24"/>
  <c r="AL78" i="24"/>
  <c r="AL79" i="24"/>
  <c r="AL83" i="24"/>
  <c r="AL94" i="49"/>
  <c r="AL97" i="49"/>
  <c r="AL103" i="49"/>
  <c r="AL101" i="49"/>
  <c r="AL95" i="49"/>
  <c r="AL93" i="49"/>
  <c r="AL75" i="24"/>
  <c r="AL84" i="24"/>
  <c r="AL80" i="24"/>
  <c r="AL90" i="49"/>
  <c r="AL86" i="24"/>
  <c r="AL85" i="24"/>
  <c r="AL96" i="49"/>
  <c r="AL77" i="24"/>
  <c r="AL98" i="49"/>
  <c r="AL76" i="24"/>
  <c r="AL102" i="49"/>
  <c r="AL92" i="49"/>
  <c r="AL12" i="24"/>
  <c r="AL58" i="24"/>
  <c r="AL66" i="24"/>
  <c r="AL32" i="24"/>
  <c r="AL37" i="24"/>
  <c r="AL29" i="24"/>
  <c r="AL23" i="24"/>
  <c r="AL9" i="24"/>
  <c r="AL25" i="24"/>
  <c r="AL61" i="24"/>
  <c r="AL26" i="24"/>
  <c r="AL38" i="24"/>
  <c r="AL70" i="24"/>
  <c r="AL56" i="24"/>
  <c r="AL59" i="24"/>
  <c r="AL10" i="24"/>
  <c r="AL4" i="24"/>
  <c r="AL28" i="24"/>
  <c r="AL54" i="24"/>
  <c r="AL19" i="24"/>
  <c r="AL11" i="24"/>
  <c r="AL44" i="24"/>
  <c r="AL43" i="24"/>
  <c r="AL31" i="24"/>
  <c r="AL13" i="24"/>
  <c r="AL68" i="24"/>
  <c r="AL21" i="24"/>
  <c r="AL7" i="24"/>
  <c r="AL42" i="24"/>
  <c r="AL72" i="24"/>
  <c r="AL36" i="24"/>
  <c r="AL22" i="24"/>
  <c r="AL40" i="24"/>
  <c r="AL6" i="24"/>
  <c r="AL67" i="24"/>
  <c r="AL15" i="24"/>
  <c r="AL14" i="24"/>
  <c r="AL24" i="24"/>
  <c r="AL60" i="24"/>
  <c r="AL35" i="24"/>
  <c r="AL55" i="24"/>
  <c r="AL57" i="24"/>
  <c r="AL33" i="24"/>
  <c r="AL45" i="24"/>
  <c r="AL20" i="24"/>
  <c r="AL69" i="24"/>
  <c r="AL30" i="24"/>
  <c r="AL46" i="24"/>
  <c r="AL16" i="24"/>
  <c r="AL41" i="24"/>
  <c r="AL5" i="24"/>
  <c r="AL27" i="24"/>
  <c r="AL71" i="24"/>
  <c r="AL18" i="24"/>
  <c r="AL73" i="24"/>
  <c r="AL17" i="24"/>
  <c r="AL53" i="24"/>
  <c r="AL8" i="24"/>
  <c r="AL34" i="24"/>
  <c r="AL39" i="24"/>
  <c r="AL102" i="24"/>
  <c r="AL99" i="24"/>
  <c r="AL100" i="24"/>
  <c r="AL103" i="24"/>
  <c r="AL101" i="24"/>
  <c r="AL66" i="47"/>
  <c r="AL62" i="47"/>
  <c r="AL64" i="47"/>
  <c r="AL69" i="47"/>
  <c r="AL71" i="47"/>
  <c r="AL74" i="47"/>
  <c r="AL70" i="47"/>
  <c r="AL72" i="47"/>
  <c r="AL77" i="47"/>
  <c r="AL76" i="47"/>
  <c r="AL79" i="47"/>
  <c r="AL84" i="47"/>
  <c r="AL80" i="47"/>
  <c r="AL85" i="47"/>
  <c r="AL87" i="49"/>
  <c r="AL88" i="49"/>
  <c r="AL65" i="47"/>
  <c r="AL83" i="47"/>
  <c r="AL67" i="47"/>
  <c r="AL89" i="49"/>
  <c r="AL73" i="47"/>
  <c r="AL63" i="47"/>
  <c r="AL86" i="47"/>
  <c r="AL78" i="47"/>
  <c r="AL75" i="47"/>
  <c r="AL82" i="47"/>
  <c r="AL81" i="47"/>
  <c r="AL68" i="47"/>
  <c r="AL52" i="24"/>
  <c r="AL49" i="24"/>
  <c r="AL50" i="24"/>
  <c r="AL48" i="24"/>
  <c r="AL51" i="24"/>
  <c r="AL47" i="24"/>
  <c r="AL90" i="24"/>
  <c r="AL95" i="47"/>
  <c r="AL62" i="49"/>
  <c r="AL67" i="49"/>
  <c r="AL83" i="49"/>
  <c r="AL88" i="47"/>
  <c r="AL68" i="49"/>
  <c r="AL92" i="24"/>
  <c r="AL69" i="49"/>
  <c r="AL91" i="47"/>
  <c r="AL70" i="49"/>
  <c r="AL85" i="49"/>
  <c r="AL90" i="47"/>
  <c r="AL78" i="49"/>
  <c r="AL77" i="49"/>
  <c r="AL87" i="47"/>
  <c r="AL76" i="49"/>
  <c r="AL81" i="49"/>
  <c r="AL64" i="49"/>
  <c r="AL96" i="24"/>
  <c r="AL98" i="47"/>
  <c r="AL91" i="24"/>
  <c r="AL72" i="49"/>
  <c r="AL63" i="49"/>
  <c r="AL73" i="49"/>
  <c r="AL94" i="24"/>
  <c r="AL65" i="49"/>
  <c r="AL86" i="49"/>
  <c r="AL66" i="49"/>
  <c r="AL96" i="47"/>
  <c r="AL80" i="49"/>
  <c r="AL93" i="24"/>
  <c r="AL89" i="47"/>
  <c r="AL89" i="24"/>
  <c r="AL95" i="24"/>
  <c r="AL87" i="24"/>
  <c r="AL84" i="49"/>
  <c r="AL97" i="24"/>
  <c r="AL75" i="49"/>
  <c r="AL92" i="47"/>
  <c r="AL94" i="47"/>
  <c r="AL71" i="49"/>
  <c r="AL74" i="49"/>
  <c r="AL97" i="47"/>
  <c r="AL79" i="49"/>
  <c r="AL98" i="24"/>
  <c r="AL93" i="47"/>
  <c r="AL82" i="49"/>
  <c r="AL88" i="24"/>
  <c r="AN127" i="24"/>
  <c r="AN126" i="24" s="1"/>
  <c r="AN125" i="24" s="1"/>
  <c r="AN124" i="24" s="1"/>
  <c r="AN123" i="24" s="1"/>
  <c r="AN122" i="24" s="1"/>
  <c r="AN121" i="24" s="1"/>
  <c r="AN120" i="24" s="1"/>
  <c r="AN119" i="24" s="1"/>
  <c r="AN118" i="24" s="1"/>
  <c r="AN117" i="24" s="1"/>
  <c r="AN116" i="24" s="1"/>
  <c r="AN115" i="24" s="1"/>
  <c r="AN114" i="24" s="1"/>
  <c r="AN113" i="24" s="1"/>
  <c r="J20" i="48"/>
  <c r="J20" i="50"/>
  <c r="AL17" i="47"/>
  <c r="AL35" i="47"/>
  <c r="AL61" i="47"/>
  <c r="AL14" i="49"/>
  <c r="AL23" i="49"/>
  <c r="AL50" i="49"/>
  <c r="AL47" i="49"/>
  <c r="AL12" i="49"/>
  <c r="AL34" i="49"/>
  <c r="AL10" i="49"/>
  <c r="AL39" i="49"/>
  <c r="AL49" i="47"/>
  <c r="AL7" i="47"/>
  <c r="AL44" i="47"/>
  <c r="AL11" i="47"/>
  <c r="AL27" i="47"/>
  <c r="AL15" i="47"/>
  <c r="AL12" i="47"/>
  <c r="AL30" i="49"/>
  <c r="AL52" i="49"/>
  <c r="AL26" i="49"/>
  <c r="AL20" i="49"/>
  <c r="AL9" i="49"/>
  <c r="AL61" i="49"/>
  <c r="AL43" i="49"/>
  <c r="AL35" i="49"/>
  <c r="AL25" i="47"/>
  <c r="AL45" i="47"/>
  <c r="AL28" i="47"/>
  <c r="AL34" i="47"/>
  <c r="AL19" i="47"/>
  <c r="AL47" i="47"/>
  <c r="AL26" i="47"/>
  <c r="AL25" i="49"/>
  <c r="AL17" i="49"/>
  <c r="AL27" i="49"/>
  <c r="AL60" i="49"/>
  <c r="AL36" i="49"/>
  <c r="AL59" i="49"/>
  <c r="AL54" i="49"/>
  <c r="AL65" i="24"/>
  <c r="AL57" i="47"/>
  <c r="AL16" i="47"/>
  <c r="AL56" i="47"/>
  <c r="AL40" i="47"/>
  <c r="AL55" i="47"/>
  <c r="AL6" i="47"/>
  <c r="AL30" i="47"/>
  <c r="AL48" i="49"/>
  <c r="AL11" i="49"/>
  <c r="AL13" i="49"/>
  <c r="AL37" i="49"/>
  <c r="AL53" i="49"/>
  <c r="AL44" i="49"/>
  <c r="AL28" i="49"/>
  <c r="AL64" i="24"/>
  <c r="AL33" i="47"/>
  <c r="AL18" i="47"/>
  <c r="AL53" i="47"/>
  <c r="AL50" i="47"/>
  <c r="AL46" i="47"/>
  <c r="AL48" i="47"/>
  <c r="AL42" i="47"/>
  <c r="AL57" i="49"/>
  <c r="AL32" i="49"/>
  <c r="AL15" i="49"/>
  <c r="AL24" i="49"/>
  <c r="AL51" i="49"/>
  <c r="AL22" i="49"/>
  <c r="AL21" i="49"/>
  <c r="AL9" i="47"/>
  <c r="AL13" i="47"/>
  <c r="AL37" i="47"/>
  <c r="AL59" i="47"/>
  <c r="AL31" i="47"/>
  <c r="AL39" i="47"/>
  <c r="AL29" i="47"/>
  <c r="AL41" i="47"/>
  <c r="AL58" i="49"/>
  <c r="AL29" i="49"/>
  <c r="AL33" i="49"/>
  <c r="AL49" i="49"/>
  <c r="AL45" i="49"/>
  <c r="AL46" i="49"/>
  <c r="AL4" i="49"/>
  <c r="AL38" i="47"/>
  <c r="AL21" i="47"/>
  <c r="AL52" i="47"/>
  <c r="AL20" i="47"/>
  <c r="AL22" i="47"/>
  <c r="AL60" i="47"/>
  <c r="AL10" i="47"/>
  <c r="AL7" i="49"/>
  <c r="AL56" i="49"/>
  <c r="AL41" i="49"/>
  <c r="AL19" i="49"/>
  <c r="AL55" i="49"/>
  <c r="AL31" i="49"/>
  <c r="AL18" i="49"/>
  <c r="AL51" i="47"/>
  <c r="AL23" i="47"/>
  <c r="AL36" i="47"/>
  <c r="AL63" i="24"/>
  <c r="AL24" i="47"/>
  <c r="AL4" i="47"/>
  <c r="AL43" i="47"/>
  <c r="AL5" i="49"/>
  <c r="AL40" i="49"/>
  <c r="AL8" i="49"/>
  <c r="AL16" i="49"/>
  <c r="AL38" i="49"/>
  <c r="AL6" i="49"/>
  <c r="AL42" i="49"/>
  <c r="AL54" i="47"/>
  <c r="AL58" i="47"/>
  <c r="AL32" i="47"/>
  <c r="AL5" i="47"/>
  <c r="AL14" i="47"/>
  <c r="AL62" i="24"/>
  <c r="AL8" i="47"/>
  <c r="C31" i="1"/>
  <c r="AE84" i="24" l="1"/>
  <c r="AI84" i="24"/>
  <c r="AE101" i="49"/>
  <c r="AH84" i="24"/>
  <c r="AF101" i="49"/>
  <c r="AF84" i="24"/>
  <c r="AH79" i="24"/>
  <c r="AH96" i="49"/>
  <c r="AE93" i="49"/>
  <c r="AE99" i="49"/>
  <c r="AF85" i="24"/>
  <c r="AE81" i="24"/>
  <c r="AF78" i="24"/>
  <c r="AI80" i="24"/>
  <c r="AE95" i="49"/>
  <c r="AI82" i="24"/>
  <c r="AE85" i="24"/>
  <c r="AH94" i="49"/>
  <c r="AH100" i="49"/>
  <c r="AI96" i="49"/>
  <c r="AI92" i="49"/>
  <c r="AI98" i="49"/>
  <c r="AF99" i="49"/>
  <c r="AI77" i="24"/>
  <c r="AI81" i="24"/>
  <c r="AI83" i="24"/>
  <c r="AH75" i="24"/>
  <c r="AI79" i="24"/>
  <c r="AH85" i="24"/>
  <c r="AF103" i="49"/>
  <c r="AF97" i="49"/>
  <c r="AI94" i="49"/>
  <c r="AE91" i="49"/>
  <c r="AI90" i="49"/>
  <c r="AH98" i="49"/>
  <c r="AH77" i="24"/>
  <c r="AF81" i="24"/>
  <c r="AF83" i="24"/>
  <c r="AI75" i="24"/>
  <c r="AE80" i="24"/>
  <c r="AH90" i="49"/>
  <c r="AF93" i="49"/>
  <c r="AE74" i="24"/>
  <c r="AH82" i="24"/>
  <c r="AE86" i="24"/>
  <c r="AE83" i="24"/>
  <c r="AF76" i="24"/>
  <c r="AE103" i="49"/>
  <c r="AF91" i="49"/>
  <c r="AF95" i="49"/>
  <c r="AE97" i="49"/>
  <c r="AI102" i="49"/>
  <c r="AF74" i="24"/>
  <c r="AF82" i="24"/>
  <c r="AF86" i="24"/>
  <c r="AH83" i="24"/>
  <c r="AE82" i="24"/>
  <c r="AI100" i="49"/>
  <c r="AH92" i="49"/>
  <c r="AH102" i="49"/>
  <c r="AI85" i="24"/>
  <c r="AH81" i="24"/>
  <c r="AE78" i="24"/>
  <c r="AF80" i="24"/>
  <c r="AH80" i="24"/>
  <c r="AE76" i="24"/>
  <c r="AD99" i="49"/>
  <c r="AD103" i="49"/>
  <c r="AD101" i="49"/>
  <c r="AD93" i="49"/>
  <c r="AD97" i="49"/>
  <c r="AD95" i="49"/>
  <c r="AD91" i="49"/>
  <c r="AD81" i="24"/>
  <c r="AD78" i="24"/>
  <c r="AD86" i="24"/>
  <c r="AD82" i="24"/>
  <c r="AD74" i="24"/>
  <c r="AD80" i="24"/>
  <c r="AD85" i="24"/>
  <c r="AD84" i="24"/>
  <c r="AD83" i="24"/>
  <c r="AD76" i="24"/>
  <c r="AF62" i="24"/>
  <c r="AI34" i="24"/>
  <c r="AH68" i="24"/>
  <c r="AH6" i="24"/>
  <c r="AF34" i="24"/>
  <c r="AF68" i="24"/>
  <c r="AE6" i="24"/>
  <c r="AE68" i="24"/>
  <c r="AI6" i="24"/>
  <c r="AI68" i="24"/>
  <c r="AF6" i="24"/>
  <c r="AE72" i="24"/>
  <c r="AE34" i="24"/>
  <c r="AF72" i="24"/>
  <c r="AH34" i="24"/>
  <c r="AE62" i="24"/>
  <c r="AF67" i="24"/>
  <c r="AI71" i="24"/>
  <c r="AH65" i="24"/>
  <c r="AH8" i="24"/>
  <c r="AF12" i="24"/>
  <c r="AF61" i="24"/>
  <c r="AH18" i="24"/>
  <c r="AF9" i="24"/>
  <c r="AH21" i="24"/>
  <c r="AI59" i="24"/>
  <c r="AH32" i="24"/>
  <c r="AE49" i="24"/>
  <c r="AE42" i="24"/>
  <c r="AI20" i="24"/>
  <c r="AI38" i="24"/>
  <c r="AH17" i="24"/>
  <c r="AF31" i="24"/>
  <c r="AE54" i="24"/>
  <c r="AE58" i="24"/>
  <c r="AH24" i="24"/>
  <c r="AE11" i="24"/>
  <c r="AI13" i="24"/>
  <c r="AF33" i="24"/>
  <c r="AI36" i="24"/>
  <c r="AF22" i="24"/>
  <c r="AE15" i="24"/>
  <c r="AH48" i="24"/>
  <c r="AE67" i="24"/>
  <c r="AH71" i="24"/>
  <c r="AI65" i="24"/>
  <c r="AI8" i="24"/>
  <c r="AE12" i="24"/>
  <c r="AH61" i="24"/>
  <c r="AE18" i="24"/>
  <c r="AE9" i="24"/>
  <c r="AF21" i="24"/>
  <c r="AF59" i="24"/>
  <c r="AE32" i="24"/>
  <c r="AF49" i="24"/>
  <c r="AF42" i="24"/>
  <c r="AF20" i="24"/>
  <c r="AE38" i="24"/>
  <c r="AF17" i="24"/>
  <c r="AI31" i="24"/>
  <c r="AH54" i="24"/>
  <c r="AH58" i="24"/>
  <c r="AE24" i="24"/>
  <c r="AH11" i="24"/>
  <c r="AH13" i="24"/>
  <c r="AH33" i="24"/>
  <c r="AH36" i="24"/>
  <c r="AI22" i="24"/>
  <c r="AH15" i="24"/>
  <c r="AI48" i="24"/>
  <c r="AF18" i="24"/>
  <c r="AE4" i="24"/>
  <c r="AI41" i="24"/>
  <c r="AF13" i="24"/>
  <c r="AH56" i="24"/>
  <c r="AF64" i="24"/>
  <c r="AI69" i="24"/>
  <c r="AF8" i="24"/>
  <c r="AH7" i="24"/>
  <c r="AE27" i="24"/>
  <c r="AH37" i="24"/>
  <c r="AE5" i="24"/>
  <c r="AI53" i="24"/>
  <c r="AE59" i="24"/>
  <c r="AI32" i="24"/>
  <c r="AF51" i="24"/>
  <c r="AE60" i="24"/>
  <c r="AH19" i="24"/>
  <c r="AI10" i="24"/>
  <c r="AI55" i="24"/>
  <c r="AE31" i="24"/>
  <c r="AI52" i="24"/>
  <c r="AF58" i="24"/>
  <c r="AE16" i="24"/>
  <c r="AH25" i="24"/>
  <c r="AH57" i="24"/>
  <c r="AE33" i="24"/>
  <c r="AF36" i="24"/>
  <c r="AH22" i="24"/>
  <c r="AF15" i="24"/>
  <c r="AI26" i="24"/>
  <c r="AF66" i="24"/>
  <c r="AI14" i="24"/>
  <c r="AE21" i="24"/>
  <c r="AF30" i="24"/>
  <c r="AF54" i="24"/>
  <c r="AF47" i="24"/>
  <c r="AH43" i="24"/>
  <c r="AE64" i="24"/>
  <c r="AF69" i="24"/>
  <c r="AE8" i="24"/>
  <c r="AF7" i="24"/>
  <c r="AH27" i="24"/>
  <c r="AE37" i="24"/>
  <c r="AI5" i="24"/>
  <c r="AF53" i="24"/>
  <c r="AH59" i="24"/>
  <c r="AF32" i="24"/>
  <c r="AE51" i="24"/>
  <c r="AI60" i="24"/>
  <c r="AF19" i="24"/>
  <c r="AH10" i="24"/>
  <c r="AF55" i="24"/>
  <c r="AH31" i="24"/>
  <c r="AH52" i="24"/>
  <c r="AI58" i="24"/>
  <c r="AH16" i="24"/>
  <c r="AF25" i="24"/>
  <c r="AE57" i="24"/>
  <c r="AI33" i="24"/>
  <c r="AE36" i="24"/>
  <c r="AE22" i="24"/>
  <c r="AI15" i="24"/>
  <c r="AH26" i="24"/>
  <c r="AE61" i="24"/>
  <c r="AH39" i="24"/>
  <c r="AE17" i="24"/>
  <c r="AF23" i="24"/>
  <c r="AH63" i="24"/>
  <c r="AE66" i="24"/>
  <c r="AH69" i="24"/>
  <c r="AH14" i="24"/>
  <c r="AE44" i="24"/>
  <c r="AI7" i="24"/>
  <c r="AF27" i="24"/>
  <c r="AI37" i="24"/>
  <c r="AH5" i="24"/>
  <c r="AH53" i="24"/>
  <c r="AF39" i="24"/>
  <c r="AI4" i="24"/>
  <c r="AH30" i="24"/>
  <c r="AH60" i="24"/>
  <c r="AI19" i="24"/>
  <c r="AE10" i="24"/>
  <c r="AE55" i="24"/>
  <c r="AE40" i="24"/>
  <c r="AF28" i="24"/>
  <c r="AH46" i="24"/>
  <c r="AI16" i="24"/>
  <c r="AE25" i="24"/>
  <c r="AI57" i="24"/>
  <c r="AE23" i="24"/>
  <c r="AH29" i="24"/>
  <c r="AH35" i="24"/>
  <c r="AF56" i="24"/>
  <c r="AE26" i="24"/>
  <c r="AH12" i="24"/>
  <c r="AH38" i="24"/>
  <c r="AF11" i="24"/>
  <c r="AI63" i="24"/>
  <c r="AH66" i="24"/>
  <c r="AE69" i="24"/>
  <c r="AE14" i="24"/>
  <c r="AF44" i="24"/>
  <c r="AE7" i="24"/>
  <c r="AI27" i="24"/>
  <c r="AF37" i="24"/>
  <c r="AF5" i="24"/>
  <c r="AE53" i="24"/>
  <c r="AE39" i="24"/>
  <c r="AF4" i="24"/>
  <c r="AE30" i="24"/>
  <c r="AF60" i="24"/>
  <c r="AE19" i="24"/>
  <c r="AF10" i="24"/>
  <c r="AH55" i="24"/>
  <c r="AF40" i="24"/>
  <c r="AH28" i="24"/>
  <c r="AI46" i="24"/>
  <c r="AF16" i="24"/>
  <c r="AI25" i="24"/>
  <c r="AF57" i="24"/>
  <c r="AH23" i="24"/>
  <c r="AF29" i="24"/>
  <c r="AI35" i="24"/>
  <c r="AI56" i="24"/>
  <c r="AF26" i="24"/>
  <c r="AF70" i="24"/>
  <c r="AH50" i="24"/>
  <c r="AI24" i="24"/>
  <c r="AF35" i="24"/>
  <c r="AI67" i="24"/>
  <c r="AI66" i="24"/>
  <c r="AE70" i="24"/>
  <c r="AH73" i="24"/>
  <c r="AF14" i="24"/>
  <c r="AI12" i="24"/>
  <c r="AI61" i="24"/>
  <c r="AI18" i="24"/>
  <c r="AH9" i="24"/>
  <c r="AI21" i="24"/>
  <c r="AI50" i="24"/>
  <c r="AI39" i="24"/>
  <c r="AH4" i="24"/>
  <c r="AI30" i="24"/>
  <c r="AE20" i="24"/>
  <c r="AF38" i="24"/>
  <c r="AI17" i="24"/>
  <c r="AH41" i="24"/>
  <c r="AI54" i="24"/>
  <c r="AI28" i="24"/>
  <c r="AF24" i="24"/>
  <c r="AI11" i="24"/>
  <c r="AE13" i="24"/>
  <c r="AE47" i="24"/>
  <c r="AI23" i="24"/>
  <c r="AI29" i="24"/>
  <c r="AE35" i="24"/>
  <c r="AE56" i="24"/>
  <c r="AI43" i="24"/>
  <c r="AH67" i="24"/>
  <c r="AI73" i="24"/>
  <c r="AI9" i="24"/>
  <c r="AH20" i="24"/>
  <c r="AE28" i="24"/>
  <c r="AE29" i="24"/>
  <c r="AD57" i="24"/>
  <c r="AD6" i="24"/>
  <c r="AD14" i="24"/>
  <c r="AD49" i="24"/>
  <c r="AD4" i="24"/>
  <c r="AD11" i="24"/>
  <c r="AD15" i="24"/>
  <c r="AD26" i="24"/>
  <c r="AD27" i="24"/>
  <c r="AD38" i="24"/>
  <c r="AD37" i="24"/>
  <c r="AD9" i="24"/>
  <c r="AD62" i="24"/>
  <c r="AD58" i="24"/>
  <c r="AD20" i="24"/>
  <c r="AD8" i="24"/>
  <c r="AD61" i="24"/>
  <c r="AD23" i="24"/>
  <c r="AD21" i="24"/>
  <c r="AD72" i="24"/>
  <c r="AD18" i="24"/>
  <c r="AD10" i="24"/>
  <c r="AD59" i="24"/>
  <c r="AD66" i="24"/>
  <c r="AD68" i="24"/>
  <c r="AD32" i="24"/>
  <c r="AD13" i="24"/>
  <c r="AD17" i="24"/>
  <c r="AD16" i="24"/>
  <c r="AD67" i="24"/>
  <c r="AD70" i="24"/>
  <c r="AD39" i="24"/>
  <c r="AD46" i="24"/>
  <c r="AD56" i="24"/>
  <c r="AD42" i="24"/>
  <c r="AD53" i="24"/>
  <c r="AD30" i="24"/>
  <c r="AD54" i="24"/>
  <c r="AD35" i="24"/>
  <c r="AD5" i="24"/>
  <c r="AD64" i="24"/>
  <c r="AD36" i="24"/>
  <c r="AD7" i="24"/>
  <c r="AD47" i="24"/>
  <c r="AD55" i="24"/>
  <c r="AD19" i="24"/>
  <c r="AD60" i="24"/>
  <c r="AD28" i="24"/>
  <c r="AD24" i="24"/>
  <c r="AD33" i="24"/>
  <c r="AD44" i="24"/>
  <c r="AD40" i="24"/>
  <c r="AD22" i="24"/>
  <c r="AD31" i="24"/>
  <c r="AD34" i="24"/>
  <c r="AD69" i="24"/>
  <c r="AD51" i="24"/>
  <c r="AD25" i="24"/>
  <c r="AD12" i="24"/>
  <c r="AD29" i="24"/>
  <c r="AF103" i="24"/>
  <c r="AE103" i="24"/>
  <c r="AF86" i="47"/>
  <c r="AE86" i="47"/>
  <c r="AH102" i="24"/>
  <c r="AI102" i="24"/>
  <c r="AI100" i="24"/>
  <c r="AH100" i="24"/>
  <c r="AI96" i="24"/>
  <c r="AH96" i="24"/>
  <c r="AE97" i="24"/>
  <c r="AF97" i="24"/>
  <c r="AE101" i="24"/>
  <c r="AF101" i="24"/>
  <c r="AH98" i="24"/>
  <c r="AI98" i="24"/>
  <c r="AF99" i="24"/>
  <c r="AE99" i="24"/>
  <c r="AF87" i="49"/>
  <c r="AI87" i="49"/>
  <c r="AH87" i="49"/>
  <c r="AE87" i="49"/>
  <c r="AH88" i="49"/>
  <c r="AI88" i="49"/>
  <c r="AF88" i="49"/>
  <c r="AE88" i="49"/>
  <c r="AE89" i="49"/>
  <c r="AH89" i="49"/>
  <c r="AI89" i="49"/>
  <c r="AF89" i="49"/>
  <c r="AD88" i="49"/>
  <c r="AG87" i="49"/>
  <c r="AD87" i="49"/>
  <c r="AD89" i="49"/>
  <c r="AG89" i="49"/>
  <c r="AD86" i="47"/>
  <c r="AD97" i="24"/>
  <c r="AD101" i="24"/>
  <c r="AD99" i="24"/>
  <c r="AD103" i="24"/>
  <c r="AF50" i="24"/>
  <c r="AE50" i="24"/>
  <c r="AI49" i="24"/>
  <c r="AH49" i="24"/>
  <c r="AI51" i="24"/>
  <c r="AH51" i="24"/>
  <c r="AE52" i="24"/>
  <c r="AF52" i="24"/>
  <c r="AI47" i="24"/>
  <c r="AH47" i="24"/>
  <c r="AE48" i="24"/>
  <c r="AF48" i="24"/>
  <c r="AD48" i="24"/>
  <c r="AD52" i="24"/>
  <c r="AD50" i="24"/>
  <c r="AF94" i="47"/>
  <c r="AE94" i="47"/>
  <c r="AH91" i="47"/>
  <c r="AI91" i="47"/>
  <c r="AE96" i="47"/>
  <c r="AF96" i="47"/>
  <c r="AH87" i="24"/>
  <c r="AF98" i="47"/>
  <c r="AH97" i="24"/>
  <c r="AE92" i="24"/>
  <c r="AE96" i="24"/>
  <c r="AI87" i="47"/>
  <c r="AE88" i="24"/>
  <c r="AI87" i="24"/>
  <c r="AE98" i="47"/>
  <c r="AI97" i="24"/>
  <c r="AF92" i="24"/>
  <c r="AF96" i="24"/>
  <c r="AH87" i="47"/>
  <c r="AH86" i="49"/>
  <c r="AE90" i="47"/>
  <c r="AI95" i="47"/>
  <c r="AF88" i="47"/>
  <c r="AF90" i="24"/>
  <c r="AH95" i="24"/>
  <c r="AF92" i="47"/>
  <c r="AI86" i="49"/>
  <c r="AH89" i="47"/>
  <c r="AH95" i="47"/>
  <c r="AE88" i="47"/>
  <c r="AE90" i="24"/>
  <c r="AI95" i="24"/>
  <c r="AE92" i="47"/>
  <c r="AF86" i="49"/>
  <c r="AI91" i="24"/>
  <c r="AI89" i="24"/>
  <c r="AF94" i="24"/>
  <c r="AE98" i="24"/>
  <c r="AH93" i="24"/>
  <c r="AI93" i="47"/>
  <c r="AE86" i="49"/>
  <c r="AH97" i="47"/>
  <c r="AH89" i="24"/>
  <c r="AE94" i="24"/>
  <c r="AF98" i="24"/>
  <c r="AI93" i="24"/>
  <c r="AH93" i="47"/>
  <c r="AF88" i="24"/>
  <c r="AI89" i="47"/>
  <c r="AF90" i="47"/>
  <c r="AI97" i="47"/>
  <c r="AH91" i="24"/>
  <c r="AD86" i="49"/>
  <c r="AG97" i="47"/>
  <c r="AG89" i="47"/>
  <c r="AD90" i="47"/>
  <c r="AG95" i="47"/>
  <c r="AG93" i="47"/>
  <c r="AG87" i="47"/>
  <c r="AD92" i="47"/>
  <c r="AD94" i="47"/>
  <c r="AD88" i="47"/>
  <c r="AD96" i="47"/>
  <c r="AD98" i="47"/>
  <c r="AG91" i="47"/>
  <c r="AD88" i="24"/>
  <c r="AG93" i="24"/>
  <c r="AG97" i="24"/>
  <c r="AG87" i="24"/>
  <c r="AD96" i="24"/>
  <c r="AG95" i="24"/>
  <c r="AD94" i="24"/>
  <c r="AG89" i="24"/>
  <c r="AD98" i="24"/>
  <c r="AD90" i="24"/>
  <c r="AG91" i="24"/>
  <c r="AD92" i="24"/>
  <c r="AE91" i="47"/>
  <c r="AF91" i="47"/>
  <c r="AI94" i="47"/>
  <c r="AH94" i="47"/>
  <c r="AE89" i="47"/>
  <c r="AE87" i="47"/>
  <c r="AF89" i="47"/>
  <c r="AF87" i="47"/>
  <c r="AH90" i="47"/>
  <c r="AF95" i="47"/>
  <c r="AI86" i="47"/>
  <c r="AI90" i="47"/>
  <c r="AE95" i="47"/>
  <c r="AH88" i="47"/>
  <c r="AH92" i="47"/>
  <c r="AF93" i="47"/>
  <c r="AI92" i="47"/>
  <c r="AH86" i="47"/>
  <c r="AI88" i="47"/>
  <c r="AE93" i="47"/>
  <c r="AD93" i="47"/>
  <c r="AD95" i="47"/>
  <c r="AD89" i="47"/>
  <c r="AD87" i="47"/>
  <c r="AD91" i="47"/>
  <c r="AI44" i="24"/>
  <c r="AH44" i="24"/>
  <c r="AF43" i="24"/>
  <c r="AI42" i="24"/>
  <c r="AF41" i="24"/>
  <c r="AE43" i="24"/>
  <c r="AH42" i="24"/>
  <c r="AI40" i="24"/>
  <c r="AE45" i="24"/>
  <c r="AE41" i="24"/>
  <c r="AH40" i="24"/>
  <c r="AF45" i="24"/>
  <c r="AD45" i="24"/>
  <c r="AD43" i="24"/>
  <c r="AD41" i="24"/>
  <c r="AI74" i="49"/>
  <c r="AI75" i="47"/>
  <c r="AH75" i="47"/>
  <c r="AI80" i="49"/>
  <c r="AE75" i="47"/>
  <c r="AH74" i="49"/>
  <c r="AE74" i="49"/>
  <c r="AI76" i="47"/>
  <c r="AF76" i="47"/>
  <c r="AF75" i="47"/>
  <c r="AF74" i="49"/>
  <c r="AE76" i="47"/>
  <c r="AH76" i="47"/>
  <c r="AF80" i="49"/>
  <c r="AE83" i="47"/>
  <c r="AI90" i="24"/>
  <c r="AI94" i="24"/>
  <c r="AI79" i="47"/>
  <c r="AF78" i="47"/>
  <c r="AH70" i="49"/>
  <c r="AE71" i="47"/>
  <c r="AF85" i="49"/>
  <c r="AH85" i="47"/>
  <c r="AI84" i="49"/>
  <c r="AI82" i="47"/>
  <c r="AE73" i="49"/>
  <c r="AE78" i="49"/>
  <c r="AH70" i="47"/>
  <c r="AI75" i="49"/>
  <c r="AF84" i="47"/>
  <c r="AI72" i="47"/>
  <c r="AF77" i="49"/>
  <c r="AF76" i="49"/>
  <c r="AI78" i="49"/>
  <c r="AF83" i="47"/>
  <c r="AE80" i="49"/>
  <c r="AI88" i="24"/>
  <c r="AF91" i="24"/>
  <c r="AE89" i="24"/>
  <c r="AH79" i="47"/>
  <c r="AE78" i="47"/>
  <c r="AH72" i="49"/>
  <c r="AH85" i="49"/>
  <c r="AE85" i="47"/>
  <c r="AE84" i="49"/>
  <c r="AE81" i="49"/>
  <c r="AF82" i="49"/>
  <c r="AF73" i="47"/>
  <c r="AI71" i="49"/>
  <c r="AH73" i="49"/>
  <c r="AE81" i="47"/>
  <c r="AH80" i="49"/>
  <c r="AH88" i="24"/>
  <c r="AE91" i="24"/>
  <c r="AF89" i="24"/>
  <c r="AE79" i="47"/>
  <c r="AI78" i="47"/>
  <c r="AI72" i="49"/>
  <c r="AE85" i="49"/>
  <c r="AF85" i="47"/>
  <c r="AF84" i="49"/>
  <c r="AH81" i="49"/>
  <c r="AF72" i="47"/>
  <c r="AI79" i="49"/>
  <c r="AI82" i="49"/>
  <c r="AI73" i="47"/>
  <c r="AE77" i="49"/>
  <c r="AH71" i="49"/>
  <c r="AI86" i="24"/>
  <c r="AH83" i="49"/>
  <c r="AH84" i="47"/>
  <c r="AI81" i="47"/>
  <c r="AF95" i="24"/>
  <c r="AE93" i="24"/>
  <c r="AF87" i="24"/>
  <c r="AI77" i="47"/>
  <c r="AF72" i="49"/>
  <c r="AE83" i="49"/>
  <c r="AH76" i="49"/>
  <c r="AF74" i="47"/>
  <c r="AH80" i="47"/>
  <c r="AF81" i="49"/>
  <c r="AE72" i="47"/>
  <c r="AH79" i="49"/>
  <c r="AE82" i="49"/>
  <c r="AH73" i="47"/>
  <c r="AI77" i="49"/>
  <c r="AF71" i="49"/>
  <c r="AI71" i="47"/>
  <c r="AH81" i="47"/>
  <c r="AE95" i="24"/>
  <c r="AF93" i="24"/>
  <c r="AE87" i="24"/>
  <c r="AH77" i="47"/>
  <c r="AE72" i="49"/>
  <c r="AF83" i="49"/>
  <c r="AE76" i="49"/>
  <c r="AE74" i="47"/>
  <c r="AI80" i="47"/>
  <c r="AI81" i="49"/>
  <c r="AH72" i="47"/>
  <c r="AF79" i="49"/>
  <c r="AH82" i="49"/>
  <c r="AE73" i="47"/>
  <c r="AH77" i="49"/>
  <c r="AE71" i="49"/>
  <c r="AF70" i="49"/>
  <c r="AF82" i="47"/>
  <c r="AF81" i="47"/>
  <c r="AI92" i="24"/>
  <c r="AH86" i="24"/>
  <c r="AE77" i="47"/>
  <c r="AI70" i="49"/>
  <c r="AF71" i="47"/>
  <c r="AI83" i="49"/>
  <c r="AI76" i="49"/>
  <c r="AI74" i="47"/>
  <c r="AF80" i="47"/>
  <c r="AH82" i="47"/>
  <c r="AI73" i="49"/>
  <c r="AH78" i="49"/>
  <c r="AF70" i="47"/>
  <c r="AE75" i="49"/>
  <c r="AE84" i="47"/>
  <c r="AI83" i="47"/>
  <c r="AH92" i="24"/>
  <c r="AH74" i="47"/>
  <c r="AF75" i="49"/>
  <c r="AH83" i="47"/>
  <c r="AH90" i="24"/>
  <c r="AH94" i="24"/>
  <c r="AF79" i="47"/>
  <c r="AH78" i="47"/>
  <c r="AE70" i="49"/>
  <c r="AH71" i="47"/>
  <c r="AI85" i="49"/>
  <c r="AI85" i="47"/>
  <c r="AH84" i="49"/>
  <c r="AE82" i="47"/>
  <c r="AF73" i="49"/>
  <c r="AF78" i="49"/>
  <c r="AI70" i="47"/>
  <c r="AH75" i="49"/>
  <c r="AI84" i="47"/>
  <c r="AE79" i="49"/>
  <c r="AF77" i="47"/>
  <c r="AE80" i="47"/>
  <c r="AE70" i="47"/>
  <c r="AD75" i="49"/>
  <c r="AD78" i="49"/>
  <c r="AD72" i="49"/>
  <c r="AD83" i="49"/>
  <c r="AD82" i="49"/>
  <c r="AD77" i="49"/>
  <c r="AD71" i="49"/>
  <c r="AD85" i="49"/>
  <c r="AD70" i="49"/>
  <c r="AD76" i="49"/>
  <c r="AD80" i="49"/>
  <c r="AD79" i="49"/>
  <c r="AD84" i="49"/>
  <c r="AD73" i="49"/>
  <c r="AD74" i="49"/>
  <c r="AD81" i="49"/>
  <c r="AD77" i="47"/>
  <c r="AD78" i="47"/>
  <c r="AD79" i="47"/>
  <c r="AD84" i="47"/>
  <c r="AD80" i="47"/>
  <c r="AD70" i="47"/>
  <c r="AD85" i="47"/>
  <c r="AD72" i="47"/>
  <c r="AD83" i="47"/>
  <c r="AD82" i="47"/>
  <c r="AD75" i="47"/>
  <c r="AD71" i="47"/>
  <c r="AD76" i="47"/>
  <c r="AD73" i="47"/>
  <c r="AD81" i="47"/>
  <c r="AD74" i="47"/>
  <c r="AD91" i="24"/>
  <c r="AD89" i="24"/>
  <c r="AD93" i="24"/>
  <c r="AD87" i="24"/>
  <c r="AD95" i="24"/>
  <c r="AI67" i="47"/>
  <c r="AI72" i="24"/>
  <c r="AH67" i="47"/>
  <c r="AH72" i="24"/>
  <c r="AI64" i="47"/>
  <c r="AE67" i="47"/>
  <c r="AF64" i="47"/>
  <c r="AE64" i="47"/>
  <c r="AF79" i="24"/>
  <c r="AH64" i="47"/>
  <c r="AE79" i="24"/>
  <c r="AH63" i="47"/>
  <c r="AH63" i="49"/>
  <c r="AI63" i="47"/>
  <c r="AF69" i="47"/>
  <c r="AH76" i="24"/>
  <c r="AF75" i="24"/>
  <c r="AH65" i="47"/>
  <c r="AE62" i="47"/>
  <c r="AI68" i="47"/>
  <c r="AF65" i="49"/>
  <c r="AI62" i="49"/>
  <c r="AH64" i="49"/>
  <c r="AH68" i="49"/>
  <c r="AH69" i="47"/>
  <c r="AI74" i="24"/>
  <c r="AE77" i="24"/>
  <c r="AH70" i="24"/>
  <c r="AF73" i="24"/>
  <c r="AE65" i="47"/>
  <c r="AF62" i="47"/>
  <c r="AF68" i="47"/>
  <c r="AI65" i="49"/>
  <c r="AE62" i="49"/>
  <c r="AI64" i="49"/>
  <c r="AF65" i="47"/>
  <c r="AI63" i="49"/>
  <c r="AE69" i="49"/>
  <c r="AE65" i="49"/>
  <c r="AH62" i="49"/>
  <c r="AF64" i="49"/>
  <c r="AF66" i="47"/>
  <c r="AF67" i="47"/>
  <c r="AF63" i="49"/>
  <c r="AH74" i="24"/>
  <c r="AF77" i="24"/>
  <c r="AI70" i="24"/>
  <c r="AH69" i="49"/>
  <c r="AE68" i="49"/>
  <c r="AH65" i="49"/>
  <c r="AF62" i="49"/>
  <c r="AE64" i="49"/>
  <c r="AI62" i="47"/>
  <c r="AF63" i="47"/>
  <c r="AH78" i="24"/>
  <c r="AF67" i="49"/>
  <c r="AI66" i="47"/>
  <c r="AI69" i="49"/>
  <c r="AI68" i="49"/>
  <c r="AF66" i="49"/>
  <c r="AE63" i="49"/>
  <c r="AI78" i="24"/>
  <c r="AH67" i="49"/>
  <c r="AE68" i="47"/>
  <c r="AE63" i="47"/>
  <c r="AE75" i="24"/>
  <c r="AE69" i="47"/>
  <c r="AI67" i="49"/>
  <c r="AH66" i="47"/>
  <c r="AF69" i="49"/>
  <c r="AF68" i="49"/>
  <c r="AH66" i="49"/>
  <c r="AF71" i="24"/>
  <c r="AI69" i="47"/>
  <c r="AE71" i="24"/>
  <c r="AI76" i="24"/>
  <c r="AE73" i="24"/>
  <c r="AE67" i="49"/>
  <c r="AE66" i="47"/>
  <c r="AI65" i="47"/>
  <c r="AH62" i="47"/>
  <c r="AH68" i="47"/>
  <c r="AE66" i="49"/>
  <c r="AI66" i="49"/>
  <c r="AD67" i="49"/>
  <c r="AD63" i="49"/>
  <c r="AD66" i="49"/>
  <c r="AD68" i="49"/>
  <c r="AD69" i="49"/>
  <c r="AD62" i="49"/>
  <c r="AD65" i="49"/>
  <c r="AD64" i="49"/>
  <c r="AD63" i="47"/>
  <c r="AD62" i="47"/>
  <c r="AD65" i="47"/>
  <c r="AD66" i="47"/>
  <c r="AD69" i="47"/>
  <c r="AD64" i="47"/>
  <c r="AD67" i="47"/>
  <c r="AD68" i="47"/>
  <c r="AD77" i="24"/>
  <c r="AD79" i="24"/>
  <c r="AD73" i="24"/>
  <c r="AD75" i="24"/>
  <c r="AD71" i="24"/>
  <c r="AD33" i="49"/>
  <c r="AD47" i="49"/>
  <c r="AD16" i="49"/>
  <c r="AD24" i="49"/>
  <c r="AD53" i="49"/>
  <c r="AD39" i="49"/>
  <c r="AD9" i="49"/>
  <c r="AD57" i="49"/>
  <c r="AD49" i="49"/>
  <c r="AD42" i="49"/>
  <c r="AD27" i="49"/>
  <c r="AD5" i="49"/>
  <c r="AD30" i="49"/>
  <c r="AD28" i="49"/>
  <c r="AD22" i="49"/>
  <c r="AD26" i="49"/>
  <c r="AD46" i="49"/>
  <c r="AD60" i="49"/>
  <c r="AD61" i="49"/>
  <c r="AD58" i="49"/>
  <c r="AD14" i="49"/>
  <c r="AD55" i="49"/>
  <c r="AD50" i="49"/>
  <c r="AD29" i="49"/>
  <c r="AD59" i="49"/>
  <c r="AD11" i="49"/>
  <c r="AD36" i="49"/>
  <c r="AD32" i="49"/>
  <c r="AD56" i="49"/>
  <c r="AD13" i="49"/>
  <c r="AD17" i="49"/>
  <c r="AD51" i="49"/>
  <c r="AD4" i="49"/>
  <c r="AD38" i="49"/>
  <c r="AD8" i="49"/>
  <c r="AD41" i="49"/>
  <c r="AD12" i="49"/>
  <c r="AD6" i="49"/>
  <c r="AD18" i="49"/>
  <c r="AD45" i="49"/>
  <c r="AD31" i="49"/>
  <c r="AD23" i="49"/>
  <c r="AD34" i="49"/>
  <c r="AD10" i="49"/>
  <c r="AD7" i="49"/>
  <c r="AD44" i="49"/>
  <c r="AD40" i="49"/>
  <c r="AD43" i="49"/>
  <c r="AD54" i="49"/>
  <c r="AD25" i="49"/>
  <c r="AD35" i="49"/>
  <c r="AD48" i="49"/>
  <c r="AD52" i="49"/>
  <c r="AD37" i="49"/>
  <c r="AD20" i="49"/>
  <c r="AD21" i="49"/>
  <c r="AD15" i="49"/>
  <c r="AD19" i="49"/>
  <c r="AD45" i="47"/>
  <c r="AD10" i="47"/>
  <c r="AD42" i="47"/>
  <c r="AD13" i="47"/>
  <c r="AD33" i="47"/>
  <c r="AD57" i="47"/>
  <c r="AD53" i="47"/>
  <c r="AD29" i="47"/>
  <c r="AD54" i="47"/>
  <c r="AD31" i="47"/>
  <c r="AD47" i="47"/>
  <c r="AD4" i="47"/>
  <c r="AD15" i="47"/>
  <c r="AD46" i="47"/>
  <c r="AD49" i="47"/>
  <c r="AD34" i="47"/>
  <c r="AD22" i="47"/>
  <c r="AD32" i="47"/>
  <c r="AD43" i="47"/>
  <c r="AD25" i="47"/>
  <c r="AD50" i="47"/>
  <c r="AD8" i="47"/>
  <c r="AD6" i="47"/>
  <c r="AD19" i="47"/>
  <c r="AD24" i="47"/>
  <c r="AD16" i="47"/>
  <c r="AD30" i="47"/>
  <c r="AD51" i="47"/>
  <c r="AD36" i="47"/>
  <c r="AD20" i="47"/>
  <c r="AD58" i="47"/>
  <c r="AD11" i="47"/>
  <c r="AD18" i="47"/>
  <c r="AD21" i="47"/>
  <c r="AD17" i="47"/>
  <c r="AD56" i="47"/>
  <c r="AD26" i="47"/>
  <c r="AD48" i="47"/>
  <c r="AD61" i="47"/>
  <c r="AD14" i="47"/>
  <c r="AD60" i="47"/>
  <c r="AD38" i="47"/>
  <c r="AD35" i="47"/>
  <c r="AD59" i="47"/>
  <c r="AD7" i="47"/>
  <c r="AD28" i="47"/>
  <c r="AD12" i="47"/>
  <c r="AD5" i="47"/>
  <c r="AD55" i="47"/>
  <c r="AD44" i="47"/>
  <c r="AD52" i="47"/>
  <c r="AD39" i="47"/>
  <c r="AD41" i="47"/>
  <c r="AD37" i="47"/>
  <c r="AD27" i="47"/>
  <c r="AD9" i="47"/>
  <c r="AD23" i="47"/>
  <c r="AD40" i="47"/>
  <c r="AD63" i="24"/>
  <c r="AD65" i="24"/>
  <c r="AF46" i="24"/>
  <c r="AE46" i="24"/>
  <c r="AH45" i="24"/>
  <c r="AI45" i="24"/>
  <c r="AG29" i="24"/>
  <c r="J10" i="48"/>
  <c r="J9" i="48"/>
  <c r="J15" i="48"/>
  <c r="J14" i="48"/>
  <c r="AE44" i="47"/>
  <c r="AI58" i="47"/>
  <c r="AH42" i="47"/>
  <c r="AI26" i="47"/>
  <c r="AH10" i="47"/>
  <c r="AI62" i="24"/>
  <c r="AE25" i="47"/>
  <c r="AF17" i="47"/>
  <c r="AH9" i="47"/>
  <c r="AI40" i="47"/>
  <c r="AF16" i="47"/>
  <c r="AH49" i="47"/>
  <c r="AF39" i="47"/>
  <c r="AI31" i="47"/>
  <c r="AF7" i="47"/>
  <c r="AH54" i="47"/>
  <c r="AI46" i="47"/>
  <c r="AH22" i="47"/>
  <c r="AI14" i="47"/>
  <c r="AI53" i="47"/>
  <c r="AF45" i="47"/>
  <c r="AE29" i="47"/>
  <c r="AI21" i="47"/>
  <c r="AF13" i="47"/>
  <c r="AE52" i="47"/>
  <c r="AH4" i="47"/>
  <c r="AI64" i="24"/>
  <c r="AI60" i="47"/>
  <c r="AI36" i="47"/>
  <c r="AE12" i="47"/>
  <c r="AI59" i="47"/>
  <c r="AF35" i="47"/>
  <c r="AI27" i="47"/>
  <c r="AF58" i="47"/>
  <c r="AE42" i="47"/>
  <c r="AF26" i="47"/>
  <c r="AE10" i="47"/>
  <c r="AI17" i="47"/>
  <c r="AF41" i="47"/>
  <c r="AE16" i="47"/>
  <c r="AH48" i="47"/>
  <c r="AI24" i="47"/>
  <c r="AE55" i="47"/>
  <c r="AH47" i="47"/>
  <c r="AE23" i="47"/>
  <c r="AH15" i="47"/>
  <c r="AH56" i="47"/>
  <c r="AI32" i="47"/>
  <c r="AF8" i="47"/>
  <c r="AE54" i="47"/>
  <c r="AF46" i="47"/>
  <c r="AE22" i="47"/>
  <c r="AF14" i="47"/>
  <c r="AI61" i="47"/>
  <c r="AH53" i="47"/>
  <c r="AH21" i="47"/>
  <c r="AE65" i="24"/>
  <c r="AH64" i="24"/>
  <c r="AF60" i="47"/>
  <c r="AF36" i="47"/>
  <c r="AE51" i="47"/>
  <c r="AH43" i="47"/>
  <c r="AE19" i="47"/>
  <c r="AH11" i="47"/>
  <c r="AH20" i="47"/>
  <c r="AH50" i="47"/>
  <c r="AI34" i="47"/>
  <c r="AH18" i="47"/>
  <c r="AE33" i="47"/>
  <c r="AF25" i="47"/>
  <c r="AH17" i="47"/>
  <c r="AI41" i="47"/>
  <c r="AF40" i="47"/>
  <c r="AF47" i="47"/>
  <c r="AI39" i="47"/>
  <c r="AF15" i="47"/>
  <c r="AI7" i="47"/>
  <c r="AE8" i="47"/>
  <c r="AI54" i="47"/>
  <c r="AH30" i="47"/>
  <c r="AI22" i="47"/>
  <c r="AH61" i="47"/>
  <c r="AF53" i="47"/>
  <c r="AE37" i="47"/>
  <c r="AI29" i="47"/>
  <c r="AF21" i="47"/>
  <c r="AE5" i="47"/>
  <c r="AH28" i="47"/>
  <c r="AI4" i="47"/>
  <c r="AE60" i="47"/>
  <c r="AE36" i="47"/>
  <c r="AF43" i="47"/>
  <c r="AI35" i="47"/>
  <c r="AF11" i="47"/>
  <c r="AE50" i="47"/>
  <c r="AF34" i="47"/>
  <c r="AE18" i="47"/>
  <c r="AI25" i="47"/>
  <c r="AH41" i="47"/>
  <c r="AE40" i="47"/>
  <c r="AI48" i="47"/>
  <c r="AF24" i="47"/>
  <c r="AH55" i="47"/>
  <c r="AE31" i="47"/>
  <c r="AH23" i="47"/>
  <c r="AE57" i="47"/>
  <c r="AI56" i="47"/>
  <c r="AF32" i="47"/>
  <c r="AF54" i="47"/>
  <c r="AE30" i="47"/>
  <c r="AF22" i="47"/>
  <c r="AE61" i="47"/>
  <c r="AH29" i="47"/>
  <c r="AF4" i="47"/>
  <c r="AH60" i="47"/>
  <c r="AH51" i="47"/>
  <c r="AE27" i="47"/>
  <c r="AH19" i="47"/>
  <c r="AF63" i="24"/>
  <c r="AH44" i="47"/>
  <c r="AI20" i="47"/>
  <c r="AH58" i="47"/>
  <c r="AI42" i="47"/>
  <c r="AH26" i="47"/>
  <c r="AI10" i="47"/>
  <c r="AF33" i="47"/>
  <c r="AH25" i="47"/>
  <c r="AE9" i="47"/>
  <c r="AH16" i="47"/>
  <c r="AE49" i="47"/>
  <c r="AE24" i="47"/>
  <c r="AF55" i="47"/>
  <c r="AI47" i="47"/>
  <c r="AF23" i="47"/>
  <c r="AI15" i="47"/>
  <c r="AE32" i="47"/>
  <c r="AH38" i="47"/>
  <c r="AI30" i="47"/>
  <c r="AH6" i="47"/>
  <c r="AE45" i="47"/>
  <c r="AI37" i="47"/>
  <c r="AF29" i="47"/>
  <c r="AE13" i="47"/>
  <c r="AI5" i="47"/>
  <c r="AH52" i="47"/>
  <c r="AI28" i="47"/>
  <c r="AE4" i="47"/>
  <c r="AH12" i="47"/>
  <c r="AE59" i="47"/>
  <c r="AF51" i="47"/>
  <c r="AI43" i="47"/>
  <c r="AF19" i="47"/>
  <c r="AI11" i="47"/>
  <c r="AE63" i="24"/>
  <c r="AF20" i="47"/>
  <c r="AE58" i="47"/>
  <c r="AF42" i="47"/>
  <c r="AE26" i="47"/>
  <c r="AF10" i="47"/>
  <c r="AH62" i="24"/>
  <c r="AI33" i="47"/>
  <c r="AF48" i="47"/>
  <c r="AE39" i="47"/>
  <c r="AH31" i="47"/>
  <c r="AE7" i="47"/>
  <c r="AF57" i="47"/>
  <c r="AF56" i="47"/>
  <c r="AH8" i="47"/>
  <c r="AE38" i="47"/>
  <c r="AF30" i="47"/>
  <c r="AE6" i="47"/>
  <c r="AH37" i="47"/>
  <c r="AH5" i="47"/>
  <c r="AF65" i="24"/>
  <c r="AF28" i="47"/>
  <c r="AE35" i="47"/>
  <c r="AH27" i="47"/>
  <c r="AI44" i="47"/>
  <c r="AE20" i="47"/>
  <c r="AI50" i="47"/>
  <c r="AH34" i="47"/>
  <c r="AI18" i="47"/>
  <c r="AH33" i="47"/>
  <c r="AE17" i="47"/>
  <c r="AF9" i="47"/>
  <c r="AH40" i="47"/>
  <c r="AI16" i="47"/>
  <c r="AF49" i="47"/>
  <c r="AE48" i="47"/>
  <c r="AI55" i="47"/>
  <c r="AF31" i="47"/>
  <c r="AI23" i="47"/>
  <c r="AI57" i="47"/>
  <c r="AE56" i="47"/>
  <c r="AH46" i="47"/>
  <c r="AI38" i="47"/>
  <c r="AH14" i="47"/>
  <c r="AI6" i="47"/>
  <c r="AE53" i="47"/>
  <c r="AI45" i="47"/>
  <c r="AF37" i="47"/>
  <c r="AE21" i="47"/>
  <c r="AI13" i="47"/>
  <c r="AF5" i="47"/>
  <c r="AI52" i="47"/>
  <c r="AE28" i="47"/>
  <c r="AH36" i="47"/>
  <c r="AI12" i="47"/>
  <c r="AH59" i="47"/>
  <c r="AI51" i="47"/>
  <c r="AF27" i="47"/>
  <c r="AI19" i="47"/>
  <c r="AF44" i="47"/>
  <c r="AF50" i="47"/>
  <c r="AE34" i="47"/>
  <c r="AF18" i="47"/>
  <c r="AI9" i="47"/>
  <c r="AE41" i="47"/>
  <c r="AI49" i="47"/>
  <c r="AH24" i="47"/>
  <c r="AE47" i="47"/>
  <c r="AH39" i="47"/>
  <c r="AE15" i="47"/>
  <c r="AH7" i="47"/>
  <c r="AH57" i="47"/>
  <c r="AH32" i="47"/>
  <c r="AI8" i="47"/>
  <c r="AE46" i="47"/>
  <c r="AF38" i="47"/>
  <c r="AE14" i="47"/>
  <c r="AF6" i="47"/>
  <c r="AF61" i="47"/>
  <c r="AH45" i="47"/>
  <c r="AH13" i="47"/>
  <c r="AF52" i="47"/>
  <c r="AF12" i="47"/>
  <c r="AF59" i="47"/>
  <c r="AE43" i="47"/>
  <c r="AH35" i="47"/>
  <c r="AE11" i="47"/>
  <c r="AI45" i="49"/>
  <c r="AF37" i="49"/>
  <c r="AI13" i="49"/>
  <c r="AF5" i="49"/>
  <c r="AE60" i="49"/>
  <c r="AF36" i="49"/>
  <c r="AI4" i="49"/>
  <c r="AI59" i="49"/>
  <c r="AH51" i="49"/>
  <c r="AE19" i="49"/>
  <c r="AF11" i="49"/>
  <c r="AI50" i="49"/>
  <c r="AE18" i="49"/>
  <c r="AE49" i="49"/>
  <c r="AI56" i="49"/>
  <c r="AI48" i="49"/>
  <c r="AF8" i="49"/>
  <c r="AF55" i="49"/>
  <c r="AH23" i="49"/>
  <c r="AF15" i="49"/>
  <c r="AE7" i="49"/>
  <c r="AH54" i="49"/>
  <c r="AF46" i="49"/>
  <c r="AF22" i="49"/>
  <c r="AI14" i="49"/>
  <c r="AE61" i="49"/>
  <c r="AH53" i="49"/>
  <c r="AH45" i="49"/>
  <c r="AI21" i="49"/>
  <c r="AE5" i="49"/>
  <c r="AI52" i="49"/>
  <c r="AF44" i="49"/>
  <c r="AI12" i="49"/>
  <c r="AH4" i="49"/>
  <c r="AH59" i="49"/>
  <c r="AE43" i="49"/>
  <c r="AF35" i="49"/>
  <c r="AE50" i="49"/>
  <c r="AF26" i="49"/>
  <c r="AI10" i="49"/>
  <c r="AH49" i="49"/>
  <c r="AH41" i="49"/>
  <c r="AI33" i="49"/>
  <c r="AF17" i="49"/>
  <c r="AF9" i="49"/>
  <c r="AF56" i="49"/>
  <c r="AF48" i="49"/>
  <c r="AE40" i="49"/>
  <c r="AF16" i="49"/>
  <c r="AI8" i="49"/>
  <c r="AI55" i="49"/>
  <c r="AF47" i="49"/>
  <c r="AI31" i="49"/>
  <c r="AF23" i="49"/>
  <c r="AE46" i="49"/>
  <c r="AE38" i="49"/>
  <c r="AE22" i="49"/>
  <c r="AH6" i="49"/>
  <c r="AF53" i="49"/>
  <c r="AF45" i="49"/>
  <c r="AI29" i="49"/>
  <c r="AF21" i="49"/>
  <c r="AI60" i="49"/>
  <c r="AF52" i="49"/>
  <c r="AI20" i="49"/>
  <c r="AF12" i="49"/>
  <c r="AE4" i="49"/>
  <c r="AF59" i="49"/>
  <c r="AF27" i="49"/>
  <c r="AI58" i="49"/>
  <c r="AH34" i="49"/>
  <c r="AE26" i="49"/>
  <c r="AH10" i="49"/>
  <c r="AE57" i="49"/>
  <c r="AF49" i="49"/>
  <c r="AF41" i="49"/>
  <c r="AE56" i="49"/>
  <c r="AH32" i="49"/>
  <c r="AF24" i="49"/>
  <c r="AI16" i="49"/>
  <c r="AH8" i="49"/>
  <c r="AH55" i="49"/>
  <c r="AE39" i="49"/>
  <c r="AH31" i="49"/>
  <c r="AI54" i="49"/>
  <c r="AF30" i="49"/>
  <c r="AI22" i="49"/>
  <c r="AH14" i="49"/>
  <c r="AI61" i="49"/>
  <c r="AI53" i="49"/>
  <c r="AE21" i="49"/>
  <c r="AH13" i="49"/>
  <c r="AF60" i="49"/>
  <c r="AE52" i="49"/>
  <c r="AH36" i="49"/>
  <c r="AH20" i="49"/>
  <c r="AE12" i="49"/>
  <c r="AF4" i="49"/>
  <c r="AE51" i="49"/>
  <c r="AI35" i="49"/>
  <c r="AE27" i="49"/>
  <c r="AI11" i="49"/>
  <c r="AH42" i="49"/>
  <c r="AH18" i="49"/>
  <c r="AH57" i="49"/>
  <c r="AI41" i="49"/>
  <c r="AF25" i="49"/>
  <c r="AI17" i="49"/>
  <c r="AI9" i="49"/>
  <c r="AI32" i="49"/>
  <c r="AI24" i="49"/>
  <c r="AH16" i="49"/>
  <c r="AE8" i="49"/>
  <c r="AF31" i="49"/>
  <c r="AE15" i="49"/>
  <c r="AI46" i="49"/>
  <c r="AE30" i="49"/>
  <c r="AF61" i="49"/>
  <c r="AF13" i="49"/>
  <c r="AH5" i="49"/>
  <c r="AH44" i="49"/>
  <c r="AI28" i="49"/>
  <c r="AF20" i="49"/>
  <c r="AH12" i="49"/>
  <c r="AF43" i="49"/>
  <c r="AH35" i="49"/>
  <c r="AI19" i="49"/>
  <c r="AH11" i="49"/>
  <c r="AH50" i="49"/>
  <c r="AF42" i="49"/>
  <c r="AI26" i="49"/>
  <c r="AI18" i="49"/>
  <c r="AI49" i="49"/>
  <c r="AH17" i="49"/>
  <c r="AH9" i="49"/>
  <c r="AH40" i="49"/>
  <c r="AE32" i="49"/>
  <c r="AH24" i="49"/>
  <c r="AE16" i="49"/>
  <c r="AE47" i="49"/>
  <c r="AI39" i="49"/>
  <c r="AE23" i="49"/>
  <c r="AI7" i="49"/>
  <c r="AF54" i="49"/>
  <c r="AH38" i="49"/>
  <c r="AI30" i="49"/>
  <c r="AF6" i="49"/>
  <c r="AH61" i="49"/>
  <c r="AE37" i="49"/>
  <c r="AH29" i="49"/>
  <c r="AH21" i="49"/>
  <c r="AE13" i="49"/>
  <c r="AE44" i="49"/>
  <c r="AF28" i="49"/>
  <c r="AE20" i="49"/>
  <c r="AE59" i="49"/>
  <c r="AF51" i="49"/>
  <c r="AI43" i="49"/>
  <c r="AH19" i="49"/>
  <c r="AH58" i="49"/>
  <c r="AE42" i="49"/>
  <c r="AF34" i="49"/>
  <c r="AH26" i="49"/>
  <c r="AI57" i="49"/>
  <c r="AE33" i="49"/>
  <c r="AH25" i="49"/>
  <c r="AE17" i="49"/>
  <c r="AE9" i="49"/>
  <c r="AH48" i="49"/>
  <c r="AI40" i="49"/>
  <c r="AE24" i="49"/>
  <c r="AF39" i="49"/>
  <c r="AE31" i="49"/>
  <c r="AH7" i="49"/>
  <c r="AE54" i="49"/>
  <c r="AH22" i="49"/>
  <c r="AE6" i="49"/>
  <c r="AE45" i="49"/>
  <c r="AH37" i="49"/>
  <c r="AE29" i="49"/>
  <c r="AH52" i="49"/>
  <c r="AI44" i="49"/>
  <c r="AE36" i="49"/>
  <c r="AE28" i="49"/>
  <c r="AI51" i="49"/>
  <c r="AH43" i="49"/>
  <c r="AI27" i="49"/>
  <c r="AF58" i="49"/>
  <c r="AF50" i="49"/>
  <c r="AE34" i="49"/>
  <c r="AF10" i="49"/>
  <c r="AF57" i="49"/>
  <c r="AH33" i="49"/>
  <c r="AE25" i="49"/>
  <c r="AE48" i="49"/>
  <c r="AF40" i="49"/>
  <c r="AF32" i="49"/>
  <c r="AE55" i="49"/>
  <c r="AI47" i="49"/>
  <c r="AI15" i="49"/>
  <c r="AF7" i="49"/>
  <c r="AH46" i="49"/>
  <c r="AI38" i="49"/>
  <c r="AF14" i="49"/>
  <c r="AI6" i="49"/>
  <c r="AE53" i="49"/>
  <c r="AI37" i="49"/>
  <c r="AF29" i="49"/>
  <c r="AI5" i="49"/>
  <c r="AH60" i="49"/>
  <c r="AI36" i="49"/>
  <c r="AH28" i="49"/>
  <c r="AE35" i="49"/>
  <c r="AH27" i="49"/>
  <c r="AF19" i="49"/>
  <c r="AE11" i="49"/>
  <c r="AE58" i="49"/>
  <c r="AI42" i="49"/>
  <c r="AI34" i="49"/>
  <c r="AF18" i="49"/>
  <c r="AE10" i="49"/>
  <c r="AE41" i="49"/>
  <c r="AF33" i="49"/>
  <c r="AI25" i="49"/>
  <c r="AH56" i="49"/>
  <c r="AH47" i="49"/>
  <c r="AH39" i="49"/>
  <c r="AI23" i="49"/>
  <c r="AH15" i="49"/>
  <c r="AF38" i="49"/>
  <c r="AH30" i="49"/>
  <c r="AE14" i="49"/>
  <c r="AG40" i="24"/>
  <c r="AG78" i="24"/>
  <c r="AG45" i="24"/>
  <c r="AG72" i="24"/>
  <c r="AG56" i="24"/>
  <c r="AG49" i="24"/>
  <c r="AG57" i="24"/>
  <c r="AG88" i="47"/>
  <c r="AG67" i="49"/>
  <c r="AG68" i="49"/>
  <c r="AG28" i="49"/>
  <c r="AG36" i="49"/>
  <c r="AG40" i="49"/>
  <c r="AG6" i="49"/>
  <c r="AG34" i="49"/>
  <c r="AG82" i="49"/>
  <c r="AG58" i="49"/>
  <c r="AG48" i="49"/>
  <c r="AG78" i="49"/>
  <c r="AG72" i="49"/>
  <c r="AG33" i="49"/>
  <c r="AG62" i="49"/>
  <c r="AG7" i="49"/>
  <c r="AG30" i="49"/>
  <c r="AG51" i="49"/>
  <c r="AG57" i="49"/>
  <c r="AG16" i="49"/>
  <c r="AG73" i="49"/>
  <c r="AG14" i="49"/>
  <c r="AG25" i="49"/>
  <c r="AG10" i="49"/>
  <c r="AG84" i="49"/>
  <c r="AG79" i="49"/>
  <c r="AG65" i="49"/>
  <c r="AG38" i="49"/>
  <c r="AG13" i="49"/>
  <c r="AG83" i="49"/>
  <c r="AG20" i="49"/>
  <c r="AG85" i="49"/>
  <c r="AG59" i="49"/>
  <c r="AG5" i="49"/>
  <c r="AG42" i="49"/>
  <c r="AG23" i="49"/>
  <c r="AG60" i="49"/>
  <c r="AG56" i="49"/>
  <c r="AG64" i="49"/>
  <c r="AG27" i="49"/>
  <c r="AG69" i="49"/>
  <c r="AG19" i="49"/>
  <c r="AG53" i="49"/>
  <c r="AG11" i="49"/>
  <c r="AG80" i="49"/>
  <c r="AG41" i="49"/>
  <c r="AG24" i="49"/>
  <c r="AG32" i="49"/>
  <c r="AG63" i="49"/>
  <c r="AG55" i="49"/>
  <c r="AG17" i="49"/>
  <c r="AG29" i="49"/>
  <c r="AG75" i="49"/>
  <c r="AG76" i="49"/>
  <c r="AG43" i="49"/>
  <c r="AG47" i="49"/>
  <c r="AG15" i="49"/>
  <c r="AG71" i="49"/>
  <c r="AG46" i="49"/>
  <c r="AG45" i="49"/>
  <c r="AG70" i="49"/>
  <c r="AG21" i="49"/>
  <c r="AG26" i="49"/>
  <c r="AG37" i="49"/>
  <c r="AG4" i="49"/>
  <c r="AG8" i="49"/>
  <c r="AG52" i="49"/>
  <c r="AG81" i="49"/>
  <c r="AG35" i="49"/>
  <c r="AG77" i="49"/>
  <c r="AG50" i="49"/>
  <c r="AG54" i="49"/>
  <c r="AG9" i="49"/>
  <c r="AG18" i="49"/>
  <c r="AG22" i="49"/>
  <c r="AG39" i="49"/>
  <c r="AG74" i="49"/>
  <c r="AG49" i="49"/>
  <c r="AG61" i="49"/>
  <c r="AG12" i="49"/>
  <c r="AG44" i="49"/>
  <c r="AG31" i="49"/>
  <c r="AG66" i="49"/>
  <c r="AM17" i="49"/>
  <c r="AM40" i="49"/>
  <c r="AM16" i="49"/>
  <c r="AM66" i="49"/>
  <c r="AM18" i="49"/>
  <c r="AM76" i="49"/>
  <c r="AM73" i="49"/>
  <c r="AM72" i="49"/>
  <c r="AM60" i="49"/>
  <c r="AM80" i="49"/>
  <c r="AM62" i="49"/>
  <c r="AM47" i="49"/>
  <c r="AM32" i="49"/>
  <c r="AM15" i="49"/>
  <c r="AM63" i="49"/>
  <c r="AM6" i="49"/>
  <c r="AM49" i="49"/>
  <c r="AM39" i="49"/>
  <c r="AM7" i="49"/>
  <c r="AM21" i="49"/>
  <c r="AM58" i="49"/>
  <c r="AM19" i="49"/>
  <c r="AM57" i="49"/>
  <c r="AM34" i="49"/>
  <c r="AM14" i="49"/>
  <c r="AM31" i="49"/>
  <c r="AM28" i="49"/>
  <c r="AM5" i="49"/>
  <c r="AM36" i="49"/>
  <c r="AM41" i="49"/>
  <c r="AM9" i="49"/>
  <c r="AM25" i="49"/>
  <c r="AM56" i="49"/>
  <c r="AM75" i="49"/>
  <c r="AM10" i="49"/>
  <c r="AM64" i="49"/>
  <c r="AM35" i="49"/>
  <c r="AM42" i="49"/>
  <c r="AM12" i="49"/>
  <c r="AM54" i="49"/>
  <c r="AM83" i="49"/>
  <c r="AM67" i="49"/>
  <c r="AM50" i="49"/>
  <c r="AM52" i="49"/>
  <c r="AM26" i="49"/>
  <c r="AM30" i="49"/>
  <c r="AM74" i="49"/>
  <c r="AM81" i="49"/>
  <c r="AM22" i="49"/>
  <c r="AM61" i="49"/>
  <c r="AM78" i="49"/>
  <c r="AM33" i="49"/>
  <c r="AM43" i="49"/>
  <c r="AM45" i="49"/>
  <c r="AM13" i="49"/>
  <c r="AM79" i="49"/>
  <c r="AM68" i="49"/>
  <c r="AM37" i="49"/>
  <c r="AM20" i="49"/>
  <c r="AM8" i="49"/>
  <c r="AM82" i="49"/>
  <c r="AM71" i="49"/>
  <c r="AM29" i="49"/>
  <c r="AM46" i="49"/>
  <c r="AM84" i="49"/>
  <c r="AM27" i="49"/>
  <c r="AM23" i="49"/>
  <c r="AM70" i="49"/>
  <c r="AM24" i="49"/>
  <c r="AM44" i="49"/>
  <c r="AM85" i="49"/>
  <c r="AM51" i="49"/>
  <c r="AM11" i="49"/>
  <c r="AM53" i="49"/>
  <c r="AM4" i="49"/>
  <c r="AM65" i="49"/>
  <c r="AM38" i="49"/>
  <c r="AM48" i="49"/>
  <c r="AM59" i="49"/>
  <c r="AM69" i="49"/>
  <c r="AM55" i="49"/>
  <c r="AM77" i="49"/>
  <c r="AG120" i="47"/>
  <c r="AG104" i="47"/>
  <c r="AG24" i="24"/>
  <c r="AG26" i="24"/>
  <c r="AG27" i="24"/>
  <c r="AG77" i="24"/>
  <c r="AG58" i="24"/>
  <c r="AG55" i="24"/>
  <c r="AG52" i="24"/>
  <c r="AG81" i="24"/>
  <c r="AG112" i="47"/>
  <c r="AG122" i="47"/>
  <c r="AG116" i="47"/>
  <c r="AG59" i="24"/>
  <c r="AG37" i="24"/>
  <c r="AG31" i="24"/>
  <c r="AG83" i="24"/>
  <c r="AG67" i="24"/>
  <c r="AG28" i="24"/>
  <c r="AG33" i="24"/>
  <c r="AG51" i="24"/>
  <c r="AG90" i="47"/>
  <c r="AG92" i="47"/>
  <c r="AG30" i="24"/>
  <c r="AG47" i="24"/>
  <c r="AG70" i="24"/>
  <c r="AG84" i="24"/>
  <c r="AG65" i="24"/>
  <c r="AG61" i="24"/>
  <c r="AG41" i="24"/>
  <c r="AG38" i="24"/>
  <c r="AG110" i="47"/>
  <c r="AG126" i="47"/>
  <c r="AM16" i="24"/>
  <c r="AM50" i="24"/>
  <c r="AM57" i="24"/>
  <c r="AM86" i="47"/>
  <c r="AM120" i="47"/>
  <c r="AM73" i="24"/>
  <c r="AM27" i="24"/>
  <c r="AM28" i="24"/>
  <c r="AM127" i="47"/>
  <c r="AM112" i="47"/>
  <c r="AN112" i="47" s="1"/>
  <c r="AM78" i="24"/>
  <c r="AM36" i="24"/>
  <c r="AM81" i="24"/>
  <c r="AM97" i="47"/>
  <c r="AM104" i="47"/>
  <c r="AM106" i="47"/>
  <c r="AM45" i="24"/>
  <c r="AM63" i="24"/>
  <c r="AM79" i="24"/>
  <c r="AM74" i="24"/>
  <c r="AM83" i="24"/>
  <c r="AM32" i="24"/>
  <c r="AM101" i="47"/>
  <c r="AM111" i="47"/>
  <c r="AM98" i="47"/>
  <c r="AM65" i="24"/>
  <c r="AM69" i="24"/>
  <c r="AM62" i="24"/>
  <c r="AM126" i="47"/>
  <c r="AM94" i="47"/>
  <c r="AM43" i="24"/>
  <c r="AM124" i="47"/>
  <c r="AM93" i="47"/>
  <c r="AM34" i="24"/>
  <c r="AM100" i="47"/>
  <c r="AM67" i="24"/>
  <c r="AM108" i="47"/>
  <c r="AM110" i="47"/>
  <c r="AM118" i="47"/>
  <c r="AM116" i="47"/>
  <c r="AM26" i="24"/>
  <c r="AM123" i="47"/>
  <c r="AM60" i="24"/>
  <c r="AM38" i="24"/>
  <c r="AM96" i="47"/>
  <c r="AM90" i="47"/>
  <c r="AM119" i="47"/>
  <c r="AM41" i="24"/>
  <c r="AM53" i="24"/>
  <c r="AM42" i="24"/>
  <c r="AM99" i="47"/>
  <c r="AM48" i="24"/>
  <c r="AM61" i="24"/>
  <c r="AM52" i="24"/>
  <c r="AM117" i="47"/>
  <c r="AM84" i="24"/>
  <c r="AM92" i="47"/>
  <c r="AM49" i="24"/>
  <c r="AM87" i="47"/>
  <c r="AM109" i="47"/>
  <c r="AM47" i="24"/>
  <c r="AM125" i="47"/>
  <c r="AM54" i="24"/>
  <c r="AM75" i="24"/>
  <c r="AM72" i="24"/>
  <c r="AM85" i="24"/>
  <c r="AM33" i="24"/>
  <c r="AM46" i="24"/>
  <c r="AM105" i="47"/>
  <c r="AM44" i="24"/>
  <c r="AM102" i="47"/>
  <c r="AM103" i="47"/>
  <c r="AM51" i="24"/>
  <c r="AM121" i="47"/>
  <c r="AM64" i="24"/>
  <c r="AM76" i="24"/>
  <c r="AM55" i="24"/>
  <c r="AM89" i="47"/>
  <c r="AM37" i="24"/>
  <c r="AM77" i="24"/>
  <c r="AM59" i="24"/>
  <c r="AM113" i="47"/>
  <c r="AM58" i="24"/>
  <c r="AM70" i="24"/>
  <c r="AM91" i="47"/>
  <c r="AM80" i="24"/>
  <c r="AM114" i="47"/>
  <c r="AM39" i="24"/>
  <c r="AM30" i="24"/>
  <c r="AM68" i="24"/>
  <c r="AM40" i="24"/>
  <c r="AM115" i="47"/>
  <c r="AM29" i="24"/>
  <c r="AM35" i="24"/>
  <c r="AM82" i="24"/>
  <c r="AM95" i="47"/>
  <c r="AM88" i="47"/>
  <c r="AM66" i="24"/>
  <c r="AM31" i="24"/>
  <c r="AM71" i="24"/>
  <c r="AM122" i="47"/>
  <c r="AM107" i="47"/>
  <c r="AM56" i="24"/>
  <c r="AG79" i="24"/>
  <c r="AG75" i="24"/>
  <c r="AG66" i="24"/>
  <c r="AG42" i="24"/>
  <c r="AG76" i="24"/>
  <c r="AG71" i="24"/>
  <c r="AG32" i="24"/>
  <c r="AG36" i="24"/>
  <c r="AG124" i="47"/>
  <c r="AG114" i="47"/>
  <c r="AG82" i="24"/>
  <c r="AG48" i="24"/>
  <c r="AG43" i="24"/>
  <c r="AG39" i="24"/>
  <c r="AG34" i="24"/>
  <c r="AG53" i="24"/>
  <c r="AG60" i="24"/>
  <c r="AG86" i="47"/>
  <c r="AG102" i="47"/>
  <c r="AG94" i="47"/>
  <c r="AG62" i="24"/>
  <c r="AG85" i="24"/>
  <c r="AG80" i="24"/>
  <c r="AG35" i="24"/>
  <c r="AG50" i="24"/>
  <c r="AG54" i="24"/>
  <c r="AG44" i="24"/>
  <c r="AG118" i="47"/>
  <c r="AG100" i="47"/>
  <c r="AG108" i="47"/>
  <c r="AG46" i="24"/>
  <c r="AG68" i="24"/>
  <c r="AG74" i="24"/>
  <c r="AG73" i="24"/>
  <c r="AG63" i="24"/>
  <c r="AG64" i="24"/>
  <c r="AG69" i="24"/>
  <c r="AG98" i="47"/>
  <c r="AG96" i="47"/>
  <c r="AG106" i="47"/>
  <c r="AM24" i="24"/>
  <c r="AM20" i="24"/>
  <c r="AM25" i="24"/>
  <c r="AG20" i="24"/>
  <c r="AG23" i="24"/>
  <c r="AM21" i="24"/>
  <c r="AM23" i="24"/>
  <c r="AG25" i="24"/>
  <c r="AM22" i="24"/>
  <c r="AG22" i="24"/>
  <c r="AM19" i="24"/>
  <c r="AG19" i="24"/>
  <c r="AG21" i="24"/>
  <c r="AM13" i="24"/>
  <c r="AM6" i="24"/>
  <c r="AM8" i="24"/>
  <c r="AM14" i="24"/>
  <c r="AM17" i="24"/>
  <c r="AM18" i="24"/>
  <c r="AM12" i="24"/>
  <c r="AG52" i="47"/>
  <c r="AG11" i="24"/>
  <c r="AG8" i="24"/>
  <c r="AG15" i="24"/>
  <c r="AG10" i="24"/>
  <c r="AG16" i="24"/>
  <c r="AG5" i="24"/>
  <c r="AG12" i="24"/>
  <c r="AG13" i="24"/>
  <c r="AG7" i="24"/>
  <c r="AG18" i="24"/>
  <c r="AG6" i="24"/>
  <c r="AG17" i="24"/>
  <c r="AG4" i="24"/>
  <c r="AG9" i="24"/>
  <c r="AG14" i="24"/>
  <c r="AM10" i="24"/>
  <c r="AM15" i="24"/>
  <c r="AM5" i="24"/>
  <c r="AM11" i="24"/>
  <c r="AM7" i="24"/>
  <c r="AM9" i="24"/>
  <c r="AM4" i="24"/>
  <c r="AG116" i="24"/>
  <c r="AG86" i="24"/>
  <c r="AG31" i="47"/>
  <c r="AG4" i="47"/>
  <c r="AG126" i="24"/>
  <c r="AG77" i="47"/>
  <c r="AG82" i="47"/>
  <c r="AG23" i="47"/>
  <c r="AG122" i="24"/>
  <c r="AG90" i="49"/>
  <c r="AG59" i="47"/>
  <c r="AG66" i="47"/>
  <c r="AG112" i="24"/>
  <c r="AG118" i="49"/>
  <c r="AG60" i="47"/>
  <c r="AG64" i="47"/>
  <c r="AG14" i="47"/>
  <c r="AG100" i="24"/>
  <c r="AG114" i="24"/>
  <c r="AG120" i="24"/>
  <c r="AG110" i="49"/>
  <c r="AG30" i="47"/>
  <c r="AG40" i="47"/>
  <c r="AG27" i="47"/>
  <c r="AG41" i="47"/>
  <c r="AG32" i="47"/>
  <c r="AG39" i="47"/>
  <c r="AG47" i="47"/>
  <c r="AG79" i="47"/>
  <c r="AG20" i="47"/>
  <c r="AG10" i="47"/>
  <c r="AG58" i="47"/>
  <c r="AG8" i="47"/>
  <c r="AG94" i="24"/>
  <c r="AG21" i="47"/>
  <c r="AG51" i="47"/>
  <c r="AG63" i="47"/>
  <c r="AG104" i="49"/>
  <c r="AG5" i="47"/>
  <c r="AG62" i="47"/>
  <c r="AG104" i="24"/>
  <c r="AG120" i="49"/>
  <c r="AG80" i="47"/>
  <c r="AG44" i="47"/>
  <c r="AG110" i="24"/>
  <c r="AG90" i="24"/>
  <c r="AG118" i="24"/>
  <c r="AG114" i="49"/>
  <c r="AG86" i="49"/>
  <c r="AG11" i="47"/>
  <c r="AG69" i="47"/>
  <c r="AG9" i="47"/>
  <c r="AG56" i="47"/>
  <c r="AG38" i="47"/>
  <c r="AG42" i="47"/>
  <c r="AG75" i="47"/>
  <c r="AG35" i="47"/>
  <c r="AG19" i="47"/>
  <c r="AG29" i="47"/>
  <c r="AG88" i="24"/>
  <c r="AG126" i="49"/>
  <c r="AG116" i="49"/>
  <c r="AG48" i="47"/>
  <c r="AG17" i="47"/>
  <c r="AG102" i="49"/>
  <c r="AG88" i="49"/>
  <c r="AG74" i="47"/>
  <c r="AG84" i="47"/>
  <c r="AG96" i="49"/>
  <c r="AG18" i="47"/>
  <c r="AG57" i="47"/>
  <c r="AG61" i="47"/>
  <c r="AM86" i="49"/>
  <c r="AM94" i="49"/>
  <c r="AM108" i="49"/>
  <c r="AM113" i="49"/>
  <c r="AM117" i="49"/>
  <c r="AM53" i="47"/>
  <c r="AM73" i="47"/>
  <c r="AM91" i="24"/>
  <c r="AM36" i="47"/>
  <c r="AM65" i="47"/>
  <c r="AM29" i="47"/>
  <c r="AM117" i="24"/>
  <c r="AM7" i="47"/>
  <c r="AM109" i="49"/>
  <c r="AM108" i="24"/>
  <c r="AM13" i="47"/>
  <c r="AM107" i="49"/>
  <c r="AM88" i="24"/>
  <c r="AM57" i="47"/>
  <c r="AM45" i="47"/>
  <c r="AM91" i="49"/>
  <c r="AM120" i="49"/>
  <c r="AM15" i="47"/>
  <c r="AM38" i="47"/>
  <c r="AM19" i="47"/>
  <c r="AM10" i="47"/>
  <c r="AM32" i="47"/>
  <c r="AM81" i="47"/>
  <c r="AM68" i="47"/>
  <c r="AM22" i="47"/>
  <c r="AM83" i="47"/>
  <c r="AM37" i="47"/>
  <c r="AM101" i="24"/>
  <c r="AM28" i="47"/>
  <c r="AM43" i="47"/>
  <c r="AM93" i="49"/>
  <c r="AM18" i="47"/>
  <c r="AM116" i="49"/>
  <c r="AM103" i="49"/>
  <c r="AM118" i="49"/>
  <c r="AM66" i="47"/>
  <c r="AM55" i="47"/>
  <c r="AM9" i="47"/>
  <c r="AM40" i="47"/>
  <c r="AM102" i="49"/>
  <c r="AM72" i="47"/>
  <c r="AM69" i="47"/>
  <c r="AM59" i="47"/>
  <c r="AM20" i="47"/>
  <c r="AM21" i="47"/>
  <c r="AM79" i="47"/>
  <c r="AM75" i="47"/>
  <c r="AM64" i="47"/>
  <c r="AM47" i="47"/>
  <c r="AM106" i="49"/>
  <c r="AM88" i="49"/>
  <c r="AM82" i="47"/>
  <c r="AM78" i="47"/>
  <c r="AM86" i="24"/>
  <c r="AM60" i="47"/>
  <c r="AM46" i="47"/>
  <c r="AM109" i="24"/>
  <c r="AM104" i="24"/>
  <c r="AM110" i="24"/>
  <c r="AM119" i="24"/>
  <c r="AM111" i="24"/>
  <c r="AM103" i="24"/>
  <c r="AM125" i="24"/>
  <c r="AM87" i="49"/>
  <c r="AM96" i="49"/>
  <c r="AM23" i="47"/>
  <c r="AM123" i="24"/>
  <c r="AM106" i="24"/>
  <c r="AM76" i="47"/>
  <c r="AM16" i="47"/>
  <c r="AM27" i="47"/>
  <c r="AM115" i="24"/>
  <c r="AM102" i="24"/>
  <c r="AM99" i="49"/>
  <c r="AM67" i="47"/>
  <c r="AM124" i="24"/>
  <c r="AM114" i="24"/>
  <c r="AM41" i="47"/>
  <c r="AM92" i="24"/>
  <c r="AM54" i="47"/>
  <c r="AM80" i="47"/>
  <c r="AM11" i="47"/>
  <c r="AM63" i="47"/>
  <c r="AM96" i="24"/>
  <c r="AM118" i="24"/>
  <c r="AM127" i="24"/>
  <c r="AM97" i="24"/>
  <c r="AM113" i="24"/>
  <c r="AM101" i="49"/>
  <c r="AM49" i="47"/>
  <c r="AM98" i="24"/>
  <c r="AM99" i="24"/>
  <c r="AM90" i="24"/>
  <c r="AM93" i="24"/>
  <c r="AM61" i="47"/>
  <c r="AM6" i="47"/>
  <c r="AM35" i="47"/>
  <c r="AM111" i="49"/>
  <c r="AM44" i="47"/>
  <c r="AM33" i="47"/>
  <c r="AM70" i="47"/>
  <c r="AM14" i="47"/>
  <c r="AM110" i="49"/>
  <c r="AM34" i="47"/>
  <c r="AM121" i="49"/>
  <c r="AM122" i="49"/>
  <c r="AM97" i="49"/>
  <c r="AM48" i="47"/>
  <c r="AM92" i="49"/>
  <c r="AM98" i="49"/>
  <c r="AM71" i="47"/>
  <c r="AM127" i="49"/>
  <c r="AM94" i="24"/>
  <c r="AM51" i="47"/>
  <c r="AM8" i="47"/>
  <c r="AM120" i="24"/>
  <c r="AM119" i="49"/>
  <c r="AM85" i="47"/>
  <c r="AM114" i="49"/>
  <c r="AM105" i="24"/>
  <c r="AM126" i="24"/>
  <c r="AM104" i="49"/>
  <c r="AM4" i="47"/>
  <c r="AM56" i="47"/>
  <c r="AM112" i="49"/>
  <c r="AN112" i="49" s="1"/>
  <c r="AM100" i="49"/>
  <c r="AM58" i="47"/>
  <c r="AM31" i="47"/>
  <c r="AM124" i="49"/>
  <c r="AM125" i="49"/>
  <c r="AM52" i="47"/>
  <c r="AM5" i="47"/>
  <c r="AM84" i="47"/>
  <c r="AM39" i="47"/>
  <c r="AM87" i="24"/>
  <c r="AM42" i="47"/>
  <c r="AM105" i="49"/>
  <c r="AM77" i="47"/>
  <c r="AM115" i="49"/>
  <c r="AM17" i="47"/>
  <c r="AM100" i="24"/>
  <c r="AM12" i="47"/>
  <c r="AM26" i="47"/>
  <c r="AM123" i="49"/>
  <c r="AM62" i="47"/>
  <c r="AM126" i="49"/>
  <c r="AM24" i="47"/>
  <c r="AM74" i="47"/>
  <c r="AM90" i="49"/>
  <c r="AM95" i="49"/>
  <c r="AM25" i="47"/>
  <c r="AM112" i="24"/>
  <c r="AN112" i="24" s="1"/>
  <c r="AM95" i="24"/>
  <c r="AM107" i="24"/>
  <c r="AM116" i="24"/>
  <c r="AM121" i="24"/>
  <c r="AM122" i="24"/>
  <c r="AM89" i="24"/>
  <c r="AM50" i="47"/>
  <c r="AM30" i="47"/>
  <c r="AM89" i="49"/>
  <c r="AG96" i="24"/>
  <c r="AG124" i="24"/>
  <c r="AG100" i="49"/>
  <c r="AG122" i="49"/>
  <c r="AG24" i="47"/>
  <c r="AG124" i="49"/>
  <c r="AG72" i="47"/>
  <c r="AG15" i="47"/>
  <c r="AG26" i="47"/>
  <c r="AG78" i="47"/>
  <c r="AG85" i="47"/>
  <c r="AG94" i="49"/>
  <c r="AG28" i="47"/>
  <c r="AG45" i="47"/>
  <c r="AG106" i="49"/>
  <c r="AG16" i="47"/>
  <c r="AG25" i="47"/>
  <c r="AG34" i="47"/>
  <c r="AG92" i="49"/>
  <c r="AG71" i="47"/>
  <c r="AG73" i="47"/>
  <c r="AG108" i="49"/>
  <c r="AG98" i="49"/>
  <c r="AG43" i="47"/>
  <c r="AG7" i="47"/>
  <c r="AG68" i="47"/>
  <c r="AG54" i="47"/>
  <c r="AG108" i="24"/>
  <c r="AG13" i="47"/>
  <c r="AG53" i="47"/>
  <c r="AG98" i="24"/>
  <c r="AG50" i="47"/>
  <c r="AG70" i="47"/>
  <c r="AG112" i="49"/>
  <c r="AG83" i="47"/>
  <c r="AG33" i="47"/>
  <c r="AG92" i="24"/>
  <c r="AG36" i="47"/>
  <c r="AG67" i="47"/>
  <c r="AG6" i="47"/>
  <c r="AG37" i="47"/>
  <c r="AG106" i="24"/>
  <c r="AG49" i="47"/>
  <c r="AG81" i="47"/>
  <c r="AG102" i="24"/>
  <c r="AG76" i="47"/>
  <c r="AG12" i="47"/>
  <c r="AG22" i="47"/>
  <c r="AG46" i="47"/>
  <c r="AG55" i="47"/>
  <c r="AG65" i="47"/>
  <c r="J21" i="50"/>
  <c r="J21" i="48"/>
  <c r="J22" i="48" s="1"/>
  <c r="I66" i="15"/>
  <c r="I58" i="15"/>
  <c r="I50" i="15"/>
  <c r="I115" i="15"/>
  <c r="I107" i="15"/>
  <c r="I99" i="15"/>
  <c r="I91" i="15"/>
  <c r="I83" i="15"/>
  <c r="I3" i="15"/>
  <c r="I16" i="15"/>
  <c r="I62" i="15"/>
  <c r="I54" i="15"/>
  <c r="I46" i="15"/>
  <c r="I6" i="15"/>
  <c r="I73" i="15"/>
  <c r="I65" i="15"/>
  <c r="I49" i="15"/>
  <c r="I41" i="15"/>
  <c r="I33" i="15"/>
  <c r="I25" i="15"/>
  <c r="I17" i="15"/>
  <c r="I9" i="15"/>
  <c r="I124" i="15"/>
  <c r="I116" i="15"/>
  <c r="I114" i="15"/>
  <c r="I12" i="15"/>
  <c r="I4" i="15"/>
  <c r="I111" i="15"/>
  <c r="I103" i="15"/>
  <c r="I95" i="15"/>
  <c r="I87" i="15"/>
  <c r="I79" i="15"/>
  <c r="I7" i="15"/>
  <c r="I122" i="15"/>
  <c r="I125" i="15"/>
  <c r="I117" i="15"/>
  <c r="I69" i="15"/>
  <c r="I61" i="15"/>
  <c r="I53" i="15"/>
  <c r="I45" i="15"/>
  <c r="I37" i="15"/>
  <c r="I29" i="15"/>
  <c r="I21" i="15"/>
  <c r="I13" i="15"/>
  <c r="I5" i="15"/>
  <c r="Q124" i="15"/>
  <c r="Q116" i="15"/>
  <c r="Q40" i="15"/>
  <c r="Q8" i="15"/>
  <c r="Q3" i="15"/>
  <c r="Q115" i="15"/>
  <c r="Q83" i="15"/>
  <c r="Q86" i="15"/>
  <c r="Q78" i="15"/>
  <c r="Q6" i="15"/>
  <c r="Q121" i="15"/>
  <c r="Q127" i="15"/>
  <c r="Q119" i="15"/>
  <c r="Q79" i="15"/>
  <c r="Q122" i="15"/>
  <c r="Q114" i="15"/>
  <c r="Q37" i="15"/>
  <c r="Q128" i="15"/>
  <c r="I121" i="15"/>
  <c r="Q120" i="15"/>
  <c r="Q123" i="15"/>
  <c r="I127" i="15"/>
  <c r="Q126" i="15"/>
  <c r="I119" i="15"/>
  <c r="Q118" i="15"/>
  <c r="I128" i="15"/>
  <c r="I120" i="15"/>
  <c r="I123" i="15"/>
  <c r="I126" i="15"/>
  <c r="Q125" i="15"/>
  <c r="I118" i="15"/>
  <c r="Q117" i="15"/>
  <c r="Q110" i="15"/>
  <c r="Q106" i="15"/>
  <c r="Q102" i="15"/>
  <c r="Q98" i="15"/>
  <c r="Q94" i="15"/>
  <c r="Q90" i="15"/>
  <c r="Q82" i="15"/>
  <c r="I112" i="15"/>
  <c r="I108" i="15"/>
  <c r="I104" i="15"/>
  <c r="I100" i="15"/>
  <c r="I96" i="15"/>
  <c r="I92" i="15"/>
  <c r="I88" i="15"/>
  <c r="I84" i="15"/>
  <c r="I80" i="15"/>
  <c r="I77" i="15"/>
  <c r="Q111" i="15"/>
  <c r="Q107" i="15"/>
  <c r="Q103" i="15"/>
  <c r="Q99" i="15"/>
  <c r="Q95" i="15"/>
  <c r="Q91" i="15"/>
  <c r="Q87" i="15"/>
  <c r="I113" i="15"/>
  <c r="I109" i="15"/>
  <c r="I105" i="15"/>
  <c r="I101" i="15"/>
  <c r="I97" i="15"/>
  <c r="I93" i="15"/>
  <c r="I89" i="15"/>
  <c r="I85" i="15"/>
  <c r="I81" i="15"/>
  <c r="Q112" i="15"/>
  <c r="Q108" i="15"/>
  <c r="Q104" i="15"/>
  <c r="Q100" i="15"/>
  <c r="Q96" i="15"/>
  <c r="Q92" i="15"/>
  <c r="Q88" i="15"/>
  <c r="Q84" i="15"/>
  <c r="Q80" i="15"/>
  <c r="I78" i="15"/>
  <c r="I110" i="15"/>
  <c r="I106" i="15"/>
  <c r="I102" i="15"/>
  <c r="I98" i="15"/>
  <c r="I94" i="15"/>
  <c r="I90" i="15"/>
  <c r="I86" i="15"/>
  <c r="I82" i="15"/>
  <c r="Q113" i="15"/>
  <c r="Q109" i="15"/>
  <c r="Q105" i="15"/>
  <c r="Q101" i="15"/>
  <c r="Q97" i="15"/>
  <c r="Q93" i="15"/>
  <c r="Q89" i="15"/>
  <c r="Q85" i="15"/>
  <c r="Q81" i="15"/>
  <c r="Q77" i="15"/>
  <c r="Q73" i="15"/>
  <c r="Q69" i="15"/>
  <c r="Q65" i="15"/>
  <c r="Q61" i="15"/>
  <c r="Q57" i="15"/>
  <c r="Q53" i="15"/>
  <c r="Q49" i="15"/>
  <c r="Q45" i="15"/>
  <c r="I75" i="15"/>
  <c r="I71" i="15"/>
  <c r="I67" i="15"/>
  <c r="I63" i="15"/>
  <c r="I59" i="15"/>
  <c r="I55" i="15"/>
  <c r="I51" i="15"/>
  <c r="I47" i="15"/>
  <c r="Q74" i="15"/>
  <c r="Q70" i="15"/>
  <c r="Q66" i="15"/>
  <c r="Q62" i="15"/>
  <c r="Q58" i="15"/>
  <c r="Q54" i="15"/>
  <c r="Q50" i="15"/>
  <c r="Q46" i="15"/>
  <c r="I44" i="15"/>
  <c r="I76" i="15"/>
  <c r="I72" i="15"/>
  <c r="I68" i="15"/>
  <c r="I64" i="15"/>
  <c r="I60" i="15"/>
  <c r="I56" i="15"/>
  <c r="I52" i="15"/>
  <c r="I48" i="15"/>
  <c r="Q75" i="15"/>
  <c r="Q71" i="15"/>
  <c r="Q67" i="15"/>
  <c r="Q63" i="15"/>
  <c r="Q59" i="15"/>
  <c r="Q55" i="15"/>
  <c r="Q51" i="15"/>
  <c r="Q47" i="15"/>
  <c r="I57" i="15"/>
  <c r="Q44" i="15"/>
  <c r="Q76" i="15"/>
  <c r="Q72" i="15"/>
  <c r="Q68" i="15"/>
  <c r="Q64" i="15"/>
  <c r="Q60" i="15"/>
  <c r="Q56" i="15"/>
  <c r="Q52" i="15"/>
  <c r="Q48" i="15"/>
  <c r="Q41" i="15"/>
  <c r="I74" i="15"/>
  <c r="I70" i="15"/>
  <c r="I40" i="15"/>
  <c r="I36" i="15"/>
  <c r="I32" i="15"/>
  <c r="I28" i="15"/>
  <c r="I24" i="15"/>
  <c r="I20" i="15"/>
  <c r="Q43" i="15"/>
  <c r="Q39" i="15"/>
  <c r="Q35" i="15"/>
  <c r="Q31" i="15"/>
  <c r="Q27" i="15"/>
  <c r="Q23" i="15"/>
  <c r="Q19" i="15"/>
  <c r="Q15" i="15"/>
  <c r="Q11" i="15"/>
  <c r="Q36" i="15"/>
  <c r="Q32" i="15"/>
  <c r="Q28" i="15"/>
  <c r="Q24" i="15"/>
  <c r="Q20" i="15"/>
  <c r="Q16" i="15"/>
  <c r="Q12" i="15"/>
  <c r="I10" i="15"/>
  <c r="Q9" i="15"/>
  <c r="I42" i="15"/>
  <c r="I38" i="15"/>
  <c r="I34" i="15"/>
  <c r="I30" i="15"/>
  <c r="I26" i="15"/>
  <c r="I22" i="15"/>
  <c r="I18" i="15"/>
  <c r="I14" i="15"/>
  <c r="Q4" i="15"/>
  <c r="Q33" i="15"/>
  <c r="Q29" i="15"/>
  <c r="Q25" i="15"/>
  <c r="Q21" i="15"/>
  <c r="Q17" i="15"/>
  <c r="Q13" i="15"/>
  <c r="I8" i="15"/>
  <c r="Q7" i="15"/>
  <c r="I43" i="15"/>
  <c r="I39" i="15"/>
  <c r="I35" i="15"/>
  <c r="I31" i="15"/>
  <c r="I27" i="15"/>
  <c r="I23" i="15"/>
  <c r="I19" i="15"/>
  <c r="I15" i="15"/>
  <c r="I11" i="15"/>
  <c r="Q10" i="15"/>
  <c r="Q42" i="15"/>
  <c r="Q38" i="15"/>
  <c r="Q34" i="15"/>
  <c r="Q30" i="15"/>
  <c r="Q26" i="15"/>
  <c r="Q22" i="15"/>
  <c r="Q18" i="15"/>
  <c r="Q14" i="15"/>
  <c r="Q5" i="15"/>
  <c r="AN111" i="24" l="1"/>
  <c r="AN110" i="24" s="1"/>
  <c r="AN109" i="24" s="1"/>
  <c r="AN108" i="24" s="1"/>
  <c r="AN107" i="24" s="1"/>
  <c r="AN106" i="24" s="1"/>
  <c r="AN105" i="24" s="1"/>
  <c r="AN104" i="24" s="1"/>
  <c r="AN103" i="24" s="1"/>
  <c r="AN102" i="24" s="1"/>
  <c r="AN101" i="24" s="1"/>
  <c r="AN100" i="24" s="1"/>
  <c r="AN99" i="24" s="1"/>
  <c r="AN98" i="24" s="1"/>
  <c r="AN97" i="24" s="1"/>
  <c r="AN96" i="24" s="1"/>
  <c r="AN95" i="24" s="1"/>
  <c r="AN94" i="24" s="1"/>
  <c r="AN93" i="24" s="1"/>
  <c r="AN92" i="24" s="1"/>
  <c r="AN91" i="24" s="1"/>
  <c r="AN90" i="24" s="1"/>
  <c r="AN89" i="24" s="1"/>
  <c r="AN88" i="24" s="1"/>
  <c r="AN87" i="24" s="1"/>
  <c r="AN86" i="24" s="1"/>
  <c r="AN85" i="24" s="1"/>
  <c r="AN84" i="24" s="1"/>
  <c r="AN83" i="24" s="1"/>
  <c r="AN82" i="24" s="1"/>
  <c r="AN81" i="24" s="1"/>
  <c r="AN80" i="24" s="1"/>
  <c r="AN79" i="24" s="1"/>
  <c r="AN78" i="24" s="1"/>
  <c r="AN77" i="24" s="1"/>
  <c r="AN76" i="24" s="1"/>
  <c r="AN75" i="24" s="1"/>
  <c r="AN74" i="24" s="1"/>
  <c r="AN73" i="24" s="1"/>
  <c r="AN72" i="24" s="1"/>
  <c r="AN71" i="24" s="1"/>
  <c r="AN70" i="24" s="1"/>
  <c r="AN69" i="24" s="1"/>
  <c r="AN68" i="24" s="1"/>
  <c r="AN67" i="24" s="1"/>
  <c r="AN66" i="24" s="1"/>
  <c r="AN65" i="24" s="1"/>
  <c r="AN64" i="24" s="1"/>
  <c r="AN63" i="24" s="1"/>
  <c r="AN62" i="24" s="1"/>
  <c r="AN61" i="24" s="1"/>
  <c r="AN60" i="24" s="1"/>
  <c r="AN59" i="24" s="1"/>
  <c r="AN58" i="24" s="1"/>
  <c r="AN57" i="24" s="1"/>
  <c r="AN56" i="24" s="1"/>
  <c r="AN55" i="24" s="1"/>
  <c r="AN54" i="24" s="1"/>
  <c r="AN53" i="24" s="1"/>
  <c r="AN52" i="24" s="1"/>
  <c r="AN51" i="24" s="1"/>
  <c r="AN50" i="24" s="1"/>
  <c r="AN49" i="24" s="1"/>
  <c r="AN48" i="24" s="1"/>
  <c r="AN47" i="24" s="1"/>
  <c r="AN46" i="24" s="1"/>
  <c r="AN45" i="24" s="1"/>
  <c r="AN44" i="24" s="1"/>
  <c r="AN43" i="24" s="1"/>
  <c r="AN42" i="24" s="1"/>
  <c r="AN41" i="24" s="1"/>
  <c r="AN40" i="24" s="1"/>
  <c r="AN39" i="24" s="1"/>
  <c r="AN38" i="24" s="1"/>
  <c r="AN37" i="24" s="1"/>
  <c r="AN36" i="24" s="1"/>
  <c r="AN35" i="24" s="1"/>
  <c r="AN34" i="24" s="1"/>
  <c r="AN33" i="24" s="1"/>
  <c r="AN32" i="24" s="1"/>
  <c r="AN31" i="24" s="1"/>
  <c r="AN30" i="24" s="1"/>
  <c r="AN29" i="24" s="1"/>
  <c r="AN28" i="24" s="1"/>
  <c r="AN27" i="24" s="1"/>
  <c r="AN26" i="24" s="1"/>
  <c r="AN25" i="24" s="1"/>
  <c r="AN24" i="24" s="1"/>
  <c r="AN23" i="24" s="1"/>
  <c r="AN22" i="24" s="1"/>
  <c r="AN21" i="24" s="1"/>
  <c r="AN20" i="24" s="1"/>
  <c r="AN19" i="24" s="1"/>
  <c r="AN18" i="24" s="1"/>
  <c r="AN17" i="24" s="1"/>
  <c r="AN16" i="24" s="1"/>
  <c r="AN15" i="24" s="1"/>
  <c r="AN14" i="24" s="1"/>
  <c r="AN13" i="24" s="1"/>
  <c r="AN12" i="24" s="1"/>
  <c r="AN11" i="24" s="1"/>
  <c r="AN10" i="24" s="1"/>
  <c r="AN9" i="24" s="1"/>
  <c r="AN8" i="24" s="1"/>
  <c r="AN7" i="24" s="1"/>
  <c r="AN6" i="24" s="1"/>
  <c r="AN5" i="24" s="1"/>
  <c r="AN4" i="24" s="1"/>
  <c r="AN3" i="24" s="1"/>
  <c r="AO4" i="24"/>
  <c r="AO5" i="24" s="1"/>
  <c r="AO6" i="24" s="1"/>
  <c r="AO7" i="24" s="1"/>
  <c r="AO8" i="24" s="1"/>
  <c r="AO9" i="24" s="1"/>
  <c r="AO10" i="24" s="1"/>
  <c r="AO11" i="24" s="1"/>
  <c r="AO12" i="24" s="1"/>
  <c r="AO13" i="24" s="1"/>
  <c r="AO14" i="24" s="1"/>
  <c r="AO15" i="24" s="1"/>
  <c r="AO16" i="24" s="1"/>
  <c r="AO17" i="24" s="1"/>
  <c r="AO18" i="24" s="1"/>
  <c r="AO19" i="24" s="1"/>
  <c r="AO20" i="24" s="1"/>
  <c r="AO21" i="24" s="1"/>
  <c r="AO22" i="24" s="1"/>
  <c r="AO23" i="24" s="1"/>
  <c r="AO24" i="24" s="1"/>
  <c r="AO25" i="24" s="1"/>
  <c r="AO26" i="24" s="1"/>
  <c r="AO27" i="24" s="1"/>
  <c r="AO28" i="24" s="1"/>
  <c r="AO29" i="24" s="1"/>
  <c r="AO30" i="24" s="1"/>
  <c r="AO31" i="24" s="1"/>
  <c r="AO32" i="24" s="1"/>
  <c r="AO33" i="24" s="1"/>
  <c r="AO34" i="24" s="1"/>
  <c r="AO35" i="24" s="1"/>
  <c r="AO36" i="24" s="1"/>
  <c r="AO37" i="24" s="1"/>
  <c r="AO38" i="24" s="1"/>
  <c r="AO39" i="24" s="1"/>
  <c r="AO40" i="24" s="1"/>
  <c r="AO41" i="24" s="1"/>
  <c r="AO42" i="24" s="1"/>
  <c r="AO43" i="24" s="1"/>
  <c r="AO44" i="24" s="1"/>
  <c r="AO45" i="24" s="1"/>
  <c r="AO46" i="24" s="1"/>
  <c r="AO47" i="24" s="1"/>
  <c r="AO48" i="24" s="1"/>
  <c r="AO49" i="24" s="1"/>
  <c r="AO50" i="24" s="1"/>
  <c r="AO51" i="24" s="1"/>
  <c r="AO52" i="24" s="1"/>
  <c r="AO53" i="24" s="1"/>
  <c r="AO54" i="24" s="1"/>
  <c r="AO55" i="24" s="1"/>
  <c r="AO56" i="24" s="1"/>
  <c r="AO57" i="24" s="1"/>
  <c r="AO58" i="24" s="1"/>
  <c r="AO59" i="24" s="1"/>
  <c r="AO60" i="24" s="1"/>
  <c r="AO61" i="24" s="1"/>
  <c r="AO62" i="24" s="1"/>
  <c r="AO63" i="24" s="1"/>
  <c r="AO64" i="24" s="1"/>
  <c r="AO65" i="24" s="1"/>
  <c r="AO66" i="24" s="1"/>
  <c r="AO67" i="24" s="1"/>
  <c r="AO68" i="24" s="1"/>
  <c r="AO69" i="24" s="1"/>
  <c r="AO70" i="24" s="1"/>
  <c r="AO71" i="24" s="1"/>
  <c r="AO72" i="24" s="1"/>
  <c r="AO73" i="24" s="1"/>
  <c r="AO74" i="24" s="1"/>
  <c r="AO75" i="24" s="1"/>
  <c r="AO76" i="24" s="1"/>
  <c r="AO77" i="24" s="1"/>
  <c r="AO78" i="24" s="1"/>
  <c r="AO79" i="24" s="1"/>
  <c r="AO80" i="24" s="1"/>
  <c r="AO81" i="24" s="1"/>
  <c r="AO82" i="24" s="1"/>
  <c r="AO83" i="24" s="1"/>
  <c r="AO84" i="24" s="1"/>
  <c r="AO85" i="24" s="1"/>
  <c r="AO86" i="24" s="1"/>
  <c r="AO87" i="24" s="1"/>
  <c r="AO88" i="24" s="1"/>
  <c r="AO89" i="24" s="1"/>
  <c r="AO90" i="24" s="1"/>
  <c r="AO91" i="24" s="1"/>
  <c r="AO92" i="24" s="1"/>
  <c r="AO93" i="24" s="1"/>
  <c r="AO94" i="24" s="1"/>
  <c r="AO95" i="24" s="1"/>
  <c r="AO96" i="24" s="1"/>
  <c r="AO97" i="24" s="1"/>
  <c r="AO98" i="24" s="1"/>
  <c r="AO99" i="24" s="1"/>
  <c r="AO100" i="24" s="1"/>
  <c r="AO101" i="24" s="1"/>
  <c r="AO102" i="24" s="1"/>
  <c r="AO103" i="24" s="1"/>
  <c r="AO104" i="24" s="1"/>
  <c r="AO105" i="24" s="1"/>
  <c r="AO106" i="24" s="1"/>
  <c r="AO107" i="24" s="1"/>
  <c r="AO108" i="24" s="1"/>
  <c r="AO109" i="24" s="1"/>
  <c r="AO110" i="24" s="1"/>
  <c r="AO111" i="24" s="1"/>
  <c r="AO112" i="24" s="1"/>
  <c r="AO113" i="24" s="1"/>
  <c r="AO114" i="24" s="1"/>
  <c r="AO115" i="24" s="1"/>
  <c r="AO116" i="24" s="1"/>
  <c r="AO117" i="24" s="1"/>
  <c r="AO118" i="24" s="1"/>
  <c r="AO119" i="24" s="1"/>
  <c r="AO120" i="24" s="1"/>
  <c r="AO121" i="24" s="1"/>
  <c r="AO122" i="24" s="1"/>
  <c r="AO123" i="24" s="1"/>
  <c r="AO124" i="24" s="1"/>
  <c r="AO125" i="24" s="1"/>
  <c r="AO126" i="24" s="1"/>
  <c r="AO127" i="24" s="1"/>
  <c r="AO128" i="24" s="1"/>
  <c r="AN111" i="49"/>
  <c r="AN110" i="49" s="1"/>
  <c r="AN109" i="49" s="1"/>
  <c r="AN108" i="49" s="1"/>
  <c r="AN107" i="49" s="1"/>
  <c r="AN106" i="49" s="1"/>
  <c r="AN105" i="49" s="1"/>
  <c r="AN104" i="49" s="1"/>
  <c r="AN103" i="49" s="1"/>
  <c r="AN102" i="49" s="1"/>
  <c r="AN101" i="49" s="1"/>
  <c r="AN100" i="49" s="1"/>
  <c r="AN99" i="49" s="1"/>
  <c r="AN98" i="49" s="1"/>
  <c r="AN97" i="49" s="1"/>
  <c r="AN96" i="49" s="1"/>
  <c r="AN95" i="49" s="1"/>
  <c r="AN94" i="49" s="1"/>
  <c r="AN93" i="49" s="1"/>
  <c r="AN92" i="49" s="1"/>
  <c r="AN91" i="49" s="1"/>
  <c r="AN90" i="49" s="1"/>
  <c r="AN89" i="49" s="1"/>
  <c r="AN88" i="49" s="1"/>
  <c r="AN87" i="49" s="1"/>
  <c r="AN86" i="49" s="1"/>
  <c r="AN85" i="49" s="1"/>
  <c r="AN84" i="49" s="1"/>
  <c r="AN83" i="49" s="1"/>
  <c r="AN82" i="49" s="1"/>
  <c r="AN81" i="49" s="1"/>
  <c r="AN80" i="49" s="1"/>
  <c r="AN79" i="49" s="1"/>
  <c r="AN78" i="49" s="1"/>
  <c r="AN77" i="49" s="1"/>
  <c r="AN76" i="49" s="1"/>
  <c r="AN75" i="49" s="1"/>
  <c r="AN74" i="49" s="1"/>
  <c r="AN73" i="49" s="1"/>
  <c r="AN72" i="49" s="1"/>
  <c r="AN71" i="49" s="1"/>
  <c r="AN70" i="49" s="1"/>
  <c r="AN69" i="49" s="1"/>
  <c r="AN68" i="49" s="1"/>
  <c r="AN67" i="49" s="1"/>
  <c r="AN66" i="49" s="1"/>
  <c r="AN65" i="49" s="1"/>
  <c r="AN64" i="49" s="1"/>
  <c r="AN63" i="49" s="1"/>
  <c r="AN62" i="49" s="1"/>
  <c r="AN61" i="49" s="1"/>
  <c r="AN60" i="49" s="1"/>
  <c r="AN59" i="49" s="1"/>
  <c r="AN58" i="49" s="1"/>
  <c r="AN57" i="49" s="1"/>
  <c r="AN56" i="49" s="1"/>
  <c r="AN55" i="49" s="1"/>
  <c r="AN54" i="49" s="1"/>
  <c r="AN53" i="49" s="1"/>
  <c r="AN52" i="49" s="1"/>
  <c r="AN51" i="49" s="1"/>
  <c r="AN50" i="49" s="1"/>
  <c r="AN49" i="49" s="1"/>
  <c r="AN48" i="49" s="1"/>
  <c r="AN47" i="49" s="1"/>
  <c r="AN46" i="49" s="1"/>
  <c r="AN45" i="49" s="1"/>
  <c r="AN44" i="49" s="1"/>
  <c r="AN43" i="49" s="1"/>
  <c r="AN42" i="49" s="1"/>
  <c r="AN41" i="49" s="1"/>
  <c r="AN40" i="49" s="1"/>
  <c r="AN39" i="49" s="1"/>
  <c r="AN38" i="49" s="1"/>
  <c r="AN37" i="49" s="1"/>
  <c r="AN36" i="49" s="1"/>
  <c r="AN35" i="49" s="1"/>
  <c r="AN34" i="49" s="1"/>
  <c r="AN33" i="49" s="1"/>
  <c r="AN32" i="49" s="1"/>
  <c r="AN31" i="49" s="1"/>
  <c r="AN30" i="49" s="1"/>
  <c r="AN29" i="49" s="1"/>
  <c r="AN28" i="49" s="1"/>
  <c r="AN27" i="49" s="1"/>
  <c r="AN26" i="49" s="1"/>
  <c r="AN25" i="49" s="1"/>
  <c r="AN24" i="49" s="1"/>
  <c r="AN23" i="49" s="1"/>
  <c r="AN22" i="49" s="1"/>
  <c r="AN21" i="49" s="1"/>
  <c r="AN20" i="49" s="1"/>
  <c r="AN19" i="49" s="1"/>
  <c r="AN18" i="49" s="1"/>
  <c r="AN17" i="49" s="1"/>
  <c r="AN16" i="49" s="1"/>
  <c r="AN15" i="49" s="1"/>
  <c r="AN14" i="49" s="1"/>
  <c r="AN13" i="49" s="1"/>
  <c r="AN12" i="49" s="1"/>
  <c r="AN11" i="49" s="1"/>
  <c r="AN10" i="49" s="1"/>
  <c r="AN9" i="49" s="1"/>
  <c r="AN8" i="49" s="1"/>
  <c r="AN7" i="49" s="1"/>
  <c r="AN6" i="49" s="1"/>
  <c r="AN5" i="49" s="1"/>
  <c r="AN4" i="49" s="1"/>
  <c r="AN3" i="49" s="1"/>
  <c r="AN111" i="47"/>
  <c r="AN110" i="47" s="1"/>
  <c r="AN109" i="47" s="1"/>
  <c r="AN108" i="47" s="1"/>
  <c r="AN107" i="47" s="1"/>
  <c r="AN106" i="47" s="1"/>
  <c r="AN105" i="47" s="1"/>
  <c r="AN104" i="47" s="1"/>
  <c r="AN103" i="47" s="1"/>
  <c r="AN102" i="47" s="1"/>
  <c r="AN101" i="47" s="1"/>
  <c r="AN100" i="47" s="1"/>
  <c r="AN99" i="47" s="1"/>
  <c r="AN98" i="47" s="1"/>
  <c r="AN97" i="47" s="1"/>
  <c r="AN96" i="47" s="1"/>
  <c r="AN95" i="47" s="1"/>
  <c r="AN94" i="47" s="1"/>
  <c r="AN93" i="47" s="1"/>
  <c r="AN92" i="47" s="1"/>
  <c r="AN91" i="47" s="1"/>
  <c r="AN90" i="47" s="1"/>
  <c r="AN89" i="47" s="1"/>
  <c r="AN88" i="47" s="1"/>
  <c r="AN87" i="47" s="1"/>
  <c r="AN86" i="47" s="1"/>
  <c r="AN85" i="47" s="1"/>
  <c r="AN84" i="47" s="1"/>
  <c r="AN83" i="47" s="1"/>
  <c r="AN82" i="47" s="1"/>
  <c r="AN81" i="47" s="1"/>
  <c r="AN80" i="47" s="1"/>
  <c r="AN79" i="47" s="1"/>
  <c r="AN78" i="47" s="1"/>
  <c r="AN77" i="47" s="1"/>
  <c r="AN76" i="47" s="1"/>
  <c r="AN75" i="47" s="1"/>
  <c r="AN74" i="47" s="1"/>
  <c r="AN73" i="47" s="1"/>
  <c r="AN72" i="47" s="1"/>
  <c r="AN71" i="47" s="1"/>
  <c r="AN70" i="47" s="1"/>
  <c r="AN69" i="47" s="1"/>
  <c r="AN68" i="47" s="1"/>
  <c r="AN67" i="47" s="1"/>
  <c r="AN66" i="47" s="1"/>
  <c r="AN65" i="47" s="1"/>
  <c r="AN64" i="47" s="1"/>
  <c r="AN63" i="47" s="1"/>
  <c r="AN62" i="47" s="1"/>
  <c r="AN61" i="47" s="1"/>
  <c r="AN60" i="47" s="1"/>
  <c r="AN59" i="47" s="1"/>
  <c r="AN58" i="47" s="1"/>
  <c r="AN57" i="47" s="1"/>
  <c r="AN56" i="47" s="1"/>
  <c r="AN55" i="47" s="1"/>
  <c r="AN54" i="47" s="1"/>
  <c r="AN53" i="47" s="1"/>
  <c r="AN52" i="47" s="1"/>
  <c r="AN51" i="47" s="1"/>
  <c r="AN50" i="47" s="1"/>
  <c r="AN49" i="47" s="1"/>
  <c r="AN48" i="47" s="1"/>
  <c r="AN47" i="47" s="1"/>
  <c r="AN46" i="47" s="1"/>
  <c r="AN45" i="47" s="1"/>
  <c r="AN44" i="47" s="1"/>
  <c r="AN43" i="47" s="1"/>
  <c r="AN42" i="47" s="1"/>
  <c r="AN41" i="47" s="1"/>
  <c r="AN40" i="47" s="1"/>
  <c r="AN39" i="47" s="1"/>
  <c r="AN38" i="47" s="1"/>
  <c r="AN37" i="47" s="1"/>
  <c r="AN36" i="47" s="1"/>
  <c r="AN35" i="47" s="1"/>
  <c r="AN34" i="47" s="1"/>
  <c r="AN33" i="47" s="1"/>
  <c r="AN32" i="47" s="1"/>
  <c r="AN31" i="47" s="1"/>
  <c r="AN30" i="47" s="1"/>
  <c r="AN29" i="47" s="1"/>
  <c r="AN28" i="47" s="1"/>
  <c r="AN27" i="47" s="1"/>
  <c r="AN26" i="47" s="1"/>
  <c r="AN25" i="47" s="1"/>
  <c r="AN24" i="47" s="1"/>
  <c r="AN23" i="47" s="1"/>
  <c r="AN22" i="47" s="1"/>
  <c r="AN21" i="47" s="1"/>
  <c r="AN20" i="47" s="1"/>
  <c r="AN19" i="47" s="1"/>
  <c r="AN18" i="47" s="1"/>
  <c r="AN17" i="47" s="1"/>
  <c r="AN16" i="47" s="1"/>
  <c r="AN15" i="47" s="1"/>
  <c r="AN14" i="47" s="1"/>
  <c r="AN13" i="47" s="1"/>
  <c r="AN12" i="47" s="1"/>
  <c r="AN11" i="47" s="1"/>
  <c r="AN10" i="47" s="1"/>
  <c r="AN9" i="47" s="1"/>
  <c r="AN8" i="47" s="1"/>
  <c r="AN7" i="47" s="1"/>
  <c r="AN6" i="47" s="1"/>
  <c r="AN5" i="47" s="1"/>
  <c r="AN4" i="47" s="1"/>
  <c r="AN3" i="47" s="1"/>
  <c r="J17" i="48"/>
  <c r="AO4" i="47"/>
  <c r="AO5" i="47" s="1"/>
  <c r="AO6" i="47" s="1"/>
  <c r="AO7" i="47" s="1"/>
  <c r="AO8" i="47" s="1"/>
  <c r="AO9" i="47" s="1"/>
  <c r="AO10" i="47" s="1"/>
  <c r="AO11" i="47" s="1"/>
  <c r="AO12" i="47" s="1"/>
  <c r="AO13" i="47" s="1"/>
  <c r="AO14" i="47" s="1"/>
  <c r="AO15" i="47" s="1"/>
  <c r="AO16" i="47" s="1"/>
  <c r="AO17" i="47" s="1"/>
  <c r="AO18" i="47" s="1"/>
  <c r="AO19" i="47" s="1"/>
  <c r="AO20" i="47" s="1"/>
  <c r="AO21" i="47" s="1"/>
  <c r="AO22" i="47" s="1"/>
  <c r="AO23" i="47" s="1"/>
  <c r="AO24" i="47" s="1"/>
  <c r="AO25" i="47" s="1"/>
  <c r="AO26" i="47" s="1"/>
  <c r="AO27" i="47" s="1"/>
  <c r="AO28" i="47" s="1"/>
  <c r="AO29" i="47" s="1"/>
  <c r="AO30" i="47" s="1"/>
  <c r="AO31" i="47" s="1"/>
  <c r="AO32" i="47" s="1"/>
  <c r="AO33" i="47" s="1"/>
  <c r="AO34" i="47" s="1"/>
  <c r="AO35" i="47" s="1"/>
  <c r="AO36" i="47" s="1"/>
  <c r="AO37" i="47" s="1"/>
  <c r="AO38" i="47" s="1"/>
  <c r="AO39" i="47" s="1"/>
  <c r="AO40" i="47" s="1"/>
  <c r="AO41" i="47" s="1"/>
  <c r="AO42" i="47" s="1"/>
  <c r="AO43" i="47" s="1"/>
  <c r="AO44" i="47" s="1"/>
  <c r="AO45" i="47" s="1"/>
  <c r="AO46" i="47" s="1"/>
  <c r="AO47" i="47" s="1"/>
  <c r="AO48" i="47" s="1"/>
  <c r="AO49" i="47" s="1"/>
  <c r="AO50" i="47" s="1"/>
  <c r="AO51" i="47" s="1"/>
  <c r="AO52" i="47" s="1"/>
  <c r="AO53" i="47" s="1"/>
  <c r="AO54" i="47" s="1"/>
  <c r="AO55" i="47" s="1"/>
  <c r="AO56" i="47" s="1"/>
  <c r="AO57" i="47" s="1"/>
  <c r="AO58" i="47" s="1"/>
  <c r="AO59" i="47" s="1"/>
  <c r="AO60" i="47" s="1"/>
  <c r="AO61" i="47" s="1"/>
  <c r="AO62" i="47" s="1"/>
  <c r="AO63" i="47" s="1"/>
  <c r="AO64" i="47" s="1"/>
  <c r="AO65" i="47" s="1"/>
  <c r="AO66" i="47" s="1"/>
  <c r="AO67" i="47" s="1"/>
  <c r="AO68" i="47" s="1"/>
  <c r="AO69" i="47" s="1"/>
  <c r="AO70" i="47" s="1"/>
  <c r="AO71" i="47" s="1"/>
  <c r="AO72" i="47" s="1"/>
  <c r="AO73" i="47" s="1"/>
  <c r="AO74" i="47" s="1"/>
  <c r="AO75" i="47" s="1"/>
  <c r="AO76" i="47" s="1"/>
  <c r="AO77" i="47" s="1"/>
  <c r="AO78" i="47" s="1"/>
  <c r="AO79" i="47" s="1"/>
  <c r="AO80" i="47" s="1"/>
  <c r="AO81" i="47" s="1"/>
  <c r="AO82" i="47" s="1"/>
  <c r="AO83" i="47" s="1"/>
  <c r="AO84" i="47" s="1"/>
  <c r="AO85" i="47" s="1"/>
  <c r="AO86" i="47" s="1"/>
  <c r="AO87" i="47" s="1"/>
  <c r="AO88" i="47" s="1"/>
  <c r="AO89" i="47" s="1"/>
  <c r="AO90" i="47" s="1"/>
  <c r="AO91" i="47" s="1"/>
  <c r="AO92" i="47" s="1"/>
  <c r="AO93" i="47" s="1"/>
  <c r="AO94" i="47" s="1"/>
  <c r="AO95" i="47" s="1"/>
  <c r="AO96" i="47" s="1"/>
  <c r="AO97" i="47" s="1"/>
  <c r="AO98" i="47" s="1"/>
  <c r="AO99" i="47" s="1"/>
  <c r="AO100" i="47" s="1"/>
  <c r="AO101" i="47" s="1"/>
  <c r="AO102" i="47" s="1"/>
  <c r="AO103" i="47" s="1"/>
  <c r="AO104" i="47" s="1"/>
  <c r="AO105" i="47" s="1"/>
  <c r="AO106" i="47" s="1"/>
  <c r="AO107" i="47" s="1"/>
  <c r="AO108" i="47" s="1"/>
  <c r="AO109" i="47" s="1"/>
  <c r="AO110" i="47" s="1"/>
  <c r="AO111" i="47" s="1"/>
  <c r="AO112" i="47" s="1"/>
  <c r="AO113" i="47" s="1"/>
  <c r="AO114" i="47" s="1"/>
  <c r="AO115" i="47" s="1"/>
  <c r="AO116" i="47" s="1"/>
  <c r="AO117" i="47" s="1"/>
  <c r="AO118" i="47" s="1"/>
  <c r="AO119" i="47" s="1"/>
  <c r="AO120" i="47" s="1"/>
  <c r="AO121" i="47" s="1"/>
  <c r="AO122" i="47" s="1"/>
  <c r="AO123" i="47" s="1"/>
  <c r="AO124" i="47" s="1"/>
  <c r="AO125" i="47" s="1"/>
  <c r="AO126" i="47" s="1"/>
  <c r="AO127" i="47" s="1"/>
  <c r="AO128" i="47" s="1"/>
  <c r="AO4" i="49"/>
  <c r="AO5" i="49" s="1"/>
  <c r="AO6" i="49" s="1"/>
  <c r="AO7" i="49" s="1"/>
  <c r="AO8" i="49" s="1"/>
  <c r="AO9" i="49" s="1"/>
  <c r="AO10" i="49" s="1"/>
  <c r="AO11" i="49" s="1"/>
  <c r="AO12" i="49" s="1"/>
  <c r="AO13" i="49" s="1"/>
  <c r="AO14" i="49" s="1"/>
  <c r="AO15" i="49" s="1"/>
  <c r="AO16" i="49" s="1"/>
  <c r="AO17" i="49" s="1"/>
  <c r="AO18" i="49" s="1"/>
  <c r="AO19" i="49" s="1"/>
  <c r="AO20" i="49" s="1"/>
  <c r="AO21" i="49" s="1"/>
  <c r="AO22" i="49" s="1"/>
  <c r="AO23" i="49" s="1"/>
  <c r="AO24" i="49" s="1"/>
  <c r="AO25" i="49" s="1"/>
  <c r="AO26" i="49" s="1"/>
  <c r="AO27" i="49" s="1"/>
  <c r="AO28" i="49" s="1"/>
  <c r="AO29" i="49" s="1"/>
  <c r="AO30" i="49" s="1"/>
  <c r="AO31" i="49" s="1"/>
  <c r="AO32" i="49" s="1"/>
  <c r="AO33" i="49" s="1"/>
  <c r="AO34" i="49" s="1"/>
  <c r="AO35" i="49" s="1"/>
  <c r="AO36" i="49" s="1"/>
  <c r="AO37" i="49" s="1"/>
  <c r="AO38" i="49" s="1"/>
  <c r="AO39" i="49" s="1"/>
  <c r="AO40" i="49" s="1"/>
  <c r="AO41" i="49" s="1"/>
  <c r="AO42" i="49" s="1"/>
  <c r="AO43" i="49" s="1"/>
  <c r="AO44" i="49" s="1"/>
  <c r="AO45" i="49" s="1"/>
  <c r="AO46" i="49" s="1"/>
  <c r="AO47" i="49" s="1"/>
  <c r="AO48" i="49" s="1"/>
  <c r="AO49" i="49" s="1"/>
  <c r="AO50" i="49" s="1"/>
  <c r="AO51" i="49" s="1"/>
  <c r="AO52" i="49" s="1"/>
  <c r="AO53" i="49" s="1"/>
  <c r="AO54" i="49" s="1"/>
  <c r="AO55" i="49" s="1"/>
  <c r="AO56" i="49" s="1"/>
  <c r="AO57" i="49" s="1"/>
  <c r="AO58" i="49" s="1"/>
  <c r="AO59" i="49" s="1"/>
  <c r="AO60" i="49" s="1"/>
  <c r="AO61" i="49" s="1"/>
  <c r="AO62" i="49" s="1"/>
  <c r="AO63" i="49" s="1"/>
  <c r="AO64" i="49" s="1"/>
  <c r="AO65" i="49" s="1"/>
  <c r="AO66" i="49" s="1"/>
  <c r="AO67" i="49" s="1"/>
  <c r="AO68" i="49" s="1"/>
  <c r="AO69" i="49" s="1"/>
  <c r="AO70" i="49" s="1"/>
  <c r="AO71" i="49" s="1"/>
  <c r="AO72" i="49" s="1"/>
  <c r="AO73" i="49" s="1"/>
  <c r="AO74" i="49" s="1"/>
  <c r="AO75" i="49" s="1"/>
  <c r="AO76" i="49" s="1"/>
  <c r="AO77" i="49" s="1"/>
  <c r="AO78" i="49" s="1"/>
  <c r="AO79" i="49" s="1"/>
  <c r="AO80" i="49" s="1"/>
  <c r="AO81" i="49" s="1"/>
  <c r="AO82" i="49" s="1"/>
  <c r="AO83" i="49" s="1"/>
  <c r="AO84" i="49" s="1"/>
  <c r="AO85" i="49" s="1"/>
  <c r="AO86" i="49" s="1"/>
  <c r="AO87" i="49" s="1"/>
  <c r="AO88" i="49" s="1"/>
  <c r="AO89" i="49" s="1"/>
  <c r="AO90" i="49" s="1"/>
  <c r="AO91" i="49" s="1"/>
  <c r="AO92" i="49" s="1"/>
  <c r="AO93" i="49" s="1"/>
  <c r="AO94" i="49" s="1"/>
  <c r="AO95" i="49" s="1"/>
  <c r="AO96" i="49" s="1"/>
  <c r="AO97" i="49" s="1"/>
  <c r="AO98" i="49" s="1"/>
  <c r="AO99" i="49" s="1"/>
  <c r="AO100" i="49" s="1"/>
  <c r="AO101" i="49" s="1"/>
  <c r="AO102" i="49" s="1"/>
  <c r="AO103" i="49" s="1"/>
  <c r="AO104" i="49" s="1"/>
  <c r="AO105" i="49" s="1"/>
  <c r="AO106" i="49" s="1"/>
  <c r="AO107" i="49" s="1"/>
  <c r="AO108" i="49" s="1"/>
  <c r="AO109" i="49" s="1"/>
  <c r="AO110" i="49" s="1"/>
  <c r="AO111" i="49" s="1"/>
  <c r="AO112" i="49" s="1"/>
  <c r="AO113" i="49" s="1"/>
  <c r="AO114" i="49" s="1"/>
  <c r="AO115" i="49" s="1"/>
  <c r="AO116" i="49" s="1"/>
  <c r="AO117" i="49" s="1"/>
  <c r="AO118" i="49" s="1"/>
  <c r="AO119" i="49" s="1"/>
  <c r="AO120" i="49" s="1"/>
  <c r="AO121" i="49" s="1"/>
  <c r="AO122" i="49" s="1"/>
  <c r="AO123" i="49" s="1"/>
  <c r="AO124" i="49" s="1"/>
  <c r="AO125" i="49" s="1"/>
  <c r="AO126" i="49" s="1"/>
  <c r="AO127" i="49" s="1"/>
  <c r="AO128" i="49" s="1"/>
  <c r="AO129" i="49" s="1"/>
  <c r="AO130" i="49" s="1"/>
  <c r="AO131" i="49" s="1"/>
  <c r="AO132" i="49" s="1"/>
  <c r="AO133" i="49" s="1"/>
  <c r="AO134" i="49" s="1"/>
  <c r="AO135" i="49" s="1"/>
  <c r="AO136" i="49" s="1"/>
  <c r="AO137" i="49" s="1"/>
  <c r="AO138" i="49" s="1"/>
  <c r="AO139" i="49" s="1"/>
  <c r="AO140" i="49" s="1"/>
  <c r="AO141" i="49" s="1"/>
  <c r="AO142" i="49" s="1"/>
  <c r="AO143" i="49" s="1"/>
  <c r="AO144" i="49" s="1"/>
  <c r="R4" i="15"/>
  <c r="A4" i="15" s="1"/>
  <c r="R9" i="15"/>
  <c r="A9" i="15" s="1"/>
  <c r="R115" i="15"/>
  <c r="A115" i="15" s="1"/>
  <c r="R53" i="15"/>
  <c r="A53" i="15" s="1"/>
  <c r="R54" i="15"/>
  <c r="A54" i="15" s="1"/>
  <c r="R7" i="15"/>
  <c r="A7" i="15" s="1"/>
  <c r="R50" i="15"/>
  <c r="A50" i="15" s="1"/>
  <c r="R49" i="15"/>
  <c r="A49" i="15" s="1"/>
  <c r="R103" i="15"/>
  <c r="A103" i="15" s="1"/>
  <c r="R37" i="15"/>
  <c r="A37" i="15" s="1"/>
  <c r="R5" i="15"/>
  <c r="A5" i="15" s="1"/>
  <c r="R69" i="15"/>
  <c r="A69" i="15" s="1"/>
  <c r="R36" i="15"/>
  <c r="A36" i="15" s="1"/>
  <c r="R3" i="15"/>
  <c r="A3" i="15" s="1"/>
  <c r="R108" i="15"/>
  <c r="A108" i="15" s="1"/>
  <c r="R16" i="15"/>
  <c r="A16" i="15" s="1"/>
  <c r="R25" i="15"/>
  <c r="A25" i="15" s="1"/>
  <c r="R21" i="15"/>
  <c r="A21" i="15" s="1"/>
  <c r="R66" i="15"/>
  <c r="A66" i="15" s="1"/>
  <c r="R114" i="15"/>
  <c r="A114" i="15" s="1"/>
  <c r="R73" i="15"/>
  <c r="A73" i="15" s="1"/>
  <c r="R83" i="15"/>
  <c r="A83" i="15" s="1"/>
  <c r="R99" i="15"/>
  <c r="A99" i="15" s="1"/>
  <c r="R38" i="15"/>
  <c r="A38" i="15" s="1"/>
  <c r="R6" i="15"/>
  <c r="A6" i="15" s="1"/>
  <c r="R124" i="15"/>
  <c r="A124" i="15" s="1"/>
  <c r="R91" i="15"/>
  <c r="A91" i="15" s="1"/>
  <c r="R104" i="15"/>
  <c r="A104" i="15" s="1"/>
  <c r="R65" i="15"/>
  <c r="A65" i="15" s="1"/>
  <c r="R87" i="15"/>
  <c r="A87" i="15" s="1"/>
  <c r="R117" i="15"/>
  <c r="A117" i="15" s="1"/>
  <c r="R45" i="15"/>
  <c r="A45" i="15" s="1"/>
  <c r="R116" i="15"/>
  <c r="A116" i="15" s="1"/>
  <c r="R107" i="15"/>
  <c r="A107" i="15" s="1"/>
  <c r="R34" i="15"/>
  <c r="A34" i="15" s="1"/>
  <c r="R13" i="15"/>
  <c r="A13" i="15" s="1"/>
  <c r="R58" i="15"/>
  <c r="A58" i="15" s="1"/>
  <c r="R111" i="15"/>
  <c r="A111" i="15" s="1"/>
  <c r="R79" i="15"/>
  <c r="A79" i="15" s="1"/>
  <c r="R96" i="15"/>
  <c r="A96" i="15" s="1"/>
  <c r="R86" i="15"/>
  <c r="A86" i="15" s="1"/>
  <c r="R27" i="15"/>
  <c r="A27" i="15" s="1"/>
  <c r="R22" i="15"/>
  <c r="A22" i="15" s="1"/>
  <c r="R92" i="15"/>
  <c r="A92" i="15" s="1"/>
  <c r="R122" i="15"/>
  <c r="A122" i="15" s="1"/>
  <c r="R17" i="15"/>
  <c r="A17" i="15" s="1"/>
  <c r="R12" i="15"/>
  <c r="A12" i="15" s="1"/>
  <c r="R41" i="15"/>
  <c r="A41" i="15" s="1"/>
  <c r="R62" i="15"/>
  <c r="A62" i="15" s="1"/>
  <c r="R61" i="15"/>
  <c r="A61" i="15" s="1"/>
  <c r="R110" i="15"/>
  <c r="A110" i="15" s="1"/>
  <c r="R125" i="15"/>
  <c r="A125" i="15" s="1"/>
  <c r="R8" i="15"/>
  <c r="A8" i="15" s="1"/>
  <c r="R29" i="15"/>
  <c r="A29" i="15" s="1"/>
  <c r="R95" i="15"/>
  <c r="A95" i="15" s="1"/>
  <c r="R33" i="15"/>
  <c r="A33" i="15" s="1"/>
  <c r="R46" i="15"/>
  <c r="A46" i="15" s="1"/>
  <c r="R100" i="15"/>
  <c r="A100" i="15" s="1"/>
  <c r="R31" i="15"/>
  <c r="A31" i="15" s="1"/>
  <c r="R26" i="15"/>
  <c r="A26" i="15" s="1"/>
  <c r="R127" i="15"/>
  <c r="A127" i="15" s="1"/>
  <c r="R64" i="15"/>
  <c r="A64" i="15" s="1"/>
  <c r="R118" i="15"/>
  <c r="A118" i="15" s="1"/>
  <c r="R70" i="15"/>
  <c r="A70" i="15" s="1"/>
  <c r="R35" i="15"/>
  <c r="A35" i="15" s="1"/>
  <c r="R30" i="15"/>
  <c r="A30" i="15" s="1"/>
  <c r="R121" i="15"/>
  <c r="A121" i="15" s="1"/>
  <c r="R40" i="15"/>
  <c r="A40" i="15" s="1"/>
  <c r="R56" i="15"/>
  <c r="A56" i="15" s="1"/>
  <c r="R106" i="15"/>
  <c r="A106" i="15" s="1"/>
  <c r="R39" i="15"/>
  <c r="A39" i="15" s="1"/>
  <c r="R44" i="15"/>
  <c r="A44" i="15" s="1"/>
  <c r="R67" i="15"/>
  <c r="A67" i="15" s="1"/>
  <c r="R19" i="15"/>
  <c r="A19" i="15" s="1"/>
  <c r="R119" i="15"/>
  <c r="A119" i="15" s="1"/>
  <c r="R126" i="15"/>
  <c r="A126" i="15" s="1"/>
  <c r="R94" i="15"/>
  <c r="A94" i="15" s="1"/>
  <c r="R20" i="15"/>
  <c r="A20" i="15" s="1"/>
  <c r="R98" i="15"/>
  <c r="A98" i="15" s="1"/>
  <c r="R24" i="15"/>
  <c r="A24" i="15" s="1"/>
  <c r="R60" i="15"/>
  <c r="A60" i="15" s="1"/>
  <c r="R102" i="15"/>
  <c r="A102" i="15" s="1"/>
  <c r="R11" i="15"/>
  <c r="A11" i="15" s="1"/>
  <c r="R43" i="15"/>
  <c r="A43" i="15" s="1"/>
  <c r="R28" i="15"/>
  <c r="A28" i="15" s="1"/>
  <c r="R15" i="15"/>
  <c r="A15" i="15" s="1"/>
  <c r="R42" i="15"/>
  <c r="A42" i="15" s="1"/>
  <c r="R32" i="15"/>
  <c r="A32" i="15" s="1"/>
  <c r="R68" i="15"/>
  <c r="A68" i="15" s="1"/>
  <c r="R80" i="15"/>
  <c r="A80" i="15" s="1"/>
  <c r="R112" i="15"/>
  <c r="A112" i="15" s="1"/>
  <c r="R59" i="15"/>
  <c r="A59" i="15" s="1"/>
  <c r="R78" i="15"/>
  <c r="A78" i="15" s="1"/>
  <c r="R84" i="15"/>
  <c r="A84" i="15" s="1"/>
  <c r="R120" i="15"/>
  <c r="A120" i="15" s="1"/>
  <c r="R23" i="15"/>
  <c r="A23" i="15" s="1"/>
  <c r="R18" i="15"/>
  <c r="A18" i="15" s="1"/>
  <c r="R10" i="15"/>
  <c r="A10" i="15" s="1"/>
  <c r="R63" i="15"/>
  <c r="A63" i="15" s="1"/>
  <c r="R71" i="15"/>
  <c r="A71" i="15" s="1"/>
  <c r="R109" i="15"/>
  <c r="A109" i="15" s="1"/>
  <c r="R74" i="15"/>
  <c r="A74" i="15" s="1"/>
  <c r="R72" i="15"/>
  <c r="A72" i="15" s="1"/>
  <c r="R75" i="15"/>
  <c r="A75" i="15" s="1"/>
  <c r="R81" i="15"/>
  <c r="A81" i="15" s="1"/>
  <c r="R113" i="15"/>
  <c r="A113" i="15" s="1"/>
  <c r="R128" i="15"/>
  <c r="A128" i="15" s="1"/>
  <c r="R76" i="15"/>
  <c r="A76" i="15" s="1"/>
  <c r="R47" i="15"/>
  <c r="A47" i="15" s="1"/>
  <c r="R82" i="15"/>
  <c r="A82" i="15" s="1"/>
  <c r="R85" i="15"/>
  <c r="A85" i="15" s="1"/>
  <c r="R57" i="15"/>
  <c r="A57" i="15" s="1"/>
  <c r="R48" i="15"/>
  <c r="A48" i="15" s="1"/>
  <c r="R51" i="15"/>
  <c r="A51" i="15" s="1"/>
  <c r="R89" i="15"/>
  <c r="A89" i="15" s="1"/>
  <c r="R14" i="15"/>
  <c r="A14" i="15" s="1"/>
  <c r="R52" i="15"/>
  <c r="A52" i="15" s="1"/>
  <c r="R55" i="15"/>
  <c r="A55" i="15" s="1"/>
  <c r="R90" i="15"/>
  <c r="A90" i="15" s="1"/>
  <c r="R93" i="15"/>
  <c r="A93" i="15" s="1"/>
  <c r="R77" i="15"/>
  <c r="A77" i="15" s="1"/>
  <c r="R97" i="15"/>
  <c r="A97" i="15" s="1"/>
  <c r="R101" i="15"/>
  <c r="A101" i="15" s="1"/>
  <c r="R105" i="15"/>
  <c r="A105" i="15" s="1"/>
  <c r="R88" i="15"/>
  <c r="A88" i="15" s="1"/>
  <c r="R123" i="15"/>
  <c r="A123" i="15" s="1"/>
  <c r="AO129" i="47" l="1"/>
  <c r="AP128" i="47"/>
  <c r="AS128" i="47" s="1"/>
  <c r="AO129" i="24"/>
  <c r="AP128" i="24"/>
  <c r="AS128" i="24" s="1"/>
  <c r="AO130" i="47" l="1"/>
  <c r="AO131" i="47" s="1"/>
  <c r="AO132" i="47" s="1"/>
  <c r="AO133" i="47" s="1"/>
  <c r="AO134" i="47" s="1"/>
  <c r="AO135" i="47" s="1"/>
  <c r="AO136" i="47" s="1"/>
  <c r="AO137" i="47" s="1"/>
  <c r="AO138" i="47" s="1"/>
  <c r="AO139" i="47" s="1"/>
  <c r="AO140" i="47" s="1"/>
  <c r="AO141" i="47" s="1"/>
  <c r="AO142" i="47" s="1"/>
  <c r="AO143" i="47" s="1"/>
  <c r="AO144" i="47" s="1"/>
  <c r="AP129" i="47"/>
  <c r="AS129" i="47" s="1"/>
  <c r="AO130" i="24"/>
  <c r="AO131" i="24" s="1"/>
  <c r="AO132" i="24" s="1"/>
  <c r="AO133" i="24" s="1"/>
  <c r="AO134" i="24" s="1"/>
  <c r="AO135" i="24" s="1"/>
  <c r="AO136" i="24" s="1"/>
  <c r="AO137" i="24" s="1"/>
  <c r="AO138" i="24" s="1"/>
  <c r="AO139" i="24" s="1"/>
  <c r="AO140" i="24" s="1"/>
  <c r="AO141" i="24" s="1"/>
  <c r="AO142" i="24" s="1"/>
  <c r="AO143" i="24" s="1"/>
  <c r="AP129" i="24"/>
  <c r="AS129" i="24" s="1"/>
  <c r="C2" i="50"/>
  <c r="C7" i="50" s="1"/>
  <c r="AO144" i="24" l="1"/>
  <c r="AP143" i="24"/>
  <c r="AS143" i="24" s="1"/>
  <c r="E5" i="50"/>
  <c r="C6" i="50"/>
  <c r="C9" i="50"/>
  <c r="C4" i="50"/>
  <c r="C8" i="50"/>
  <c r="C3" i="50"/>
  <c r="C11" i="50"/>
  <c r="H22" i="1"/>
  <c r="C10" i="50"/>
  <c r="C5" i="50"/>
  <c r="J13" i="50" l="1"/>
  <c r="J14" i="50" l="1"/>
  <c r="J15" i="50"/>
  <c r="AM2" i="24"/>
  <c r="AP2" i="24"/>
  <c r="AB2" i="24"/>
  <c r="AB3" i="24"/>
  <c r="AU2" i="24"/>
  <c r="AU4" i="24"/>
  <c r="AU3" i="24"/>
  <c r="J17" i="50" l="1"/>
  <c r="C11" i="4"/>
  <c r="B11" i="4"/>
  <c r="F26" i="1"/>
  <c r="H26" i="1"/>
  <c r="B7" i="4"/>
  <c r="C8" i="4"/>
  <c r="B4" i="4"/>
  <c r="B5" i="4"/>
  <c r="C7" i="4"/>
  <c r="B8" i="4"/>
  <c r="C9" i="4"/>
  <c r="B9" i="4"/>
  <c r="J16" i="4" s="1"/>
  <c r="C10" i="4"/>
  <c r="B10" i="4"/>
  <c r="J20" i="4" s="1"/>
  <c r="C3" i="4"/>
  <c r="B3" i="4"/>
  <c r="C4" i="4"/>
  <c r="C5" i="4"/>
  <c r="J13" i="4" l="1"/>
  <c r="E16" i="17"/>
  <c r="D16" i="17"/>
  <c r="C16" i="17"/>
  <c r="H16" i="17"/>
  <c r="G16" i="17"/>
  <c r="F16" i="17"/>
  <c r="C16" i="16"/>
  <c r="H16" i="16"/>
  <c r="G16" i="16"/>
  <c r="F16" i="16"/>
  <c r="E16" i="16"/>
  <c r="D16" i="16"/>
  <c r="J15" i="4" l="1"/>
  <c r="J14" i="4"/>
  <c r="AP143" i="49"/>
  <c r="AS143" i="49" s="1"/>
  <c r="AU71" i="24"/>
  <c r="AX22" i="24"/>
  <c r="AX20" i="24"/>
  <c r="AQ2" i="24"/>
  <c r="AA2" i="24"/>
  <c r="W2" i="24"/>
  <c r="Y2" i="24"/>
  <c r="AR2" i="24"/>
  <c r="X2" i="24"/>
  <c r="Z2" i="24" s="1"/>
  <c r="G2" i="24"/>
  <c r="F2" i="24"/>
  <c r="I2" i="24"/>
  <c r="AC2" i="24"/>
  <c r="J17" i="4" l="1"/>
  <c r="E9" i="4" l="1"/>
  <c r="J19" i="4" s="1"/>
  <c r="B19" i="17"/>
  <c r="B19" i="16"/>
  <c r="AA16" i="15"/>
  <c r="Z16" i="15"/>
  <c r="Y16" i="15"/>
  <c r="X16" i="15"/>
  <c r="W16" i="15"/>
  <c r="V16" i="15"/>
  <c r="J21" i="4" l="1"/>
  <c r="J23" i="4"/>
  <c r="H17" i="17"/>
  <c r="W17" i="15"/>
  <c r="C18" i="16"/>
  <c r="C17" i="16"/>
  <c r="V18" i="15"/>
  <c r="D17" i="16"/>
  <c r="C17" i="17"/>
  <c r="X17" i="15"/>
  <c r="E17" i="16"/>
  <c r="D17" i="17"/>
  <c r="Y17" i="15"/>
  <c r="F17" i="16"/>
  <c r="E18" i="17"/>
  <c r="Z18" i="15"/>
  <c r="G17" i="16"/>
  <c r="F18" i="17"/>
  <c r="AA17" i="15"/>
  <c r="H18" i="16"/>
  <c r="G17" i="17"/>
  <c r="V17" i="15"/>
  <c r="D18" i="16"/>
  <c r="E17" i="17"/>
  <c r="AA18" i="15"/>
  <c r="Z17" i="15"/>
  <c r="F17" i="17"/>
  <c r="G18" i="17"/>
  <c r="W18" i="15"/>
  <c r="H17" i="16"/>
  <c r="C18" i="17"/>
  <c r="D18" i="17"/>
  <c r="H18" i="17"/>
  <c r="E18" i="16"/>
  <c r="F18" i="16"/>
  <c r="G18" i="16"/>
  <c r="X18" i="15"/>
  <c r="Y18" i="15"/>
  <c r="J22" i="4" l="1"/>
  <c r="AB15" i="15"/>
  <c r="F21" i="1" s="1"/>
  <c r="I15" i="17"/>
  <c r="H21" i="1" s="1"/>
  <c r="E3" i="50" s="1"/>
  <c r="J4" i="50" s="1"/>
  <c r="B18" i="16"/>
  <c r="U18" i="15"/>
  <c r="I15" i="16"/>
  <c r="B18" i="17"/>
  <c r="AP142" i="24" l="1"/>
  <c r="G21" i="1"/>
  <c r="E3" i="48" s="1"/>
  <c r="J4" i="48" s="1"/>
  <c r="K4" i="48" s="1"/>
  <c r="H29" i="1"/>
  <c r="AP142" i="49" l="1"/>
  <c r="AS142" i="49" s="1"/>
  <c r="AS142" i="24"/>
  <c r="AP141" i="24"/>
  <c r="G29" i="1"/>
  <c r="L4" i="48"/>
  <c r="E3" i="4"/>
  <c r="AP141" i="49" l="1"/>
  <c r="AS141" i="49" s="1"/>
  <c r="AS141" i="24"/>
  <c r="AP140" i="24"/>
  <c r="F29" i="1"/>
  <c r="J4" i="4"/>
  <c r="AP140" i="49" l="1"/>
  <c r="AS140" i="49" s="1"/>
  <c r="AS140" i="24"/>
  <c r="AP139" i="24"/>
  <c r="BB3" i="24"/>
  <c r="AP139" i="49" l="1"/>
  <c r="AS139" i="49" s="1"/>
  <c r="AS139" i="24"/>
  <c r="AP138" i="24"/>
  <c r="M2" i="24"/>
  <c r="H2" i="24"/>
  <c r="J2" i="24"/>
  <c r="K2" i="24"/>
  <c r="L2" i="24"/>
  <c r="AR3" i="24"/>
  <c r="AQ3" i="24"/>
  <c r="AC3" i="24"/>
  <c r="W3" i="24"/>
  <c r="Y3" i="24"/>
  <c r="AA3" i="24"/>
  <c r="X3" i="24"/>
  <c r="AP138" i="49" l="1"/>
  <c r="AS138" i="49" s="1"/>
  <c r="AS138" i="24"/>
  <c r="AP137" i="24"/>
  <c r="AM3" i="24"/>
  <c r="Z3" i="24"/>
  <c r="N2" i="24"/>
  <c r="Q2" i="24" s="1"/>
  <c r="AP137" i="49" l="1"/>
  <c r="AS137" i="49" s="1"/>
  <c r="AS137" i="24"/>
  <c r="AP136" i="24"/>
  <c r="R2" i="24"/>
  <c r="S2" i="24"/>
  <c r="P2" i="24"/>
  <c r="O2" i="24"/>
  <c r="T2" i="24"/>
  <c r="AP136" i="49" l="1"/>
  <c r="AS136" i="49" s="1"/>
  <c r="AS136" i="24"/>
  <c r="AP135" i="24"/>
  <c r="U2" i="24"/>
  <c r="V2" i="24" s="1"/>
  <c r="V3" i="24"/>
  <c r="AP135" i="49" l="1"/>
  <c r="AS135" i="49" s="1"/>
  <c r="AS135" i="24"/>
  <c r="AP134" i="24"/>
  <c r="AG3" i="24"/>
  <c r="AP134" i="49" l="1"/>
  <c r="AS134" i="49" s="1"/>
  <c r="AS134" i="24"/>
  <c r="AP133" i="24"/>
  <c r="AP3" i="24"/>
  <c r="AP133" i="49" l="1"/>
  <c r="AS133" i="49" s="1"/>
  <c r="AS133" i="24"/>
  <c r="AP132" i="24"/>
  <c r="AS3" i="24"/>
  <c r="H24" i="1"/>
  <c r="H23" i="1"/>
  <c r="J8" i="50"/>
  <c r="H18" i="1"/>
  <c r="H17" i="1"/>
  <c r="F34" i="1"/>
  <c r="F35" i="1" s="1"/>
  <c r="F24" i="1"/>
  <c r="F23" i="1"/>
  <c r="F18" i="1"/>
  <c r="F17" i="1"/>
  <c r="H8" i="17"/>
  <c r="G8" i="17"/>
  <c r="F8" i="17"/>
  <c r="E8" i="17"/>
  <c r="D8" i="17"/>
  <c r="C8" i="17"/>
  <c r="H8" i="16"/>
  <c r="G8" i="16"/>
  <c r="F8" i="16"/>
  <c r="E8" i="16"/>
  <c r="D8" i="16"/>
  <c r="C8" i="16"/>
  <c r="AA8" i="15"/>
  <c r="Z8" i="15"/>
  <c r="Y8" i="15"/>
  <c r="X8" i="15"/>
  <c r="W8" i="15"/>
  <c r="V8" i="15"/>
  <c r="J10" i="50" l="1"/>
  <c r="J9" i="50"/>
  <c r="AP132" i="49"/>
  <c r="AS132" i="49" s="1"/>
  <c r="AS132" i="24"/>
  <c r="AP131" i="24"/>
  <c r="J8" i="4"/>
  <c r="H9" i="17"/>
  <c r="E10" i="16"/>
  <c r="Y10" i="15"/>
  <c r="X10" i="15"/>
  <c r="H10" i="16"/>
  <c r="D9" i="17"/>
  <c r="Z10" i="15"/>
  <c r="AA10" i="15"/>
  <c r="D10" i="16"/>
  <c r="G10" i="17"/>
  <c r="F10" i="16"/>
  <c r="V10" i="15"/>
  <c r="W10" i="15"/>
  <c r="G10" i="16"/>
  <c r="E9" i="17"/>
  <c r="C10" i="16"/>
  <c r="F9" i="17"/>
  <c r="G9" i="17"/>
  <c r="F10" i="17"/>
  <c r="C9" i="17"/>
  <c r="H10" i="17"/>
  <c r="C10" i="17"/>
  <c r="D10" i="17"/>
  <c r="E10" i="17"/>
  <c r="Q2" i="15"/>
  <c r="K4" i="50" l="1"/>
  <c r="J9" i="4"/>
  <c r="J10" i="4"/>
  <c r="AP131" i="49"/>
  <c r="AS131" i="49" s="1"/>
  <c r="AS131" i="24"/>
  <c r="AP130" i="24"/>
  <c r="AB7" i="15"/>
  <c r="I7" i="16"/>
  <c r="G19" i="1" s="1"/>
  <c r="E7" i="48" s="1"/>
  <c r="J3" i="48" s="1"/>
  <c r="K3" i="48" s="1"/>
  <c r="B10" i="17"/>
  <c r="I7" i="17"/>
  <c r="H19" i="1" s="1"/>
  <c r="E7" i="50" s="1"/>
  <c r="J3" i="50" s="1"/>
  <c r="K3" i="50" s="1"/>
  <c r="K4" i="4" l="1"/>
  <c r="J11" i="4"/>
  <c r="K17" i="4" s="1"/>
  <c r="AP130" i="49"/>
  <c r="AS130" i="49" s="1"/>
  <c r="AP126" i="24"/>
  <c r="AP127" i="24"/>
  <c r="AS130" i="24"/>
  <c r="L4" i="50"/>
  <c r="H32" i="1" s="1"/>
  <c r="H28" i="1"/>
  <c r="M4" i="50"/>
  <c r="G28" i="1"/>
  <c r="L3" i="48"/>
  <c r="F19" i="1"/>
  <c r="AP124" i="24" l="1"/>
  <c r="AP126" i="49"/>
  <c r="AS126" i="49" s="1"/>
  <c r="AP127" i="49"/>
  <c r="AS127" i="49" s="1"/>
  <c r="AS127" i="24"/>
  <c r="AS126" i="24"/>
  <c r="E7" i="4"/>
  <c r="J3" i="4" s="1"/>
  <c r="K3" i="4" s="1"/>
  <c r="AP125" i="24" l="1"/>
  <c r="AP122" i="24"/>
  <c r="AS124" i="24"/>
  <c r="J5" i="50"/>
  <c r="L3" i="50"/>
  <c r="G32" i="1"/>
  <c r="AP125" i="49" l="1"/>
  <c r="AS125" i="49" s="1"/>
  <c r="AP105" i="47"/>
  <c r="AS105" i="47" s="1"/>
  <c r="AS125" i="24"/>
  <c r="AP106" i="47"/>
  <c r="AS106" i="47" s="1"/>
  <c r="AP123" i="24"/>
  <c r="AP124" i="49"/>
  <c r="AS124" i="49" s="1"/>
  <c r="AP121" i="24"/>
  <c r="AS122" i="24"/>
  <c r="L5" i="50"/>
  <c r="H31" i="1"/>
  <c r="M3" i="50"/>
  <c r="M5" i="50" s="1"/>
  <c r="H33" i="1" s="1"/>
  <c r="K5" i="50"/>
  <c r="H30" i="1" s="1"/>
  <c r="M4" i="48"/>
  <c r="J5" i="48"/>
  <c r="K5" i="48"/>
  <c r="G30" i="1" s="1"/>
  <c r="M3" i="48"/>
  <c r="G31" i="1"/>
  <c r="M4" i="4"/>
  <c r="J5" i="4" s="1"/>
  <c r="J6" i="4" s="1"/>
  <c r="J24" i="4" s="1"/>
  <c r="L4" i="4"/>
  <c r="F32" i="1" s="1"/>
  <c r="C35" i="17"/>
  <c r="B35" i="17"/>
  <c r="C34" i="17"/>
  <c r="B34" i="17"/>
  <c r="C33" i="17"/>
  <c r="B33" i="17"/>
  <c r="C32" i="17"/>
  <c r="B32" i="17"/>
  <c r="C31" i="17"/>
  <c r="B31" i="17"/>
  <c r="C30" i="17"/>
  <c r="B30" i="17"/>
  <c r="B28" i="17"/>
  <c r="B27" i="17"/>
  <c r="B25" i="17"/>
  <c r="B21" i="17"/>
  <c r="B11" i="17"/>
  <c r="C35" i="16"/>
  <c r="B35" i="16"/>
  <c r="C34" i="16"/>
  <c r="B34" i="16"/>
  <c r="C33" i="16"/>
  <c r="B33" i="16"/>
  <c r="C32" i="16"/>
  <c r="B32" i="16"/>
  <c r="C31" i="16"/>
  <c r="B31" i="16"/>
  <c r="C30" i="16"/>
  <c r="B30" i="16"/>
  <c r="B28" i="16"/>
  <c r="B27" i="16"/>
  <c r="B25" i="16"/>
  <c r="B21" i="16"/>
  <c r="B11" i="16"/>
  <c r="AP104" i="47" l="1"/>
  <c r="AS104" i="47" s="1"/>
  <c r="AP107" i="47"/>
  <c r="AS107" i="47" s="1"/>
  <c r="AS123" i="24"/>
  <c r="AP120" i="24"/>
  <c r="AP123" i="49"/>
  <c r="AS123" i="49" s="1"/>
  <c r="AS121" i="24"/>
  <c r="L5" i="48"/>
  <c r="M5" i="48"/>
  <c r="G33" i="1" s="1"/>
  <c r="M3" i="4"/>
  <c r="M5" i="4" s="1"/>
  <c r="F33" i="1" s="1"/>
  <c r="L3" i="4"/>
  <c r="K5" i="4"/>
  <c r="F30" i="1" s="1"/>
  <c r="B36" i="17"/>
  <c r="C9" i="16"/>
  <c r="E9" i="16"/>
  <c r="F9" i="16"/>
  <c r="G9" i="16"/>
  <c r="D9" i="16"/>
  <c r="H9" i="16"/>
  <c r="B36" i="16"/>
  <c r="AP103" i="47" l="1"/>
  <c r="AS103" i="47" s="1"/>
  <c r="AP119" i="24"/>
  <c r="AP108" i="47"/>
  <c r="AS108" i="47" s="1"/>
  <c r="AS120" i="24"/>
  <c r="AP122" i="49"/>
  <c r="AS122" i="49" s="1"/>
  <c r="L5" i="4"/>
  <c r="F31" i="1"/>
  <c r="B10" i="16"/>
  <c r="I2" i="15"/>
  <c r="R2" i="15" s="1"/>
  <c r="AP102" i="47" l="1"/>
  <c r="AS102" i="47" s="1"/>
  <c r="AP118" i="24"/>
  <c r="AS119" i="24"/>
  <c r="AP109" i="47"/>
  <c r="AS109" i="47" s="1"/>
  <c r="AP121" i="49"/>
  <c r="AS121" i="49" s="1"/>
  <c r="V30" i="15"/>
  <c r="V31" i="15"/>
  <c r="V32" i="15"/>
  <c r="V33" i="15"/>
  <c r="V34" i="15"/>
  <c r="V35" i="15"/>
  <c r="U28" i="15"/>
  <c r="AP101" i="47" l="1"/>
  <c r="AS101" i="47" s="1"/>
  <c r="AS118" i="24"/>
  <c r="AP117" i="24"/>
  <c r="AP110" i="47"/>
  <c r="AS110" i="47" s="1"/>
  <c r="AP120" i="49"/>
  <c r="AS120" i="49" s="1"/>
  <c r="A2" i="15"/>
  <c r="U36" i="15"/>
  <c r="AP100" i="47" l="1"/>
  <c r="AS100" i="47" s="1"/>
  <c r="AS117" i="24"/>
  <c r="AP114" i="24"/>
  <c r="AP111" i="47"/>
  <c r="AS111" i="47" s="1"/>
  <c r="AP119" i="49"/>
  <c r="AS119" i="49" s="1"/>
  <c r="W9" i="15"/>
  <c r="AP99" i="47" l="1"/>
  <c r="AS99" i="47" s="1"/>
  <c r="AP115" i="24"/>
  <c r="AS114" i="24"/>
  <c r="AP116" i="24"/>
  <c r="AP112" i="47"/>
  <c r="AS112" i="47" s="1"/>
  <c r="AP118" i="49"/>
  <c r="AS118" i="49" s="1"/>
  <c r="Z9" i="15"/>
  <c r="Y9" i="15"/>
  <c r="X9" i="15"/>
  <c r="AA9" i="15"/>
  <c r="U25" i="15"/>
  <c r="AP98" i="47" l="1"/>
  <c r="AS98" i="47" s="1"/>
  <c r="AS115" i="24"/>
  <c r="AP113" i="24"/>
  <c r="AS116" i="24"/>
  <c r="AP112" i="24"/>
  <c r="AP113" i="47"/>
  <c r="AS113" i="47" s="1"/>
  <c r="AP117" i="49"/>
  <c r="AS117" i="49" s="1"/>
  <c r="V9" i="15"/>
  <c r="U10" i="15" s="1"/>
  <c r="AS113" i="24" l="1"/>
  <c r="AP97" i="47"/>
  <c r="AS97" i="47" s="1"/>
  <c r="AS112" i="24"/>
  <c r="AP111" i="24"/>
  <c r="AP114" i="47"/>
  <c r="AS114" i="47" s="1"/>
  <c r="AP116" i="49"/>
  <c r="AS116" i="49" s="1"/>
  <c r="F28" i="1"/>
  <c r="AP96" i="47" l="1"/>
  <c r="AS96" i="47" s="1"/>
  <c r="AP110" i="24"/>
  <c r="AS111" i="24"/>
  <c r="AP115" i="47"/>
  <c r="AS115" i="47" s="1"/>
  <c r="AP115" i="49"/>
  <c r="AS115" i="49" s="1"/>
  <c r="AP95" i="47" l="1"/>
  <c r="AS95" i="47" s="1"/>
  <c r="AP109" i="24"/>
  <c r="AS110" i="24"/>
  <c r="AP114" i="49"/>
  <c r="AS114" i="49" s="1"/>
  <c r="AP116" i="47"/>
  <c r="AS116" i="47" s="1"/>
  <c r="AP112" i="49" l="1"/>
  <c r="AS112" i="49" s="1"/>
  <c r="AP113" i="49"/>
  <c r="AS113" i="49" s="1"/>
  <c r="AP94" i="47"/>
  <c r="AS94" i="47" s="1"/>
  <c r="AS109" i="24"/>
  <c r="AP108" i="24"/>
  <c r="AP117" i="47"/>
  <c r="AS117" i="47" s="1"/>
  <c r="AP110" i="49" l="1"/>
  <c r="AS110" i="49" s="1"/>
  <c r="AP93" i="47"/>
  <c r="AS93" i="47" s="1"/>
  <c r="AP107" i="24"/>
  <c r="AS108" i="24"/>
  <c r="AP118" i="47"/>
  <c r="AS118" i="47" s="1"/>
  <c r="AP111" i="49" l="1"/>
  <c r="AS111" i="49" s="1"/>
  <c r="AP92" i="47"/>
  <c r="AS92" i="47" s="1"/>
  <c r="AP106" i="24"/>
  <c r="AS107" i="24"/>
  <c r="AP119" i="47"/>
  <c r="AS119" i="47" s="1"/>
  <c r="AP108" i="49" l="1"/>
  <c r="AS108" i="49" s="1"/>
  <c r="AP109" i="49"/>
  <c r="AS109" i="49" s="1"/>
  <c r="AP107" i="49"/>
  <c r="AS107" i="49" s="1"/>
  <c r="AP105" i="24"/>
  <c r="AP91" i="47"/>
  <c r="AS91" i="47" s="1"/>
  <c r="AS106" i="24"/>
  <c r="AP120" i="47"/>
  <c r="AS120" i="47" s="1"/>
  <c r="AP90" i="47" l="1"/>
  <c r="AS90" i="47" s="1"/>
  <c r="AS105" i="24"/>
  <c r="AP104" i="24"/>
  <c r="AP106" i="49"/>
  <c r="AS106" i="49" s="1"/>
  <c r="AP121" i="47"/>
  <c r="AS121" i="47" s="1"/>
  <c r="AP105" i="49" l="1"/>
  <c r="AS105" i="49" s="1"/>
  <c r="AS104" i="24"/>
  <c r="AP103" i="24"/>
  <c r="AP89" i="47"/>
  <c r="AS89" i="47" s="1"/>
  <c r="AP122" i="47"/>
  <c r="AS122" i="47" s="1"/>
  <c r="AS3" i="47"/>
  <c r="AP102" i="24" l="1"/>
  <c r="AS102" i="24" s="1"/>
  <c r="AP88" i="47"/>
  <c r="AS88" i="47" s="1"/>
  <c r="AS103" i="24"/>
  <c r="AP104" i="49"/>
  <c r="AS104" i="49" s="1"/>
  <c r="AP123" i="47"/>
  <c r="AS123" i="47" s="1"/>
  <c r="AP101" i="24" l="1"/>
  <c r="AS101" i="24" s="1"/>
  <c r="AP103" i="49"/>
  <c r="AS103" i="49" s="1"/>
  <c r="AP87" i="47"/>
  <c r="AS87" i="47" s="1"/>
  <c r="AP124" i="47"/>
  <c r="AS124" i="47" s="1"/>
  <c r="AP100" i="24" l="1"/>
  <c r="AS100" i="24" s="1"/>
  <c r="AP86" i="47"/>
  <c r="AS86" i="47" s="1"/>
  <c r="AP102" i="49"/>
  <c r="AS102" i="49" s="1"/>
  <c r="AP125" i="47"/>
  <c r="AS125" i="47" s="1"/>
  <c r="AP99" i="24" l="1"/>
  <c r="AS99" i="24" s="1"/>
  <c r="AP85" i="47"/>
  <c r="AS85" i="47" s="1"/>
  <c r="AP101" i="49"/>
  <c r="AS101" i="49" s="1"/>
  <c r="AP126" i="47"/>
  <c r="AS126" i="47" s="1"/>
  <c r="AP98" i="24" l="1"/>
  <c r="AS98" i="24" s="1"/>
  <c r="AP84" i="47"/>
  <c r="AS84" i="47" s="1"/>
  <c r="AP100" i="49"/>
  <c r="AS100" i="49" s="1"/>
  <c r="AP127" i="47"/>
  <c r="AS127" i="47" s="1"/>
  <c r="AP97" i="24" l="1"/>
  <c r="AS97" i="24" s="1"/>
  <c r="AP83" i="47"/>
  <c r="AS83" i="47" s="1"/>
  <c r="AP99" i="49"/>
  <c r="AS99" i="49" s="1"/>
  <c r="AP130" i="47"/>
  <c r="AS130" i="47" s="1"/>
  <c r="AP96" i="24" l="1"/>
  <c r="AS96" i="24" s="1"/>
  <c r="AP82" i="47"/>
  <c r="AS82" i="47" s="1"/>
  <c r="AP98" i="49"/>
  <c r="AS98" i="49" s="1"/>
  <c r="AP131" i="47"/>
  <c r="AS131" i="47" s="1"/>
  <c r="AP95" i="24" l="1"/>
  <c r="AS95" i="24" s="1"/>
  <c r="AP81" i="47"/>
  <c r="AS81" i="47" s="1"/>
  <c r="AP97" i="49"/>
  <c r="AS97" i="49" s="1"/>
  <c r="AP132" i="47"/>
  <c r="AS132" i="47" s="1"/>
  <c r="AP94" i="24" l="1"/>
  <c r="AS94" i="24" s="1"/>
  <c r="AP80" i="47"/>
  <c r="AS80" i="47" s="1"/>
  <c r="AP96" i="49"/>
  <c r="AS96" i="49" s="1"/>
  <c r="AP133" i="47"/>
  <c r="AS133" i="47" s="1"/>
  <c r="AP93" i="24" l="1"/>
  <c r="AS93" i="24" s="1"/>
  <c r="AP79" i="47"/>
  <c r="AS79" i="47" s="1"/>
  <c r="AP95" i="49"/>
  <c r="AS95" i="49" s="1"/>
  <c r="AP134" i="47"/>
  <c r="AS134" i="47" s="1"/>
  <c r="AP92" i="24" l="1"/>
  <c r="AS92" i="24" s="1"/>
  <c r="AP78" i="47"/>
  <c r="AS78" i="47" s="1"/>
  <c r="AP94" i="49"/>
  <c r="AS94" i="49" s="1"/>
  <c r="AP135" i="47"/>
  <c r="AS135" i="47" s="1"/>
  <c r="AP91" i="24" l="1"/>
  <c r="AS91" i="24" s="1"/>
  <c r="AP77" i="47"/>
  <c r="AS77" i="47" s="1"/>
  <c r="AP93" i="49"/>
  <c r="AS93" i="49" s="1"/>
  <c r="AP136" i="47"/>
  <c r="AS136" i="47" s="1"/>
  <c r="AP90" i="24" l="1"/>
  <c r="AS90" i="24" s="1"/>
  <c r="AP76" i="47"/>
  <c r="AS76" i="47" s="1"/>
  <c r="AP92" i="49"/>
  <c r="AS92" i="49" s="1"/>
  <c r="AP137" i="47"/>
  <c r="AS137" i="47" s="1"/>
  <c r="AP89" i="24" l="1"/>
  <c r="AS89" i="24" s="1"/>
  <c r="AP75" i="47"/>
  <c r="AS75" i="47" s="1"/>
  <c r="AP91" i="49"/>
  <c r="AS91" i="49" s="1"/>
  <c r="AP138" i="47"/>
  <c r="AS138" i="47" s="1"/>
  <c r="AP88" i="24" l="1"/>
  <c r="AS88" i="24" s="1"/>
  <c r="AP74" i="47"/>
  <c r="AS74" i="47" s="1"/>
  <c r="AP90" i="49"/>
  <c r="AS90" i="49" s="1"/>
  <c r="AP139" i="47"/>
  <c r="AS139" i="47" s="1"/>
  <c r="AP87" i="24" l="1"/>
  <c r="AS87" i="24" s="1"/>
  <c r="AP73" i="47"/>
  <c r="AS73" i="47" s="1"/>
  <c r="AP89" i="49"/>
  <c r="AS89" i="49" s="1"/>
  <c r="AP140" i="47"/>
  <c r="AS140" i="47" s="1"/>
  <c r="AP86" i="24" l="1"/>
  <c r="AS86" i="24" s="1"/>
  <c r="AP72" i="47"/>
  <c r="AS72" i="47" s="1"/>
  <c r="AP88" i="49"/>
  <c r="AS88" i="49" s="1"/>
  <c r="AP141" i="47"/>
  <c r="AS141" i="47" s="1"/>
  <c r="AP143" i="47" l="1"/>
  <c r="AS143" i="47" s="1"/>
  <c r="AP85" i="24"/>
  <c r="AS85" i="24" s="1"/>
  <c r="AP71" i="47"/>
  <c r="AS71" i="47" s="1"/>
  <c r="AP87" i="49"/>
  <c r="AS87" i="49" s="1"/>
  <c r="AP142" i="47"/>
  <c r="AS142" i="47" s="1"/>
  <c r="AP84" i="24" l="1"/>
  <c r="AS84" i="24" s="1"/>
  <c r="AP70" i="47"/>
  <c r="AS70" i="47" s="1"/>
  <c r="AP86" i="49"/>
  <c r="AS86" i="49" s="1"/>
  <c r="AP83" i="24" l="1"/>
  <c r="AS83" i="24" s="1"/>
  <c r="AP85" i="49"/>
  <c r="AS85" i="49" s="1"/>
  <c r="AP69" i="47"/>
  <c r="AS69" i="47" s="1"/>
  <c r="AP82" i="24" l="1"/>
  <c r="AS82" i="24" s="1"/>
  <c r="AP84" i="49"/>
  <c r="AS84" i="49" s="1"/>
  <c r="AP68" i="47"/>
  <c r="AS68" i="47" s="1"/>
  <c r="AP81" i="24" l="1"/>
  <c r="AS81" i="24" s="1"/>
  <c r="AP83" i="49"/>
  <c r="AS83" i="49" s="1"/>
  <c r="AP67" i="47"/>
  <c r="AS67" i="47" s="1"/>
  <c r="AP80" i="24" l="1"/>
  <c r="AS80" i="24" s="1"/>
  <c r="AP82" i="49"/>
  <c r="AS82" i="49" s="1"/>
  <c r="AP66" i="47"/>
  <c r="AS66" i="47" s="1"/>
  <c r="AP79" i="24" l="1"/>
  <c r="AS79" i="24" s="1"/>
  <c r="AP81" i="49"/>
  <c r="AS81" i="49" s="1"/>
  <c r="AP65" i="47"/>
  <c r="AS65" i="47" s="1"/>
  <c r="AP78" i="24" l="1"/>
  <c r="AS78" i="24" s="1"/>
  <c r="AP80" i="49"/>
  <c r="AS80" i="49" s="1"/>
  <c r="AP64" i="47"/>
  <c r="AS64" i="47" s="1"/>
  <c r="AP77" i="24" l="1"/>
  <c r="AS77" i="24" s="1"/>
  <c r="AP79" i="49"/>
  <c r="AS79" i="49" s="1"/>
  <c r="AP63" i="47"/>
  <c r="AS63" i="47" s="1"/>
  <c r="AP76" i="24" l="1"/>
  <c r="AS76" i="24" s="1"/>
  <c r="AP78" i="49"/>
  <c r="AS78" i="49" s="1"/>
  <c r="AP62" i="47"/>
  <c r="AS62" i="47" s="1"/>
  <c r="AP75" i="24" l="1"/>
  <c r="AS75" i="24" s="1"/>
  <c r="AP77" i="49"/>
  <c r="AS77" i="49" s="1"/>
  <c r="AP61" i="47"/>
  <c r="AS61" i="47" s="1"/>
  <c r="AP74" i="24" l="1"/>
  <c r="AS74" i="24" s="1"/>
  <c r="AP76" i="49"/>
  <c r="AS76" i="49" s="1"/>
  <c r="AP60" i="47"/>
  <c r="AS60" i="47" s="1"/>
  <c r="AP73" i="24" l="1"/>
  <c r="AS73" i="24" s="1"/>
  <c r="AP75" i="49"/>
  <c r="AS75" i="49" s="1"/>
  <c r="AP59" i="47"/>
  <c r="AS59" i="47" s="1"/>
  <c r="AP72" i="24" l="1"/>
  <c r="AS72" i="24" s="1"/>
  <c r="AP70" i="24"/>
  <c r="AS70" i="24" s="1"/>
  <c r="AP74" i="49"/>
  <c r="AS74" i="49" s="1"/>
  <c r="AP58" i="47"/>
  <c r="AS58" i="47" s="1"/>
  <c r="AP71" i="24" l="1"/>
  <c r="AS71" i="24" s="1"/>
  <c r="AP69" i="24"/>
  <c r="AS69" i="24" s="1"/>
  <c r="AP73" i="49"/>
  <c r="AS73" i="49" s="1"/>
  <c r="AP57" i="47"/>
  <c r="AS57" i="47" s="1"/>
  <c r="AP68" i="24" l="1"/>
  <c r="AS68" i="24" s="1"/>
  <c r="AP72" i="49"/>
  <c r="AS72" i="49" s="1"/>
  <c r="AP56" i="47"/>
  <c r="AS56" i="47" s="1"/>
  <c r="AP67" i="24" l="1"/>
  <c r="AS67" i="24" s="1"/>
  <c r="AP71" i="49"/>
  <c r="AS71" i="49" s="1"/>
  <c r="AP55" i="47"/>
  <c r="AS55" i="47" s="1"/>
  <c r="AP66" i="24" l="1"/>
  <c r="AS66" i="24" s="1"/>
  <c r="AP70" i="49"/>
  <c r="AS70" i="49" s="1"/>
  <c r="AP54" i="47"/>
  <c r="AS54" i="47" s="1"/>
  <c r="AP65" i="24" l="1"/>
  <c r="AS65" i="24" s="1"/>
  <c r="AP69" i="49"/>
  <c r="AS69" i="49" s="1"/>
  <c r="AP53" i="47"/>
  <c r="AS53" i="47" s="1"/>
  <c r="AP64" i="24" l="1"/>
  <c r="AS64" i="24" s="1"/>
  <c r="AP68" i="49"/>
  <c r="AS68" i="49" s="1"/>
  <c r="AP52" i="47"/>
  <c r="AS52" i="47" s="1"/>
  <c r="AP63" i="24" l="1"/>
  <c r="AS63" i="24" s="1"/>
  <c r="AP67" i="49"/>
  <c r="AS67" i="49" s="1"/>
  <c r="AP51" i="47"/>
  <c r="AS51" i="47" s="1"/>
  <c r="AP62" i="24" l="1"/>
  <c r="AS62" i="24" s="1"/>
  <c r="AP66" i="49"/>
  <c r="AS66" i="49" s="1"/>
  <c r="AP50" i="47"/>
  <c r="AS50" i="47" s="1"/>
  <c r="AP55" i="24"/>
  <c r="AP61" i="24" l="1"/>
  <c r="AS61" i="24" s="1"/>
  <c r="AP65" i="49"/>
  <c r="AS65" i="49" s="1"/>
  <c r="AP49" i="47"/>
  <c r="AS49" i="47" s="1"/>
  <c r="AS55" i="24"/>
  <c r="AP54" i="24"/>
  <c r="AP60" i="24" l="1"/>
  <c r="AS60" i="24" s="1"/>
  <c r="AP64" i="49"/>
  <c r="AS64" i="49" s="1"/>
  <c r="AP48" i="47"/>
  <c r="AS48" i="47" s="1"/>
  <c r="AS54" i="24"/>
  <c r="AP53" i="24"/>
  <c r="AP59" i="24" l="1"/>
  <c r="AS59" i="24" s="1"/>
  <c r="AP63" i="49"/>
  <c r="AS63" i="49" s="1"/>
  <c r="AP47" i="47"/>
  <c r="AS47" i="47" s="1"/>
  <c r="AS53" i="24"/>
  <c r="AP52" i="24"/>
  <c r="AP58" i="24" l="1"/>
  <c r="AS58" i="24" s="1"/>
  <c r="AP62" i="49"/>
  <c r="AS62" i="49" s="1"/>
  <c r="AP46" i="47"/>
  <c r="AS46" i="47" s="1"/>
  <c r="AS52" i="24"/>
  <c r="AP51" i="24"/>
  <c r="AP57" i="24" l="1"/>
  <c r="AS57" i="24" s="1"/>
  <c r="AP61" i="49"/>
  <c r="AS61" i="49" s="1"/>
  <c r="AP45" i="47"/>
  <c r="AS45" i="47" s="1"/>
  <c r="AS51" i="24"/>
  <c r="AP50" i="24"/>
  <c r="AP56" i="24" l="1"/>
  <c r="AS56" i="24" s="1"/>
  <c r="AP60" i="49"/>
  <c r="AS60" i="49" s="1"/>
  <c r="AP44" i="47"/>
  <c r="AS44" i="47" s="1"/>
  <c r="AS50" i="24"/>
  <c r="AP49" i="24"/>
  <c r="AP59" i="49" l="1"/>
  <c r="AS59" i="49" s="1"/>
  <c r="AP43" i="47"/>
  <c r="AS43" i="47" s="1"/>
  <c r="AS49" i="24"/>
  <c r="AP48" i="24"/>
  <c r="AP58" i="49" l="1"/>
  <c r="AS58" i="49" s="1"/>
  <c r="AP42" i="47"/>
  <c r="AS42" i="47" s="1"/>
  <c r="AS48" i="24"/>
  <c r="AP47" i="24"/>
  <c r="AP57" i="49" l="1"/>
  <c r="AS57" i="49" s="1"/>
  <c r="AP41" i="47"/>
  <c r="AS41" i="47" s="1"/>
  <c r="AS47" i="24"/>
  <c r="AP46" i="24"/>
  <c r="AP56" i="49" l="1"/>
  <c r="AS56" i="49" s="1"/>
  <c r="AP40" i="47"/>
  <c r="AS40" i="47" s="1"/>
  <c r="AS46" i="24"/>
  <c r="AP45" i="24"/>
  <c r="AP55" i="49" l="1"/>
  <c r="AS55" i="49" s="1"/>
  <c r="AP39" i="47"/>
  <c r="AS39" i="47" s="1"/>
  <c r="AS45" i="24"/>
  <c r="AP44" i="24"/>
  <c r="AP54" i="49" l="1"/>
  <c r="AS54" i="49" s="1"/>
  <c r="AP38" i="47"/>
  <c r="AS38" i="47" s="1"/>
  <c r="AS44" i="24"/>
  <c r="AP43" i="24"/>
  <c r="AP53" i="49" l="1"/>
  <c r="AS53" i="49" s="1"/>
  <c r="AP37" i="47"/>
  <c r="AS37" i="47" s="1"/>
  <c r="AP42" i="24"/>
  <c r="AS43" i="24"/>
  <c r="AP52" i="49" l="1"/>
  <c r="AS52" i="49" s="1"/>
  <c r="AP36" i="47"/>
  <c r="AS36" i="47" s="1"/>
  <c r="AS42" i="24"/>
  <c r="AP41" i="24"/>
  <c r="AP51" i="49" l="1"/>
  <c r="AS51" i="49" s="1"/>
  <c r="AP35" i="47"/>
  <c r="AS35" i="47" s="1"/>
  <c r="AS41" i="24"/>
  <c r="AP40" i="24"/>
  <c r="AP50" i="49" l="1"/>
  <c r="AS50" i="49" s="1"/>
  <c r="AP34" i="47"/>
  <c r="AS34" i="47" s="1"/>
  <c r="AS40" i="24"/>
  <c r="AP39" i="24"/>
  <c r="AP49" i="49" l="1"/>
  <c r="AS49" i="49" s="1"/>
  <c r="AP33" i="47"/>
  <c r="AS33" i="47" s="1"/>
  <c r="AS39" i="24"/>
  <c r="AP38" i="24"/>
  <c r="AP48" i="49" l="1"/>
  <c r="AS48" i="49" s="1"/>
  <c r="AP32" i="47"/>
  <c r="AS32" i="47" s="1"/>
  <c r="AS38" i="24"/>
  <c r="AP37" i="24"/>
  <c r="AP47" i="49" l="1"/>
  <c r="AS47" i="49" s="1"/>
  <c r="AP31" i="47"/>
  <c r="AS31" i="47" s="1"/>
  <c r="AS37" i="24"/>
  <c r="AP36" i="24"/>
  <c r="AP46" i="49" l="1"/>
  <c r="AS46" i="49" s="1"/>
  <c r="AP30" i="47"/>
  <c r="AS30" i="47" s="1"/>
  <c r="AS36" i="24"/>
  <c r="AP35" i="24"/>
  <c r="AP45" i="49" l="1"/>
  <c r="AS45" i="49" s="1"/>
  <c r="AP29" i="47"/>
  <c r="AS29" i="47" s="1"/>
  <c r="AS35" i="24"/>
  <c r="AP34" i="24"/>
  <c r="AP44" i="49" l="1"/>
  <c r="AS44" i="49" s="1"/>
  <c r="AP28" i="47"/>
  <c r="AS28" i="47" s="1"/>
  <c r="AS34" i="24"/>
  <c r="AP33" i="24"/>
  <c r="AP43" i="49" l="1"/>
  <c r="AS43" i="49" s="1"/>
  <c r="AP27" i="47"/>
  <c r="AS27" i="47" s="1"/>
  <c r="AS33" i="24"/>
  <c r="AP32" i="24"/>
  <c r="AP42" i="49" l="1"/>
  <c r="AS42" i="49" s="1"/>
  <c r="AP26" i="47"/>
  <c r="AS26" i="47" s="1"/>
  <c r="AP31" i="24"/>
  <c r="AS32" i="24"/>
  <c r="AP41" i="49" l="1"/>
  <c r="AS41" i="49" s="1"/>
  <c r="AP25" i="47"/>
  <c r="AS25" i="47" s="1"/>
  <c r="AS31" i="24"/>
  <c r="AP30" i="24"/>
  <c r="AP40" i="49" l="1"/>
  <c r="AS40" i="49" s="1"/>
  <c r="AP24" i="47"/>
  <c r="AS24" i="47" s="1"/>
  <c r="AS30" i="24"/>
  <c r="AP29" i="24"/>
  <c r="AP39" i="49" l="1"/>
  <c r="AS39" i="49" s="1"/>
  <c r="AP23" i="47"/>
  <c r="AS23" i="47" s="1"/>
  <c r="AS29" i="24"/>
  <c r="AP28" i="24"/>
  <c r="AP38" i="49" l="1"/>
  <c r="AS38" i="49" s="1"/>
  <c r="AP22" i="47"/>
  <c r="AS22" i="47" s="1"/>
  <c r="AS28" i="24"/>
  <c r="AP27" i="24"/>
  <c r="AP37" i="49" l="1"/>
  <c r="AS37" i="49" s="1"/>
  <c r="AP21" i="47"/>
  <c r="AS21" i="47" s="1"/>
  <c r="AP26" i="24"/>
  <c r="AS26" i="24" s="1"/>
  <c r="AS27" i="24"/>
  <c r="AP36" i="49" l="1"/>
  <c r="AS36" i="49" s="1"/>
  <c r="AP20" i="47"/>
  <c r="AS20" i="47" s="1"/>
  <c r="AP25" i="24"/>
  <c r="AS25" i="24" s="1"/>
  <c r="AP35" i="49" l="1"/>
  <c r="AS35" i="49" s="1"/>
  <c r="AP19" i="47"/>
  <c r="AS19" i="47" s="1"/>
  <c r="AP24" i="24"/>
  <c r="AS24" i="24" s="1"/>
  <c r="AP34" i="49" l="1"/>
  <c r="AS34" i="49" s="1"/>
  <c r="AP18" i="47"/>
  <c r="AS18" i="47" s="1"/>
  <c r="AP23" i="24"/>
  <c r="AS23" i="24" s="1"/>
  <c r="AP33" i="49" l="1"/>
  <c r="AS33" i="49" s="1"/>
  <c r="AP17" i="47"/>
  <c r="AS17" i="47" s="1"/>
  <c r="AP22" i="24"/>
  <c r="AS22" i="24" s="1"/>
  <c r="AP32" i="49" l="1"/>
  <c r="AS32" i="49" s="1"/>
  <c r="AP16" i="47"/>
  <c r="AS16" i="47" s="1"/>
  <c r="AP21" i="24"/>
  <c r="AS21" i="24" s="1"/>
  <c r="AP31" i="49" l="1"/>
  <c r="AS31" i="49" s="1"/>
  <c r="AP15" i="47"/>
  <c r="AS15" i="47" s="1"/>
  <c r="AP20" i="24"/>
  <c r="AS20" i="24" s="1"/>
  <c r="AP30" i="49" l="1"/>
  <c r="AS30" i="49" s="1"/>
  <c r="AP14" i="47"/>
  <c r="AS14" i="47" s="1"/>
  <c r="AP19" i="24"/>
  <c r="AS19" i="24" s="1"/>
  <c r="AP29" i="49" l="1"/>
  <c r="AS29" i="49" s="1"/>
  <c r="AP13" i="47"/>
  <c r="AS13" i="47" s="1"/>
  <c r="AP18" i="24"/>
  <c r="AS18" i="24" s="1"/>
  <c r="AP28" i="49" l="1"/>
  <c r="AS28" i="49" s="1"/>
  <c r="AP12" i="47"/>
  <c r="AS12" i="47" s="1"/>
  <c r="AP17" i="24"/>
  <c r="AS17" i="24" s="1"/>
  <c r="AP27" i="49" l="1"/>
  <c r="AS27" i="49" s="1"/>
  <c r="AP11" i="47"/>
  <c r="AS11" i="47" s="1"/>
  <c r="AP16" i="24"/>
  <c r="AS16" i="24" s="1"/>
  <c r="AP26" i="49" l="1"/>
  <c r="AS26" i="49" s="1"/>
  <c r="AP10" i="47"/>
  <c r="AS10" i="47" s="1"/>
  <c r="AP15" i="24"/>
  <c r="AS15" i="24" s="1"/>
  <c r="AP25" i="49" l="1"/>
  <c r="AS25" i="49" s="1"/>
  <c r="AP9" i="47"/>
  <c r="AS9" i="47" s="1"/>
  <c r="AP14" i="24"/>
  <c r="AS14" i="24" s="1"/>
  <c r="AP24" i="49" l="1"/>
  <c r="AS24" i="49" s="1"/>
  <c r="AP8" i="47"/>
  <c r="AS8" i="47" s="1"/>
  <c r="AP13" i="24"/>
  <c r="AS13" i="24" s="1"/>
  <c r="AP23" i="49" l="1"/>
  <c r="AS23" i="49" s="1"/>
  <c r="AP7" i="47"/>
  <c r="AS7" i="47" s="1"/>
  <c r="AP12" i="24"/>
  <c r="AS12" i="24" s="1"/>
  <c r="AP22" i="49" l="1"/>
  <c r="AS22" i="49" s="1"/>
  <c r="AP6" i="47"/>
  <c r="AS6" i="47" s="1"/>
  <c r="AP11" i="24"/>
  <c r="AS11" i="24" s="1"/>
  <c r="AP21" i="49" l="1"/>
  <c r="AS21" i="49" s="1"/>
  <c r="AP5" i="47"/>
  <c r="AS5" i="47" s="1"/>
  <c r="AP10" i="24"/>
  <c r="AS10" i="24" s="1"/>
  <c r="AP20" i="49" l="1"/>
  <c r="AS20" i="49" s="1"/>
  <c r="AP4" i="47"/>
  <c r="AS4" i="47" s="1"/>
  <c r="AP9" i="24"/>
  <c r="AS9" i="24" s="1"/>
  <c r="AP19" i="49" l="1"/>
  <c r="AS19" i="49" s="1"/>
  <c r="AP8" i="24"/>
  <c r="AS8" i="24" s="1"/>
  <c r="AP18" i="49" l="1"/>
  <c r="AS18" i="49" s="1"/>
  <c r="AP7" i="24"/>
  <c r="AS7" i="24" s="1"/>
  <c r="AP17" i="49" l="1"/>
  <c r="AS17" i="49" s="1"/>
  <c r="AP6" i="24"/>
  <c r="AS6" i="24" s="1"/>
  <c r="AP16" i="49" l="1"/>
  <c r="AS16" i="49" s="1"/>
  <c r="AP5" i="24"/>
  <c r="AS5" i="24" s="1"/>
  <c r="AP15" i="49" l="1"/>
  <c r="AS15" i="49" s="1"/>
  <c r="AP4" i="24"/>
  <c r="AS4" i="24" s="1"/>
  <c r="AP14" i="49" l="1"/>
  <c r="AS14" i="49" s="1"/>
  <c r="AP13" i="49" l="1"/>
  <c r="AS13" i="49" s="1"/>
  <c r="AP12" i="49" l="1"/>
  <c r="AS12" i="49" s="1"/>
  <c r="AP11" i="49" l="1"/>
  <c r="AS11" i="49" s="1"/>
  <c r="AP10" i="49" l="1"/>
  <c r="AS10" i="49" s="1"/>
  <c r="AP9" i="49" l="1"/>
  <c r="AS9" i="49" s="1"/>
  <c r="AP8" i="49" l="1"/>
  <c r="AS8" i="49" s="1"/>
  <c r="AP7" i="49" l="1"/>
  <c r="AS7" i="49" s="1"/>
  <c r="AP6" i="49" l="1"/>
  <c r="AS6" i="49" s="1"/>
  <c r="AP5" i="49" l="1"/>
  <c r="AS5" i="49" s="1"/>
  <c r="AP4" i="49" l="1"/>
  <c r="AS4" i="4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R. Wallace</author>
  </authors>
  <commentList>
    <comment ref="C7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Checking this box will automatically pre-fill cells C15 - C20 with default values. You can still manually change these values</t>
        </r>
      </text>
    </comment>
    <comment ref="A8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Examples: Ebike &amp; power tool</t>
        </r>
      </text>
    </comment>
    <comment ref="C8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Generic motor default values: #poles=4, RPM=3k, D=95%, tdemag=0.1ms &amp; kc=1.5</t>
        </r>
      </text>
    </comment>
    <comment ref="A9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Examples: fan &amp; blower</t>
        </r>
      </text>
    </comment>
    <comment ref="C9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Low speed motor default values: #poles=8, RPM=500, D=95%, tdemag=0.1ms &amp; kc=1.5</t>
        </r>
      </text>
    </comment>
    <comment ref="A10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Examples: garden tool &amp; industrial</t>
        </r>
      </text>
    </comment>
    <comment ref="C10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>Mid speed motor default values: #poles=4, RPM=6k, D=95%, tdemag=0.05ms &amp; kc=1.5</t>
        </r>
      </text>
    </comment>
    <comment ref="A11" authorId="0" shapeId="0" xr:uid="{00000000-0006-0000-0100-000008000000}">
      <text>
        <r>
          <rPr>
            <b/>
            <sz val="9"/>
            <color indexed="81"/>
            <rFont val="Tahoma"/>
            <family val="2"/>
          </rPr>
          <t>Examples: vacuum cleaner &amp; drone</t>
        </r>
      </text>
    </comment>
    <comment ref="C11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High speed motor default values: #poles=4, RPM=20k, D=95%, tdemag=0.01ms &amp; kc=1.5</t>
        </r>
      </text>
    </comment>
    <comment ref="F11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Dropdown to select FET configuration</t>
        </r>
      </text>
    </comment>
    <comment ref="G11" authorId="0" shapeId="0" xr:uid="{00000000-0006-0000-0100-00000B000000}">
      <text>
        <r>
          <rPr>
            <b/>
            <sz val="9"/>
            <color indexed="81"/>
            <rFont val="Tahoma"/>
            <family val="2"/>
          </rPr>
          <t>Dropdown to select FET configuration</t>
        </r>
      </text>
    </comment>
    <comment ref="H11" authorId="0" shapeId="0" xr:uid="{00000000-0006-0000-0100-00000C000000}">
      <text>
        <r>
          <rPr>
            <b/>
            <sz val="9"/>
            <color indexed="81"/>
            <rFont val="Tahoma"/>
            <family val="2"/>
          </rPr>
          <t>Dropdown to select FET configuration</t>
        </r>
      </text>
    </comment>
    <comment ref="A12" authorId="0" shapeId="0" xr:uid="{00000000-0006-0000-0100-00000D000000}">
      <text>
        <r>
          <rPr>
            <b/>
            <sz val="9"/>
            <color indexed="81"/>
            <rFont val="Tahoma"/>
            <family val="2"/>
          </rPr>
          <t>Example: drone</t>
        </r>
      </text>
    </comment>
    <comment ref="C12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Very high speed motor default values: #poles=2, RPM=100k, D=95%, tdemag=0.01ms &amp; kc=1.5</t>
        </r>
      </text>
    </comment>
    <comment ref="F13" authorId="0" shapeId="0" xr:uid="{00000000-0006-0000-0100-00000F000000}">
      <text>
        <r>
          <rPr>
            <b/>
            <sz val="9"/>
            <color indexed="81"/>
            <rFont val="Tahoma"/>
            <family val="2"/>
          </rPr>
          <t>Start sync FET1 selection</t>
        </r>
      </text>
    </comment>
    <comment ref="G13" authorId="0" shapeId="0" xr:uid="{00000000-0006-0000-0100-000010000000}">
      <text>
        <r>
          <rPr>
            <b/>
            <sz val="9"/>
            <color indexed="81"/>
            <rFont val="Tahoma"/>
            <family val="2"/>
          </rPr>
          <t>Start sync FET2 selection</t>
        </r>
      </text>
    </comment>
    <comment ref="H13" authorId="0" shapeId="0" xr:uid="{00000000-0006-0000-0100-000011000000}">
      <text>
        <r>
          <rPr>
            <b/>
            <sz val="9"/>
            <color indexed="81"/>
            <rFont val="Tahoma"/>
            <family val="2"/>
          </rPr>
          <t>Start sync FET3 selection</t>
        </r>
      </text>
    </comment>
    <comment ref="C14" authorId="0" shapeId="0" xr:uid="{00000000-0006-0000-0100-000012000000}">
      <text>
        <r>
          <rPr>
            <b/>
            <sz val="9"/>
            <color indexed="81"/>
            <rFont val="Tahoma"/>
            <family val="2"/>
          </rPr>
          <t xml:space="preserve">Adjust this value to get RMS winding current </t>
        </r>
      </text>
    </comment>
    <comment ref="C15" authorId="0" shapeId="0" xr:uid="{00000000-0006-0000-0100-000013000000}">
      <text>
        <r>
          <rPr>
            <b/>
            <sz val="10"/>
            <color indexed="81"/>
            <rFont val="Tahoma"/>
            <family val="2"/>
          </rPr>
          <t>This must be an even number</t>
        </r>
      </text>
    </comment>
    <comment ref="F15" authorId="0" shapeId="0" xr:uid="{00000000-0006-0000-0100-000014000000}">
      <text>
        <r>
          <rPr>
            <b/>
            <sz val="9"/>
            <color indexed="81"/>
            <rFont val="Tahoma"/>
            <family val="2"/>
          </rPr>
          <t>Dropdown to pick sync FET1</t>
        </r>
      </text>
    </comment>
    <comment ref="G15" authorId="0" shapeId="0" xr:uid="{00000000-0006-0000-0100-000015000000}">
      <text>
        <r>
          <rPr>
            <b/>
            <sz val="9"/>
            <color indexed="81"/>
            <rFont val="Tahoma"/>
            <family val="2"/>
          </rPr>
          <t>Dropdown to pick sync FET2</t>
        </r>
      </text>
    </comment>
    <comment ref="H15" authorId="0" shapeId="0" xr:uid="{00000000-0006-0000-0100-000016000000}">
      <text>
        <r>
          <rPr>
            <b/>
            <sz val="9"/>
            <color indexed="81"/>
            <rFont val="Tahoma"/>
            <family val="2"/>
          </rPr>
          <t>Dropdown to pick sync FET3</t>
        </r>
      </text>
    </comment>
    <comment ref="C18" authorId="0" shapeId="0" xr:uid="{00000000-0006-0000-0100-000017000000}">
      <text>
        <r>
          <rPr>
            <b/>
            <sz val="10"/>
            <color indexed="81"/>
            <rFont val="Tahoma"/>
            <family val="2"/>
          </rPr>
          <t>Time for phase current to decrease from peak to zero when phase is turned off. See Fig. 2 in Diagram tab</t>
        </r>
      </text>
    </comment>
    <comment ref="C19" authorId="0" shapeId="0" xr:uid="{00000000-0006-0000-0100-000018000000}">
      <text>
        <r>
          <rPr>
            <b/>
            <sz val="10"/>
            <color indexed="81"/>
            <rFont val="Tahoma"/>
            <family val="2"/>
          </rPr>
          <t>Ipeak = kc x Irms
See Fig 4 in Diagrams tab</t>
        </r>
      </text>
    </comment>
    <comment ref="C21" authorId="0" shapeId="0" xr:uid="{00000000-0006-0000-0100-000019000000}">
      <text>
        <r>
          <rPr>
            <b/>
            <sz val="9"/>
            <color indexed="81"/>
            <rFont val="Tahoma"/>
            <family val="2"/>
          </rPr>
          <t>Find this value in gate driver IC datasheet</t>
        </r>
      </text>
    </comment>
    <comment ref="C22" authorId="0" shapeId="0" xr:uid="{00000000-0006-0000-0100-00001A000000}">
      <text>
        <r>
          <rPr>
            <b/>
            <sz val="9"/>
            <color indexed="81"/>
            <rFont val="Tahoma"/>
            <family val="2"/>
          </rPr>
          <t>Usually programmable and may be found in gate driver IC datasheet</t>
        </r>
      </text>
    </comment>
    <comment ref="C23" authorId="0" shapeId="0" xr:uid="{00000000-0006-0000-0100-00001B000000}">
      <text>
        <r>
          <rPr>
            <b/>
            <sz val="9"/>
            <color indexed="81"/>
            <rFont val="Tahoma"/>
            <family val="2"/>
          </rPr>
          <t>Usually programmable and may be found in gate driver IC datasheet</t>
        </r>
      </text>
    </comment>
    <comment ref="C24" authorId="0" shapeId="0" xr:uid="{00000000-0006-0000-0100-00001C000000}">
      <text>
        <r>
          <rPr>
            <b/>
            <sz val="9"/>
            <color indexed="81"/>
            <rFont val="Tahoma"/>
            <family val="2"/>
          </rPr>
          <t>Usually programmable and may be found in gate driver IC datasheet</t>
        </r>
      </text>
    </comment>
  </commentList>
</comments>
</file>

<file path=xl/sharedStrings.xml><?xml version="1.0" encoding="utf-8"?>
<sst xmlns="http://schemas.openxmlformats.org/spreadsheetml/2006/main" count="5149" uniqueCount="880">
  <si>
    <t>Constants</t>
  </si>
  <si>
    <t>p</t>
  </si>
  <si>
    <t>n</t>
  </si>
  <si>
    <t>u</t>
  </si>
  <si>
    <t>m</t>
  </si>
  <si>
    <t>k</t>
  </si>
  <si>
    <t>G</t>
  </si>
  <si>
    <t>Meg</t>
  </si>
  <si>
    <t>Package</t>
  </si>
  <si>
    <t>quality and performance is with the customer.</t>
  </si>
  <si>
    <t>Instruments or the author.  The software is licensed solely on an "as is" basis.  The entire risk as to its</t>
  </si>
  <si>
    <t>or implied, with respect to this software or its fitness for any particular purpose is claimed by Texas</t>
  </si>
  <si>
    <t>This product is designed as an aid for customers of Texas Instruments.  No warranties, either express</t>
  </si>
  <si>
    <t>Disclaimer</t>
  </si>
  <si>
    <t xml:space="preserve"> </t>
  </si>
  <si>
    <t>PARTNUMBER</t>
  </si>
  <si>
    <t>PARTID</t>
  </si>
  <si>
    <t>WIZARD_ENABLED</t>
  </si>
  <si>
    <t>AVAILABLE</t>
  </si>
  <si>
    <t>SCHEMATIC_SYMBOL</t>
  </si>
  <si>
    <t>THERMAL_ID</t>
  </si>
  <si>
    <t>COMMENTS</t>
  </si>
  <si>
    <t>CHTYPE</t>
  </si>
  <si>
    <t>CHNUM</t>
  </si>
  <si>
    <t>SUBID</t>
  </si>
  <si>
    <t>MOUNT</t>
  </si>
  <si>
    <t>VDSMAX</t>
  </si>
  <si>
    <t>VGSMAX</t>
  </si>
  <si>
    <t>IDSMAX</t>
  </si>
  <si>
    <t>IDMMAX</t>
  </si>
  <si>
    <t>TJMAX</t>
  </si>
  <si>
    <t>PDMAX</t>
  </si>
  <si>
    <t>RTHJA</t>
  </si>
  <si>
    <t>RTHJF</t>
  </si>
  <si>
    <t>VTHMIN</t>
  </si>
  <si>
    <t>VTHMAX</t>
  </si>
  <si>
    <t>VFMAX</t>
  </si>
  <si>
    <t>TRRTYP</t>
  </si>
  <si>
    <t>TRRIF</t>
  </si>
  <si>
    <t>TRRISR</t>
  </si>
  <si>
    <t>GFSTYP</t>
  </si>
  <si>
    <t>RGITYP</t>
  </si>
  <si>
    <t>RDSON25</t>
  </si>
  <si>
    <t>RDSON45</t>
  </si>
  <si>
    <t>RDSON8</t>
  </si>
  <si>
    <t>RDSON10</t>
  </si>
  <si>
    <t>RDSDELTA</t>
  </si>
  <si>
    <t>QGTYP</t>
  </si>
  <si>
    <t>QG2_5TYP</t>
  </si>
  <si>
    <t>QG10TYP</t>
  </si>
  <si>
    <t>CISS_AT_1V</t>
  </si>
  <si>
    <t>CISS_AT_VDSSPEC</t>
  </si>
  <si>
    <t>CISSMAX</t>
  </si>
  <si>
    <t>COSS_AT_1V</t>
  </si>
  <si>
    <t>COSS_AT_VDSSPEC</t>
  </si>
  <si>
    <t>COSSMAX</t>
  </si>
  <si>
    <t>CRSS_AT_1V</t>
  </si>
  <si>
    <t>CRSS_AT_VDSSPEC</t>
  </si>
  <si>
    <t>CRSSMAX</t>
  </si>
  <si>
    <t>VDSSPEC</t>
  </si>
  <si>
    <t>SOATIME_MS</t>
  </si>
  <si>
    <t>VDS_START</t>
  </si>
  <si>
    <t>ID_START</t>
  </si>
  <si>
    <t>VDS_1STDROP</t>
  </si>
  <si>
    <t>ID_1STDROP</t>
  </si>
  <si>
    <t>VDS_2NDDROP</t>
  </si>
  <si>
    <t>ID_2NDDROP</t>
  </si>
  <si>
    <t>VDS_3RDDROP</t>
  </si>
  <si>
    <t>ID_3RDDROP</t>
  </si>
  <si>
    <t>VDS_END</t>
  </si>
  <si>
    <t>ID_END</t>
  </si>
  <si>
    <t>KQG</t>
  </si>
  <si>
    <t>POWERBLOCK</t>
  </si>
  <si>
    <t>VF_TYP</t>
  </si>
  <si>
    <t>HEATSINKABLE</t>
  </si>
  <si>
    <t>PACKAGE</t>
  </si>
  <si>
    <t>CGS1</t>
  </si>
  <si>
    <t>ROHS</t>
  </si>
  <si>
    <t>DATASHEET_URL</t>
  </si>
  <si>
    <t>KVTH</t>
  </si>
  <si>
    <t>RGIMAX</t>
  </si>
  <si>
    <t>VGSATMAXRDS</t>
  </si>
  <si>
    <t>QRR</t>
  </si>
  <si>
    <t>QGD</t>
  </si>
  <si>
    <t>QGS</t>
  </si>
  <si>
    <t>DEPLETIONMODE</t>
  </si>
  <si>
    <t>TI_EQ_PACKAGE</t>
  </si>
  <si>
    <t>AUTOMOTIVE</t>
  </si>
  <si>
    <t>GRADE</t>
  </si>
  <si>
    <t>TIMESTAMP</t>
  </si>
  <si>
    <t>DATEMODIFIED</t>
  </si>
  <si>
    <t>ID</t>
  </si>
  <si>
    <t>Y</t>
  </si>
  <si>
    <t>N</t>
  </si>
  <si>
    <t>(NULL)</t>
  </si>
  <si>
    <t>CSD13202Q2</t>
  </si>
  <si>
    <t>WB_MOSFET_N_D12568G3S47</t>
  </si>
  <si>
    <t>DQK0006C</t>
  </si>
  <si>
    <t>PJ added New; Oliver set symbol automotive and footprint and changed to A</t>
  </si>
  <si>
    <t>http://www.ti.com/lit/ds/symlink/csd13202q2.pdf</t>
  </si>
  <si>
    <t>SON2X2</t>
  </si>
  <si>
    <t>A</t>
  </si>
  <si>
    <t>PJ added New</t>
  </si>
  <si>
    <t>CSD15571Q2</t>
  </si>
  <si>
    <t>WB_MOSFET_N_D1256G3S4</t>
  </si>
  <si>
    <t>http://www.ti.com/lit/ds/symlink/csd15571q2.pdf</t>
  </si>
  <si>
    <t>CSD16301Q2</t>
  </si>
  <si>
    <t>Updated by PJ Added by Jonathan   -Disabed for PCB export - Howard</t>
  </si>
  <si>
    <t>http://www.ti.com/lit/ds/symlink/csd16301q2.pdf</t>
  </si>
  <si>
    <t>CSD16321Q5</t>
  </si>
  <si>
    <t>WB_MOSFET_N_D56789G4S123</t>
  </si>
  <si>
    <t>TRANS_NexFET_Q5</t>
  </si>
  <si>
    <t>Updated by PJ Added by Jonathan</t>
  </si>
  <si>
    <t>http://www.ti.com/lit/ds/symlink/csd16321q5.pdf</t>
  </si>
  <si>
    <t>SON5X6</t>
  </si>
  <si>
    <t>CSD16322Q5</t>
  </si>
  <si>
    <t>Updated by PJ Added by Amod</t>
  </si>
  <si>
    <t>http://www.ti.com/lit/ds/symlink/csd16322q5.pdf</t>
  </si>
  <si>
    <t>CSD16323Q3</t>
  </si>
  <si>
    <t>DQG0008A</t>
  </si>
  <si>
    <t>Added by Jonathan;PJ added new params from PL;Oliver updated Thermal_Id</t>
  </si>
  <si>
    <t>SON3X3</t>
  </si>
  <si>
    <t>CSD16325Q5</t>
  </si>
  <si>
    <t>http://www.ti.com/lit/ds/symlink/csd16325q5.pdf</t>
  </si>
  <si>
    <t>CSD16327Q3</t>
  </si>
  <si>
    <t>Added by Gerold; PJ added new params from PL; Oliver updated Thermal_Id</t>
  </si>
  <si>
    <t>http://www.ti.com/lit/ds/symlink/csd16327q3.pdf</t>
  </si>
  <si>
    <t>CSD16340Q3</t>
  </si>
  <si>
    <t>Added by Amod; PJ added new params from PL; Oliver updated Thermal_Id</t>
  </si>
  <si>
    <t>http://www.ti.com/lit/ds/symlink/csd16340q3.pdf</t>
  </si>
  <si>
    <t>CSD16342Q5A</t>
  </si>
  <si>
    <t>TRANS_NexFET_Q5A</t>
  </si>
  <si>
    <t>Updated by PJ Added by Steven</t>
  </si>
  <si>
    <t>http://www.ti.com/lit/ds/symlink/csd16342q5a.pdf</t>
  </si>
  <si>
    <t>CSD16401Q5</t>
  </si>
  <si>
    <t>Updated by PJ Added by Amod Jaz: hotswap</t>
  </si>
  <si>
    <t>http://www.ti.com/lit/ds/symlink/csd16401q5.pdf</t>
  </si>
  <si>
    <t>CSD16403Q5A</t>
  </si>
  <si>
    <t>Updated by PJ HotSwap disabled by HC</t>
  </si>
  <si>
    <t>http://www.ti.com/lit/ds/symlink/csd16403q5a.pdf</t>
  </si>
  <si>
    <t>CSD16404Q5A</t>
  </si>
  <si>
    <t>http://www.ti.com/lit/ds/symlink/csd16404q5a.pdf</t>
  </si>
  <si>
    <t>CSD16406Q3</t>
  </si>
  <si>
    <t>Added by Amod Jaz: hotswap; PJ added new params from PL; Oliver updated Thermal_Id</t>
  </si>
  <si>
    <t>http://www.ti.com/lit/ds/symlink/csd16406q3.pdf</t>
  </si>
  <si>
    <t>CSD16407Q5</t>
  </si>
  <si>
    <t>http://www.ti.com/lit/ds/symlink/csd16407q5.pdf</t>
  </si>
  <si>
    <t>CSD16408Q5</t>
  </si>
  <si>
    <t>http://www.ti.com/lit/ds/symlink/csd16408q5.pdf</t>
  </si>
  <si>
    <t>CSD16409Q3</t>
  </si>
  <si>
    <t>Added by Jonathan; Updated by PJ; Oliver updated Thermal_Id</t>
  </si>
  <si>
    <t>http://www.ti.com/lit/ds/symlink/csd16409q3.pdf</t>
  </si>
  <si>
    <t>CSD16410Q5A</t>
  </si>
  <si>
    <t>Updated by PJ  HotSwap disabled by HC</t>
  </si>
  <si>
    <t>http://www.ti.com/lit/ds/symlink/csd16410q5a.pdf</t>
  </si>
  <si>
    <t>CSD16411Q3</t>
  </si>
  <si>
    <t>HotSwap disabled by HC; Updated by PJ; Oliver updated Thermal_Id</t>
  </si>
  <si>
    <t>http://www.ti.com/lit/ds/symlink/csd16411q3.pdf</t>
  </si>
  <si>
    <t>CSD16412Q5A</t>
  </si>
  <si>
    <t>http://www.ti.com/lit/ds/symlink/csd16412q5a.pdf</t>
  </si>
  <si>
    <t>CSD16413Q5A</t>
  </si>
  <si>
    <t>http://www.ti.com/lit/ds/symlink/csd16413q5a.pdf</t>
  </si>
  <si>
    <t>CSD16414Q5</t>
  </si>
  <si>
    <t>Updated by PJ  Added by Jonathan</t>
  </si>
  <si>
    <t>http://www.ti.com/lit/ds/symlink/csd16414q5.pdf</t>
  </si>
  <si>
    <t>CSD16415Q5</t>
  </si>
  <si>
    <t>http://www.ti.com/lit/ds/symlink/csd16415q5.pdf</t>
  </si>
  <si>
    <t>CSD16556Q5B</t>
  </si>
  <si>
    <t>TRANS_NexFET_Q5B</t>
  </si>
  <si>
    <t>http://www.ti.com/lit/ds/symlink/csd16556q5b.pdf</t>
  </si>
  <si>
    <t>DNK0008A</t>
  </si>
  <si>
    <t>CSD17301Q5A</t>
  </si>
  <si>
    <t>http://www.ti.com/lit/ds/symlink/csd17301q5a.pdf</t>
  </si>
  <si>
    <t>CSD17302Q5A</t>
  </si>
  <si>
    <t>http://www.ti.com/lit/ds/symlink/csd17302q5a.pdf</t>
  </si>
  <si>
    <t>CSD17303Q5</t>
  </si>
  <si>
    <t>PJ added new params from PL;Added by Jonathan</t>
  </si>
  <si>
    <t>http://www.ti.com/lit/ds/symlink/csd17303q5.pdf</t>
  </si>
  <si>
    <t>CSD17304Q3</t>
  </si>
  <si>
    <t>http://www.ti.com/lit/ds/symlink/csd17304q3.pdf</t>
  </si>
  <si>
    <t>CSD17305Q5A</t>
  </si>
  <si>
    <t>http://www.ti.com/lit/ds/symlink/csd17305q5a.pdf</t>
  </si>
  <si>
    <t>CSD17306Q5A</t>
  </si>
  <si>
    <t>http://www.ti.com/lit/ds/symlink/csd17306q5a.pdf</t>
  </si>
  <si>
    <t>CSD17307Q5A</t>
  </si>
  <si>
    <t>http://www.ti.com/lit/ds/symlink/csd17307q5a.pdf</t>
  </si>
  <si>
    <t>CSD17308Q3</t>
  </si>
  <si>
    <t>http://www.ti.com/lit/ds/symlink/csd17308q3.pdf</t>
  </si>
  <si>
    <t>CSD17309Q3</t>
  </si>
  <si>
    <t>http://www.ti.com/lit/ds/symlink/csd17309q3.pdf</t>
  </si>
  <si>
    <t>CSD17310Q5A</t>
  </si>
  <si>
    <t>http://www.ti.com/lit/ds/symlink/csd17310q5a.pdf</t>
  </si>
  <si>
    <t>CSD17311Q5</t>
  </si>
  <si>
    <t>http://www.ti.com/lit/ds/symlink/csd17311q5.pdf</t>
  </si>
  <si>
    <t>CSD17312Q5</t>
  </si>
  <si>
    <t>PJ added new params from PL;Added by Amod Jaz: hotswap</t>
  </si>
  <si>
    <t>http://www.ti.com/lit/ds/symlink/csd17312q5.pdf</t>
  </si>
  <si>
    <t>CSD17313Q2</t>
  </si>
  <si>
    <t>Added by Jonathan; Oliver updated Thermal_Id</t>
  </si>
  <si>
    <t>http://www.ti.com/lit/ds/symlink/csd17313q2.pdf</t>
  </si>
  <si>
    <t>CSD17322Q5A</t>
  </si>
  <si>
    <t>http://www.ti.com/lit/ds/symlink/csd17322q5a.pdf</t>
  </si>
  <si>
    <t>CSD17327Q5A</t>
  </si>
  <si>
    <t>http://www.ti.com/lit/ds/symlink/csd17327q5a.pdf</t>
  </si>
  <si>
    <t>Updated by PJ</t>
  </si>
  <si>
    <t>DNH0008A</t>
  </si>
  <si>
    <t>CSD17556Q5B</t>
  </si>
  <si>
    <t>Updated by PJ Added by Hadi</t>
  </si>
  <si>
    <t>http://www.ti.com/lit/ds/symlink/csd17556q5b.pdf</t>
  </si>
  <si>
    <t>SON5x6</t>
  </si>
  <si>
    <t>CSD17559Q5</t>
  </si>
  <si>
    <t>PJ added new params from PL;Added by Gerold</t>
  </si>
  <si>
    <t>http://www.ti.com/lit/ds/symlink/csd17559q5.pdf</t>
  </si>
  <si>
    <t>CSD17571Q2</t>
  </si>
  <si>
    <t>Updated by PJ Altium for Vince Paku</t>
  </si>
  <si>
    <t>http://www.ti.com/lit/ds/symlink/csd17571q2.pdf</t>
  </si>
  <si>
    <t>CSD17573Q5B</t>
  </si>
  <si>
    <t>Updated by PJAdded by Hadi</t>
  </si>
  <si>
    <t>http://www.ti.com/lit/ds/symlink/csd17573q5b.pdf</t>
  </si>
  <si>
    <t>CSD17575Q3</t>
  </si>
  <si>
    <t>Added by ; revert thermal ID back to NxtFET-HC 7/2016; PJ added new params from PL; Oliver updated Thermal_Id</t>
  </si>
  <si>
    <t>http://www.ti.com/lit/ds/symlink/csd17575q3.pdf</t>
  </si>
  <si>
    <t>CSD17576Q5B</t>
  </si>
  <si>
    <t>http://www.ti.com/lit/ds/symlink/csd17576q5b.pdf</t>
  </si>
  <si>
    <t>CSD17577Q3A</t>
  </si>
  <si>
    <t>Added by Hadi; PJ added new params from PL; Oliver updated Thermal_Id</t>
  </si>
  <si>
    <t>http://www.ti.com/lit/ds/symlink/csd17577q3a.pdf</t>
  </si>
  <si>
    <t>SON3x3</t>
  </si>
  <si>
    <t>CSD17577Q5A</t>
  </si>
  <si>
    <t>http://www.ti.com/lit/ds/symlink/csd17577q5a.pdf</t>
  </si>
  <si>
    <t>CSD17578Q3A</t>
  </si>
  <si>
    <t>http://www.ti.com/lit/ds/symlink/csd17578q3a.pdf</t>
  </si>
  <si>
    <t>CSD17578Q5A</t>
  </si>
  <si>
    <t>http://www.ti.com/lit/ds/symlink/csd17578q5a.pdf</t>
  </si>
  <si>
    <t>CSD17579Q3A</t>
  </si>
  <si>
    <t>http://www.ti.com/lit/ds/symlink/csd17579q3a.pdf</t>
  </si>
  <si>
    <t>CSD17579Q5A</t>
  </si>
  <si>
    <t>http://www.ti.com/lit/ds/slps524/slps524.pdf</t>
  </si>
  <si>
    <t>CSD17581Q3A</t>
  </si>
  <si>
    <t>by Hadi</t>
  </si>
  <si>
    <t>http://www.ti.com/lit/ds/symlink/csd17581q3a.pdf</t>
  </si>
  <si>
    <t>DQJ0008A</t>
  </si>
  <si>
    <t>CSD18501Q5A</t>
  </si>
  <si>
    <t>http://www.ti.com/lit/ds/symlink/csd18501q5a.pdf</t>
  </si>
  <si>
    <t>CSD18502KCS</t>
  </si>
  <si>
    <t>WB_MOSFET_N_D2G1S3</t>
  </si>
  <si>
    <t>TO-220AB</t>
  </si>
  <si>
    <t>Updated by PJ Added by Gerold</t>
  </si>
  <si>
    <t>http://www.ti.com/lit/ds/symlink/csd18502kcs.pdf</t>
  </si>
  <si>
    <t>TO-220</t>
  </si>
  <si>
    <t>CSD18502Q5B</t>
  </si>
  <si>
    <t>http://www.ti.com/lit/ds/symlink/csd18502Q5B.pdf</t>
  </si>
  <si>
    <t>CSD18503KCS</t>
  </si>
  <si>
    <t>http://www.ti.com/lit/ds/symlink/csd18503kcs.pdf</t>
  </si>
  <si>
    <t>CSD18503Q5A</t>
  </si>
  <si>
    <t>Added by Gerold; PJ added new params from PL; Oliver set ROHS to E and Automotive to N</t>
  </si>
  <si>
    <t>E</t>
  </si>
  <si>
    <t>http://www.ti.com/lit/ds/symlink/csd18503q5a.pdf</t>
  </si>
  <si>
    <t>CSD18504KCS</t>
  </si>
  <si>
    <t>KCS0003B</t>
  </si>
  <si>
    <t>Added by Gerold; Updated by PJ; Oliver updated Thermal_Id set Automotive and set Available to A</t>
  </si>
  <si>
    <t>http://www.ti.com/lit/ds/symlink/csd18504kcs.pdf</t>
  </si>
  <si>
    <t>CSD18504Q5A</t>
  </si>
  <si>
    <t>http://www.ti.com/lit/ds/symlink/csd18504q5a.pdf</t>
  </si>
  <si>
    <t>CSD18509Q5B</t>
  </si>
  <si>
    <t>Updated PJ for missing entries.Updated by PJ 7/5 RL: Updated Thermal_Id DNK0008A -&gt; TRANS_NexFET_Q5B; Added by Hadi</t>
  </si>
  <si>
    <t>http://www.ti.com/lit/ds/symlink/csd18509q5b.pdf</t>
  </si>
  <si>
    <t>KTT0002A</t>
  </si>
  <si>
    <t>CSD18511Q5A</t>
  </si>
  <si>
    <t>Hadi: per brett barr request; Oliver corrected Thermal_Id</t>
  </si>
  <si>
    <t>http://www.ti.com/lit/ds/symlink/csd18511q5a.pdf</t>
  </si>
  <si>
    <t>CSD18512Q5B</t>
  </si>
  <si>
    <t>Hadi: per brett barr request; Oliver corrected URL</t>
  </si>
  <si>
    <t>http://www.ti.com/lit/ds/symlink/csd18512q5b.pdf</t>
  </si>
  <si>
    <t>CSD18513Q5A</t>
  </si>
  <si>
    <t>http://www.ti.com/lit/ds/symlink/csd18513q5a.pdf</t>
  </si>
  <si>
    <t>CSD18514Q5A</t>
  </si>
  <si>
    <t>http://www.ti.com/lit/ds/symlink/csd18514q5a.pdf</t>
  </si>
  <si>
    <t>CSD18531Q5A</t>
  </si>
  <si>
    <t>http://www.ti.com/lit/ds/symlink/csd18531q5a.pdf</t>
  </si>
  <si>
    <t>CSD18532KCS</t>
  </si>
  <si>
    <t>Added by Gerold; Updated by PJ; Oliver updated Thermal_Id updated Mount and set Available to A</t>
  </si>
  <si>
    <t>http:// www.ti.com/lit/ds/symlink/csd18532kcs.pdf</t>
  </si>
  <si>
    <t>CSD18532NQ5B</t>
  </si>
  <si>
    <t>Updated by PJ; Oliver set Thermal_Id Mount symbol Automotive and set Avaialble to A</t>
  </si>
  <si>
    <t>http://www.ti.com/lit/ds/symlink/csd18532nq5b.pdf</t>
  </si>
  <si>
    <t>CSD18532Q5B</t>
  </si>
  <si>
    <t>http://www.ti.com/lit/ds/symlink/csd18532q5b.pdf</t>
  </si>
  <si>
    <t>CSD18533KCS</t>
  </si>
  <si>
    <t>http://www.ti.com/lit/ds/symlink/csd18533kcs.pdf</t>
  </si>
  <si>
    <t>CSD18533Q5A</t>
  </si>
  <si>
    <t>Added by Gerold; Updated by PJ; Oliver updated Thermal_Id set Automotive and changed Available to A</t>
  </si>
  <si>
    <t>http://www.ti.com/lit/ds/symlink/csd18533q5a.pdf</t>
  </si>
  <si>
    <t>CSD18534KCS</t>
  </si>
  <si>
    <t>Added by Gerold; Updated by PJ; Oliver updated Thermal_Id set Mount and set Available to A</t>
  </si>
  <si>
    <t>http://www.ti.com/lit/ds/symlink/csd18534kcs.pdf</t>
  </si>
  <si>
    <t>CSD18534Q5A</t>
  </si>
  <si>
    <t>http://www.ti.com/lit/ds/symlink/csd18534q5a.pdf</t>
  </si>
  <si>
    <t>CSD18535KCS</t>
  </si>
  <si>
    <t>Updated by PJ; Oliver set Thermal_Id symbol Mount Automotive and set Available to A</t>
  </si>
  <si>
    <t>http://www.ti.com/lit/ds/symlink/csd18535kcs.pdf</t>
  </si>
  <si>
    <t>CSD18535KTT</t>
  </si>
  <si>
    <t>http://www.ti.com/lit/ds/symlink/csd18535ktt.pdf</t>
  </si>
  <si>
    <t>DDPAK</t>
  </si>
  <si>
    <t>CSD18536KCS</t>
  </si>
  <si>
    <t>Updated by PJ; Oliver updated Thermal_Id set symbol Automotive Mount and set Available to A and ROHS to E</t>
  </si>
  <si>
    <t>http://www.ti.com/lit/ds/symlink/csd18536kcs.pdf</t>
  </si>
  <si>
    <t>CSD18536KTT</t>
  </si>
  <si>
    <t>http://www.ti.com/lit/ds/symlink/csd18536ktt.pdf</t>
  </si>
  <si>
    <t>CSD18537NKCS</t>
  </si>
  <si>
    <t>Updated by PJ Added by Kris</t>
  </si>
  <si>
    <t>http://www.ti.com/lit/ds/symlink/csd18537nkcs.pdf</t>
  </si>
  <si>
    <t>CSD18537NQ5A</t>
  </si>
  <si>
    <t>PJ added new params from PL;Added by Kris</t>
  </si>
  <si>
    <t>http://www.ti.com/lit/ds/symlink/csd18537nq5a.pdf</t>
  </si>
  <si>
    <t>CSD18540Q5B</t>
  </si>
  <si>
    <t>Updated by PJ; Oliver set Thermal_Id Mount Automotive and symbol set Available to A</t>
  </si>
  <si>
    <t>http://www.ti.com/lit/ds/symlink/csd18540q5b.pdf</t>
  </si>
  <si>
    <t>PJ added New; Oliver set Thermal_Id symbol Mount Automotive and set Available to A</t>
  </si>
  <si>
    <t>CSD18542KCS</t>
  </si>
  <si>
    <t>http://www.ti.com/lit/ds/symlink/csd18542kcs.pdf</t>
  </si>
  <si>
    <t>CSD18542KTT</t>
  </si>
  <si>
    <t>http://www.ti.com/lit/ds/symlink/csd18542ktt.pdf</t>
  </si>
  <si>
    <t>CSD18563Q5A</t>
  </si>
  <si>
    <t>http://www.ti.com/lit/ds/symlink/csd18563q5a.pdf</t>
  </si>
  <si>
    <t>CSD19501KCS</t>
  </si>
  <si>
    <t>Updated by PJ; Oliver set Thermal_Id symbol Mount Automotive and Available to A</t>
  </si>
  <si>
    <t>http://www.ti.com/lit/ds/symlink/csd19501kcs.pdf</t>
  </si>
  <si>
    <t>CSD19502Q5B</t>
  </si>
  <si>
    <t>Updated by PJ 8/3 Bob for Tattiana Davenport</t>
  </si>
  <si>
    <t>http://www.ti.com/lit/ds/symlink/csd19502q5b.pdf</t>
  </si>
  <si>
    <t>CSD19503KCS</t>
  </si>
  <si>
    <t>http://www.ti.com/lit/ds/symlink/csd19503kcs.pdf</t>
  </si>
  <si>
    <t>CSD19505KCS</t>
  </si>
  <si>
    <t>http://www.ti.com/lit/ds/symlink/csd19505kcs.pdf</t>
  </si>
  <si>
    <t>CSD19505KTT</t>
  </si>
  <si>
    <t>http://www.ti.com/lit/ds/symlink/csd19505ktt.pdf</t>
  </si>
  <si>
    <t>CSD19506KCS</t>
  </si>
  <si>
    <t>http://www.ti.com/lit/ds/symlink/csd19506kcs.pdf</t>
  </si>
  <si>
    <t>CSD19506KTT</t>
  </si>
  <si>
    <t>PJ added New; Oliver set Thermal_Id Mount Symbol and Available =A</t>
  </si>
  <si>
    <t>http://www.ti.com/lit/ds/symlink/csd19506ktt.pdf</t>
  </si>
  <si>
    <t>CSD19531KCS</t>
  </si>
  <si>
    <t>http://www.ti.com/lit/ds/symlink/csd19531kcs.pdf</t>
  </si>
  <si>
    <t>CSD19531Q5A</t>
  </si>
  <si>
    <t>PJ added new params from PL;Added by Kris-Modified by Hadi</t>
  </si>
  <si>
    <t>http://www.ti.com/lit/ds/symlink/csd19531q5a.pdf</t>
  </si>
  <si>
    <t>CSD19532KTT</t>
  </si>
  <si>
    <t>Altium for Brett Barr</t>
  </si>
  <si>
    <t>CSD19532Q5B</t>
  </si>
  <si>
    <t>http://www.ti.com/lit/ds/symlink/csd19532q5b.pdf</t>
  </si>
  <si>
    <t>CSD19533KCS</t>
  </si>
  <si>
    <t>http://www.ti.com/lit/ds/symlink/csd19533kcs.pdf</t>
  </si>
  <si>
    <t>CSD19533Q5A</t>
  </si>
  <si>
    <t>PJ added new params from PL;Added by Hadi</t>
  </si>
  <si>
    <t>http://www.ti.com/lit/ds/symlink/csd19533q5a.pdf</t>
  </si>
  <si>
    <t>CSD19534KCS</t>
  </si>
  <si>
    <t>http://www.ti.com/lit/ds/symlink/csd19534kcs.pdf</t>
  </si>
  <si>
    <t>CSD19534Q5A</t>
  </si>
  <si>
    <t>http://www.ti.com/lit/ds/symlink/csd19534q5a.pdf</t>
  </si>
  <si>
    <t>CSD19535KCS</t>
  </si>
  <si>
    <t>http://www.ti.com/lit/ds/symlink/csd19535kcs.pdf</t>
  </si>
  <si>
    <t>CSD19535KTT</t>
  </si>
  <si>
    <t>http://www.ti.com/lit/ds/symlink/csd19535ktt.pdf</t>
  </si>
  <si>
    <t>CSD19536KCS</t>
  </si>
  <si>
    <t>http://www.ti.com/lit/ds/symlink/csd19536kcs.pdf</t>
  </si>
  <si>
    <t>CSD19537Q3</t>
  </si>
  <si>
    <t>http://www.ti.com/lit/ds/symlink/csd19537q3.pdf</t>
  </si>
  <si>
    <t>CSD19538Q2</t>
  </si>
  <si>
    <t>CSD19538Q3A</t>
  </si>
  <si>
    <t>Updated by PJ Bob for John Betten</t>
  </si>
  <si>
    <t>http://www.ti.com/lit/ds/symlink/csd19538q3a.pdf</t>
  </si>
  <si>
    <t>Datasheet Link</t>
  </si>
  <si>
    <t/>
  </si>
  <si>
    <t>RDSON</t>
  </si>
  <si>
    <t>RDS45</t>
  </si>
  <si>
    <t>RDSON6</t>
  </si>
  <si>
    <t>CSD19536KTT</t>
  </si>
  <si>
    <r>
      <t>m</t>
    </r>
    <r>
      <rPr>
        <sz val="11"/>
        <color theme="1"/>
        <rFont val="Calibri"/>
        <family val="2"/>
      </rPr>
      <t>Ω</t>
    </r>
  </si>
  <si>
    <t>http://www.ti.com/lit/ds/symlink/csd16323q3.pdf</t>
  </si>
  <si>
    <t>http://www.ti.com/lit/ds/symlink/csd19532ktt.pdf</t>
  </si>
  <si>
    <t>http://www.ti.com/lit/ds/symlink/csd19538q2.pdf</t>
  </si>
  <si>
    <t>CSD17581Q5A</t>
  </si>
  <si>
    <t>WB_MOSFET_N_D56789G4S124</t>
  </si>
  <si>
    <t>CSD18510KCS</t>
  </si>
  <si>
    <t>CSD18510KTT</t>
  </si>
  <si>
    <t>CSD18511KCS</t>
  </si>
  <si>
    <t>CSD18511KTT</t>
  </si>
  <si>
    <t>CSD18510Q5B</t>
  </si>
  <si>
    <t>CSD18543Q3A</t>
  </si>
  <si>
    <t>1KPRICE</t>
  </si>
  <si>
    <r>
      <t>Q</t>
    </r>
    <r>
      <rPr>
        <b/>
        <vertAlign val="subscript"/>
        <sz val="11"/>
        <color theme="1"/>
        <rFont val="Arial"/>
        <family val="2"/>
      </rPr>
      <t>GS</t>
    </r>
    <r>
      <rPr>
        <b/>
        <sz val="11"/>
        <color theme="1"/>
        <rFont val="Arial"/>
        <family val="2"/>
      </rPr>
      <t xml:space="preserve"> (nC)</t>
    </r>
  </si>
  <si>
    <t>RDSON3</t>
  </si>
  <si>
    <t>CSD17318Q2</t>
  </si>
  <si>
    <t>JW</t>
  </si>
  <si>
    <t>http://www.ti.com/lit/ds/symlink/csd17318q2.pdf</t>
  </si>
  <si>
    <t>http://www.ti.com/lit/ds/symlink/csd17581q5a.pdf</t>
  </si>
  <si>
    <t>http://www.ti.com/lit/ds/symlink/csd18510kcs.pdf</t>
  </si>
  <si>
    <t>http://www.ti.com/lit/ds/symlink/csd18510ktt.pdf</t>
  </si>
  <si>
    <t>http://www.ti.com/lit/ds/symlink/csd18510q5b.pdf</t>
  </si>
  <si>
    <t>http://www.ti.com/lit/ds/symlink/csd18511kcs.pdf</t>
  </si>
  <si>
    <t>http://www.ti.com/lit/ds/symlink/csd18511ktt.pdf</t>
  </si>
  <si>
    <t>http://www.ti.com/lit/ds/symlink/csd18543q3a.pdf</t>
  </si>
  <si>
    <t>2.5V&lt;=VGS&lt;3V</t>
  </si>
  <si>
    <t>3V&lt;=VGS&lt;4V</t>
  </si>
  <si>
    <t>4V&lt;=VGS&lt;5.5V</t>
  </si>
  <si>
    <t>5.5V&lt;=VGS&lt;7</t>
  </si>
  <si>
    <t>7V&lt;=VGS&lt;9V</t>
  </si>
  <si>
    <t>9V&lt;=VGS&lt;=16V</t>
  </si>
  <si>
    <t>2.5V</t>
  </si>
  <si>
    <t>3V</t>
  </si>
  <si>
    <t>4.5V</t>
  </si>
  <si>
    <t>6V</t>
  </si>
  <si>
    <t>8V</t>
  </si>
  <si>
    <t>10V</t>
  </si>
  <si>
    <t>RDSONSPEC</t>
  </si>
  <si>
    <r>
      <t>V</t>
    </r>
    <r>
      <rPr>
        <b/>
        <vertAlign val="subscript"/>
        <sz val="11"/>
        <color theme="1"/>
        <rFont val="Arial"/>
        <family val="2"/>
      </rPr>
      <t>GS(TH) Max</t>
    </r>
    <r>
      <rPr>
        <b/>
        <sz val="11"/>
        <color theme="1"/>
        <rFont val="Arial"/>
        <family val="2"/>
      </rPr>
      <t xml:space="preserve"> (V)</t>
    </r>
  </si>
  <si>
    <r>
      <t>V</t>
    </r>
    <r>
      <rPr>
        <b/>
        <vertAlign val="subscript"/>
        <sz val="11"/>
        <color theme="1"/>
        <rFont val="Arial"/>
        <family val="2"/>
      </rPr>
      <t>GS(TH) Min</t>
    </r>
    <r>
      <rPr>
        <b/>
        <sz val="11"/>
        <color theme="1"/>
        <rFont val="Arial"/>
        <family val="2"/>
      </rPr>
      <t xml:space="preserve"> (V)</t>
    </r>
  </si>
  <si>
    <t>This worksheet is designed with Microsoft Excel 2010.  Its use is intended to assist power supply designers in their routine, day-to-day</t>
  </si>
  <si>
    <t>Comments or suggestions should be posted on: e2e.ti.com</t>
  </si>
  <si>
    <t>3V&lt;=VD&lt;4.5V VGSmin&lt;=3V</t>
  </si>
  <si>
    <t>4.5V&lt;=VD&lt;6V VGSmin&lt;=4.5V</t>
  </si>
  <si>
    <t>6&lt;=VD&lt;8V VGSmin&lt;=6V</t>
  </si>
  <si>
    <t>8V&lt;=VD&lt;10V VGSmin&lt;=8V</t>
  </si>
  <si>
    <t>VD&gt;=10V VGSmin&lt;=10V</t>
  </si>
  <si>
    <t>SELECT RDS(ON) CLOSEST TO VDRIVE</t>
  </si>
  <si>
    <t>MAX VDS OK OR(D:H)</t>
  </si>
  <si>
    <t>VGS OK OR(J:O)</t>
  </si>
  <si>
    <t>INCLUDE FET AND(C,I,P)</t>
  </si>
  <si>
    <t>INCLUDED FETS IN DROPDOWN</t>
  </si>
  <si>
    <t>MOST BLANKS REMOVED ROW2 BLANK</t>
  </si>
  <si>
    <t>RDSON25 2.5V&lt;=VGS&lt;3V</t>
  </si>
  <si>
    <t>RDSON3 3V&lt;=VGS&lt;4V</t>
  </si>
  <si>
    <t>RDSON6 5.5V&lt;=VGS&lt;7</t>
  </si>
  <si>
    <t xml:space="preserve"> 4V&lt;=VGS&lt;5.5VRDS45</t>
  </si>
  <si>
    <t>RDSON8 7V&lt;=VGS&lt;9V</t>
  </si>
  <si>
    <t>RDSON10 9V&lt;=VGS&lt;=16V</t>
  </si>
  <si>
    <t>RDS_2V5</t>
  </si>
  <si>
    <t>RDS_3V</t>
  </si>
  <si>
    <t>RDS_4V5</t>
  </si>
  <si>
    <t>RDS_6V</t>
  </si>
  <si>
    <t>RDS_8V</t>
  </si>
  <si>
    <t>RDS_10V</t>
  </si>
  <si>
    <t>2V5</t>
  </si>
  <si>
    <t>4V5</t>
  </si>
  <si>
    <t>OR</t>
  </si>
  <si>
    <t>VGS_2V5</t>
  </si>
  <si>
    <t>VGS_3V</t>
  </si>
  <si>
    <t>VGS_4V5</t>
  </si>
  <si>
    <t>VGS_6V</t>
  </si>
  <si>
    <t>VGS_8V</t>
  </si>
  <si>
    <t>VGS_10V</t>
  </si>
  <si>
    <t>RDSONTJ</t>
  </si>
  <si>
    <t>QSW</t>
  </si>
  <si>
    <t>PTOT</t>
  </si>
  <si>
    <t>VMILLER</t>
  </si>
  <si>
    <t>QGTH</t>
  </si>
  <si>
    <r>
      <t>Q</t>
    </r>
    <r>
      <rPr>
        <b/>
        <vertAlign val="subscript"/>
        <sz val="11"/>
        <color theme="1"/>
        <rFont val="Arial"/>
        <family val="2"/>
      </rPr>
      <t>GTH</t>
    </r>
    <r>
      <rPr>
        <b/>
        <sz val="11"/>
        <color theme="1"/>
        <rFont val="Arial"/>
        <family val="2"/>
      </rPr>
      <t xml:space="preserve"> (nC)</t>
    </r>
  </si>
  <si>
    <r>
      <t>V</t>
    </r>
    <r>
      <rPr>
        <b/>
        <vertAlign val="subscript"/>
        <sz val="11"/>
        <color theme="1"/>
        <rFont val="Arial"/>
        <family val="2"/>
      </rPr>
      <t>MILLER</t>
    </r>
    <r>
      <rPr>
        <b/>
        <sz val="11"/>
        <color theme="1"/>
        <rFont val="Arial"/>
        <family val="2"/>
      </rPr>
      <t xml:space="preserve"> (V)</t>
    </r>
  </si>
  <si>
    <t>V</t>
  </si>
  <si>
    <r>
      <t>R</t>
    </r>
    <r>
      <rPr>
        <b/>
        <vertAlign val="subscript"/>
        <sz val="11"/>
        <color theme="1"/>
        <rFont val="Arial"/>
        <family val="2"/>
      </rPr>
      <t>G Typ</t>
    </r>
    <r>
      <rPr>
        <b/>
        <sz val="11"/>
        <color theme="1"/>
        <rFont val="Arial"/>
        <family val="2"/>
      </rPr>
      <t xml:space="preserve"> (</t>
    </r>
    <r>
      <rPr>
        <b/>
        <sz val="11"/>
        <color theme="1"/>
        <rFont val="Calibri"/>
        <family val="2"/>
      </rPr>
      <t>Ω</t>
    </r>
    <r>
      <rPr>
        <b/>
        <sz val="11"/>
        <color theme="1"/>
        <rFont val="Arial"/>
        <family val="2"/>
      </rPr>
      <t>)</t>
    </r>
  </si>
  <si>
    <t>The blue cells on worksheet "User Input" are inputs, yellow cells are from the FET datasheet and green cells are calculated values</t>
  </si>
  <si>
    <t>CSD17501Q5A</t>
  </si>
  <si>
    <t>http://www.ti.com/lit/ds/symlink/csd17501q5a.pdf</t>
  </si>
  <si>
    <t>CSD17505Q5A</t>
  </si>
  <si>
    <t>http://www.ti.com/lit/ds/symlink/csd17505q5a.pdf</t>
  </si>
  <si>
    <t>CSD17506Q5A</t>
  </si>
  <si>
    <t>http://www.ti.com/lit/ds/symlink/csd17506q5a.pdf</t>
  </si>
  <si>
    <t>CSD17507Q5A</t>
  </si>
  <si>
    <t>http://www.ti.com/lit/ds/symlink/csd17507q5a.pdf</t>
  </si>
  <si>
    <t>CSD17510Q5A</t>
  </si>
  <si>
    <t>http://www.ti.com/lit/ds/symlink/csd17510q5a.pdf</t>
  </si>
  <si>
    <t>CSD17522Q5A</t>
  </si>
  <si>
    <t>http://www.ti.com/lit/ds/symlink/csd17522q5a.pdf</t>
  </si>
  <si>
    <t>CSD17527Q5A</t>
  </si>
  <si>
    <t>http://www.ti.com/lit/ds/symlink/csd17527q5a.pdf</t>
  </si>
  <si>
    <t>CSD17551Q3A</t>
  </si>
  <si>
    <t>http://www.ti.com/lit/ds/symlink/csd17551q3a.pdf</t>
  </si>
  <si>
    <t>CSD17551Q5A</t>
  </si>
  <si>
    <t>http://www.ti.com/lit/ds/symlink/csd17551q5a.pdf</t>
  </si>
  <si>
    <t>CSD17552Q3A</t>
  </si>
  <si>
    <t>http://www.ti.com/lit/ds/symlink/csd17552q3a.pdf</t>
  </si>
  <si>
    <t>CSD17552Q5A</t>
  </si>
  <si>
    <t>http://www.ti.com/lit/ds/symlink/csd17552q5a.pdf</t>
  </si>
  <si>
    <t>CSD17553Q5A</t>
  </si>
  <si>
    <t>http://www.ti.com/lit/ds/symlink/csd17553q5a.pdf</t>
  </si>
  <si>
    <t>CSD17555Q5A</t>
  </si>
  <si>
    <t>http://www.ti.com/lit/ds/symlink/csd17555q5a.pdf</t>
  </si>
  <si>
    <t>RDSON18</t>
  </si>
  <si>
    <t>VD&lt;2.5V &amp; VGS=1.8V</t>
  </si>
  <si>
    <t>2.5V&lt;=VD&lt;3V VGSmin&lt;=2.5V</t>
  </si>
  <si>
    <t>Step 1: Input System Parameters</t>
  </si>
  <si>
    <t>Step 2: Click The Blue Button Below</t>
  </si>
  <si>
    <t>↓↓↓↓↓↓↓↓↓↓↓↓↓↓↓↓↓↓↓↓</t>
  </si>
  <si>
    <t>↑↑↑↑↑↑↑↑↑↑↑↑↑↑↑↑↑↑↑↑</t>
  </si>
  <si>
    <t>Click Here to See FET Power Loss Capability by Package</t>
  </si>
  <si>
    <t>1ku PRICE</t>
  </si>
  <si>
    <t>The yellow cells are from the FET datasheet. The green cells are calculated values.</t>
  </si>
  <si>
    <t>BVDSS&lt;=30V IF VI&lt;=25V</t>
  </si>
  <si>
    <t>QOSSTYP</t>
  </si>
  <si>
    <t>QOSS</t>
  </si>
  <si>
    <t>VSD</t>
  </si>
  <si>
    <r>
      <t>Q</t>
    </r>
    <r>
      <rPr>
        <b/>
        <vertAlign val="subscript"/>
        <sz val="11"/>
        <color theme="1"/>
        <rFont val="Arial"/>
        <family val="2"/>
      </rPr>
      <t>OSS</t>
    </r>
    <r>
      <rPr>
        <b/>
        <sz val="11"/>
        <color theme="1"/>
        <rFont val="Arial"/>
        <family val="2"/>
      </rPr>
      <t xml:space="preserve"> (nC)</t>
    </r>
  </si>
  <si>
    <r>
      <t>Q</t>
    </r>
    <r>
      <rPr>
        <b/>
        <vertAlign val="subscript"/>
        <sz val="11"/>
        <color theme="1"/>
        <rFont val="Arial"/>
        <family val="2"/>
      </rPr>
      <t>RR</t>
    </r>
    <r>
      <rPr>
        <b/>
        <sz val="11"/>
        <color theme="1"/>
        <rFont val="Arial"/>
        <family val="2"/>
      </rPr>
      <t xml:space="preserve"> (nC)</t>
    </r>
  </si>
  <si>
    <t>Sync FET Rds(on) @ Tj</t>
  </si>
  <si>
    <t>Control FET Rds(on) @ Tj</t>
  </si>
  <si>
    <t>Sync FET Vsd (V)</t>
  </si>
  <si>
    <t>Total</t>
  </si>
  <si>
    <t>TI Part Number</t>
  </si>
  <si>
    <t>WB_MOSFET_N_D67G2S1_N_D38G5S4_PD</t>
  </si>
  <si>
    <t>DQK0006B</t>
  </si>
  <si>
    <t>Bob for Kevin Tsin</t>
  </si>
  <si>
    <t>http://www.ti.com/lit/ds/symlink/csd85301q2.pdf</t>
  </si>
  <si>
    <t>WB_POWERBLOCK_9</t>
  </si>
  <si>
    <t>DQZ0008A</t>
  </si>
  <si>
    <t>DQY0008A</t>
  </si>
  <si>
    <t>PJELLA; PJ updated on 6/20 per PL data; Oliver set symbol and Thermal_Id</t>
  </si>
  <si>
    <t>PJELLA; Oliver set Thermal_Id to DPB0008A; PJ updated on 6/20 per PL data</t>
  </si>
  <si>
    <t>http://www.ti.com/lit/ds/symlink/csd87333q3d.pdf</t>
  </si>
  <si>
    <t>http://www.ti.com/lit/ds/symlink/csd87334q3d.pdf</t>
  </si>
  <si>
    <t>http://www.ti.com/lit/ds/symlink/csd87353q5d.pdf</t>
  </si>
  <si>
    <t>Altium for Yinyang Ou</t>
  </si>
  <si>
    <t>http://www.ti.com/lit/ds/symlink/csd87502q2.pdf</t>
  </si>
  <si>
    <t>WB_MOSFET_N_D78G2S1_N_D56G4S3</t>
  </si>
  <si>
    <t>D0008A</t>
  </si>
  <si>
    <t>Altium for Kristen Mogensen</t>
  </si>
  <si>
    <t>http://www.ti.com/lit/ds/symlink/csd88537nd.pdf</t>
  </si>
  <si>
    <t>SO8</t>
  </si>
  <si>
    <t>Bob for Sanjay Pithadia</t>
  </si>
  <si>
    <t>http://www.ti.com/lit/ds/symlink/csd88539nd.pdf</t>
  </si>
  <si>
    <t>Bob for Sanjay Pithadia; Oliver updated Thermal_Id</t>
  </si>
  <si>
    <t>Dual/Power Block</t>
  </si>
  <si>
    <t>Single Discrete</t>
  </si>
  <si>
    <t>Click Here for N-Channel MOSFET Selector on TI.com</t>
  </si>
  <si>
    <t>Click Here for Power Block MOSFET Selector on TI.com</t>
  </si>
  <si>
    <t>Sync FET</t>
  </si>
  <si>
    <t>Control FET</t>
  </si>
  <si>
    <t>Calculated Operating Conditions</t>
  </si>
  <si>
    <t>CSD87333Q3D (SYNC)</t>
  </si>
  <si>
    <t>CSD87334Q3D (SYNC)</t>
  </si>
  <si>
    <t>CSD87353Q5D (SYNC)</t>
  </si>
  <si>
    <t>CSD88537ND (SYNC)</t>
  </si>
  <si>
    <t>CSD88539ND (SYNC)</t>
  </si>
  <si>
    <t>CSD87333Q3D (CONT)</t>
  </si>
  <si>
    <t>CSD87334Q3D (CONT)</t>
  </si>
  <si>
    <t>CSD87353Q5D (CONT)</t>
  </si>
  <si>
    <t>CSD88537ND (CONT)</t>
  </si>
  <si>
    <t>CSD88539ND (CONT)</t>
  </si>
  <si>
    <t>CSD85301Q2 (CONT)</t>
  </si>
  <si>
    <t>CSD87502Q2 (CONT)</t>
  </si>
  <si>
    <t>CSD85301Q2 (SYNC)</t>
  </si>
  <si>
    <t>CSD87502Q2 (SYNC)</t>
  </si>
  <si>
    <t>Total MOSFET Cost ($/1ku)</t>
  </si>
  <si>
    <t>Select FET Configuration</t>
  </si>
  <si>
    <t>There are pulldown lists with estimated power losses, FET part number, package and 1ku pricing to help with your selection.</t>
  </si>
  <si>
    <r>
      <t>BV</t>
    </r>
    <r>
      <rPr>
        <b/>
        <vertAlign val="subscript"/>
        <sz val="12"/>
        <rFont val="Arial"/>
        <family val="2"/>
      </rPr>
      <t>DSS</t>
    </r>
    <r>
      <rPr>
        <b/>
        <sz val="12"/>
        <rFont val="Arial"/>
        <family val="2"/>
      </rPr>
      <t xml:space="preserve"> (V)</t>
    </r>
  </si>
  <si>
    <r>
      <t>V</t>
    </r>
    <r>
      <rPr>
        <b/>
        <vertAlign val="subscript"/>
        <sz val="12"/>
        <rFont val="Arial"/>
        <family val="2"/>
      </rPr>
      <t xml:space="preserve">GS Max </t>
    </r>
    <r>
      <rPr>
        <b/>
        <sz val="12"/>
        <rFont val="Arial"/>
        <family val="2"/>
      </rPr>
      <t>(V)</t>
    </r>
  </si>
  <si>
    <r>
      <t>T</t>
    </r>
    <r>
      <rPr>
        <b/>
        <vertAlign val="subscript"/>
        <sz val="12"/>
        <rFont val="Arial"/>
        <family val="2"/>
      </rPr>
      <t>J Max</t>
    </r>
    <r>
      <rPr>
        <b/>
        <sz val="12"/>
        <rFont val="Arial"/>
        <family val="2"/>
      </rPr>
      <t xml:space="preserve"> (</t>
    </r>
    <r>
      <rPr>
        <b/>
        <sz val="12"/>
        <rFont val="Calibri"/>
        <family val="2"/>
      </rPr>
      <t>°</t>
    </r>
    <r>
      <rPr>
        <b/>
        <sz val="12"/>
        <rFont val="Arial"/>
        <family val="2"/>
      </rPr>
      <t>C)</t>
    </r>
  </si>
  <si>
    <r>
      <t>Temperature (ºC) for R</t>
    </r>
    <r>
      <rPr>
        <b/>
        <vertAlign val="subscript"/>
        <sz val="12"/>
        <rFont val="Arial"/>
        <family val="2"/>
      </rPr>
      <t>DS(ON)</t>
    </r>
  </si>
  <si>
    <r>
      <rPr>
        <i/>
        <sz val="11"/>
        <rFont val="Arial"/>
        <family val="2"/>
      </rPr>
      <t>User Input</t>
    </r>
    <r>
      <rPr>
        <sz val="11"/>
        <rFont val="Arial"/>
        <family val="2"/>
      </rPr>
      <t xml:space="preserve"> Worksheet Instructions:</t>
    </r>
  </si>
  <si>
    <r>
      <t xml:space="preserve">Step 2: Click on the big blue </t>
    </r>
    <r>
      <rPr>
        <i/>
        <sz val="11"/>
        <rFont val="Arial"/>
        <family val="2"/>
      </rPr>
      <t>Start FET Selection</t>
    </r>
    <r>
      <rPr>
        <sz val="11"/>
        <rFont val="Arial"/>
        <family val="2"/>
      </rPr>
      <t xml:space="preserve"> button.</t>
    </r>
  </si>
  <si>
    <r>
      <t xml:space="preserve">The user can change the operating conditions and losses will automatically be recalculated in the summary table on </t>
    </r>
    <r>
      <rPr>
        <i/>
        <sz val="11"/>
        <rFont val="Arial"/>
        <family val="2"/>
      </rPr>
      <t>User Input</t>
    </r>
    <r>
      <rPr>
        <sz val="11"/>
        <rFont val="Arial"/>
        <family val="2"/>
      </rPr>
      <t xml:space="preserve"> tab. </t>
    </r>
  </si>
  <si>
    <r>
      <t xml:space="preserve">Click on the big blue </t>
    </r>
    <r>
      <rPr>
        <i/>
        <sz val="11"/>
        <rFont val="Arial"/>
        <family val="2"/>
      </rPr>
      <t>Start FET Selection</t>
    </r>
    <r>
      <rPr>
        <sz val="11"/>
        <rFont val="Arial"/>
        <family val="2"/>
      </rPr>
      <t xml:space="preserve"> button to clear previous FET selections and to start a new search.</t>
    </r>
  </si>
  <si>
    <r>
      <t xml:space="preserve">Refer to </t>
    </r>
    <r>
      <rPr>
        <i/>
        <sz val="11"/>
        <rFont val="Arial"/>
        <family val="2"/>
      </rPr>
      <t>Equations w</t>
    </r>
    <r>
      <rPr>
        <sz val="11"/>
        <rFont val="Arial"/>
        <family val="2"/>
      </rPr>
      <t>orksheet for equations used to estimate FET power loss.</t>
    </r>
  </si>
  <si>
    <r>
      <rPr>
        <sz val="11"/>
        <rFont val="Arial"/>
        <family val="2"/>
      </rPr>
      <t xml:space="preserve">calculations. </t>
    </r>
    <r>
      <rPr>
        <sz val="11"/>
        <color rgb="FFFF0000"/>
        <rFont val="Arial"/>
        <family val="2"/>
      </rPr>
      <t xml:space="preserve">   </t>
    </r>
  </si>
  <si>
    <t>Questions, comments or suggestions should be posted on: e2e.ti.com</t>
  </si>
  <si>
    <t>User Inputs</t>
  </si>
  <si>
    <t>Datasheet Values</t>
  </si>
  <si>
    <t>Calculated Values</t>
  </si>
  <si>
    <t>Gate Driver Sink Current (A)</t>
  </si>
  <si>
    <t>P ≤ 5kW</t>
  </si>
  <si>
    <t>PDCOND</t>
  </si>
  <si>
    <t>PDQRR</t>
  </si>
  <si>
    <t>PDCOMM</t>
  </si>
  <si>
    <t>Invalid Part</t>
  </si>
  <si>
    <t>PCOND LS</t>
  </si>
  <si>
    <t>PSWON LS</t>
  </si>
  <si>
    <t>PSWOFF LS</t>
  </si>
  <si>
    <t>PCOND HS</t>
  </si>
  <si>
    <t>PSWON HS</t>
  </si>
  <si>
    <t>PSW OFF HS</t>
  </si>
  <si>
    <t>PQOSS</t>
  </si>
  <si>
    <t>PLS</t>
  </si>
  <si>
    <t>PHS</t>
  </si>
  <si>
    <t>CSD88584Q5DC (CONT)</t>
  </si>
  <si>
    <t>CSD88584Q5DC (SYNC)</t>
  </si>
  <si>
    <t>CSD88599Q5DC (CONT)</t>
  </si>
  <si>
    <t>CSD88599Q5DC (SYNC)</t>
  </si>
  <si>
    <t>http://www.ti.com/lit/ds/symlink/csd88584q5dc.pdf</t>
  </si>
  <si>
    <t>http://www.ti.com/lit/ds/symlink/csd88599q5dc.pdf</t>
  </si>
  <si>
    <t>Bottom</t>
  </si>
  <si>
    <t>Top</t>
  </si>
  <si>
    <t>Top FET Switching Loss Calculations</t>
  </si>
  <si>
    <t>Turn-on</t>
  </si>
  <si>
    <t>Turn-off</t>
  </si>
  <si>
    <t>Bottom FET Switching Loss Calculations</t>
  </si>
  <si>
    <t>Diode Loss Calculations</t>
  </si>
  <si>
    <t>Conduction</t>
  </si>
  <si>
    <t>Reverse recovery</t>
  </si>
  <si>
    <t>QOSS loss</t>
  </si>
  <si>
    <t>Commutation</t>
  </si>
  <si>
    <t>Total Per FET Loss</t>
  </si>
  <si>
    <t>Total Inverter Loss</t>
  </si>
  <si>
    <t>Total FET Loss Per Phase</t>
  </si>
  <si>
    <t>Per Phase FET Conduction Loss</t>
  </si>
  <si>
    <t>Per Device Bottom FET Loss (W)</t>
  </si>
  <si>
    <t>Per Device Top FET Loss (W)</t>
  </si>
  <si>
    <t>Inverter Total FET Losses (W)</t>
  </si>
  <si>
    <t>Per Phase MOSFET Cost ($/ku)</t>
  </si>
  <si>
    <t>Per Phase FET Loss  (W)</t>
  </si>
  <si>
    <r>
      <t>Bottom FET R</t>
    </r>
    <r>
      <rPr>
        <b/>
        <vertAlign val="subscript"/>
        <sz val="12"/>
        <rFont val="Arial"/>
        <family val="2"/>
      </rPr>
      <t>DS(ON) Max</t>
    </r>
    <r>
      <rPr>
        <b/>
        <sz val="12"/>
        <rFont val="Arial"/>
        <family val="2"/>
      </rPr>
      <t xml:space="preserve"> (m</t>
    </r>
    <r>
      <rPr>
        <b/>
        <sz val="12"/>
        <rFont val="Calibri"/>
        <family val="2"/>
      </rPr>
      <t>Ω</t>
    </r>
    <r>
      <rPr>
        <b/>
        <sz val="12"/>
        <rFont val="Arial"/>
        <family val="2"/>
      </rPr>
      <t xml:space="preserve">) </t>
    </r>
  </si>
  <si>
    <r>
      <t>Top FET R</t>
    </r>
    <r>
      <rPr>
        <b/>
        <vertAlign val="subscript"/>
        <sz val="12"/>
        <rFont val="Arial"/>
        <family val="2"/>
      </rPr>
      <t>DS(ON) Max</t>
    </r>
    <r>
      <rPr>
        <b/>
        <sz val="12"/>
        <rFont val="Arial"/>
        <family val="2"/>
      </rPr>
      <t xml:space="preserve"> (m</t>
    </r>
    <r>
      <rPr>
        <b/>
        <sz val="12"/>
        <rFont val="Calibri"/>
        <family val="2"/>
      </rPr>
      <t>Ω</t>
    </r>
    <r>
      <rPr>
        <b/>
        <sz val="12"/>
        <rFont val="Arial"/>
        <family val="2"/>
      </rPr>
      <t xml:space="preserve">) </t>
    </r>
  </si>
  <si>
    <r>
      <t>Bottom FET Q</t>
    </r>
    <r>
      <rPr>
        <b/>
        <vertAlign val="subscript"/>
        <sz val="12"/>
        <rFont val="Arial"/>
        <family val="2"/>
      </rPr>
      <t>G(tot)</t>
    </r>
    <r>
      <rPr>
        <b/>
        <sz val="12"/>
        <rFont val="Arial"/>
        <family val="2"/>
      </rPr>
      <t xml:space="preserve"> (nC) </t>
    </r>
  </si>
  <si>
    <r>
      <t>Top FET Q</t>
    </r>
    <r>
      <rPr>
        <b/>
        <vertAlign val="subscript"/>
        <sz val="12"/>
        <rFont val="Arial"/>
        <family val="2"/>
      </rPr>
      <t>G(tot)</t>
    </r>
    <r>
      <rPr>
        <b/>
        <sz val="12"/>
        <rFont val="Arial"/>
        <family val="2"/>
      </rPr>
      <t xml:space="preserve"> (nC) </t>
    </r>
  </si>
  <si>
    <t>Control FET Vsd (V)</t>
  </si>
  <si>
    <r>
      <t>Bottom FET R</t>
    </r>
    <r>
      <rPr>
        <b/>
        <vertAlign val="subscript"/>
        <sz val="12"/>
        <rFont val="Arial"/>
        <family val="2"/>
      </rPr>
      <t>DS(ON)</t>
    </r>
    <r>
      <rPr>
        <b/>
        <sz val="12"/>
        <rFont val="Arial"/>
        <family val="2"/>
      </rPr>
      <t xml:space="preserve"> @ T</t>
    </r>
    <r>
      <rPr>
        <b/>
        <vertAlign val="subscript"/>
        <sz val="12"/>
        <rFont val="Arial"/>
        <family val="2"/>
      </rPr>
      <t>J</t>
    </r>
    <r>
      <rPr>
        <b/>
        <sz val="12"/>
        <rFont val="Arial"/>
        <family val="2"/>
      </rPr>
      <t xml:space="preserve"> (mΩ)</t>
    </r>
  </si>
  <si>
    <r>
      <t>Top FET R</t>
    </r>
    <r>
      <rPr>
        <b/>
        <vertAlign val="subscript"/>
        <sz val="12"/>
        <rFont val="Arial"/>
        <family val="2"/>
      </rPr>
      <t>DS(ON)</t>
    </r>
    <r>
      <rPr>
        <b/>
        <sz val="12"/>
        <rFont val="Arial"/>
        <family val="2"/>
      </rPr>
      <t xml:space="preserve"> @ T</t>
    </r>
    <r>
      <rPr>
        <b/>
        <vertAlign val="subscript"/>
        <sz val="12"/>
        <rFont val="Arial"/>
        <family val="2"/>
      </rPr>
      <t>J</t>
    </r>
    <r>
      <rPr>
        <b/>
        <sz val="12"/>
        <rFont val="Arial"/>
        <family val="2"/>
      </rPr>
      <t xml:space="preserve"> (mΩ)</t>
    </r>
  </si>
  <si>
    <t>3b. Enter No. FETs in Parallel</t>
  </si>
  <si>
    <t>Step 3: Select FET Configuration, #FETs In Parallel, Pick FETs, Compare up to 3 FET Combinations</t>
  </si>
  <si>
    <r>
      <t>Q</t>
    </r>
    <r>
      <rPr>
        <b/>
        <vertAlign val="subscript"/>
        <sz val="11"/>
        <color theme="1"/>
        <rFont val="Arial"/>
        <family val="2"/>
      </rPr>
      <t>GD</t>
    </r>
    <r>
      <rPr>
        <b/>
        <sz val="11"/>
        <color theme="1"/>
        <rFont val="Arial"/>
        <family val="2"/>
      </rPr>
      <t xml:space="preserve"> (nC)</t>
    </r>
  </si>
  <si>
    <r>
      <t xml:space="preserve">3d. Pick FET </t>
    </r>
    <r>
      <rPr>
        <b/>
        <sz val="13"/>
        <color theme="5" tint="-0.249977111117893"/>
        <rFont val="Calibri"/>
        <family val="2"/>
      </rPr>
      <t>→→→</t>
    </r>
  </si>
  <si>
    <r>
      <t xml:space="preserve">3a. Select FET Config </t>
    </r>
    <r>
      <rPr>
        <b/>
        <sz val="13"/>
        <color theme="5" tint="-0.249977111117893"/>
        <rFont val="Calibri"/>
        <family val="2"/>
      </rPr>
      <t>→→→</t>
    </r>
  </si>
  <si>
    <t>≤ 100kRPM</t>
  </si>
  <si>
    <t>≤ 100kHz</t>
  </si>
  <si>
    <t>≤ 1s</t>
  </si>
  <si>
    <t>≤ 20V</t>
  </si>
  <si>
    <t>Rated speed of motor (RPM)</t>
  </si>
  <si>
    <t>≤ 5A</t>
  </si>
  <si>
    <t>Duty cycle at rated power, D</t>
  </si>
  <si>
    <t>Total Diode Loss</t>
  </si>
  <si>
    <t>Total for Inverter</t>
  </si>
  <si>
    <t>1ku Single Device Price</t>
  </si>
  <si>
    <t>PWM switching frequency (kHz)</t>
  </si>
  <si>
    <t>TI NexFET Motor Drive Power Loss Calculation Tool- Rev. 1</t>
  </si>
  <si>
    <t>Step 3: (a) Select FET configuration (b) Enter # parallel FETs (c) Click FET1 (d) Select FET1. Repeat to compare 3 FET combinations</t>
  </si>
  <si>
    <r>
      <t>Motor RMS winding current, I</t>
    </r>
    <r>
      <rPr>
        <b/>
        <vertAlign val="subscript"/>
        <sz val="12"/>
        <rFont val="Arial"/>
        <family val="2"/>
      </rPr>
      <t>M(rms)</t>
    </r>
    <r>
      <rPr>
        <b/>
        <sz val="12"/>
        <rFont val="Arial"/>
        <family val="2"/>
      </rPr>
      <t>, (A</t>
    </r>
    <r>
      <rPr>
        <b/>
        <vertAlign val="subscript"/>
        <sz val="12"/>
        <rFont val="Arial"/>
        <family val="2"/>
      </rPr>
      <t>RMS</t>
    </r>
    <r>
      <rPr>
        <b/>
        <sz val="12"/>
        <rFont val="Arial"/>
        <family val="2"/>
      </rPr>
      <t>)</t>
    </r>
  </si>
  <si>
    <r>
      <t>Motor Peak winding Current, I</t>
    </r>
    <r>
      <rPr>
        <b/>
        <vertAlign val="subscript"/>
        <sz val="12"/>
        <rFont val="Arial"/>
        <family val="2"/>
      </rPr>
      <t>M(peak)</t>
    </r>
    <r>
      <rPr>
        <b/>
        <sz val="12"/>
        <rFont val="Arial"/>
        <family val="2"/>
      </rPr>
      <t>, (A)</t>
    </r>
  </si>
  <si>
    <r>
      <t>Motor electrical frequency, f</t>
    </r>
    <r>
      <rPr>
        <b/>
        <vertAlign val="subscript"/>
        <sz val="12"/>
        <rFont val="Arial"/>
        <family val="2"/>
      </rPr>
      <t>M(ele)</t>
    </r>
    <r>
      <rPr>
        <b/>
        <sz val="12"/>
        <rFont val="Arial"/>
        <family val="2"/>
      </rPr>
      <t>, (Hz)</t>
    </r>
  </si>
  <si>
    <r>
      <t>Motor RMS current for 120</t>
    </r>
    <r>
      <rPr>
        <b/>
        <sz val="12"/>
        <rFont val="Calibri"/>
        <family val="2"/>
      </rPr>
      <t>°</t>
    </r>
    <r>
      <rPr>
        <b/>
        <sz val="12"/>
        <rFont val="Arial"/>
        <family val="2"/>
      </rPr>
      <t xml:space="preserve"> period, I</t>
    </r>
    <r>
      <rPr>
        <b/>
        <vertAlign val="subscript"/>
        <sz val="12"/>
        <rFont val="Arial"/>
        <family val="2"/>
      </rPr>
      <t>M(rms120)</t>
    </r>
    <r>
      <rPr>
        <b/>
        <sz val="12"/>
        <rFont val="Arial"/>
        <family val="2"/>
      </rPr>
      <t>, (A</t>
    </r>
    <r>
      <rPr>
        <b/>
        <vertAlign val="subscript"/>
        <sz val="12"/>
        <rFont val="Arial"/>
        <family val="2"/>
      </rPr>
      <t>RMS</t>
    </r>
    <r>
      <rPr>
        <b/>
        <sz val="12"/>
        <rFont val="Arial"/>
        <family val="2"/>
      </rPr>
      <t>)</t>
    </r>
  </si>
  <si>
    <t>Motor rms winding current:</t>
  </si>
  <si>
    <t>Motor average winding current:</t>
  </si>
  <si>
    <t>Motor peaking winding current:</t>
  </si>
  <si>
    <t>Motor electrical frequency:</t>
  </si>
  <si>
    <t>Low side FET conduction loss:</t>
  </si>
  <si>
    <t>Low side FET switching losses:</t>
  </si>
  <si>
    <t>High side FET conduction loss:</t>
  </si>
  <si>
    <t>High side FET switching losses:</t>
  </si>
  <si>
    <t>MOSFET Qoss loss:</t>
  </si>
  <si>
    <t>Body diode conduction loss:</t>
  </si>
  <si>
    <t>Body diode reverse recovery loss:</t>
  </si>
  <si>
    <t>Body diode commutation loss:</t>
  </si>
  <si>
    <t>Low side FET losses per phase:</t>
  </si>
  <si>
    <t>Low side per FET losses:</t>
  </si>
  <si>
    <t>High side FET losses per phase:</t>
  </si>
  <si>
    <t>High side per FET losses:</t>
  </si>
  <si>
    <t>Total FET losses per phase:</t>
  </si>
  <si>
    <t>Total inverter FET losses:</t>
  </si>
  <si>
    <r>
      <t>MOSFET on resistance at junction temperature = T</t>
    </r>
    <r>
      <rPr>
        <b/>
        <vertAlign val="subscript"/>
        <sz val="11"/>
        <color theme="1"/>
        <rFont val="Calibri"/>
        <family val="2"/>
        <scheme val="minor"/>
      </rPr>
      <t>J</t>
    </r>
    <r>
      <rPr>
        <b/>
        <sz val="11"/>
        <color theme="1"/>
        <rFont val="Calibri"/>
        <family val="2"/>
        <scheme val="minor"/>
      </rPr>
      <t>:</t>
    </r>
  </si>
  <si>
    <r>
      <t>Motor RMS winding current for 120</t>
    </r>
    <r>
      <rPr>
        <b/>
        <sz val="11"/>
        <color theme="1"/>
        <rFont val="Calibri"/>
        <family val="2"/>
      </rPr>
      <t>°</t>
    </r>
    <r>
      <rPr>
        <b/>
        <sz val="11"/>
        <color theme="1"/>
        <rFont val="Calibri"/>
        <family val="2"/>
        <scheme val="minor"/>
      </rPr>
      <t xml:space="preserve"> period:</t>
    </r>
  </si>
  <si>
    <t>≤ 100%</t>
  </si>
  <si>
    <r>
      <t>Inverter output power, P</t>
    </r>
    <r>
      <rPr>
        <b/>
        <vertAlign val="subscript"/>
        <sz val="12"/>
        <rFont val="Arial"/>
        <family val="2"/>
      </rPr>
      <t>OUT</t>
    </r>
    <r>
      <rPr>
        <b/>
        <sz val="12"/>
        <rFont val="Arial"/>
        <family val="2"/>
      </rPr>
      <t>, (W)</t>
    </r>
  </si>
  <si>
    <r>
      <t>Motor winding peak current scaling factor, k</t>
    </r>
    <r>
      <rPr>
        <b/>
        <vertAlign val="subscript"/>
        <sz val="12"/>
        <rFont val="Arial"/>
        <family val="2"/>
      </rPr>
      <t>C</t>
    </r>
  </si>
  <si>
    <r>
      <t>Average DC bus current, I</t>
    </r>
    <r>
      <rPr>
        <b/>
        <vertAlign val="subscript"/>
        <sz val="12"/>
        <rFont val="Arial"/>
        <family val="2"/>
      </rPr>
      <t>DC(avg)</t>
    </r>
    <r>
      <rPr>
        <b/>
        <sz val="12"/>
        <rFont val="Arial"/>
        <family val="2"/>
      </rPr>
      <t>, (A)</t>
    </r>
  </si>
  <si>
    <r>
      <t>Gate driver voltage, V</t>
    </r>
    <r>
      <rPr>
        <b/>
        <vertAlign val="subscript"/>
        <sz val="12"/>
        <rFont val="Arial"/>
        <family val="2"/>
      </rPr>
      <t>Gdr</t>
    </r>
    <r>
      <rPr>
        <b/>
        <sz val="12"/>
        <rFont val="Arial"/>
        <family val="2"/>
      </rPr>
      <t>, (V)</t>
    </r>
  </si>
  <si>
    <r>
      <t>Gate driver source current, I</t>
    </r>
    <r>
      <rPr>
        <b/>
        <vertAlign val="subscript"/>
        <sz val="12"/>
        <rFont val="Arial"/>
        <family val="2"/>
      </rPr>
      <t>Gsrc</t>
    </r>
    <r>
      <rPr>
        <b/>
        <sz val="12"/>
        <rFont val="Arial"/>
        <family val="2"/>
      </rPr>
      <t>, (A)</t>
    </r>
  </si>
  <si>
    <r>
      <t>Gate driver deadtime, t</t>
    </r>
    <r>
      <rPr>
        <b/>
        <vertAlign val="subscript"/>
        <sz val="12"/>
        <rFont val="Arial"/>
        <family val="2"/>
      </rPr>
      <t>DT</t>
    </r>
    <r>
      <rPr>
        <b/>
        <sz val="12"/>
        <rFont val="Arial"/>
        <family val="2"/>
      </rPr>
      <t>, (ns)</t>
    </r>
  </si>
  <si>
    <r>
      <t>T</t>
    </r>
    <r>
      <rPr>
        <b/>
        <vertAlign val="subscript"/>
        <sz val="12"/>
        <rFont val="Arial"/>
        <family val="2"/>
      </rPr>
      <t>J</t>
    </r>
    <r>
      <rPr>
        <b/>
        <sz val="12"/>
        <rFont val="Arial"/>
        <family val="2"/>
      </rPr>
      <t xml:space="preserve"> ≤ 150</t>
    </r>
    <r>
      <rPr>
        <b/>
        <sz val="12"/>
        <rFont val="Calibri"/>
        <family val="2"/>
      </rPr>
      <t>°</t>
    </r>
    <r>
      <rPr>
        <b/>
        <sz val="12"/>
        <rFont val="Arial"/>
        <family val="2"/>
      </rPr>
      <t>C</t>
    </r>
  </si>
  <si>
    <r>
      <t xml:space="preserve"> Per Phase FET P</t>
    </r>
    <r>
      <rPr>
        <b/>
        <vertAlign val="subscript"/>
        <sz val="12"/>
        <rFont val="Arial"/>
        <family val="2"/>
      </rPr>
      <t>LOSS</t>
    </r>
    <r>
      <rPr>
        <b/>
        <sz val="12"/>
        <rFont val="Arial"/>
        <family val="2"/>
      </rPr>
      <t>, PN, PKG, $/1ku</t>
    </r>
  </si>
  <si>
    <t>BVDSS=40V IF 12V&lt;=VI&lt;=33V</t>
  </si>
  <si>
    <t>BVDSS=60V IF 18V&lt;=VI&lt;=50V</t>
  </si>
  <si>
    <t>BVDSS=80V IF 24V&lt;=VI&lt;=66V</t>
  </si>
  <si>
    <t>BVDSS=100V IF 36V&lt;=Vi&lt;=83V</t>
  </si>
  <si>
    <t>VGS_VDS_OK BVDSS&gt;=1.25xVI VGS&gt;=1.2xVDR</t>
  </si>
  <si>
    <t>Figure 2 Phase-A winding current</t>
  </si>
  <si>
    <t>Figure 4 RMS to peak current relationship</t>
  </si>
  <si>
    <t>Click here to visit TI Precision Labs - Motor Drivers Video Training Series</t>
  </si>
  <si>
    <t>Click Here for TI BLDC Motor Driver Selector</t>
  </si>
  <si>
    <t>Visit the BLDC Motor Driver Landing Page on TI.com</t>
  </si>
  <si>
    <r>
      <t>DC bus voltage, V</t>
    </r>
    <r>
      <rPr>
        <b/>
        <vertAlign val="subscript"/>
        <sz val="12"/>
        <rFont val="Arial"/>
        <family val="2"/>
      </rPr>
      <t>DC</t>
    </r>
    <r>
      <rPr>
        <b/>
        <sz val="12"/>
        <rFont val="Arial"/>
        <family val="2"/>
      </rPr>
      <t>, (V)</t>
    </r>
  </si>
  <si>
    <t>Yes</t>
  </si>
  <si>
    <t>No</t>
  </si>
  <si>
    <t>Use default motor values</t>
  </si>
  <si>
    <t>Low Speed</t>
  </si>
  <si>
    <t>Generic</t>
  </si>
  <si>
    <t>Medium Speed</t>
  </si>
  <si>
    <t>High Speed</t>
  </si>
  <si>
    <t>Figure 1 Inverter drive controlling the BLDC motor</t>
  </si>
  <si>
    <t>Figure 3 Two switches conducting at a time in trapezoidal control</t>
  </si>
  <si>
    <t>Figure 5 Phase Back EMF and current producing torque in a BLDC motor</t>
  </si>
  <si>
    <r>
      <rPr>
        <b/>
        <sz val="12"/>
        <rFont val="Calibri"/>
        <family val="2"/>
      </rPr>
      <t>≤</t>
    </r>
    <r>
      <rPr>
        <b/>
        <sz val="12"/>
        <rFont val="Arial"/>
        <family val="2"/>
      </rPr>
      <t xml:space="preserve"> 20</t>
    </r>
  </si>
  <si>
    <r>
      <t>Number of poles for the motor, N</t>
    </r>
    <r>
      <rPr>
        <b/>
        <vertAlign val="subscript"/>
        <sz val="12"/>
        <rFont val="Arial"/>
        <family val="2"/>
      </rPr>
      <t>POLES</t>
    </r>
  </si>
  <si>
    <r>
      <t>Motor winding demagnetization time, t</t>
    </r>
    <r>
      <rPr>
        <b/>
        <vertAlign val="subscript"/>
        <sz val="12"/>
        <rFont val="Arial"/>
        <family val="2"/>
      </rPr>
      <t>DEMAG</t>
    </r>
    <r>
      <rPr>
        <b/>
        <sz val="12"/>
        <rFont val="Arial"/>
        <family val="2"/>
      </rPr>
      <t>, (ms)</t>
    </r>
  </si>
  <si>
    <t>High speed motor (20 kRPM, 4 poles)</t>
  </si>
  <si>
    <t>Very high speed motor (100 kRPM, 2 poles)</t>
  </si>
  <si>
    <t>Very High Speed</t>
  </si>
  <si>
    <t>Generic motor (3000 RPM 4 poles)</t>
  </si>
  <si>
    <t>Low speed motor (500 RPM 8 poles)</t>
  </si>
  <si>
    <t>Medium speed motor (6000 RPM 4 poles)</t>
  </si>
  <si>
    <t>© 2021</t>
  </si>
  <si>
    <t>Application Type: Trapezoidal Control</t>
  </si>
  <si>
    <t>After entering the system parameters, click on the big blue button to start the FET selection process. You can compare up to 3 FET solutions.</t>
  </si>
  <si>
    <t>Trapezoidal Control</t>
  </si>
  <si>
    <r>
      <t xml:space="preserve">3c. Start FET Selection </t>
    </r>
    <r>
      <rPr>
        <b/>
        <sz val="13"/>
        <color theme="5" tint="-0.249977111117893"/>
        <rFont val="Calibri"/>
        <family val="2"/>
      </rPr>
      <t>→→→</t>
    </r>
  </si>
  <si>
    <t>≥1.1 &amp; ≤1.7</t>
  </si>
  <si>
    <r>
      <rPr>
        <b/>
        <sz val="12"/>
        <rFont val="Calibri"/>
        <family val="2"/>
      </rPr>
      <t>≤</t>
    </r>
    <r>
      <rPr>
        <b/>
        <sz val="12"/>
        <rFont val="Arial"/>
        <family val="2"/>
      </rPr>
      <t xml:space="preserve"> 80V</t>
    </r>
  </si>
  <si>
    <r>
      <t xml:space="preserve">Step 1: Fill in the blue </t>
    </r>
    <r>
      <rPr>
        <i/>
        <sz val="11"/>
        <rFont val="Arial"/>
        <family val="2"/>
      </rPr>
      <t>System Parameters</t>
    </r>
    <r>
      <rPr>
        <sz val="11"/>
        <rFont val="Arial"/>
        <family val="2"/>
      </rPr>
      <t xml:space="preserve"> cells. Check </t>
    </r>
    <r>
      <rPr>
        <b/>
        <i/>
        <sz val="11"/>
        <rFont val="Arial"/>
        <family val="2"/>
      </rPr>
      <t>Use default motor values</t>
    </r>
    <r>
      <rPr>
        <sz val="11"/>
        <rFont val="Arial"/>
        <family val="2"/>
      </rPr>
      <t xml:space="preserve"> to pre-load motor parameters. </t>
    </r>
  </si>
  <si>
    <t>Click on a selector button to choose the application type by RPM.</t>
  </si>
  <si>
    <t>Default Motor Parameters</t>
  </si>
  <si>
    <t>1.35W, CSD17301Q5A, SON5X6, $0.51</t>
  </si>
  <si>
    <t>3.46W, CSD17302Q5A, SON5X6, $0.29</t>
  </si>
  <si>
    <t>1.18W, CSD17303Q5, SON5X6, $0.56</t>
  </si>
  <si>
    <t>3.36W, CSD17304Q3, SON3X3, $0.25</t>
  </si>
  <si>
    <t>1.56W, CSD17305Q5A, SON5X6, $0.45</t>
  </si>
  <si>
    <t>1.76W, CSD17306Q5A, SON5X6, $0.39</t>
  </si>
  <si>
    <t>4.57W, CSD17307Q5A, SON5X6, $0.20</t>
  </si>
  <si>
    <t>4.34W, CSD17308Q3, SON3X3, $0.22</t>
  </si>
  <si>
    <t>2.44W, CSD17309Q3, SON3X3, $0.33</t>
  </si>
  <si>
    <t>2.31W, CSD17310Q5A, SON5X6, $0.28</t>
  </si>
  <si>
    <t>1.12W, CSD17311Q5, SON5X6, $0.64</t>
  </si>
  <si>
    <t>1.26W, CSD17312Q5, SON5X6, $0.73</t>
  </si>
  <si>
    <t>11.49W, CSD17313Q2, SON2X2, $0.13</t>
  </si>
  <si>
    <t>6.36W, CSD17318Q2, SON2X2, $0.11</t>
  </si>
  <si>
    <t>4.63W, CSD17322Q5A, SON5X6, $0.30</t>
  </si>
  <si>
    <t>5.70W, CSD17327Q5A, SON5X6, $0.28</t>
  </si>
  <si>
    <t>1.56W, CSD17501Q5A, SON5x6, $0.60</t>
  </si>
  <si>
    <t>1.88W, CSD17505Q5A, SON5x6, $0.54</t>
  </si>
  <si>
    <t>2.11W, CSD17506Q5A, SON5x6, $0.47</t>
  </si>
  <si>
    <t>5.90W, CSD17507Q5A, SON5x6, $0.23</t>
  </si>
  <si>
    <t>2.82W, CSD17510Q5A, SON5x6, $0.34</t>
  </si>
  <si>
    <t>4.56W, CSD17522Q5A, SON5x6, $0.36</t>
  </si>
  <si>
    <t>5.72W, CSD17527Q5A, SON5x6, $0.33</t>
  </si>
  <si>
    <t>4.55W, CSD17551Q3A, SON3X3, $0.23</t>
  </si>
  <si>
    <t>4.30W, CSD17551Q5A, SON5X6, $0.29</t>
  </si>
  <si>
    <t>3.21W, CSD17552Q3A, SON3X3, $0.28</t>
  </si>
  <si>
    <t>3.01W, CSD17552Q5A, SON5X6, $0.30</t>
  </si>
  <si>
    <t>1.72W, CSD17553Q5A, SON5X6, $0.42</t>
  </si>
  <si>
    <t>1.51W, CSD17555Q5A, SON5X6, $0.54</t>
  </si>
  <si>
    <t>0.96W, CSD17556Q5B, SON5x6, $0.77</t>
  </si>
  <si>
    <t>0.86W, CSD17559Q5, SON5X6, $0.86</t>
  </si>
  <si>
    <t>10.98W, CSD17571Q2, SON2X2, $0.10</t>
  </si>
  <si>
    <t>0.84W, CSD17573Q5B, SON5x6, $0.52</t>
  </si>
  <si>
    <t>1.45W, CSD17575Q3, SON3X3, $0.31</t>
  </si>
  <si>
    <t>1.36W, CSD17576Q5B, SON5X6, $0.38</t>
  </si>
  <si>
    <t>2.55W, CSD17577Q3A, SON3x3, $0.18</t>
  </si>
  <si>
    <t>2.34W, CSD17577Q5A, SON5x6, $0.20</t>
  </si>
  <si>
    <t>3.68W, CSD17578Q3A, SON3x3, $0.17</t>
  </si>
  <si>
    <t>3.67W, CSD17578Q5A, SON5x6, $0.18</t>
  </si>
  <si>
    <t>5.45W, CSD17579Q3A, SON3x3, $0.15</t>
  </si>
  <si>
    <t>5.14W, CSD17579Q5A, SON5x6, $0.16</t>
  </si>
  <si>
    <t>1.95W, CSD17581Q3A, SON3X3, $0.22</t>
  </si>
  <si>
    <t>1.77W, CSD17581Q5A, SON5X6, $0.24</t>
  </si>
  <si>
    <t>1.89W, CSD18501Q5A, SON5X6, $0.56</t>
  </si>
  <si>
    <t>1.86W, CSD18502KCS, TO-220, $0.78</t>
  </si>
  <si>
    <t>1.55W, CSD18502Q5B, SON5X6, $0.81</t>
  </si>
  <si>
    <t>2.83W, CSD18503KCS, TO-220, $0.55</t>
  </si>
  <si>
    <t>2.61W, CSD18503Q5A, SON5X6, $0.44</t>
  </si>
  <si>
    <t>3.94W, CSD18504KCS, TO-220, $0.44</t>
  </si>
  <si>
    <t>3.92W, CSD18504Q5A, SON5X6, $0.31</t>
  </si>
  <si>
    <t>1.00W, CSD18509Q5B, SON5X6, $0.76</t>
  </si>
  <si>
    <t>1.36W, CSD18510KCS, TO-220, $0.72</t>
  </si>
  <si>
    <t>1.36W, CSD18510KTT, DDPAK, $0.77</t>
  </si>
  <si>
    <t>0.98W, CSD18510Q5B, SON5X6, $0.75</t>
  </si>
  <si>
    <t>1.85W, CSD18511KCS, TO-220, $0.51</t>
  </si>
  <si>
    <t>1.85W, CSD18511KTT, DDPAK, $0.56</t>
  </si>
  <si>
    <t>1.56W, CSD18511Q5A, SON5X6, $0.41</t>
  </si>
  <si>
    <t>1.23W, CSD18512Q5B, SON5X6, $0.58</t>
  </si>
  <si>
    <t>2.25W, CSD18513Q5A, SON5X6, $0.34</t>
  </si>
  <si>
    <t>3.17W, CSD18514Q5A, SON5X6, $0.24</t>
  </si>
  <si>
    <t>2.49W, CSD18531Q5A, SON5X6, $0.56</t>
  </si>
  <si>
    <t>2.27W, CSD18532KCS, TO-220, $0.78</t>
  </si>
  <si>
    <t>1.97W, CSD18532NQ5B, SON5X6, $0.81</t>
  </si>
  <si>
    <t>1.97W, CSD18532Q5B, SON5X6, $0.81</t>
  </si>
  <si>
    <t>3.63W, CSD18533KCS, TO-220, $0.55</t>
  </si>
  <si>
    <t>3.55W, CSD18533Q5A, SON5X6, $0.44</t>
  </si>
  <si>
    <t>5.27W, CSD18534KCS, TO-220, $0.44</t>
  </si>
  <si>
    <t>4.98W, CSD18534Q5A, SON5X6, $0.31</t>
  </si>
  <si>
    <t>1.43W, CSD18535KCS, TO-220, $1.16</t>
  </si>
  <si>
    <t>1.46W, CSD18535KTT, DDPAK, $1.21</t>
  </si>
  <si>
    <t>1.20W, CSD18536KCS, TO-220, $1.76</t>
  </si>
  <si>
    <t>1.22W, CSD18536KTT, DDPAK, $1.80</t>
  </si>
  <si>
    <t>6.97W, CSD18537NKCS, TO-220, $0.39</t>
  </si>
  <si>
    <t>6.74W, CSD18537NQ5A, SON5X6, $0.26</t>
  </si>
  <si>
    <t>1.51W, CSD18540Q5B, SON5X6, $0.83</t>
  </si>
  <si>
    <t>2.22W, CSD18542KCS, TO-220, $0.78</t>
  </si>
  <si>
    <t>2.23W, CSD18542KTT, DDPAK, $0.82</t>
  </si>
  <si>
    <t>6.20W, CSD18543Q3A, SON3X3, $0.25</t>
  </si>
  <si>
    <t>4.38W, CSD18563Q5A, SON5X6, $0.45</t>
  </si>
  <si>
    <t>3.29W, CSD19501KCS, TO-220, $0.69</t>
  </si>
  <si>
    <t>2.17W, CSD19502Q5B, SON5X6, $0.85</t>
  </si>
  <si>
    <t>4.27W, CSD19503KCS, TO-220, $0.56</t>
  </si>
  <si>
    <t>1.85W, CSD19505KCS, TO-220, $1.21</t>
  </si>
  <si>
    <t>1.85W, CSD19505KTT, DDPAK, $1.25</t>
  </si>
  <si>
    <t>1.56W, CSD19506KCS, TO-220, $1.83</t>
  </si>
  <si>
    <t>1.56W, CSD19506KTT, DDPAK, $1.88</t>
  </si>
  <si>
    <t>0.38W, CSD17301Q5A, SON5X6, $0.51</t>
  </si>
  <si>
    <t>0.85W, CSD17302Q5A, SON5X6, $0.29</t>
  </si>
  <si>
    <t>0.36W, CSD17303Q5, SON5X6, $0.56</t>
  </si>
  <si>
    <t>0.81W, CSD17304Q3, SON3X3, $0.25</t>
  </si>
  <si>
    <t>0.46W, CSD17305Q5A, SON5X6, $0.45</t>
  </si>
  <si>
    <t>0.48W, CSD17306Q5A, SON5X6, $0.39</t>
  </si>
  <si>
    <t>1.09W, CSD17307Q5A, SON5X6, $0.20</t>
  </si>
  <si>
    <t>1.04W, CSD17308Q3, SON3X3, $0.22</t>
  </si>
  <si>
    <t>0.62W, CSD17309Q3, SON3X3, $0.33</t>
  </si>
  <si>
    <t>0.59W, CSD17310Q5A, SON5X6, $0.28</t>
  </si>
  <si>
    <t>0.34W, CSD17311Q5, SON5X6, $0.64</t>
  </si>
  <si>
    <t>0.29W, CSD17312Q5, SON5X6, $0.73</t>
  </si>
  <si>
    <t>2.78W, CSD17313Q2, SON2X2, $0.13</t>
  </si>
  <si>
    <t>1.51W, CSD17318Q2, SON2X2, $0.11</t>
  </si>
  <si>
    <t>0.93W, CSD17322Q5A, SON5X6, $0.30</t>
  </si>
  <si>
    <t>1.22W, CSD17327Q5A, SON5X6, $0.28</t>
  </si>
  <si>
    <t>0.40W, CSD17501Q5A, SON5x6, $0.60</t>
  </si>
  <si>
    <t>0.45W, CSD17505Q5A, SON5x6, $0.54</t>
  </si>
  <si>
    <t>0.49W, CSD17506Q5A, SON5x6, $0.47</t>
  </si>
  <si>
    <t>1.09W, CSD17507Q5A, SON5x6, $0.23</t>
  </si>
  <si>
    <t>0.61W, CSD17510Q5A, SON5x6, $0.34</t>
  </si>
  <si>
    <t>0.85W, CSD17522Q5A, SON5x6, $0.36</t>
  </si>
  <si>
    <t>1.10W, CSD17527Q5A, SON5x6, $0.33</t>
  </si>
  <si>
    <t>0.96W, CSD17551Q3A, SON3X3, $0.23</t>
  </si>
  <si>
    <t>0.95W, CSD17551Q5A, SON5X6, $0.29</t>
  </si>
  <si>
    <t>0.69W, CSD17552Q3A, SON3X3, $0.28</t>
  </si>
  <si>
    <t>0.71W, CSD17552Q5A, SON5X6, $0.30</t>
  </si>
  <si>
    <t>0.43W, CSD17553Q5A, SON5X6, $0.42</t>
  </si>
  <si>
    <t>0.40W, CSD17555Q5A, SON5X6, $0.54</t>
  </si>
  <si>
    <t>0.29W, CSD17556Q5B, SON5x6, $0.77</t>
  </si>
  <si>
    <t>0.26W, CSD17559Q5, SON5X6, $0.86</t>
  </si>
  <si>
    <t>2.36W, CSD17571Q2, SON2X2, $0.10</t>
  </si>
  <si>
    <t>0.26W, CSD17573Q5B, SON5x6, $0.52</t>
  </si>
  <si>
    <t>0.33W, CSD17575Q3, SON3X3, $0.31</t>
  </si>
  <si>
    <t>0.34W, CSD17576Q5B, SON5X6, $0.38</t>
  </si>
  <si>
    <t>0.50W, CSD17577Q3A, SON3x3, $0.18</t>
  </si>
  <si>
    <t>0.52W, CSD17577Q5A, SON5x6, $0.20</t>
  </si>
  <si>
    <t>0.71W, CSD17578Q3A, SON3x3, $0.17</t>
  </si>
  <si>
    <t>0.78W, CSD17578Q5A, SON5x6, $0.18</t>
  </si>
  <si>
    <t>0.94W, CSD17579Q3A, SON3x3, $0.15</t>
  </si>
  <si>
    <t>1.03W, CSD17579Q5A, SON5x6, $0.16</t>
  </si>
  <si>
    <t>0.49W, CSD17581Q3A, SON3X3, $0.22</t>
  </si>
  <si>
    <t>0.45W, CSD17581Q5A, SON5X6, $0.24</t>
  </si>
  <si>
    <t>0.45W, CSD18501Q5A, SON5X6, $0.56</t>
  </si>
  <si>
    <t>0.42W, CSD18502KCS, TO-220, $0.78</t>
  </si>
  <si>
    <t>0.38W, CSD18502Q5B, SON5X6, $0.81</t>
  </si>
  <si>
    <t>0.58W, CSD18503KCS, TO-220, $0.55</t>
  </si>
  <si>
    <t>0.56W, CSD18503Q5A, SON5X6, $0.44</t>
  </si>
  <si>
    <t>0.79W, CSD18504KCS, TO-220, $0.44</t>
  </si>
  <si>
    <t>0.76W, CSD18504Q5A, SON5X6, $0.31</t>
  </si>
  <si>
    <t>0.29W, CSD18509Q5B, SON5X6, $0.76</t>
  </si>
  <si>
    <t>0.32W, CSD18510KCS, TO-220, $0.72</t>
  </si>
  <si>
    <t>0.32W, CSD18510KTT, DDPAK, $0.77</t>
  </si>
  <si>
    <t>0.27W, CSD18510Q5B, SON5X6, $0.75</t>
  </si>
  <si>
    <t>0.41W, CSD18511KCS, TO-220, $0.51</t>
  </si>
  <si>
    <t>0.41W, CSD18511KTT, DDPAK, $0.56</t>
  </si>
  <si>
    <t>0.36W, CSD18511Q5A, SON5X6, $0.41</t>
  </si>
  <si>
    <t>0.34W, CSD18512Q5B, SON5X6, $0.58</t>
  </si>
  <si>
    <t>0.49W, CSD18513Q5A, SON5X6, $0.34</t>
  </si>
  <si>
    <t>0.62W, CSD18514Q5A, SON5X6, $0.24</t>
  </si>
  <si>
    <t>0.59W, CSD18531Q5A, SON5X6, $0.56</t>
  </si>
  <si>
    <t>0.55W, CSD18532KCS, TO-220, $0.78</t>
  </si>
  <si>
    <t>0.49W, CSD18532NQ5B, SON5X6, $0.81</t>
  </si>
  <si>
    <t>0.47W, CSD18532Q5B, SON5X6, $0.81</t>
  </si>
  <si>
    <t>0.74W, CSD18533KCS, TO-220, $0.55</t>
  </si>
  <si>
    <t>0.72W, CSD18533Q5A, SON5X6, $0.44</t>
  </si>
  <si>
    <t>1.04W, CSD18534KCS, TO-220, $0.44</t>
  </si>
  <si>
    <t>1.08W, CSD18534Q5A, SON5X6, $0.31</t>
  </si>
  <si>
    <t>0.38W, CSD18535KCS, TO-220, $1.16</t>
  </si>
  <si>
    <t>0.39W, CSD18535KTT, DDPAK, $1.21</t>
  </si>
  <si>
    <t>0.36W, CSD18536KCS, TO-220, $1.76</t>
  </si>
  <si>
    <t>0.36W, CSD18536KTT, DDPAK, $1.80</t>
  </si>
  <si>
    <t>1.46W, CSD18537NKCS, TO-220, $0.39</t>
  </si>
  <si>
    <t>1.39W, CSD18537NQ5A, SON5X6, $0.26</t>
  </si>
  <si>
    <t>0.37W, CSD18540Q5B, SON5X6, $0.83</t>
  </si>
  <si>
    <t>0.55W, CSD18542KCS, TO-220, $0.78</t>
  </si>
  <si>
    <t>0.55W, CSD18542KTT, DDPAK, $0.82</t>
  </si>
  <si>
    <t>1.09W, CSD18543Q3A, SON3X3, $0.25</t>
  </si>
  <si>
    <t>0.80W, CSD18563Q5A, SON5X6, $0.45</t>
  </si>
  <si>
    <t>0.80W, CSD19501KCS, TO-220, $0.69</t>
  </si>
  <si>
    <t>0.57W, CSD19502Q5B, SON5X6, $0.85</t>
  </si>
  <si>
    <t>1.01W, CSD19503KCS, TO-220, $0.56</t>
  </si>
  <si>
    <t>0.51W, CSD19505KCS, TO-220, $1.21</t>
  </si>
  <si>
    <t>0.51W, CSD19505KTT, DDPAK, $1.25</t>
  </si>
  <si>
    <t>0.47W, CSD19506KCS, TO-220, $1.83</t>
  </si>
  <si>
    <t>0.47W, CSD19506KTT, DDPAK, $1.88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</si>
</sst>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00"/>
    <numFmt numFmtId="166" formatCode="&quot;$&quot;#,##0.00"/>
    <numFmt numFmtId="167" formatCode="0.000E+00"/>
    <numFmt numFmtId="168" formatCode="0.0000"/>
    <numFmt numFmtId="169" formatCode="0.00000"/>
  </numFmts>
  <fonts count="4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sz val="12"/>
      <name val="MS Sans Serif"/>
      <family val="2"/>
    </font>
    <font>
      <b/>
      <sz val="18"/>
      <name val="Arial"/>
      <family val="2"/>
    </font>
    <font>
      <b/>
      <sz val="24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</font>
    <font>
      <b/>
      <sz val="9"/>
      <color indexed="81"/>
      <name val="Tahoma"/>
      <family val="2"/>
    </font>
    <font>
      <sz val="11"/>
      <name val="Arial"/>
      <family val="2"/>
    </font>
    <font>
      <b/>
      <sz val="11"/>
      <name val="Arial"/>
      <family val="2"/>
    </font>
    <font>
      <b/>
      <sz val="12"/>
      <name val="Calibri"/>
      <family val="2"/>
    </font>
    <font>
      <b/>
      <u/>
      <sz val="12"/>
      <name val="Arial"/>
      <family val="2"/>
    </font>
    <font>
      <sz val="12"/>
      <name val="Arial"/>
      <family val="2"/>
    </font>
    <font>
      <sz val="12"/>
      <name val="Calibri"/>
      <family val="2"/>
      <scheme val="minor"/>
    </font>
    <font>
      <b/>
      <vertAlign val="subscript"/>
      <sz val="12"/>
      <name val="Arial"/>
      <family val="2"/>
    </font>
    <font>
      <i/>
      <sz val="11"/>
      <name val="Arial"/>
      <family val="2"/>
    </font>
    <font>
      <sz val="11"/>
      <color rgb="FFFF0000"/>
      <name val="Arial"/>
      <family val="2"/>
    </font>
    <font>
      <sz val="12"/>
      <color theme="1"/>
      <name val="Arial"/>
      <family val="2"/>
    </font>
    <font>
      <sz val="12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4"/>
      <color rgb="FFFF0000"/>
      <name val="Arial"/>
      <family val="2"/>
    </font>
    <font>
      <b/>
      <sz val="13"/>
      <color theme="5" tint="-0.249977111117893"/>
      <name val="Arial"/>
      <family val="2"/>
    </font>
    <font>
      <sz val="13"/>
      <name val="Calibri"/>
      <family val="2"/>
      <scheme val="minor"/>
    </font>
    <font>
      <sz val="13"/>
      <color theme="1"/>
      <name val="Arial"/>
      <family val="2"/>
    </font>
    <font>
      <b/>
      <sz val="13"/>
      <color theme="5" tint="-0.249977111117893"/>
      <name val="Calibri"/>
      <family val="2"/>
    </font>
    <font>
      <b/>
      <u/>
      <sz val="12"/>
      <color theme="10"/>
      <name val="Arial"/>
      <family val="2"/>
    </font>
    <font>
      <b/>
      <u/>
      <sz val="13"/>
      <color theme="10"/>
      <name val="Arial"/>
      <family val="2"/>
    </font>
    <font>
      <b/>
      <vertAlign val="subscript"/>
      <sz val="11"/>
      <color theme="1"/>
      <name val="Calibri"/>
      <family val="2"/>
      <scheme val="minor"/>
    </font>
    <font>
      <b/>
      <sz val="10"/>
      <color indexed="81"/>
      <name val="Tahoma"/>
      <family val="2"/>
    </font>
    <font>
      <b/>
      <u/>
      <sz val="11"/>
      <color theme="10"/>
      <name val="Calibri"/>
      <family val="2"/>
      <scheme val="minor"/>
    </font>
    <font>
      <b/>
      <sz val="12"/>
      <color theme="1" tint="0.34998626667073579"/>
      <name val="Arial"/>
      <family val="2"/>
    </font>
    <font>
      <b/>
      <i/>
      <sz val="1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gray125">
        <bgColor theme="9" tint="0.79998168889431442"/>
      </patternFill>
    </fill>
    <fill>
      <patternFill patternType="solid">
        <fgColor theme="5" tint="0.39997558519241921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39"/>
      </right>
      <top/>
      <bottom style="thick">
        <color indexed="39"/>
      </bottom>
      <diagonal/>
    </border>
    <border>
      <left/>
      <right/>
      <top/>
      <bottom style="thick">
        <color indexed="39"/>
      </bottom>
      <diagonal/>
    </border>
    <border>
      <left style="thick">
        <color indexed="39"/>
      </left>
      <right/>
      <top/>
      <bottom style="thick">
        <color indexed="39"/>
      </bottom>
      <diagonal/>
    </border>
    <border>
      <left/>
      <right style="thick">
        <color indexed="39"/>
      </right>
      <top/>
      <bottom/>
      <diagonal/>
    </border>
    <border>
      <left style="thick">
        <color indexed="39"/>
      </left>
      <right/>
      <top/>
      <bottom/>
      <diagonal/>
    </border>
    <border>
      <left/>
      <right style="thick">
        <color indexed="39"/>
      </right>
      <top style="thick">
        <color indexed="39"/>
      </top>
      <bottom/>
      <diagonal/>
    </border>
    <border>
      <left/>
      <right/>
      <top style="thick">
        <color indexed="39"/>
      </top>
      <bottom/>
      <diagonal/>
    </border>
    <border>
      <left style="thick">
        <color indexed="39"/>
      </left>
      <right/>
      <top style="thick">
        <color indexed="39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4" fillId="0" borderId="0"/>
    <xf numFmtId="0" fontId="13" fillId="0" borderId="0" applyNumberFormat="0" applyFill="0" applyBorder="0" applyAlignment="0" applyProtection="0"/>
  </cellStyleXfs>
  <cellXfs count="238">
    <xf numFmtId="0" fontId="0" fillId="0" borderId="0" xfId="0"/>
    <xf numFmtId="2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11" fontId="0" fillId="0" borderId="0" xfId="0" applyNumberFormat="1" applyAlignment="1">
      <alignment horizontal="center"/>
    </xf>
    <xf numFmtId="0" fontId="3" fillId="0" borderId="0" xfId="0" applyFont="1"/>
    <xf numFmtId="2" fontId="0" fillId="0" borderId="0" xfId="0" applyNumberFormat="1"/>
    <xf numFmtId="0" fontId="0" fillId="3" borderId="0" xfId="0" applyFill="1"/>
    <xf numFmtId="0" fontId="0" fillId="0" borderId="0" xfId="0" applyAlignment="1">
      <alignment wrapText="1"/>
    </xf>
    <xf numFmtId="0" fontId="0" fillId="5" borderId="0" xfId="0" applyFill="1" applyAlignment="1">
      <alignment wrapText="1"/>
    </xf>
    <xf numFmtId="0" fontId="0" fillId="6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3" borderId="0" xfId="0" applyFill="1" applyAlignment="1">
      <alignment wrapText="1"/>
    </xf>
    <xf numFmtId="0" fontId="0" fillId="2" borderId="0" xfId="0" applyFill="1"/>
    <xf numFmtId="0" fontId="0" fillId="2" borderId="0" xfId="0" applyFill="1" applyAlignment="1">
      <alignment wrapText="1"/>
    </xf>
    <xf numFmtId="0" fontId="0" fillId="8" borderId="0" xfId="0" applyFill="1" applyAlignment="1">
      <alignment wrapText="1"/>
    </xf>
    <xf numFmtId="0" fontId="0" fillId="9" borderId="0" xfId="0" applyFill="1" applyAlignment="1">
      <alignment wrapText="1"/>
    </xf>
    <xf numFmtId="0" fontId="0" fillId="0" borderId="19" xfId="0" applyBorder="1" applyAlignment="1">
      <alignment wrapText="1"/>
    </xf>
    <xf numFmtId="0" fontId="0" fillId="0" borderId="19" xfId="0" applyBorder="1"/>
    <xf numFmtId="2" fontId="0" fillId="0" borderId="0" xfId="0" applyNumberFormat="1" applyAlignment="1">
      <alignment wrapText="1"/>
    </xf>
    <xf numFmtId="0" fontId="2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Protection="1"/>
    <xf numFmtId="0" fontId="4" fillId="0" borderId="0" xfId="2" applyProtection="1"/>
    <xf numFmtId="0" fontId="0" fillId="0" borderId="0" xfId="0" applyAlignment="1" applyProtection="1">
      <alignment horizontal="center" vertical="top" wrapText="1"/>
    </xf>
    <xf numFmtId="0" fontId="0" fillId="0" borderId="0" xfId="0" applyAlignment="1" applyProtection="1">
      <alignment wrapText="1"/>
    </xf>
    <xf numFmtId="166" fontId="0" fillId="0" borderId="0" xfId="0" applyNumberFormat="1" applyAlignment="1">
      <alignment wrapText="1"/>
    </xf>
    <xf numFmtId="0" fontId="0" fillId="0" borderId="0" xfId="0" applyFont="1" applyAlignment="1">
      <alignment horizontal="left"/>
    </xf>
    <xf numFmtId="165" fontId="0" fillId="0" borderId="0" xfId="0" applyNumberFormat="1" applyAlignment="1">
      <alignment horizontal="right"/>
    </xf>
    <xf numFmtId="165" fontId="0" fillId="0" borderId="0" xfId="0" applyNumberFormat="1"/>
    <xf numFmtId="167" fontId="0" fillId="0" borderId="0" xfId="0" applyNumberFormat="1"/>
    <xf numFmtId="164" fontId="11" fillId="3" borderId="1" xfId="0" quotePrefix="1" applyNumberFormat="1" applyFont="1" applyFill="1" applyBorder="1" applyAlignment="1" applyProtection="1">
      <alignment horizontal="center" vertical="center"/>
    </xf>
    <xf numFmtId="0" fontId="11" fillId="3" borderId="14" xfId="0" applyFont="1" applyFill="1" applyBorder="1" applyAlignment="1" applyProtection="1">
      <alignment vertical="center"/>
    </xf>
    <xf numFmtId="0" fontId="11" fillId="3" borderId="14" xfId="0" applyFont="1" applyFill="1" applyBorder="1" applyAlignment="1" applyProtection="1">
      <alignment horizontal="left" vertical="center"/>
    </xf>
    <xf numFmtId="0" fontId="0" fillId="3" borderId="0" xfId="0" applyFill="1"/>
    <xf numFmtId="0" fontId="0" fillId="0" borderId="0" xfId="0" applyAlignment="1">
      <alignment wrapText="1"/>
    </xf>
    <xf numFmtId="0" fontId="0" fillId="5" borderId="0" xfId="0" applyFill="1" applyAlignment="1">
      <alignment wrapText="1"/>
    </xf>
    <xf numFmtId="0" fontId="0" fillId="5" borderId="0" xfId="0" applyFill="1"/>
    <xf numFmtId="0" fontId="0" fillId="6" borderId="0" xfId="0" applyFill="1"/>
    <xf numFmtId="0" fontId="0" fillId="6" borderId="0" xfId="0" applyFill="1" applyAlignment="1">
      <alignment wrapText="1"/>
    </xf>
    <xf numFmtId="0" fontId="0" fillId="7" borderId="0" xfId="0" applyFill="1"/>
    <xf numFmtId="0" fontId="0" fillId="7" borderId="0" xfId="0" applyFill="1" applyAlignment="1">
      <alignment wrapText="1"/>
    </xf>
    <xf numFmtId="0" fontId="0" fillId="3" borderId="0" xfId="0" applyFill="1" applyAlignment="1">
      <alignment wrapText="1"/>
    </xf>
    <xf numFmtId="0" fontId="0" fillId="2" borderId="0" xfId="0" applyFill="1"/>
    <xf numFmtId="0" fontId="0" fillId="2" borderId="0" xfId="0" applyFill="1" applyAlignment="1">
      <alignment wrapText="1"/>
    </xf>
    <xf numFmtId="0" fontId="0" fillId="8" borderId="0" xfId="0" applyFill="1"/>
    <xf numFmtId="0" fontId="0" fillId="8" borderId="0" xfId="0" applyFill="1" applyAlignment="1">
      <alignment wrapText="1"/>
    </xf>
    <xf numFmtId="0" fontId="0" fillId="9" borderId="0" xfId="0" applyFill="1" applyAlignment="1">
      <alignment wrapText="1"/>
    </xf>
    <xf numFmtId="2" fontId="0" fillId="0" borderId="0" xfId="0" applyNumberFormat="1" applyAlignment="1">
      <alignment wrapText="1"/>
    </xf>
    <xf numFmtId="166" fontId="0" fillId="0" borderId="0" xfId="0" applyNumberFormat="1" applyAlignment="1">
      <alignment wrapText="1"/>
    </xf>
    <xf numFmtId="0" fontId="4" fillId="0" borderId="9" xfId="2" applyFill="1" applyBorder="1" applyProtection="1"/>
    <xf numFmtId="0" fontId="4" fillId="0" borderId="8" xfId="2" applyFill="1" applyBorder="1" applyProtection="1"/>
    <xf numFmtId="0" fontId="4" fillId="0" borderId="7" xfId="2" applyFill="1" applyBorder="1" applyProtection="1"/>
    <xf numFmtId="0" fontId="4" fillId="0" borderId="6" xfId="2" applyFill="1" applyBorder="1" applyProtection="1"/>
    <xf numFmtId="0" fontId="4" fillId="0" borderId="0" xfId="2" applyFill="1" applyBorder="1" applyProtection="1"/>
    <xf numFmtId="0" fontId="4" fillId="0" borderId="5" xfId="2" applyFill="1" applyBorder="1" applyProtection="1"/>
    <xf numFmtId="0" fontId="8" fillId="0" borderId="0" xfId="2" applyFont="1" applyFill="1" applyBorder="1" applyProtection="1"/>
    <xf numFmtId="0" fontId="6" fillId="0" borderId="0" xfId="2" applyFont="1" applyFill="1" applyBorder="1" applyProtection="1"/>
    <xf numFmtId="0" fontId="7" fillId="0" borderId="0" xfId="2" applyFont="1" applyFill="1" applyBorder="1" applyProtection="1"/>
    <xf numFmtId="0" fontId="5" fillId="0" borderId="0" xfId="2" applyFont="1" applyFill="1" applyBorder="1" applyProtection="1"/>
    <xf numFmtId="0" fontId="4" fillId="0" borderId="4" xfId="2" applyFill="1" applyBorder="1" applyProtection="1"/>
    <xf numFmtId="0" fontId="4" fillId="0" borderId="3" xfId="2" applyFill="1" applyBorder="1" applyProtection="1"/>
    <xf numFmtId="0" fontId="4" fillId="0" borderId="2" xfId="2" applyFill="1" applyBorder="1" applyProtection="1"/>
    <xf numFmtId="0" fontId="20" fillId="0" borderId="0" xfId="0" applyFont="1" applyAlignment="1" applyProtection="1">
      <alignment vertical="center"/>
    </xf>
    <xf numFmtId="0" fontId="5" fillId="10" borderId="14" xfId="0" applyFont="1" applyFill="1" applyBorder="1" applyAlignment="1" applyProtection="1">
      <alignment horizontal="center" vertical="center"/>
    </xf>
    <xf numFmtId="164" fontId="5" fillId="10" borderId="15" xfId="0" applyNumberFormat="1" applyFont="1" applyFill="1" applyBorder="1" applyAlignment="1" applyProtection="1">
      <alignment horizontal="center" vertical="center"/>
      <protection locked="0"/>
    </xf>
    <xf numFmtId="0" fontId="5" fillId="10" borderId="15" xfId="0" applyFont="1" applyFill="1" applyBorder="1" applyAlignment="1" applyProtection="1">
      <alignment horizontal="center" vertical="center"/>
      <protection locked="0"/>
    </xf>
    <xf numFmtId="0" fontId="5" fillId="15" borderId="1" xfId="0" applyFont="1" applyFill="1" applyBorder="1" applyAlignment="1" applyProtection="1">
      <alignment horizontal="center" vertical="center"/>
      <protection locked="0"/>
    </xf>
    <xf numFmtId="0" fontId="5" fillId="15" borderId="15" xfId="0" applyFont="1" applyFill="1" applyBorder="1" applyAlignment="1" applyProtection="1">
      <alignment horizontal="center" vertical="center"/>
      <protection locked="0"/>
    </xf>
    <xf numFmtId="164" fontId="5" fillId="11" borderId="1" xfId="0" quotePrefix="1" applyNumberFormat="1" applyFont="1" applyFill="1" applyBorder="1" applyAlignment="1" applyProtection="1">
      <alignment horizontal="center" vertical="center"/>
    </xf>
    <xf numFmtId="164" fontId="5" fillId="11" borderId="15" xfId="0" quotePrefix="1" applyNumberFormat="1" applyFont="1" applyFill="1" applyBorder="1" applyAlignment="1" applyProtection="1">
      <alignment horizontal="center" vertical="center"/>
    </xf>
    <xf numFmtId="164" fontId="5" fillId="10" borderId="15" xfId="1" applyNumberFormat="1" applyFont="1" applyFill="1" applyBorder="1" applyAlignment="1" applyProtection="1">
      <alignment horizontal="center" vertical="center"/>
      <protection locked="0"/>
    </xf>
    <xf numFmtId="1" fontId="5" fillId="11" borderId="1" xfId="0" quotePrefix="1" applyNumberFormat="1" applyFont="1" applyFill="1" applyBorder="1" applyAlignment="1" applyProtection="1">
      <alignment horizontal="center" vertical="center"/>
    </xf>
    <xf numFmtId="1" fontId="5" fillId="11" borderId="15" xfId="0" quotePrefix="1" applyNumberFormat="1" applyFont="1" applyFill="1" applyBorder="1" applyAlignment="1" applyProtection="1">
      <alignment horizontal="center" vertical="center"/>
    </xf>
    <xf numFmtId="166" fontId="5" fillId="11" borderId="1" xfId="0" quotePrefix="1" applyNumberFormat="1" applyFont="1" applyFill="1" applyBorder="1" applyAlignment="1" applyProtection="1">
      <alignment horizontal="center" vertical="center"/>
    </xf>
    <xf numFmtId="166" fontId="5" fillId="11" borderId="15" xfId="0" quotePrefix="1" applyNumberFormat="1" applyFont="1" applyFill="1" applyBorder="1" applyAlignment="1" applyProtection="1">
      <alignment horizontal="center" vertical="center"/>
    </xf>
    <xf numFmtId="0" fontId="20" fillId="13" borderId="14" xfId="0" applyFont="1" applyFill="1" applyBorder="1" applyAlignment="1" applyProtection="1">
      <alignment vertical="center"/>
    </xf>
    <xf numFmtId="2" fontId="5" fillId="13" borderId="15" xfId="0" applyNumberFormat="1" applyFont="1" applyFill="1" applyBorder="1" applyAlignment="1" applyProtection="1">
      <alignment horizontal="center" vertical="center"/>
    </xf>
    <xf numFmtId="165" fontId="5" fillId="13" borderId="1" xfId="0" applyNumberFormat="1" applyFont="1" applyFill="1" applyBorder="1" applyAlignment="1" applyProtection="1">
      <alignment horizontal="center" vertical="center"/>
    </xf>
    <xf numFmtId="165" fontId="5" fillId="13" borderId="15" xfId="0" applyNumberFormat="1" applyFont="1" applyFill="1" applyBorder="1" applyAlignment="1" applyProtection="1">
      <alignment horizontal="center" vertical="center"/>
    </xf>
    <xf numFmtId="166" fontId="5" fillId="13" borderId="1" xfId="0" applyNumberFormat="1" applyFont="1" applyFill="1" applyBorder="1" applyAlignment="1" applyProtection="1">
      <alignment horizontal="center" vertical="center"/>
    </xf>
    <xf numFmtId="166" fontId="5" fillId="13" borderId="15" xfId="0" applyNumberFormat="1" applyFont="1" applyFill="1" applyBorder="1" applyAlignment="1" applyProtection="1">
      <alignment horizontal="center" vertical="center"/>
    </xf>
    <xf numFmtId="0" fontId="16" fillId="12" borderId="28" xfId="2" applyFont="1" applyFill="1" applyBorder="1" applyProtection="1"/>
    <xf numFmtId="0" fontId="16" fillId="12" borderId="26" xfId="2" applyFont="1" applyFill="1" applyBorder="1" applyProtection="1"/>
    <xf numFmtId="0" fontId="24" fillId="12" borderId="26" xfId="2" applyFont="1" applyFill="1" applyBorder="1" applyProtection="1"/>
    <xf numFmtId="0" fontId="16" fillId="12" borderId="23" xfId="2" applyFont="1" applyFill="1" applyBorder="1" applyProtection="1"/>
    <xf numFmtId="0" fontId="16" fillId="12" borderId="29" xfId="2" applyFont="1" applyFill="1" applyBorder="1" applyProtection="1"/>
    <xf numFmtId="0" fontId="16" fillId="12" borderId="0" xfId="2" applyFont="1" applyFill="1" applyBorder="1" applyProtection="1"/>
    <xf numFmtId="0" fontId="24" fillId="12" borderId="0" xfId="2" applyFont="1" applyFill="1" applyBorder="1" applyProtection="1"/>
    <xf numFmtId="0" fontId="16" fillId="12" borderId="30" xfId="2" applyFont="1" applyFill="1" applyBorder="1" applyProtection="1"/>
    <xf numFmtId="0" fontId="16" fillId="12" borderId="24" xfId="2" applyFont="1" applyFill="1" applyBorder="1" applyProtection="1"/>
    <xf numFmtId="0" fontId="16" fillId="12" borderId="27" xfId="2" applyFont="1" applyFill="1" applyBorder="1" applyProtection="1"/>
    <xf numFmtId="0" fontId="16" fillId="12" borderId="25" xfId="2" applyFont="1" applyFill="1" applyBorder="1" applyProtection="1"/>
    <xf numFmtId="0" fontId="16" fillId="0" borderId="6" xfId="2" applyFont="1" applyFill="1" applyBorder="1" applyProtection="1"/>
    <xf numFmtId="0" fontId="16" fillId="0" borderId="0" xfId="2" applyFont="1" applyFill="1" applyBorder="1" applyProtection="1"/>
    <xf numFmtId="0" fontId="16" fillId="0" borderId="5" xfId="2" applyFont="1" applyFill="1" applyBorder="1" applyProtection="1"/>
    <xf numFmtId="0" fontId="24" fillId="0" borderId="0" xfId="2" applyFont="1" applyFill="1" applyBorder="1" applyProtection="1"/>
    <xf numFmtId="0" fontId="17" fillId="0" borderId="0" xfId="2" applyFont="1" applyFill="1" applyBorder="1" applyProtection="1"/>
    <xf numFmtId="0" fontId="21" fillId="0" borderId="0" xfId="0" applyFont="1" applyProtection="1"/>
    <xf numFmtId="0" fontId="25" fillId="0" borderId="0" xfId="0" applyFont="1" applyAlignment="1" applyProtection="1">
      <alignment vertical="center"/>
    </xf>
    <xf numFmtId="164" fontId="28" fillId="12" borderId="1" xfId="0" applyNumberFormat="1" applyFont="1" applyFill="1" applyBorder="1" applyAlignment="1" applyProtection="1">
      <alignment horizontal="center" vertical="center"/>
      <protection locked="0"/>
    </xf>
    <xf numFmtId="164" fontId="28" fillId="12" borderId="15" xfId="0" applyNumberFormat="1" applyFont="1" applyFill="1" applyBorder="1" applyAlignment="1" applyProtection="1">
      <alignment horizontal="center" vertical="center"/>
      <protection locked="0"/>
    </xf>
    <xf numFmtId="0" fontId="30" fillId="0" borderId="0" xfId="0" applyFont="1" applyProtection="1"/>
    <xf numFmtId="0" fontId="29" fillId="12" borderId="14" xfId="0" applyFont="1" applyFill="1" applyBorder="1" applyAlignment="1" applyProtection="1">
      <alignment horizontal="left" vertical="center" wrapText="1"/>
    </xf>
    <xf numFmtId="0" fontId="29" fillId="12" borderId="14" xfId="0" applyFont="1" applyFill="1" applyBorder="1" applyAlignment="1" applyProtection="1">
      <alignment horizontal="left" vertical="center"/>
    </xf>
    <xf numFmtId="0" fontId="0" fillId="0" borderId="0" xfId="0" applyNumberFormat="1" applyProtection="1">
      <protection hidden="1"/>
    </xf>
    <xf numFmtId="0" fontId="0" fillId="7" borderId="0" xfId="0" applyNumberFormat="1" applyFill="1" applyProtection="1">
      <protection hidden="1"/>
    </xf>
    <xf numFmtId="0" fontId="0" fillId="3" borderId="0" xfId="0" applyNumberFormat="1" applyFill="1" applyProtection="1">
      <protection hidden="1"/>
    </xf>
    <xf numFmtId="0" fontId="13" fillId="3" borderId="0" xfId="3" applyNumberFormat="1" applyFill="1" applyProtection="1">
      <protection hidden="1"/>
    </xf>
    <xf numFmtId="0" fontId="0" fillId="3" borderId="0" xfId="0" applyNumberFormat="1" applyFill="1" applyBorder="1" applyProtection="1">
      <protection hidden="1"/>
    </xf>
    <xf numFmtId="0" fontId="0" fillId="0" borderId="10" xfId="0" applyNumberFormat="1" applyBorder="1" applyProtection="1">
      <protection hidden="1"/>
    </xf>
    <xf numFmtId="0" fontId="0" fillId="0" borderId="21" xfId="0" applyNumberFormat="1" applyBorder="1" applyProtection="1">
      <protection hidden="1"/>
    </xf>
    <xf numFmtId="0" fontId="0" fillId="0" borderId="20" xfId="0" applyNumberFormat="1" applyBorder="1" applyProtection="1">
      <protection hidden="1"/>
    </xf>
    <xf numFmtId="0" fontId="0" fillId="7" borderId="20" xfId="0" applyNumberFormat="1" applyFill="1" applyBorder="1" applyProtection="1">
      <protection hidden="1"/>
    </xf>
    <xf numFmtId="0" fontId="0" fillId="3" borderId="21" xfId="0" applyNumberFormat="1" applyFill="1" applyBorder="1" applyProtection="1">
      <protection hidden="1"/>
    </xf>
    <xf numFmtId="0" fontId="0" fillId="3" borderId="20" xfId="0" applyNumberFormat="1" applyFill="1" applyBorder="1" applyProtection="1">
      <protection hidden="1"/>
    </xf>
    <xf numFmtId="0" fontId="13" fillId="3" borderId="20" xfId="3" applyNumberFormat="1" applyFill="1" applyBorder="1" applyProtection="1">
      <protection hidden="1"/>
    </xf>
    <xf numFmtId="0" fontId="0" fillId="0" borderId="22" xfId="0" applyNumberFormat="1" applyBorder="1" applyProtection="1">
      <protection hidden="1"/>
    </xf>
    <xf numFmtId="0" fontId="0" fillId="7" borderId="10" xfId="0" applyNumberFormat="1" applyFill="1" applyBorder="1" applyProtection="1">
      <protection hidden="1"/>
    </xf>
    <xf numFmtId="0" fontId="0" fillId="7" borderId="0" xfId="0" applyNumberFormat="1" applyFill="1" applyBorder="1" applyProtection="1">
      <protection hidden="1"/>
    </xf>
    <xf numFmtId="0" fontId="0" fillId="0" borderId="0" xfId="0" applyNumberFormat="1" applyBorder="1" applyProtection="1">
      <protection hidden="1"/>
    </xf>
    <xf numFmtId="0" fontId="0" fillId="4" borderId="0" xfId="0" applyNumberFormat="1" applyFont="1" applyFill="1" applyBorder="1" applyProtection="1">
      <protection hidden="1"/>
    </xf>
    <xf numFmtId="0" fontId="13" fillId="0" borderId="0" xfId="3" applyNumberFormat="1" applyProtection="1">
      <protection hidden="1"/>
    </xf>
    <xf numFmtId="164" fontId="33" fillId="11" borderId="1" xfId="3" quotePrefix="1" applyNumberFormat="1" applyFont="1" applyFill="1" applyBorder="1" applyAlignment="1" applyProtection="1">
      <alignment horizontal="center" vertical="center"/>
    </xf>
    <xf numFmtId="164" fontId="33" fillId="11" borderId="15" xfId="3" quotePrefix="1" applyNumberFormat="1" applyFont="1" applyFill="1" applyBorder="1" applyAlignment="1" applyProtection="1">
      <alignment horizontal="center" vertical="center"/>
    </xf>
    <xf numFmtId="0" fontId="33" fillId="0" borderId="0" xfId="3" applyFont="1" applyFill="1" applyBorder="1" applyProtection="1"/>
    <xf numFmtId="1" fontId="5" fillId="10" borderId="15" xfId="0" applyNumberFormat="1" applyFont="1" applyFill="1" applyBorder="1" applyAlignment="1" applyProtection="1">
      <alignment horizontal="center" vertical="center"/>
      <protection locked="0"/>
    </xf>
    <xf numFmtId="168" fontId="0" fillId="0" borderId="0" xfId="0" applyNumberFormat="1" applyAlignment="1">
      <alignment wrapText="1"/>
    </xf>
    <xf numFmtId="0" fontId="0" fillId="5" borderId="0" xfId="0" applyFill="1" applyBorder="1"/>
    <xf numFmtId="0" fontId="0" fillId="6" borderId="0" xfId="0" applyFill="1" applyBorder="1"/>
    <xf numFmtId="0" fontId="0" fillId="7" borderId="0" xfId="0" applyFill="1" applyBorder="1"/>
    <xf numFmtId="0" fontId="0" fillId="8" borderId="0" xfId="0" applyFill="1" applyBorder="1"/>
    <xf numFmtId="0" fontId="0" fillId="3" borderId="0" xfId="0" applyFill="1" applyBorder="1"/>
    <xf numFmtId="0" fontId="0" fillId="2" borderId="0" xfId="0" applyFill="1" applyBorder="1"/>
    <xf numFmtId="0" fontId="0" fillId="5" borderId="0" xfId="0" applyFill="1" applyBorder="1" applyAlignment="1">
      <alignment wrapText="1"/>
    </xf>
    <xf numFmtId="0" fontId="0" fillId="6" borderId="0" xfId="0" applyFill="1" applyBorder="1" applyAlignment="1">
      <alignment wrapText="1"/>
    </xf>
    <xf numFmtId="0" fontId="0" fillId="7" borderId="0" xfId="0" applyFill="1" applyBorder="1" applyAlignment="1">
      <alignment wrapText="1"/>
    </xf>
    <xf numFmtId="0" fontId="0" fillId="8" borderId="0" xfId="0" applyFill="1" applyBorder="1" applyAlignment="1">
      <alignment wrapText="1"/>
    </xf>
    <xf numFmtId="0" fontId="0" fillId="3" borderId="0" xfId="0" applyFill="1" applyBorder="1" applyAlignment="1">
      <alignment wrapText="1"/>
    </xf>
    <xf numFmtId="0" fontId="0" fillId="2" borderId="0" xfId="0" applyFill="1" applyBorder="1" applyAlignment="1">
      <alignment wrapText="1"/>
    </xf>
    <xf numFmtId="0" fontId="0" fillId="9" borderId="0" xfId="0" applyFill="1" applyBorder="1" applyAlignment="1">
      <alignment wrapText="1"/>
    </xf>
    <xf numFmtId="2" fontId="0" fillId="0" borderId="0" xfId="0" applyNumberFormat="1" applyBorder="1" applyAlignment="1">
      <alignment wrapText="1"/>
    </xf>
    <xf numFmtId="0" fontId="0" fillId="0" borderId="0" xfId="0" applyBorder="1" applyAlignment="1">
      <alignment wrapText="1"/>
    </xf>
    <xf numFmtId="166" fontId="0" fillId="0" borderId="0" xfId="0" applyNumberFormat="1" applyBorder="1" applyAlignment="1">
      <alignment wrapText="1"/>
    </xf>
    <xf numFmtId="166" fontId="0" fillId="0" borderId="0" xfId="0" applyNumberFormat="1"/>
    <xf numFmtId="0" fontId="5" fillId="0" borderId="1" xfId="0" applyFont="1" applyBorder="1" applyAlignment="1" applyProtection="1">
      <alignment horizontal="center"/>
    </xf>
    <xf numFmtId="168" fontId="0" fillId="0" borderId="0" xfId="0" applyNumberFormat="1" applyAlignment="1">
      <alignment horizontal="right"/>
    </xf>
    <xf numFmtId="165" fontId="0" fillId="0" borderId="0" xfId="0" applyNumberFormat="1" applyBorder="1" applyAlignment="1">
      <alignment wrapText="1"/>
    </xf>
    <xf numFmtId="165" fontId="0" fillId="0" borderId="20" xfId="0" applyNumberFormat="1" applyFont="1" applyFill="1" applyBorder="1" applyAlignment="1">
      <alignment wrapText="1"/>
    </xf>
    <xf numFmtId="165" fontId="0" fillId="0" borderId="0" xfId="0" applyNumberFormat="1" applyAlignment="1">
      <alignment wrapText="1"/>
    </xf>
    <xf numFmtId="2" fontId="5" fillId="13" borderId="1" xfId="0" applyNumberFormat="1" applyFont="1" applyFill="1" applyBorder="1" applyAlignment="1" applyProtection="1">
      <alignment horizontal="center" vertical="center"/>
    </xf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1" fontId="5" fillId="13" borderId="15" xfId="0" applyNumberFormat="1" applyFont="1" applyFill="1" applyBorder="1" applyAlignment="1" applyProtection="1">
      <alignment horizontal="center" vertical="center"/>
    </xf>
    <xf numFmtId="169" fontId="0" fillId="0" borderId="0" xfId="0" applyNumberFormat="1"/>
    <xf numFmtId="169" fontId="0" fillId="0" borderId="0" xfId="0" applyNumberFormat="1" applyAlignment="1">
      <alignment horizontal="right"/>
    </xf>
    <xf numFmtId="169" fontId="0" fillId="0" borderId="0" xfId="0" applyNumberFormat="1" applyAlignment="1">
      <alignment wrapText="1"/>
    </xf>
    <xf numFmtId="169" fontId="2" fillId="0" borderId="0" xfId="0" applyNumberFormat="1" applyFont="1" applyAlignment="1">
      <alignment horizontal="left"/>
    </xf>
    <xf numFmtId="169" fontId="0" fillId="0" borderId="0" xfId="0" applyNumberFormat="1" applyFont="1" applyAlignment="1">
      <alignment horizontal="left"/>
    </xf>
    <xf numFmtId="0" fontId="5" fillId="0" borderId="14" xfId="0" applyFont="1" applyFill="1" applyBorder="1" applyAlignment="1" applyProtection="1">
      <alignment horizontal="left" wrapText="1"/>
    </xf>
    <xf numFmtId="168" fontId="0" fillId="0" borderId="0" xfId="0" applyNumberFormat="1"/>
    <xf numFmtId="165" fontId="0" fillId="0" borderId="0" xfId="0" applyNumberFormat="1" applyFont="1" applyAlignment="1">
      <alignment horizontal="right"/>
    </xf>
    <xf numFmtId="1" fontId="28" fillId="10" borderId="1" xfId="0" applyNumberFormat="1" applyFont="1" applyFill="1" applyBorder="1" applyAlignment="1" applyProtection="1">
      <alignment horizontal="center" vertical="center"/>
      <protection locked="0"/>
    </xf>
    <xf numFmtId="1" fontId="28" fillId="10" borderId="15" xfId="0" applyNumberFormat="1" applyFont="1" applyFill="1" applyBorder="1" applyAlignment="1" applyProtection="1">
      <alignment horizontal="center" vertical="center"/>
      <protection locked="0"/>
    </xf>
    <xf numFmtId="0" fontId="29" fillId="10" borderId="14" xfId="0" applyFont="1" applyFill="1" applyBorder="1" applyAlignment="1" applyProtection="1">
      <alignment horizontal="left" vertical="center" wrapText="1"/>
    </xf>
    <xf numFmtId="0" fontId="5" fillId="0" borderId="15" xfId="0" applyFont="1" applyBorder="1" applyAlignment="1" applyProtection="1">
      <alignment horizontal="center"/>
    </xf>
    <xf numFmtId="0" fontId="5" fillId="10" borderId="1" xfId="0" applyFont="1" applyFill="1" applyBorder="1" applyAlignment="1" applyProtection="1">
      <alignment horizontal="left" vertical="center" wrapText="1" indent="2"/>
    </xf>
    <xf numFmtId="0" fontId="5" fillId="10" borderId="1" xfId="0" applyFont="1" applyFill="1" applyBorder="1" applyAlignment="1" applyProtection="1">
      <alignment horizontal="left" vertical="center" indent="2"/>
    </xf>
    <xf numFmtId="0" fontId="5" fillId="13" borderId="1" xfId="0" applyFont="1" applyFill="1" applyBorder="1" applyAlignment="1" applyProtection="1">
      <alignment horizontal="left" vertical="center" wrapText="1" indent="2"/>
    </xf>
    <xf numFmtId="0" fontId="5" fillId="11" borderId="14" xfId="0" applyFont="1" applyFill="1" applyBorder="1" applyAlignment="1" applyProtection="1">
      <alignment horizontal="left" indent="2"/>
    </xf>
    <xf numFmtId="0" fontId="5" fillId="13" borderId="14" xfId="0" applyFont="1" applyFill="1" applyBorder="1" applyAlignment="1" applyProtection="1">
      <alignment horizontal="left" vertical="center" wrapText="1" indent="2"/>
    </xf>
    <xf numFmtId="0" fontId="5" fillId="13" borderId="14" xfId="0" applyFont="1" applyFill="1" applyBorder="1" applyAlignment="1" applyProtection="1">
      <alignment horizontal="left" vertical="center" indent="2"/>
    </xf>
    <xf numFmtId="9" fontId="5" fillId="10" borderId="15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top" wrapText="1"/>
      <protection locked="0"/>
    </xf>
    <xf numFmtId="0" fontId="0" fillId="0" borderId="0" xfId="0" applyProtection="1">
      <protection locked="0"/>
    </xf>
    <xf numFmtId="0" fontId="37" fillId="0" borderId="0" xfId="3" applyFont="1" applyAlignment="1" applyProtection="1">
      <protection locked="0"/>
    </xf>
    <xf numFmtId="0" fontId="9" fillId="0" borderId="0" xfId="0" applyFont="1" applyAlignment="1" applyProtection="1">
      <protection locked="0"/>
    </xf>
    <xf numFmtId="0" fontId="9" fillId="0" borderId="0" xfId="0" applyFont="1" applyProtection="1">
      <protection locked="0"/>
    </xf>
    <xf numFmtId="2" fontId="5" fillId="10" borderId="15" xfId="0" applyNumberFormat="1" applyFont="1" applyFill="1" applyBorder="1" applyAlignment="1" applyProtection="1">
      <alignment horizontal="center" vertical="center"/>
      <protection locked="0"/>
    </xf>
    <xf numFmtId="0" fontId="20" fillId="0" borderId="0" xfId="0" applyFont="1" applyAlignment="1" applyProtection="1">
      <alignment vertical="center"/>
      <protection locked="0"/>
    </xf>
    <xf numFmtId="0" fontId="21" fillId="0" borderId="0" xfId="0" applyFont="1" applyProtection="1">
      <protection locked="0"/>
    </xf>
    <xf numFmtId="0" fontId="25" fillId="0" borderId="0" xfId="0" applyFont="1" applyAlignment="1" applyProtection="1">
      <alignment vertical="center"/>
      <protection locked="0"/>
    </xf>
    <xf numFmtId="0" fontId="31" fillId="0" borderId="0" xfId="0" applyFont="1" applyAlignment="1" applyProtection="1">
      <alignment vertical="center"/>
      <protection locked="0"/>
    </xf>
    <xf numFmtId="0" fontId="25" fillId="0" borderId="0" xfId="0" applyFont="1" applyAlignment="1" applyProtection="1">
      <alignment horizontal="center" vertical="center"/>
      <protection locked="0"/>
    </xf>
    <xf numFmtId="0" fontId="26" fillId="0" borderId="0" xfId="0" applyFont="1" applyProtection="1">
      <protection locked="0"/>
    </xf>
    <xf numFmtId="0" fontId="27" fillId="0" borderId="0" xfId="0" applyFont="1" applyProtection="1">
      <protection locked="0"/>
    </xf>
    <xf numFmtId="0" fontId="21" fillId="14" borderId="1" xfId="0" applyFont="1" applyFill="1" applyBorder="1" applyProtection="1"/>
    <xf numFmtId="0" fontId="21" fillId="14" borderId="15" xfId="0" applyFont="1" applyFill="1" applyBorder="1" applyProtection="1"/>
    <xf numFmtId="165" fontId="5" fillId="10" borderId="15" xfId="0" applyNumberFormat="1" applyFont="1" applyFill="1" applyBorder="1" applyAlignment="1" applyProtection="1">
      <alignment horizontal="center" vertical="center"/>
      <protection locked="0"/>
    </xf>
    <xf numFmtId="49" fontId="5" fillId="11" borderId="16" xfId="0" quotePrefix="1" applyNumberFormat="1" applyFont="1" applyFill="1" applyBorder="1" applyAlignment="1" applyProtection="1">
      <alignment horizontal="center" vertical="center"/>
    </xf>
    <xf numFmtId="49" fontId="5" fillId="11" borderId="18" xfId="0" quotePrefix="1" applyNumberFormat="1" applyFont="1" applyFill="1" applyBorder="1" applyAlignment="1" applyProtection="1">
      <alignment horizontal="center" vertical="center"/>
    </xf>
    <xf numFmtId="49" fontId="5" fillId="11" borderId="17" xfId="0" quotePrefix="1" applyNumberFormat="1" applyFont="1" applyFill="1" applyBorder="1" applyAlignment="1" applyProtection="1">
      <alignment horizontal="center" vertical="center"/>
    </xf>
    <xf numFmtId="0" fontId="5" fillId="10" borderId="38" xfId="0" applyFont="1" applyFill="1" applyBorder="1" applyAlignment="1" applyProtection="1">
      <alignment horizontal="left" vertical="center"/>
    </xf>
    <xf numFmtId="0" fontId="5" fillId="10" borderId="41" xfId="0" applyFont="1" applyFill="1" applyBorder="1" applyAlignment="1" applyProtection="1">
      <alignment horizontal="left" vertical="center"/>
    </xf>
    <xf numFmtId="49" fontId="5" fillId="10" borderId="16" xfId="0" applyNumberFormat="1" applyFont="1" applyFill="1" applyBorder="1" applyAlignment="1" applyProtection="1">
      <alignment horizontal="center" vertical="center"/>
    </xf>
    <xf numFmtId="49" fontId="5" fillId="10" borderId="18" xfId="0" applyNumberFormat="1" applyFont="1" applyFill="1" applyBorder="1" applyAlignment="1" applyProtection="1">
      <alignment horizontal="center" vertical="center"/>
    </xf>
    <xf numFmtId="49" fontId="5" fillId="10" borderId="17" xfId="0" applyNumberFormat="1" applyFont="1" applyFill="1" applyBorder="1" applyAlignment="1" applyProtection="1">
      <alignment horizontal="center" vertical="center"/>
    </xf>
    <xf numFmtId="0" fontId="18" fillId="0" borderId="0" xfId="0" applyFont="1" applyFill="1" applyBorder="1" applyAlignment="1" applyProtection="1">
      <alignment horizontal="center"/>
    </xf>
    <xf numFmtId="0" fontId="19" fillId="13" borderId="11" xfId="0" applyFont="1" applyFill="1" applyBorder="1" applyAlignment="1" applyProtection="1">
      <alignment horizontal="center" vertical="center"/>
    </xf>
    <xf numFmtId="0" fontId="19" fillId="13" borderId="12" xfId="0" applyFont="1" applyFill="1" applyBorder="1" applyAlignment="1" applyProtection="1">
      <alignment horizontal="center" vertical="center"/>
    </xf>
    <xf numFmtId="0" fontId="19" fillId="13" borderId="13" xfId="0" applyFont="1" applyFill="1" applyBorder="1" applyAlignment="1" applyProtection="1">
      <alignment horizontal="center" vertical="center"/>
    </xf>
    <xf numFmtId="0" fontId="5" fillId="10" borderId="38" xfId="0" applyFont="1" applyFill="1" applyBorder="1" applyAlignment="1" applyProtection="1">
      <alignment horizontal="left" vertical="center" wrapText="1"/>
    </xf>
    <xf numFmtId="0" fontId="5" fillId="10" borderId="41" xfId="0" applyFont="1" applyFill="1" applyBorder="1" applyAlignment="1" applyProtection="1">
      <alignment horizontal="left" vertical="center" wrapText="1"/>
    </xf>
    <xf numFmtId="49" fontId="38" fillId="10" borderId="16" xfId="0" quotePrefix="1" applyNumberFormat="1" applyFont="1" applyFill="1" applyBorder="1" applyAlignment="1" applyProtection="1">
      <alignment horizontal="center" vertical="center"/>
    </xf>
    <xf numFmtId="49" fontId="38" fillId="10" borderId="18" xfId="0" quotePrefix="1" applyNumberFormat="1" applyFont="1" applyFill="1" applyBorder="1" applyAlignment="1" applyProtection="1">
      <alignment horizontal="center" vertical="center"/>
    </xf>
    <xf numFmtId="49" fontId="38" fillId="10" borderId="17" xfId="0" quotePrefix="1" applyNumberFormat="1" applyFont="1" applyFill="1" applyBorder="1" applyAlignment="1" applyProtection="1">
      <alignment horizontal="center" vertical="center"/>
    </xf>
    <xf numFmtId="0" fontId="34" fillId="13" borderId="14" xfId="3" applyFont="1" applyFill="1" applyBorder="1" applyAlignment="1" applyProtection="1">
      <alignment horizontal="center" vertical="center"/>
    </xf>
    <xf numFmtId="0" fontId="34" fillId="13" borderId="1" xfId="3" applyFont="1" applyFill="1" applyBorder="1" applyAlignment="1" applyProtection="1">
      <alignment horizontal="center" vertical="center"/>
    </xf>
    <xf numFmtId="0" fontId="34" fillId="13" borderId="15" xfId="3" applyFont="1" applyFill="1" applyBorder="1" applyAlignment="1" applyProtection="1">
      <alignment horizontal="center" vertical="center"/>
    </xf>
    <xf numFmtId="0" fontId="29" fillId="12" borderId="16" xfId="0" applyFont="1" applyFill="1" applyBorder="1" applyAlignment="1" applyProtection="1">
      <alignment horizontal="left" vertical="center"/>
    </xf>
    <xf numFmtId="0" fontId="29" fillId="12" borderId="18" xfId="0" applyFont="1" applyFill="1" applyBorder="1" applyAlignment="1" applyProtection="1">
      <alignment horizontal="left" vertical="center"/>
    </xf>
    <xf numFmtId="0" fontId="29" fillId="12" borderId="17" xfId="0" applyFont="1" applyFill="1" applyBorder="1" applyAlignment="1" applyProtection="1">
      <alignment horizontal="left" vertical="center"/>
    </xf>
    <xf numFmtId="0" fontId="18" fillId="0" borderId="26" xfId="0" applyFont="1" applyFill="1" applyBorder="1" applyAlignment="1" applyProtection="1">
      <alignment horizontal="center"/>
    </xf>
    <xf numFmtId="0" fontId="34" fillId="13" borderId="34" xfId="3" applyFont="1" applyFill="1" applyBorder="1" applyAlignment="1" applyProtection="1">
      <alignment horizontal="center" vertical="center"/>
    </xf>
    <xf numFmtId="0" fontId="34" fillId="13" borderId="37" xfId="3" applyFont="1" applyFill="1" applyBorder="1" applyAlignment="1" applyProtection="1">
      <alignment horizontal="center" vertical="center"/>
    </xf>
    <xf numFmtId="0" fontId="34" fillId="13" borderId="35" xfId="3" applyFont="1" applyFill="1" applyBorder="1" applyAlignment="1" applyProtection="1">
      <alignment horizontal="center" vertical="center"/>
    </xf>
    <xf numFmtId="0" fontId="34" fillId="13" borderId="36" xfId="3" applyFont="1" applyFill="1" applyBorder="1" applyAlignment="1" applyProtection="1">
      <alignment horizontal="center" vertical="center"/>
    </xf>
    <xf numFmtId="0" fontId="29" fillId="12" borderId="31" xfId="0" applyFont="1" applyFill="1" applyBorder="1" applyAlignment="1" applyProtection="1">
      <alignment horizontal="left" vertical="center"/>
    </xf>
    <xf numFmtId="0" fontId="29" fillId="12" borderId="32" xfId="0" applyFont="1" applyFill="1" applyBorder="1" applyAlignment="1" applyProtection="1">
      <alignment horizontal="left" vertical="center"/>
    </xf>
    <xf numFmtId="0" fontId="29" fillId="12" borderId="33" xfId="0" applyFont="1" applyFill="1" applyBorder="1" applyAlignment="1" applyProtection="1">
      <alignment horizontal="left" vertical="center"/>
    </xf>
    <xf numFmtId="49" fontId="5" fillId="13" borderId="16" xfId="0" quotePrefix="1" applyNumberFormat="1" applyFont="1" applyFill="1" applyBorder="1" applyAlignment="1" applyProtection="1">
      <alignment horizontal="center" vertical="center"/>
    </xf>
    <xf numFmtId="49" fontId="5" fillId="13" borderId="18" xfId="0" quotePrefix="1" applyNumberFormat="1" applyFont="1" applyFill="1" applyBorder="1" applyAlignment="1" applyProtection="1">
      <alignment horizontal="center" vertical="center"/>
    </xf>
    <xf numFmtId="49" fontId="5" fillId="13" borderId="17" xfId="0" quotePrefix="1" applyNumberFormat="1" applyFont="1" applyFill="1" applyBorder="1" applyAlignment="1" applyProtection="1">
      <alignment horizontal="center" vertical="center"/>
    </xf>
    <xf numFmtId="0" fontId="29" fillId="12" borderId="31" xfId="0" applyFont="1" applyFill="1" applyBorder="1" applyAlignment="1" applyProtection="1">
      <alignment horizontal="center" vertical="center"/>
    </xf>
    <xf numFmtId="0" fontId="29" fillId="12" borderId="32" xfId="0" applyFont="1" applyFill="1" applyBorder="1" applyAlignment="1" applyProtection="1">
      <alignment horizontal="center" vertical="center"/>
    </xf>
    <xf numFmtId="0" fontId="29" fillId="12" borderId="33" xfId="0" applyFont="1" applyFill="1" applyBorder="1" applyAlignment="1" applyProtection="1">
      <alignment horizontal="center" vertical="center"/>
    </xf>
    <xf numFmtId="0" fontId="5" fillId="12" borderId="38" xfId="0" applyFont="1" applyFill="1" applyBorder="1" applyAlignment="1" applyProtection="1">
      <alignment horizontal="left" vertical="center"/>
    </xf>
    <xf numFmtId="0" fontId="5" fillId="12" borderId="39" xfId="0" applyFont="1" applyFill="1" applyBorder="1" applyAlignment="1" applyProtection="1">
      <alignment horizontal="left" vertical="center"/>
    </xf>
    <xf numFmtId="0" fontId="5" fillId="12" borderId="40" xfId="0" applyFont="1" applyFill="1" applyBorder="1" applyAlignment="1" applyProtection="1">
      <alignment horizontal="left" vertical="center"/>
    </xf>
    <xf numFmtId="0" fontId="9" fillId="0" borderId="0" xfId="0" applyFont="1" applyAlignment="1" applyProtection="1">
      <alignment horizontal="center"/>
      <protection locked="0"/>
    </xf>
    <xf numFmtId="0" fontId="34" fillId="0" borderId="0" xfId="3" applyFont="1" applyAlignment="1" applyProtection="1">
      <alignment horizontal="center" vertical="center"/>
      <protection locked="0"/>
    </xf>
    <xf numFmtId="0" fontId="34" fillId="0" borderId="0" xfId="3" applyFont="1" applyAlignment="1" applyProtection="1">
      <alignment horizontal="center"/>
      <protection locked="0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169" fontId="2" fillId="0" borderId="0" xfId="0" applyNumberFormat="1" applyFont="1" applyAlignment="1">
      <alignment horizontal="left"/>
    </xf>
    <xf numFmtId="0" fontId="0" fillId="0" borderId="0" xfId="0" applyAlignment="1" applyProtection="1">
      <alignment horizontal="center"/>
    </xf>
    <xf numFmtId="0" fontId="0" fillId="0" borderId="0" xfId="0" applyAlignment="1">
      <alignment horizontal="center"/>
    </xf>
  </cellXfs>
  <cellStyles count="4">
    <cellStyle name="Hyperlink" xfId="3" builtinId="8"/>
    <cellStyle name="Normal" xfId="0" builtinId="0"/>
    <cellStyle name="Normal 2" xfId="2" xr:uid="{00000000-0005-0000-0000-000002000000}"/>
    <cellStyle name="Percent" xfId="1" builtinId="5"/>
  </cellStyles>
  <dxfs count="135"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fill>
        <patternFill>
          <fgColor indexed="64"/>
          <bgColor rgb="FF92D050"/>
        </patternFill>
      </fill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fill>
        <patternFill>
          <fgColor indexed="64"/>
          <bgColor rgb="FF92D050"/>
        </patternFill>
      </fill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color theme="1" tint="0.34998626667073579"/>
      </font>
      <fill>
        <patternFill>
          <bgColor theme="8" tint="0.59996337778862885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  <color theme="1"/>
      </font>
      <fill>
        <patternFill>
          <bgColor rgb="FFFF0000"/>
        </patternFill>
      </fill>
    </dxf>
    <dxf>
      <font>
        <strike/>
      </font>
      <fill>
        <patternFill patternType="solid"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fmlaLink="$J$3" noThreeD="1"/>
</file>

<file path=xl/ctrlProps/ctrlProp2.xml><?xml version="1.0" encoding="utf-8"?>
<formControlPr xmlns="http://schemas.microsoft.com/office/spreadsheetml/2009/9/main" objectType="Radio" firstButton="1" noThreeD="1"/>
</file>

<file path=xl/ctrlProps/ctrlProp3.xml><?xml version="1.0" encoding="utf-8"?>
<formControlPr xmlns="http://schemas.microsoft.com/office/spreadsheetml/2009/9/main" objectType="Radio" checked="Checked" noThreeD="1"/>
</file>

<file path=xl/ctrlProps/ctrlProp4.xml><?xml version="1.0" encoding="utf-8"?>
<formControlPr xmlns="http://schemas.microsoft.com/office/spreadsheetml/2009/9/main" objectType="Radio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5" Type="http://schemas.openxmlformats.org/officeDocument/2006/relationships/image" Target="../media/image2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" Type="http://schemas.openxmlformats.org/officeDocument/2006/relationships/image" Target="../media/image9.png"/><Relationship Id="rId21" Type="http://schemas.openxmlformats.org/officeDocument/2006/relationships/image" Target="../media/image27.png"/><Relationship Id="rId7" Type="http://schemas.openxmlformats.org/officeDocument/2006/relationships/image" Target="../media/image13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0" Type="http://schemas.openxmlformats.org/officeDocument/2006/relationships/image" Target="../media/image26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1" Type="http://schemas.openxmlformats.org/officeDocument/2006/relationships/image" Target="../media/image17.png"/><Relationship Id="rId5" Type="http://schemas.openxmlformats.org/officeDocument/2006/relationships/image" Target="../media/image11.png"/><Relationship Id="rId15" Type="http://schemas.openxmlformats.org/officeDocument/2006/relationships/image" Target="../media/image21.png"/><Relationship Id="rId10" Type="http://schemas.openxmlformats.org/officeDocument/2006/relationships/image" Target="../media/image16.png"/><Relationship Id="rId19" Type="http://schemas.openxmlformats.org/officeDocument/2006/relationships/image" Target="../media/image25.png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35278</xdr:colOff>
      <xdr:row>1</xdr:row>
      <xdr:rowOff>97719</xdr:rowOff>
    </xdr:from>
    <xdr:to>
      <xdr:col>15</xdr:col>
      <xdr:colOff>616303</xdr:colOff>
      <xdr:row>5</xdr:row>
      <xdr:rowOff>31044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35278" y="259997"/>
          <a:ext cx="10211858" cy="928158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380999</xdr:colOff>
      <xdr:row>30</xdr:row>
      <xdr:rowOff>76200</xdr:rowOff>
    </xdr:from>
    <xdr:to>
      <xdr:col>12</xdr:col>
      <xdr:colOff>590549</xdr:colOff>
      <xdr:row>37</xdr:row>
      <xdr:rowOff>76200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990599" y="5572125"/>
          <a:ext cx="7362825" cy="1276350"/>
        </a:xfrm>
        <a:prstGeom prst="rect">
          <a:avLst/>
        </a:prstGeom>
        <a:noFill/>
        <a:ln w="1714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0</xdr:col>
      <xdr:colOff>201611</xdr:colOff>
      <xdr:row>2</xdr:row>
      <xdr:rowOff>44450</xdr:rowOff>
    </xdr:from>
    <xdr:to>
      <xdr:col>9</xdr:col>
      <xdr:colOff>131761</xdr:colOff>
      <xdr:row>4</xdr:row>
      <xdr:rowOff>101600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1520" b="32986"/>
        <a:stretch/>
      </xdr:blipFill>
      <xdr:spPr bwMode="auto">
        <a:xfrm>
          <a:off x="201611" y="361950"/>
          <a:ext cx="6172200" cy="730250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146538</xdr:colOff>
      <xdr:row>9</xdr:row>
      <xdr:rowOff>21168</xdr:rowOff>
    </xdr:from>
    <xdr:to>
      <xdr:col>4</xdr:col>
      <xdr:colOff>-1</xdr:colOff>
      <xdr:row>35</xdr:row>
      <xdr:rowOff>97692</xdr:rowOff>
    </xdr:to>
    <xdr:sp macro="" textlink="">
      <xdr:nvSpPr>
        <xdr:cNvPr id="4" name="Bent Arrow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5763846" y="2988572"/>
          <a:ext cx="280865" cy="6109024"/>
        </a:xfrm>
        <a:prstGeom prst="bentArrow">
          <a:avLst>
            <a:gd name="adj1" fmla="val 21586"/>
            <a:gd name="adj2" fmla="val 25000"/>
            <a:gd name="adj3" fmla="val 25000"/>
            <a:gd name="adj4" fmla="val 55047"/>
          </a:avLst>
        </a:prstGeom>
        <a:solidFill>
          <a:schemeClr val="accent1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18710</xdr:colOff>
      <xdr:row>35</xdr:row>
      <xdr:rowOff>94742</xdr:rowOff>
    </xdr:from>
    <xdr:to>
      <xdr:col>3</xdr:col>
      <xdr:colOff>217714</xdr:colOff>
      <xdr:row>35</xdr:row>
      <xdr:rowOff>168222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 flipV="1">
          <a:off x="5636018" y="9094646"/>
          <a:ext cx="199004" cy="7348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471403</xdr:colOff>
      <xdr:row>12</xdr:row>
      <xdr:rowOff>13280</xdr:rowOff>
    </xdr:from>
    <xdr:to>
      <xdr:col>5</xdr:col>
      <xdr:colOff>3214603</xdr:colOff>
      <xdr:row>12</xdr:row>
      <xdr:rowOff>241880</xdr:rowOff>
    </xdr:to>
    <xdr:sp macro="[0]!Sync1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9605634" y="2944049"/>
          <a:ext cx="2743200" cy="2286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→→CLICK</a:t>
          </a:r>
          <a:r>
            <a:rPr lang="en-US" sz="1400" b="1" baseline="0">
              <a:solidFill>
                <a:sysClr val="windowText" lastClr="000000"/>
              </a:solidFill>
            </a:rPr>
            <a:t> HERE FET1←←</a:t>
          </a:r>
        </a:p>
      </xdr:txBody>
    </xdr:sp>
    <xdr:clientData/>
  </xdr:twoCellAnchor>
  <xdr:twoCellAnchor>
    <xdr:from>
      <xdr:col>6</xdr:col>
      <xdr:colOff>437487</xdr:colOff>
      <xdr:row>12</xdr:row>
      <xdr:rowOff>18241</xdr:rowOff>
    </xdr:from>
    <xdr:to>
      <xdr:col>6</xdr:col>
      <xdr:colOff>3180687</xdr:colOff>
      <xdr:row>13</xdr:row>
      <xdr:rowOff>0</xdr:rowOff>
    </xdr:to>
    <xdr:sp macro="[0]!Sync2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2659062" y="2419063"/>
          <a:ext cx="2743200" cy="18288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→→CLICK</a:t>
          </a:r>
          <a:r>
            <a:rPr lang="en-US" sz="1400" b="1" baseline="0">
              <a:solidFill>
                <a:sysClr val="windowText" lastClr="000000"/>
              </a:solidFill>
            </a:rPr>
            <a:t> HERE FET2←←</a:t>
          </a:r>
        </a:p>
      </xdr:txBody>
    </xdr:sp>
    <xdr:clientData/>
  </xdr:twoCellAnchor>
  <xdr:twoCellAnchor>
    <xdr:from>
      <xdr:col>7</xdr:col>
      <xdr:colOff>430413</xdr:colOff>
      <xdr:row>12</xdr:row>
      <xdr:rowOff>17421</xdr:rowOff>
    </xdr:from>
    <xdr:to>
      <xdr:col>7</xdr:col>
      <xdr:colOff>3173613</xdr:colOff>
      <xdr:row>13</xdr:row>
      <xdr:rowOff>0</xdr:rowOff>
    </xdr:to>
    <xdr:sp macro="[0]!Sync3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16261920" y="2418243"/>
          <a:ext cx="2743200" cy="18288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→→CLICK</a:t>
          </a:r>
          <a:r>
            <a:rPr lang="en-US" sz="1400" b="1" baseline="0">
              <a:solidFill>
                <a:sysClr val="windowText" lastClr="000000"/>
              </a:solidFill>
            </a:rPr>
            <a:t> HERE FET3←←</a:t>
          </a:r>
        </a:p>
      </xdr:txBody>
    </xdr:sp>
    <xdr:clientData/>
  </xdr:twoCellAnchor>
  <xdr:twoCellAnchor>
    <xdr:from>
      <xdr:col>0</xdr:col>
      <xdr:colOff>39688</xdr:colOff>
      <xdr:row>33</xdr:row>
      <xdr:rowOff>11905</xdr:rowOff>
    </xdr:from>
    <xdr:to>
      <xdr:col>3</xdr:col>
      <xdr:colOff>19051</xdr:colOff>
      <xdr:row>37</xdr:row>
      <xdr:rowOff>238124</xdr:rowOff>
    </xdr:to>
    <xdr:sp macro="[0]!Try_Again" textlink="">
      <xdr:nvSpPr>
        <xdr:cNvPr id="15" name="Rounded Rectangl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39688" y="7689055"/>
          <a:ext cx="5694363" cy="1216819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chemeClr val="accent4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solidFill>
                <a:sysClr val="windowText" lastClr="000000"/>
              </a:solidFill>
            </a:rPr>
            <a:t>→→CLICK HERE←←</a:t>
          </a:r>
        </a:p>
        <a:p>
          <a:pPr algn="ctr"/>
          <a:r>
            <a:rPr lang="en-US" sz="2400" b="1" baseline="0">
              <a:solidFill>
                <a:sysClr val="windowText" lastClr="000000"/>
              </a:solidFill>
            </a:rPr>
            <a:t>Start FET Selection</a:t>
          </a:r>
          <a:endParaRPr lang="en-US" sz="2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6237</xdr:colOff>
      <xdr:row>10</xdr:row>
      <xdr:rowOff>11338</xdr:rowOff>
    </xdr:from>
    <xdr:to>
      <xdr:col>6</xdr:col>
      <xdr:colOff>321999</xdr:colOff>
      <xdr:row>26</xdr:row>
      <xdr:rowOff>2686</xdr:rowOff>
    </xdr:to>
    <xdr:sp macro="" textlink="">
      <xdr:nvSpPr>
        <xdr:cNvPr id="13" name="Bent Arrow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2584122" y="1965184"/>
          <a:ext cx="315762" cy="3532694"/>
        </a:xfrm>
        <a:prstGeom prst="bentArrow">
          <a:avLst>
            <a:gd name="adj1" fmla="val 21586"/>
            <a:gd name="adj2" fmla="val 25000"/>
            <a:gd name="adj3" fmla="val 25000"/>
            <a:gd name="adj4" fmla="val 55047"/>
          </a:avLst>
        </a:prstGeom>
        <a:solidFill>
          <a:schemeClr val="accent1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12727</xdr:colOff>
      <xdr:row>10</xdr:row>
      <xdr:rowOff>4331</xdr:rowOff>
    </xdr:from>
    <xdr:to>
      <xdr:col>7</xdr:col>
      <xdr:colOff>324403</xdr:colOff>
      <xdr:row>26</xdr:row>
      <xdr:rowOff>3506</xdr:rowOff>
    </xdr:to>
    <xdr:sp macro="" textlink="">
      <xdr:nvSpPr>
        <xdr:cNvPr id="19" name="Bent Arrow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16205227" y="1901394"/>
          <a:ext cx="311676" cy="5452237"/>
        </a:xfrm>
        <a:prstGeom prst="bentArrow">
          <a:avLst>
            <a:gd name="adj1" fmla="val 21586"/>
            <a:gd name="adj2" fmla="val 25000"/>
            <a:gd name="adj3" fmla="val 25000"/>
            <a:gd name="adj4" fmla="val 55047"/>
          </a:avLst>
        </a:prstGeom>
        <a:solidFill>
          <a:schemeClr val="accent1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6</xdr:row>
          <xdr:rowOff>28575</xdr:rowOff>
        </xdr:from>
        <xdr:to>
          <xdr:col>2</xdr:col>
          <xdr:colOff>523875</xdr:colOff>
          <xdr:row>6</xdr:row>
          <xdr:rowOff>228600</xdr:rowOff>
        </xdr:to>
        <xdr:sp macro="" textlink="">
          <xdr:nvSpPr>
            <xdr:cNvPr id="2149" name="Check Box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1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7</xdr:row>
          <xdr:rowOff>9525</xdr:rowOff>
        </xdr:from>
        <xdr:to>
          <xdr:col>2</xdr:col>
          <xdr:colOff>561975</xdr:colOff>
          <xdr:row>7</xdr:row>
          <xdr:rowOff>228600</xdr:rowOff>
        </xdr:to>
        <xdr:sp macro="" textlink="">
          <xdr:nvSpPr>
            <xdr:cNvPr id="2153" name="Option Button 105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1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8</xdr:row>
          <xdr:rowOff>9525</xdr:rowOff>
        </xdr:from>
        <xdr:to>
          <xdr:col>2</xdr:col>
          <xdr:colOff>561975</xdr:colOff>
          <xdr:row>8</xdr:row>
          <xdr:rowOff>228600</xdr:rowOff>
        </xdr:to>
        <xdr:sp macro="" textlink="">
          <xdr:nvSpPr>
            <xdr:cNvPr id="2154" name="Option Button 106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00000000-0008-0000-01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0</xdr:rowOff>
        </xdr:from>
        <xdr:to>
          <xdr:col>2</xdr:col>
          <xdr:colOff>561975</xdr:colOff>
          <xdr:row>9</xdr:row>
          <xdr:rowOff>219075</xdr:rowOff>
        </xdr:to>
        <xdr:sp macro="" textlink="">
          <xdr:nvSpPr>
            <xdr:cNvPr id="2155" name="Option Button 107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id="{00000000-0008-0000-0100-00006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10</xdr:row>
          <xdr:rowOff>9525</xdr:rowOff>
        </xdr:from>
        <xdr:to>
          <xdr:col>2</xdr:col>
          <xdr:colOff>561975</xdr:colOff>
          <xdr:row>11</xdr:row>
          <xdr:rowOff>0</xdr:rowOff>
        </xdr:to>
        <xdr:sp macro="" textlink="">
          <xdr:nvSpPr>
            <xdr:cNvPr id="2156" name="Option Button 108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:a16="http://schemas.microsoft.com/office/drawing/2014/main" id="{00000000-0008-0000-0100-00006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11</xdr:row>
          <xdr:rowOff>9525</xdr:rowOff>
        </xdr:from>
        <xdr:to>
          <xdr:col>2</xdr:col>
          <xdr:colOff>561975</xdr:colOff>
          <xdr:row>12</xdr:row>
          <xdr:rowOff>0</xdr:rowOff>
        </xdr:to>
        <xdr:sp macro="" textlink="">
          <xdr:nvSpPr>
            <xdr:cNvPr id="2158" name="Option Button 110" hidden="1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:a16="http://schemas.microsoft.com/office/drawing/2014/main" id="{00000000-0008-0000-0100-00006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oneCell">
    <xdr:from>
      <xdr:col>4</xdr:col>
      <xdr:colOff>0</xdr:colOff>
      <xdr:row>0</xdr:row>
      <xdr:rowOff>0</xdr:rowOff>
    </xdr:from>
    <xdr:to>
      <xdr:col>5</xdr:col>
      <xdr:colOff>2418849</xdr:colOff>
      <xdr:row>8</xdr:row>
      <xdr:rowOff>47173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44712" y="0"/>
          <a:ext cx="5410676" cy="2770346"/>
        </a:xfrm>
        <a:prstGeom prst="rect">
          <a:avLst/>
        </a:prstGeom>
        <a:noFill/>
        <a:ln w="9525">
          <a:solidFill>
            <a:schemeClr val="tx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19049</xdr:colOff>
      <xdr:row>19</xdr:row>
      <xdr:rowOff>171450</xdr:rowOff>
    </xdr:from>
    <xdr:to>
      <xdr:col>22</xdr:col>
      <xdr:colOff>290321</xdr:colOff>
      <xdr:row>33</xdr:row>
      <xdr:rowOff>150621</xdr:rowOff>
    </xdr:to>
    <xdr:pic>
      <xdr:nvPicPr>
        <xdr:cNvPr id="2" name="Picture 1" descr="image00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24649" y="3409950"/>
          <a:ext cx="6976872" cy="2646171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19050</xdr:colOff>
      <xdr:row>3</xdr:row>
      <xdr:rowOff>19050</xdr:rowOff>
    </xdr:from>
    <xdr:to>
      <xdr:col>22</xdr:col>
      <xdr:colOff>290824</xdr:colOff>
      <xdr:row>17</xdr:row>
      <xdr:rowOff>95250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24650" y="209550"/>
          <a:ext cx="6977374" cy="2743200"/>
        </a:xfrm>
        <a:prstGeom prst="rect">
          <a:avLst/>
        </a:prstGeom>
        <a:noFill/>
        <a:ln w="9525">
          <a:solidFill>
            <a:schemeClr val="tx1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600075</xdr:colOff>
      <xdr:row>19</xdr:row>
      <xdr:rowOff>180975</xdr:rowOff>
    </xdr:from>
    <xdr:to>
      <xdr:col>10</xdr:col>
      <xdr:colOff>196822</xdr:colOff>
      <xdr:row>34</xdr:row>
      <xdr:rowOff>66675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0075" y="3819525"/>
          <a:ext cx="5692747" cy="2743200"/>
        </a:xfrm>
        <a:prstGeom prst="rect">
          <a:avLst/>
        </a:prstGeom>
        <a:noFill/>
        <a:ln w="9525">
          <a:solidFill>
            <a:schemeClr val="tx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19050</xdr:colOff>
      <xdr:row>37</xdr:row>
      <xdr:rowOff>19049</xdr:rowOff>
    </xdr:from>
    <xdr:to>
      <xdr:col>20</xdr:col>
      <xdr:colOff>229362</xdr:colOff>
      <xdr:row>51</xdr:row>
      <xdr:rowOff>71157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24650" y="7086599"/>
          <a:ext cx="5696712" cy="2719108"/>
        </a:xfrm>
        <a:prstGeom prst="rect">
          <a:avLst/>
        </a:prstGeom>
        <a:noFill/>
        <a:ln w="9525">
          <a:solidFill>
            <a:schemeClr val="tx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600074</xdr:colOff>
      <xdr:row>2</xdr:row>
      <xdr:rowOff>114300</xdr:rowOff>
    </xdr:from>
    <xdr:to>
      <xdr:col>10</xdr:col>
      <xdr:colOff>200786</xdr:colOff>
      <xdr:row>17</xdr:row>
      <xdr:rowOff>174321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0074" y="514350"/>
          <a:ext cx="5696712" cy="2917521"/>
        </a:xfrm>
        <a:prstGeom prst="rect">
          <a:avLst/>
        </a:prstGeom>
        <a:noFill/>
        <a:ln w="9525">
          <a:solidFill>
            <a:schemeClr val="tx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7</xdr:col>
      <xdr:colOff>15240</xdr:colOff>
      <xdr:row>5</xdr:row>
      <xdr:rowOff>38100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65150"/>
          <a:ext cx="3672840" cy="406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22</xdr:row>
      <xdr:rowOff>0</xdr:rowOff>
    </xdr:from>
    <xdr:to>
      <xdr:col>3</xdr:col>
      <xdr:colOff>219075</xdr:colOff>
      <xdr:row>23</xdr:row>
      <xdr:rowOff>152400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343525"/>
          <a:ext cx="1438275" cy="342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27</xdr:row>
      <xdr:rowOff>0</xdr:rowOff>
    </xdr:from>
    <xdr:to>
      <xdr:col>3</xdr:col>
      <xdr:colOff>428625</xdr:colOff>
      <xdr:row>28</xdr:row>
      <xdr:rowOff>47625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286500"/>
          <a:ext cx="164782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43</xdr:row>
      <xdr:rowOff>0</xdr:rowOff>
    </xdr:from>
    <xdr:to>
      <xdr:col>12</xdr:col>
      <xdr:colOff>200025</xdr:colOff>
      <xdr:row>44</xdr:row>
      <xdr:rowOff>161925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8572500"/>
          <a:ext cx="2638425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15</xdr:col>
      <xdr:colOff>19050</xdr:colOff>
      <xdr:row>8</xdr:row>
      <xdr:rowOff>0</xdr:rowOff>
    </xdr:from>
    <xdr:to>
      <xdr:col>16</xdr:col>
      <xdr:colOff>581025</xdr:colOff>
      <xdr:row>9</xdr:row>
      <xdr:rowOff>180975</xdr:rowOff>
    </xdr:to>
    <xdr:pic>
      <xdr:nvPicPr>
        <xdr:cNvPr id="56" name="Picture 55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1552575"/>
          <a:ext cx="1171575" cy="371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15</xdr:col>
      <xdr:colOff>19050</xdr:colOff>
      <xdr:row>18</xdr:row>
      <xdr:rowOff>0</xdr:rowOff>
    </xdr:from>
    <xdr:to>
      <xdr:col>16</xdr:col>
      <xdr:colOff>600075</xdr:colOff>
      <xdr:row>19</xdr:row>
      <xdr:rowOff>180975</xdr:rowOff>
    </xdr:to>
    <xdr:pic>
      <xdr:nvPicPr>
        <xdr:cNvPr id="58" name="Picture 57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3457575"/>
          <a:ext cx="1190625" cy="371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15</xdr:col>
      <xdr:colOff>19050</xdr:colOff>
      <xdr:row>23</xdr:row>
      <xdr:rowOff>0</xdr:rowOff>
    </xdr:from>
    <xdr:to>
      <xdr:col>16</xdr:col>
      <xdr:colOff>571500</xdr:colOff>
      <xdr:row>24</xdr:row>
      <xdr:rowOff>0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4410075"/>
          <a:ext cx="11620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15</xdr:col>
      <xdr:colOff>19050</xdr:colOff>
      <xdr:row>27</xdr:row>
      <xdr:rowOff>0</xdr:rowOff>
    </xdr:from>
    <xdr:to>
      <xdr:col>17</xdr:col>
      <xdr:colOff>228600</xdr:colOff>
      <xdr:row>28</xdr:row>
      <xdr:rowOff>19050</xdr:rowOff>
    </xdr:to>
    <xdr:pic>
      <xdr:nvPicPr>
        <xdr:cNvPr id="60" name="Pictur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172075"/>
          <a:ext cx="14287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34</xdr:row>
      <xdr:rowOff>0</xdr:rowOff>
    </xdr:from>
    <xdr:to>
      <xdr:col>11</xdr:col>
      <xdr:colOff>590550</xdr:colOff>
      <xdr:row>35</xdr:row>
      <xdr:rowOff>161925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6496050"/>
          <a:ext cx="2419350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15</xdr:col>
      <xdr:colOff>0</xdr:colOff>
      <xdr:row>3</xdr:row>
      <xdr:rowOff>0</xdr:rowOff>
    </xdr:from>
    <xdr:to>
      <xdr:col>21</xdr:col>
      <xdr:colOff>581025</xdr:colOff>
      <xdr:row>4</xdr:row>
      <xdr:rowOff>152400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609600"/>
          <a:ext cx="4238625" cy="342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15</xdr:col>
      <xdr:colOff>0</xdr:colOff>
      <xdr:row>13</xdr:row>
      <xdr:rowOff>0</xdr:rowOff>
    </xdr:from>
    <xdr:to>
      <xdr:col>21</xdr:col>
      <xdr:colOff>142875</xdr:colOff>
      <xdr:row>14</xdr:row>
      <xdr:rowOff>152400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2505075"/>
          <a:ext cx="3800475" cy="342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16</xdr:row>
      <xdr:rowOff>0</xdr:rowOff>
    </xdr:from>
    <xdr:to>
      <xdr:col>11</xdr:col>
      <xdr:colOff>352425</xdr:colOff>
      <xdr:row>18</xdr:row>
      <xdr:rowOff>28575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3076575"/>
          <a:ext cx="2181225" cy="409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3</xdr:row>
      <xdr:rowOff>0</xdr:rowOff>
    </xdr:from>
    <xdr:to>
      <xdr:col>14</xdr:col>
      <xdr:colOff>228600</xdr:colOff>
      <xdr:row>5</xdr:row>
      <xdr:rowOff>28575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609600"/>
          <a:ext cx="3886200" cy="409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9</xdr:row>
      <xdr:rowOff>0</xdr:rowOff>
    </xdr:from>
    <xdr:to>
      <xdr:col>3</xdr:col>
      <xdr:colOff>228600</xdr:colOff>
      <xdr:row>11</xdr:row>
      <xdr:rowOff>19050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505075"/>
          <a:ext cx="1447800" cy="400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13</xdr:row>
      <xdr:rowOff>0</xdr:rowOff>
    </xdr:from>
    <xdr:to>
      <xdr:col>3</xdr:col>
      <xdr:colOff>161925</xdr:colOff>
      <xdr:row>15</xdr:row>
      <xdr:rowOff>142875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267075"/>
          <a:ext cx="1381125" cy="523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18</xdr:row>
      <xdr:rowOff>0</xdr:rowOff>
    </xdr:from>
    <xdr:to>
      <xdr:col>3</xdr:col>
      <xdr:colOff>171450</xdr:colOff>
      <xdr:row>19</xdr:row>
      <xdr:rowOff>19050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219575"/>
          <a:ext cx="13906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8</xdr:row>
      <xdr:rowOff>0</xdr:rowOff>
    </xdr:from>
    <xdr:to>
      <xdr:col>13</xdr:col>
      <xdr:colOff>257175</xdr:colOff>
      <xdr:row>10</xdr:row>
      <xdr:rowOff>19050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1552575"/>
          <a:ext cx="3305175" cy="400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11</xdr:row>
      <xdr:rowOff>0</xdr:rowOff>
    </xdr:from>
    <xdr:to>
      <xdr:col>13</xdr:col>
      <xdr:colOff>314325</xdr:colOff>
      <xdr:row>13</xdr:row>
      <xdr:rowOff>19050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2124075"/>
          <a:ext cx="3362325" cy="400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21</xdr:row>
      <xdr:rowOff>0</xdr:rowOff>
    </xdr:from>
    <xdr:to>
      <xdr:col>13</xdr:col>
      <xdr:colOff>342900</xdr:colOff>
      <xdr:row>23</xdr:row>
      <xdr:rowOff>19050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4029075"/>
          <a:ext cx="3390900" cy="400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24</xdr:row>
      <xdr:rowOff>0</xdr:rowOff>
    </xdr:from>
    <xdr:to>
      <xdr:col>13</xdr:col>
      <xdr:colOff>400050</xdr:colOff>
      <xdr:row>26</xdr:row>
      <xdr:rowOff>19050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4600575"/>
          <a:ext cx="3448050" cy="400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29</xdr:row>
      <xdr:rowOff>0</xdr:rowOff>
    </xdr:from>
    <xdr:to>
      <xdr:col>11</xdr:col>
      <xdr:colOff>504825</xdr:colOff>
      <xdr:row>30</xdr:row>
      <xdr:rowOff>171450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5553075"/>
          <a:ext cx="2333625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39</xdr:row>
      <xdr:rowOff>0</xdr:rowOff>
    </xdr:from>
    <xdr:to>
      <xdr:col>12</xdr:col>
      <xdr:colOff>552450</xdr:colOff>
      <xdr:row>40</xdr:row>
      <xdr:rowOff>19050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7448550"/>
          <a:ext cx="29908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Discrete_NFET" displayName="Discrete_NFET" ref="A1:CF144" totalsRowShown="0" headerRowDxfId="85" dataDxfId="84">
  <autoFilter ref="A1:CF144" xr:uid="{00000000-0009-0000-0100-000001000000}"/>
  <sortState xmlns:xlrd2="http://schemas.microsoft.com/office/spreadsheetml/2017/richdata2" ref="A2:CF144">
    <sortCondition ref="A1:A144"/>
  </sortState>
  <tableColumns count="84">
    <tableColumn id="1" xr3:uid="{00000000-0010-0000-0000-000001000000}" name="PARTNUMBER" dataDxfId="83"/>
    <tableColumn id="2" xr3:uid="{00000000-0010-0000-0000-000002000000}" name="PARTID" dataDxfId="82"/>
    <tableColumn id="3" xr3:uid="{00000000-0010-0000-0000-000003000000}" name="WIZARD_ENABLED" dataDxfId="81"/>
    <tableColumn id="4" xr3:uid="{00000000-0010-0000-0000-000004000000}" name="AVAILABLE" dataDxfId="80"/>
    <tableColumn id="5" xr3:uid="{00000000-0010-0000-0000-000005000000}" name="SCHEMATIC_SYMBOL" dataDxfId="79"/>
    <tableColumn id="6" xr3:uid="{00000000-0010-0000-0000-000006000000}" name="THERMAL_ID" dataDxfId="78"/>
    <tableColumn id="7" xr3:uid="{00000000-0010-0000-0000-000007000000}" name="COMMENTS" dataDxfId="77"/>
    <tableColumn id="8" xr3:uid="{00000000-0010-0000-0000-000008000000}" name="CHTYPE" dataDxfId="76"/>
    <tableColumn id="9" xr3:uid="{00000000-0010-0000-0000-000009000000}" name="CHNUM" dataDxfId="75"/>
    <tableColumn id="10" xr3:uid="{00000000-0010-0000-0000-00000A000000}" name="SUBID" dataDxfId="74"/>
    <tableColumn id="11" xr3:uid="{00000000-0010-0000-0000-00000B000000}" name="MOUNT" dataDxfId="73"/>
    <tableColumn id="12" xr3:uid="{00000000-0010-0000-0000-00000C000000}" name="VDSMAX" dataDxfId="72"/>
    <tableColumn id="13" xr3:uid="{00000000-0010-0000-0000-00000D000000}" name="VGSMAX" dataDxfId="71"/>
    <tableColumn id="14" xr3:uid="{00000000-0010-0000-0000-00000E000000}" name="IDSMAX" dataDxfId="70"/>
    <tableColumn id="15" xr3:uid="{00000000-0010-0000-0000-00000F000000}" name="IDMMAX" dataDxfId="69"/>
    <tableColumn id="16" xr3:uid="{00000000-0010-0000-0000-000010000000}" name="TJMAX" dataDxfId="68"/>
    <tableColumn id="17" xr3:uid="{00000000-0010-0000-0000-000011000000}" name="PDMAX" dataDxfId="67"/>
    <tableColumn id="18" xr3:uid="{00000000-0010-0000-0000-000012000000}" name="RTHJA" dataDxfId="66"/>
    <tableColumn id="19" xr3:uid="{00000000-0010-0000-0000-000013000000}" name="RTHJF" dataDxfId="65"/>
    <tableColumn id="20" xr3:uid="{00000000-0010-0000-0000-000014000000}" name="VTHMIN" dataDxfId="64"/>
    <tableColumn id="21" xr3:uid="{00000000-0010-0000-0000-000015000000}" name="VTHMAX" dataDxfId="63"/>
    <tableColumn id="81" xr3:uid="{00000000-0010-0000-0000-000051000000}" name="VMILLER" dataDxfId="62"/>
    <tableColumn id="22" xr3:uid="{00000000-0010-0000-0000-000016000000}" name="VFMAX" dataDxfId="61"/>
    <tableColumn id="23" xr3:uid="{00000000-0010-0000-0000-000017000000}" name="TRRTYP" dataDxfId="60"/>
    <tableColumn id="24" xr3:uid="{00000000-0010-0000-0000-000018000000}" name="TRRIF" dataDxfId="59"/>
    <tableColumn id="25" xr3:uid="{00000000-0010-0000-0000-000019000000}" name="TRRISR" dataDxfId="58"/>
    <tableColumn id="26" xr3:uid="{00000000-0010-0000-0000-00001A000000}" name="GFSTYP" dataDxfId="57"/>
    <tableColumn id="27" xr3:uid="{00000000-0010-0000-0000-00001B000000}" name="RGITYP" dataDxfId="56"/>
    <tableColumn id="80" xr3:uid="{00000000-0010-0000-0000-000050000000}" name="RDSON18" dataDxfId="55"/>
    <tableColumn id="29" xr3:uid="{00000000-0010-0000-0000-00001D000000}" name="RDSON25" dataDxfId="54"/>
    <tableColumn id="78" xr3:uid="{00000000-0010-0000-0000-00004E000000}" name="RDSON3" dataDxfId="53"/>
    <tableColumn id="30" xr3:uid="{00000000-0010-0000-0000-00001E000000}" name="RDSON45" dataDxfId="52"/>
    <tableColumn id="31" xr3:uid="{00000000-0010-0000-0000-00001F000000}" name="RDSON6" dataDxfId="51"/>
    <tableColumn id="32" xr3:uid="{00000000-0010-0000-0000-000020000000}" name="RDSON8" dataDxfId="50"/>
    <tableColumn id="33" xr3:uid="{00000000-0010-0000-0000-000021000000}" name="RDSON10" dataDxfId="49"/>
    <tableColumn id="34" xr3:uid="{00000000-0010-0000-0000-000022000000}" name="RDSDELTA" dataDxfId="48"/>
    <tableColumn id="82" xr3:uid="{00000000-0010-0000-0000-000052000000}" name="QGTYP" dataDxfId="47"/>
    <tableColumn id="35" xr3:uid="{00000000-0010-0000-0000-000023000000}" name="QG2_5TYP" dataDxfId="46"/>
    <tableColumn id="36" xr3:uid="{00000000-0010-0000-0000-000024000000}" name="QGTH" dataDxfId="45"/>
    <tableColumn id="37" xr3:uid="{00000000-0010-0000-0000-000025000000}" name="QG10TYP" dataDxfId="44"/>
    <tableColumn id="84" xr3:uid="{00000000-0010-0000-0000-000054000000}" name="QOSSTYP" dataDxfId="43"/>
    <tableColumn id="38" xr3:uid="{00000000-0010-0000-0000-000026000000}" name="CISS_AT_1V" dataDxfId="42"/>
    <tableColumn id="39" xr3:uid="{00000000-0010-0000-0000-000027000000}" name="CISS_AT_VDSSPEC" dataDxfId="41"/>
    <tableColumn id="40" xr3:uid="{00000000-0010-0000-0000-000028000000}" name="CISSMAX" dataDxfId="40"/>
    <tableColumn id="41" xr3:uid="{00000000-0010-0000-0000-000029000000}" name="COSS_AT_1V" dataDxfId="39"/>
    <tableColumn id="42" xr3:uid="{00000000-0010-0000-0000-00002A000000}" name="COSS_AT_VDSSPEC" dataDxfId="38"/>
    <tableColumn id="43" xr3:uid="{00000000-0010-0000-0000-00002B000000}" name="COSSMAX" dataDxfId="37"/>
    <tableColumn id="44" xr3:uid="{00000000-0010-0000-0000-00002C000000}" name="CRSS_AT_1V" dataDxfId="36"/>
    <tableColumn id="45" xr3:uid="{00000000-0010-0000-0000-00002D000000}" name="CRSS_AT_VDSSPEC" dataDxfId="35"/>
    <tableColumn id="46" xr3:uid="{00000000-0010-0000-0000-00002E000000}" name="CRSSMAX" dataDxfId="34"/>
    <tableColumn id="47" xr3:uid="{00000000-0010-0000-0000-00002F000000}" name="VDSSPEC" dataDxfId="33"/>
    <tableColumn id="48" xr3:uid="{00000000-0010-0000-0000-000030000000}" name="SOATIME_MS" dataDxfId="32"/>
    <tableColumn id="49" xr3:uid="{00000000-0010-0000-0000-000031000000}" name="VDS_START" dataDxfId="31"/>
    <tableColumn id="50" xr3:uid="{00000000-0010-0000-0000-000032000000}" name="ID_START" dataDxfId="30"/>
    <tableColumn id="51" xr3:uid="{00000000-0010-0000-0000-000033000000}" name="VDS_1STDROP" dataDxfId="29"/>
    <tableColumn id="52" xr3:uid="{00000000-0010-0000-0000-000034000000}" name="ID_1STDROP" dataDxfId="28"/>
    <tableColumn id="53" xr3:uid="{00000000-0010-0000-0000-000035000000}" name="VDS_2NDDROP" dataDxfId="27"/>
    <tableColumn id="54" xr3:uid="{00000000-0010-0000-0000-000036000000}" name="ID_2NDDROP" dataDxfId="26"/>
    <tableColumn id="55" xr3:uid="{00000000-0010-0000-0000-000037000000}" name="VDS_3RDDROP" dataDxfId="25"/>
    <tableColumn id="56" xr3:uid="{00000000-0010-0000-0000-000038000000}" name="ID_3RDDROP" dataDxfId="24"/>
    <tableColumn id="57" xr3:uid="{00000000-0010-0000-0000-000039000000}" name="VDS_END" dataDxfId="23"/>
    <tableColumn id="58" xr3:uid="{00000000-0010-0000-0000-00003A000000}" name="ID_END" dataDxfId="22"/>
    <tableColumn id="59" xr3:uid="{00000000-0010-0000-0000-00003B000000}" name="KQG" dataDxfId="21"/>
    <tableColumn id="60" xr3:uid="{00000000-0010-0000-0000-00003C000000}" name="POWERBLOCK" dataDxfId="20"/>
    <tableColumn id="61" xr3:uid="{00000000-0010-0000-0000-00003D000000}" name="VF_TYP" dataDxfId="19"/>
    <tableColumn id="62" xr3:uid="{00000000-0010-0000-0000-00003E000000}" name="HEATSINKABLE" dataDxfId="18"/>
    <tableColumn id="63" xr3:uid="{00000000-0010-0000-0000-00003F000000}" name="PACKAGE" dataDxfId="17"/>
    <tableColumn id="64" xr3:uid="{00000000-0010-0000-0000-000040000000}" name="CGS1" dataDxfId="16"/>
    <tableColumn id="65" xr3:uid="{00000000-0010-0000-0000-000041000000}" name="ROHS" dataDxfId="15"/>
    <tableColumn id="66" xr3:uid="{00000000-0010-0000-0000-000042000000}" name="DATASHEET_URL" dataDxfId="14"/>
    <tableColumn id="67" xr3:uid="{00000000-0010-0000-0000-000043000000}" name="KVTH" dataDxfId="13"/>
    <tableColumn id="68" xr3:uid="{00000000-0010-0000-0000-000044000000}" name="RGIMAX" dataDxfId="12"/>
    <tableColumn id="69" xr3:uid="{00000000-0010-0000-0000-000045000000}" name="VGSATMAXRDS" dataDxfId="11"/>
    <tableColumn id="70" xr3:uid="{00000000-0010-0000-0000-000046000000}" name="QRR" dataDxfId="10"/>
    <tableColumn id="71" xr3:uid="{00000000-0010-0000-0000-000047000000}" name="QGD" dataDxfId="9"/>
    <tableColumn id="72" xr3:uid="{00000000-0010-0000-0000-000048000000}" name="QGS" dataDxfId="8"/>
    <tableColumn id="73" xr3:uid="{00000000-0010-0000-0000-000049000000}" name="DEPLETIONMODE" dataDxfId="7"/>
    <tableColumn id="74" xr3:uid="{00000000-0010-0000-0000-00004A000000}" name="TI_EQ_PACKAGE" dataDxfId="6"/>
    <tableColumn id="75" xr3:uid="{00000000-0010-0000-0000-00004B000000}" name="AUTOMOTIVE" dataDxfId="5"/>
    <tableColumn id="76" xr3:uid="{00000000-0010-0000-0000-00004C000000}" name="GRADE" dataDxfId="4"/>
    <tableColumn id="77" xr3:uid="{00000000-0010-0000-0000-00004D000000}" name="TIMESTAMP" dataDxfId="3"/>
    <tableColumn id="79" xr3:uid="{00000000-0010-0000-0000-00004F000000}" name="DATEMODIFIED" dataDxfId="2"/>
    <tableColumn id="28" xr3:uid="{00000000-0010-0000-0000-00001C000000}" name="ID" dataDxfId="1"/>
    <tableColumn id="83" xr3:uid="{00000000-0010-0000-0000-000053000000}" name="1KPRICE" dataDxfId="0"/>
  </tableColumns>
  <tableStyleInfo name="TableStyleMedium9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e2e.ti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2.xml"/><Relationship Id="rId13" Type="http://schemas.openxmlformats.org/officeDocument/2006/relationships/ctrlProp" Target="../ctrlProps/ctrlProp4.xml"/><Relationship Id="rId3" Type="http://schemas.openxmlformats.org/officeDocument/2006/relationships/hyperlink" Target="https://www.ti.com/power-management/mosfets/n-channel-transistors/products.html" TargetMode="External"/><Relationship Id="rId7" Type="http://schemas.openxmlformats.org/officeDocument/2006/relationships/printerSettings" Target="../printerSettings/printerSettings2.bin"/><Relationship Id="rId12" Type="http://schemas.openxmlformats.org/officeDocument/2006/relationships/ctrlProp" Target="../ctrlProps/ctrlProp3.xml"/><Relationship Id="rId2" Type="http://schemas.openxmlformats.org/officeDocument/2006/relationships/hyperlink" Target="https://www.ti.com/power-management/mosfets/power-blocks/products.html" TargetMode="External"/><Relationship Id="rId16" Type="http://schemas.openxmlformats.org/officeDocument/2006/relationships/comments" Target="../comments1.xml"/><Relationship Id="rId1" Type="http://schemas.openxmlformats.org/officeDocument/2006/relationships/hyperlink" Target="http://www.ti.com/power-management/mosfets/n-channel-transistors/products.html" TargetMode="External"/><Relationship Id="rId6" Type="http://schemas.openxmlformats.org/officeDocument/2006/relationships/hyperlink" Target="https://e2e.ti.com/blogs_/b/powerhouse/archive/2019/10/29/selecting-the-right-power-mosfet-power-block-package-for-your-application" TargetMode="External"/><Relationship Id="rId11" Type="http://schemas.openxmlformats.org/officeDocument/2006/relationships/ctrlProp" Target="../ctrlProps/ctrlProp2.xml"/><Relationship Id="rId5" Type="http://schemas.openxmlformats.org/officeDocument/2006/relationships/hyperlink" Target="https://www.ti.com/motor-drivers/brushless-dc-bldc-drivers/products.html" TargetMode="External"/><Relationship Id="rId15" Type="http://schemas.openxmlformats.org/officeDocument/2006/relationships/ctrlProp" Target="../ctrlProps/ctrlProp6.xml"/><Relationship Id="rId10" Type="http://schemas.openxmlformats.org/officeDocument/2006/relationships/ctrlProp" Target="../ctrlProps/ctrlProp1.xml"/><Relationship Id="rId4" Type="http://schemas.openxmlformats.org/officeDocument/2006/relationships/hyperlink" Target="https://www.ti.com/power-management/mosfets/power-blocks/products.html" TargetMode="External"/><Relationship Id="rId9" Type="http://schemas.openxmlformats.org/officeDocument/2006/relationships/vmlDrawing" Target="../drawings/vmlDrawing1.vm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ti.com/motor-drivers/brushless-dc-bldc-drivers/overview.html" TargetMode="External"/><Relationship Id="rId2" Type="http://schemas.openxmlformats.org/officeDocument/2006/relationships/hyperlink" Target="https://www.ti.com/motor-drivers/brushless-dc-bldc-drivers/overview.html" TargetMode="External"/><Relationship Id="rId1" Type="http://schemas.openxmlformats.org/officeDocument/2006/relationships/hyperlink" Target="https://training.ti.com/ti-precision-labs-motor-drivers?context=1139747-1138777" TargetMode="Externa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://www.ti.com/lit/ds/symlink/csd17522q5a.pdf" TargetMode="External"/><Relationship Id="rId13" Type="http://schemas.openxmlformats.org/officeDocument/2006/relationships/hyperlink" Target="http://www.ti.com/lit/ds/symlink/csd17552q5a.pdf" TargetMode="External"/><Relationship Id="rId18" Type="http://schemas.openxmlformats.org/officeDocument/2006/relationships/hyperlink" Target="http://www.ti.com/lit/ds/symlink/csd18510q5b.pdf" TargetMode="External"/><Relationship Id="rId26" Type="http://schemas.openxmlformats.org/officeDocument/2006/relationships/hyperlink" Target="http://www.ti.com/lit/ds/symlink/csd88599q5dc.pdf" TargetMode="External"/><Relationship Id="rId3" Type="http://schemas.openxmlformats.org/officeDocument/2006/relationships/hyperlink" Target="http://www.ti.com/lit/ds/symlink/csd17501q5a.pdf" TargetMode="External"/><Relationship Id="rId21" Type="http://schemas.openxmlformats.org/officeDocument/2006/relationships/hyperlink" Target="http://www.ti.com/lit/ds/symlink/csd18543q3a.pdf" TargetMode="External"/><Relationship Id="rId7" Type="http://schemas.openxmlformats.org/officeDocument/2006/relationships/hyperlink" Target="http://www.ti.com/lit/ds/symlink/csd17510q5a.pdf" TargetMode="External"/><Relationship Id="rId12" Type="http://schemas.openxmlformats.org/officeDocument/2006/relationships/hyperlink" Target="http://www.ti.com/lit/ds/symlink/csd17552q3a.pdf" TargetMode="External"/><Relationship Id="rId17" Type="http://schemas.openxmlformats.org/officeDocument/2006/relationships/hyperlink" Target="http://www.ti.com/lit/ds/symlink/csd18510ktt.pdf" TargetMode="External"/><Relationship Id="rId25" Type="http://schemas.openxmlformats.org/officeDocument/2006/relationships/hyperlink" Target="http://www.ti.com/lit/ds/symlink/csd88584q5dc.pdf" TargetMode="External"/><Relationship Id="rId2" Type="http://schemas.openxmlformats.org/officeDocument/2006/relationships/hyperlink" Target="http://www.ti.com/lit/ds/symlink/csd17581q5a.pdf" TargetMode="External"/><Relationship Id="rId16" Type="http://schemas.openxmlformats.org/officeDocument/2006/relationships/hyperlink" Target="http://www.ti.com/lit/ds/symlink/csd18510kcs.pdf" TargetMode="External"/><Relationship Id="rId20" Type="http://schemas.openxmlformats.org/officeDocument/2006/relationships/hyperlink" Target="http://www.ti.com/lit/ds/symlink/csd18511ktt.pdf" TargetMode="External"/><Relationship Id="rId29" Type="http://schemas.openxmlformats.org/officeDocument/2006/relationships/printerSettings" Target="../printerSettings/printerSettings8.bin"/><Relationship Id="rId1" Type="http://schemas.openxmlformats.org/officeDocument/2006/relationships/hyperlink" Target="http://www.ti.com/lit/ds/symlink/csd17318q2.pdf" TargetMode="External"/><Relationship Id="rId6" Type="http://schemas.openxmlformats.org/officeDocument/2006/relationships/hyperlink" Target="http://www.ti.com/lit/ds/symlink/csd17507q5a.pdf" TargetMode="External"/><Relationship Id="rId11" Type="http://schemas.openxmlformats.org/officeDocument/2006/relationships/hyperlink" Target="http://www.ti.com/lit/ds/symlink/csd17551q5a.pdf" TargetMode="External"/><Relationship Id="rId24" Type="http://schemas.openxmlformats.org/officeDocument/2006/relationships/hyperlink" Target="http://www.ti.com/lit/ds/symlink/csd88584q5dc.pdf" TargetMode="External"/><Relationship Id="rId5" Type="http://schemas.openxmlformats.org/officeDocument/2006/relationships/hyperlink" Target="http://www.ti.com/lit/ds/symlink/csd17506q5a.pdf" TargetMode="External"/><Relationship Id="rId15" Type="http://schemas.openxmlformats.org/officeDocument/2006/relationships/hyperlink" Target="http://www.ti.com/lit/ds/symlink/csd17555q5a.pdf" TargetMode="External"/><Relationship Id="rId23" Type="http://schemas.openxmlformats.org/officeDocument/2006/relationships/hyperlink" Target="http://www.ti.com/lit/ds/symlink/csd17575q3.pdf" TargetMode="External"/><Relationship Id="rId28" Type="http://schemas.openxmlformats.org/officeDocument/2006/relationships/hyperlink" Target="http://www.ti.com/lit/ds/symlink/csd87502q2.pdf" TargetMode="External"/><Relationship Id="rId10" Type="http://schemas.openxmlformats.org/officeDocument/2006/relationships/hyperlink" Target="http://www.ti.com/lit/ds/symlink/csd17551q3a.pdf" TargetMode="External"/><Relationship Id="rId19" Type="http://schemas.openxmlformats.org/officeDocument/2006/relationships/hyperlink" Target="http://www.ti.com/lit/ds/symlink/csd18511kcs.pdf" TargetMode="External"/><Relationship Id="rId4" Type="http://schemas.openxmlformats.org/officeDocument/2006/relationships/hyperlink" Target="http://www.ti.com/lit/ds/symlink/csd17505q5a.pdf" TargetMode="External"/><Relationship Id="rId9" Type="http://schemas.openxmlformats.org/officeDocument/2006/relationships/hyperlink" Target="http://www.ti.com/lit/ds/symlink/csd17527q5a.pdf" TargetMode="External"/><Relationship Id="rId14" Type="http://schemas.openxmlformats.org/officeDocument/2006/relationships/hyperlink" Target="http://www.ti.com/lit/ds/symlink/csd17553q5a.pdf" TargetMode="External"/><Relationship Id="rId22" Type="http://schemas.openxmlformats.org/officeDocument/2006/relationships/hyperlink" Target="http://www.ti.com/lit/ds/symlink/csd85301q2.pdf" TargetMode="External"/><Relationship Id="rId27" Type="http://schemas.openxmlformats.org/officeDocument/2006/relationships/hyperlink" Target="http://www.ti.com/lit/ds/symlink/csd88599q5dc.pdf" TargetMode="External"/><Relationship Id="rId30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75"/>
  <sheetViews>
    <sheetView topLeftCell="A4" zoomScaleNormal="100" workbookViewId="0">
      <selection activeCell="P27" sqref="P26:P27"/>
    </sheetView>
  </sheetViews>
  <sheetFormatPr defaultColWidth="9.140625" defaultRowHeight="12.75" x14ac:dyDescent="0.2"/>
  <cols>
    <col min="1" max="1" width="9.140625" style="23"/>
    <col min="2" max="2" width="15.85546875" style="23" customWidth="1"/>
    <col min="3" max="15" width="9.140625" style="23"/>
    <col min="16" max="16" width="17.7109375" style="23" customWidth="1"/>
    <col min="17" max="16384" width="9.140625" style="23"/>
  </cols>
  <sheetData>
    <row r="1" spans="1:16" ht="12.6" customHeight="1" thickTop="1" x14ac:dyDescent="0.2">
      <c r="A1" s="50"/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2"/>
    </row>
    <row r="2" spans="1:16" x14ac:dyDescent="0.2">
      <c r="A2" s="53"/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5"/>
    </row>
    <row r="3" spans="1:16" ht="30" x14ac:dyDescent="0.4">
      <c r="A3" s="53"/>
      <c r="B3" s="54"/>
      <c r="C3" s="54"/>
      <c r="D3" s="56"/>
      <c r="E3" s="54"/>
      <c r="F3" s="54"/>
      <c r="G3" s="54"/>
      <c r="H3" s="54"/>
      <c r="I3" s="54"/>
      <c r="J3" s="54"/>
      <c r="K3" s="54"/>
      <c r="L3" s="57"/>
      <c r="M3" s="54"/>
      <c r="N3" s="54"/>
      <c r="O3" s="54"/>
      <c r="P3" s="55"/>
    </row>
    <row r="4" spans="1:16" ht="23.25" x14ac:dyDescent="0.35">
      <c r="A4" s="53"/>
      <c r="B4" s="54"/>
      <c r="C4" s="54"/>
      <c r="D4" s="58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5"/>
    </row>
    <row r="5" spans="1:16" x14ac:dyDescent="0.2">
      <c r="A5" s="53"/>
      <c r="B5" s="54"/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5"/>
    </row>
    <row r="6" spans="1:16" x14ac:dyDescent="0.2">
      <c r="A6" s="53"/>
      <c r="B6" s="54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5"/>
    </row>
    <row r="7" spans="1:16" ht="15.75" x14ac:dyDescent="0.25">
      <c r="A7" s="53"/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7" t="s">
        <v>698</v>
      </c>
      <c r="N7" s="54"/>
      <c r="O7" s="54"/>
      <c r="P7" s="55"/>
    </row>
    <row r="8" spans="1:16" ht="30" x14ac:dyDescent="0.4">
      <c r="A8" s="53"/>
      <c r="B8" s="56" t="s">
        <v>633</v>
      </c>
      <c r="C8" s="54"/>
      <c r="D8" s="54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5"/>
    </row>
    <row r="9" spans="1:16" ht="30.75" thickBot="1" x14ac:dyDescent="0.45">
      <c r="A9" s="53"/>
      <c r="B9" s="56" t="s">
        <v>701</v>
      </c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5"/>
    </row>
    <row r="10" spans="1:16" ht="14.25" x14ac:dyDescent="0.2">
      <c r="A10" s="82"/>
      <c r="B10" s="83" t="s">
        <v>559</v>
      </c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3"/>
      <c r="N10" s="83"/>
      <c r="O10" s="83"/>
      <c r="P10" s="85"/>
    </row>
    <row r="11" spans="1:16" ht="14.25" x14ac:dyDescent="0.2">
      <c r="A11" s="86"/>
      <c r="B11" s="87" t="s">
        <v>705</v>
      </c>
      <c r="C11" s="88"/>
      <c r="D11" s="88"/>
      <c r="E11" s="88"/>
      <c r="F11" s="88"/>
      <c r="G11" s="88"/>
      <c r="H11" s="88"/>
      <c r="I11" s="88"/>
      <c r="J11" s="88"/>
      <c r="K11" s="88"/>
      <c r="L11" s="88"/>
      <c r="M11" s="87"/>
      <c r="N11" s="87"/>
      <c r="O11" s="87"/>
      <c r="P11" s="89"/>
    </row>
    <row r="12" spans="1:16" ht="14.25" x14ac:dyDescent="0.2">
      <c r="A12" s="86"/>
      <c r="B12" s="87" t="s">
        <v>706</v>
      </c>
      <c r="C12" s="88"/>
      <c r="D12" s="88"/>
      <c r="E12" s="88"/>
      <c r="F12" s="88"/>
      <c r="G12" s="88"/>
      <c r="H12" s="88"/>
      <c r="I12" s="88"/>
      <c r="J12" s="88"/>
      <c r="K12" s="88"/>
      <c r="L12" s="88"/>
      <c r="M12" s="87"/>
      <c r="N12" s="87"/>
      <c r="O12" s="87"/>
      <c r="P12" s="89"/>
    </row>
    <row r="13" spans="1:16" ht="14.25" x14ac:dyDescent="0.2">
      <c r="A13" s="86"/>
      <c r="B13" s="87" t="s">
        <v>560</v>
      </c>
      <c r="C13" s="87"/>
      <c r="D13" s="87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7"/>
      <c r="P13" s="89"/>
    </row>
    <row r="14" spans="1:16" ht="14.25" x14ac:dyDescent="0.2">
      <c r="A14" s="86"/>
      <c r="B14" s="87" t="s">
        <v>634</v>
      </c>
      <c r="C14" s="87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9"/>
    </row>
    <row r="15" spans="1:16" ht="14.25" x14ac:dyDescent="0.2">
      <c r="A15" s="86"/>
      <c r="B15" s="87" t="s">
        <v>497</v>
      </c>
      <c r="C15" s="87"/>
      <c r="D15" s="87"/>
      <c r="E15" s="87"/>
      <c r="F15" s="87"/>
      <c r="G15" s="87"/>
      <c r="H15" s="87"/>
      <c r="I15" s="87"/>
      <c r="J15" s="87"/>
      <c r="K15" s="87"/>
      <c r="L15" s="87"/>
      <c r="M15" s="87"/>
      <c r="N15" s="87"/>
      <c r="O15" s="87"/>
      <c r="P15" s="89"/>
    </row>
    <row r="16" spans="1:16" ht="14.25" x14ac:dyDescent="0.2">
      <c r="A16" s="86"/>
      <c r="B16" s="87" t="s">
        <v>561</v>
      </c>
      <c r="C16" s="87"/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9"/>
    </row>
    <row r="17" spans="1:16" ht="14.25" x14ac:dyDescent="0.2">
      <c r="A17" s="86"/>
      <c r="B17" s="87" t="s">
        <v>562</v>
      </c>
      <c r="C17" s="87"/>
      <c r="D17" s="87"/>
      <c r="E17" s="87"/>
      <c r="F17" s="87"/>
      <c r="G17" s="87"/>
      <c r="H17" s="87"/>
      <c r="I17" s="87"/>
      <c r="J17" s="87"/>
      <c r="K17" s="87"/>
      <c r="L17" s="87"/>
      <c r="M17" s="87"/>
      <c r="N17" s="87"/>
      <c r="O17" s="87"/>
      <c r="P17" s="89"/>
    </row>
    <row r="18" spans="1:16" ht="14.25" x14ac:dyDescent="0.2">
      <c r="A18" s="86"/>
      <c r="B18" s="87" t="s">
        <v>563</v>
      </c>
      <c r="C18" s="87"/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9"/>
    </row>
    <row r="19" spans="1:16" ht="15" thickBot="1" x14ac:dyDescent="0.25">
      <c r="A19" s="90"/>
      <c r="B19" s="91" t="s">
        <v>419</v>
      </c>
      <c r="C19" s="91"/>
      <c r="D19" s="91"/>
      <c r="E19" s="91"/>
      <c r="F19" s="91"/>
      <c r="G19" s="91"/>
      <c r="H19" s="91"/>
      <c r="I19" s="91"/>
      <c r="J19" s="91"/>
      <c r="K19" s="91"/>
      <c r="L19" s="91"/>
      <c r="M19" s="91"/>
      <c r="N19" s="91"/>
      <c r="O19" s="91"/>
      <c r="P19" s="92"/>
    </row>
    <row r="20" spans="1:16" ht="14.25" x14ac:dyDescent="0.2">
      <c r="A20" s="93"/>
      <c r="B20" s="94"/>
      <c r="C20" s="94"/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5"/>
    </row>
    <row r="21" spans="1:16" ht="14.25" x14ac:dyDescent="0.2">
      <c r="A21" s="93"/>
      <c r="B21" s="94" t="s">
        <v>418</v>
      </c>
      <c r="C21" s="94"/>
      <c r="D21" s="94"/>
      <c r="E21" s="94"/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95"/>
    </row>
    <row r="22" spans="1:16" ht="14.25" x14ac:dyDescent="0.2">
      <c r="A22" s="93"/>
      <c r="B22" s="96" t="s">
        <v>564</v>
      </c>
      <c r="C22" s="96"/>
      <c r="D22" s="96"/>
      <c r="E22" s="96"/>
      <c r="F22" s="96"/>
      <c r="G22" s="96"/>
      <c r="H22" s="96"/>
      <c r="I22" s="96"/>
      <c r="J22" s="94"/>
      <c r="K22" s="94"/>
      <c r="L22" s="94"/>
      <c r="M22" s="94"/>
      <c r="N22" s="94"/>
      <c r="O22" s="94"/>
      <c r="P22" s="95"/>
    </row>
    <row r="23" spans="1:16" ht="14.25" x14ac:dyDescent="0.2">
      <c r="A23" s="93"/>
      <c r="B23" s="94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5"/>
    </row>
    <row r="24" spans="1:16" ht="14.25" x14ac:dyDescent="0.2">
      <c r="A24" s="93"/>
      <c r="B24" s="94" t="s">
        <v>461</v>
      </c>
      <c r="C24" s="96"/>
      <c r="D24" s="96"/>
      <c r="E24" s="96"/>
      <c r="F24" s="96"/>
      <c r="G24" s="96"/>
      <c r="H24" s="96"/>
      <c r="I24" s="96"/>
      <c r="J24" s="96"/>
      <c r="K24" s="96"/>
      <c r="L24" s="96"/>
      <c r="M24" s="94"/>
      <c r="N24" s="94"/>
      <c r="O24" s="94"/>
      <c r="P24" s="95"/>
    </row>
    <row r="25" spans="1:16" ht="14.25" x14ac:dyDescent="0.2">
      <c r="A25" s="93"/>
      <c r="B25" s="94" t="s">
        <v>700</v>
      </c>
      <c r="C25" s="94"/>
      <c r="D25" s="94"/>
      <c r="E25" s="94"/>
      <c r="F25" s="94"/>
      <c r="G25" s="94"/>
      <c r="H25" s="94"/>
      <c r="I25" s="94"/>
      <c r="J25" s="94"/>
      <c r="K25" s="94"/>
      <c r="L25" s="94"/>
      <c r="M25" s="94"/>
      <c r="N25" s="94"/>
      <c r="O25" s="94"/>
      <c r="P25" s="95"/>
    </row>
    <row r="26" spans="1:16" ht="14.25" x14ac:dyDescent="0.2">
      <c r="A26" s="93"/>
      <c r="B26" s="94" t="s">
        <v>554</v>
      </c>
      <c r="C26" s="94"/>
      <c r="D26" s="94"/>
      <c r="E26" s="94"/>
      <c r="F26" s="94"/>
      <c r="G26" s="94"/>
      <c r="H26" s="94"/>
      <c r="I26" s="94"/>
      <c r="J26" s="94"/>
      <c r="K26" s="94"/>
      <c r="L26" s="94"/>
      <c r="M26" s="94"/>
      <c r="N26" s="94"/>
      <c r="O26" s="94"/>
      <c r="P26" s="95"/>
    </row>
    <row r="27" spans="1:16" ht="15.75" x14ac:dyDescent="0.25">
      <c r="A27" s="93"/>
      <c r="B27" s="125" t="s">
        <v>565</v>
      </c>
      <c r="C27" s="94"/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94"/>
      <c r="P27" s="95"/>
    </row>
    <row r="28" spans="1:16" ht="14.25" x14ac:dyDescent="0.2">
      <c r="A28" s="93"/>
      <c r="B28" s="94"/>
      <c r="C28" s="94"/>
      <c r="D28" s="94"/>
      <c r="E28" s="94"/>
      <c r="F28" s="94"/>
      <c r="G28" s="94"/>
      <c r="H28" s="94"/>
      <c r="I28" s="94"/>
      <c r="J28" s="94"/>
      <c r="K28" s="94"/>
      <c r="L28" s="94"/>
      <c r="M28" s="94"/>
      <c r="N28" s="94"/>
      <c r="O28" s="94"/>
      <c r="P28" s="95"/>
    </row>
    <row r="29" spans="1:16" ht="14.25" x14ac:dyDescent="0.2">
      <c r="A29" s="93"/>
      <c r="B29" s="94"/>
      <c r="C29" s="94"/>
      <c r="D29" s="94"/>
      <c r="E29" s="94"/>
      <c r="F29" s="94"/>
      <c r="G29" s="94"/>
      <c r="H29" s="94"/>
      <c r="I29" s="94"/>
      <c r="J29" s="94"/>
      <c r="K29" s="94"/>
      <c r="L29" s="94"/>
      <c r="M29" s="94"/>
      <c r="N29" s="94"/>
      <c r="O29" s="94"/>
      <c r="P29" s="95"/>
    </row>
    <row r="30" spans="1:16" ht="14.25" x14ac:dyDescent="0.2">
      <c r="A30" s="93"/>
      <c r="B30" s="94"/>
      <c r="C30" s="94" t="s">
        <v>14</v>
      </c>
      <c r="D30" s="94"/>
      <c r="E30" s="94"/>
      <c r="F30" s="94"/>
      <c r="G30" s="94"/>
      <c r="H30" s="94"/>
      <c r="I30" s="94"/>
      <c r="J30" s="94"/>
      <c r="K30" s="94"/>
      <c r="L30" s="94"/>
      <c r="M30" s="94"/>
      <c r="N30" s="94"/>
      <c r="O30" s="94"/>
      <c r="P30" s="95"/>
    </row>
    <row r="31" spans="1:16" ht="14.25" x14ac:dyDescent="0.2">
      <c r="A31" s="93"/>
      <c r="B31" s="94"/>
      <c r="C31" s="94"/>
      <c r="D31" s="94"/>
      <c r="E31" s="94"/>
      <c r="F31" s="94"/>
      <c r="G31" s="94"/>
      <c r="H31" s="94"/>
      <c r="I31" s="94"/>
      <c r="J31" s="94"/>
      <c r="K31" s="94"/>
      <c r="L31" s="94"/>
      <c r="M31" s="94"/>
      <c r="N31" s="94"/>
      <c r="O31" s="94"/>
      <c r="P31" s="95"/>
    </row>
    <row r="32" spans="1:16" ht="15" x14ac:dyDescent="0.25">
      <c r="A32" s="93"/>
      <c r="B32" s="94"/>
      <c r="C32" s="97" t="s">
        <v>13</v>
      </c>
      <c r="D32" s="94"/>
      <c r="E32" s="94"/>
      <c r="F32" s="94"/>
      <c r="G32" s="94"/>
      <c r="H32" s="94"/>
      <c r="I32" s="94"/>
      <c r="J32" s="94"/>
      <c r="K32" s="94"/>
      <c r="L32" s="94"/>
      <c r="M32" s="94"/>
      <c r="N32" s="94"/>
      <c r="O32" s="94"/>
      <c r="P32" s="95"/>
    </row>
    <row r="33" spans="1:16" ht="14.25" x14ac:dyDescent="0.2">
      <c r="A33" s="93"/>
      <c r="B33" s="94"/>
      <c r="C33" s="94" t="s">
        <v>12</v>
      </c>
      <c r="D33" s="94"/>
      <c r="E33" s="94"/>
      <c r="F33" s="94"/>
      <c r="G33" s="94"/>
      <c r="H33" s="94"/>
      <c r="I33" s="94"/>
      <c r="J33" s="94"/>
      <c r="K33" s="94"/>
      <c r="L33" s="94"/>
      <c r="M33" s="94"/>
      <c r="N33" s="94"/>
      <c r="O33" s="94"/>
      <c r="P33" s="95"/>
    </row>
    <row r="34" spans="1:16" ht="14.25" x14ac:dyDescent="0.2">
      <c r="A34" s="93"/>
      <c r="B34" s="94"/>
      <c r="C34" s="94" t="s">
        <v>11</v>
      </c>
      <c r="D34" s="94"/>
      <c r="E34" s="94"/>
      <c r="F34" s="94"/>
      <c r="G34" s="94"/>
      <c r="H34" s="94"/>
      <c r="I34" s="94"/>
      <c r="J34" s="94"/>
      <c r="K34" s="94"/>
      <c r="L34" s="94"/>
      <c r="M34" s="94"/>
      <c r="N34" s="94"/>
      <c r="O34" s="94"/>
      <c r="P34" s="95"/>
    </row>
    <row r="35" spans="1:16" ht="14.25" x14ac:dyDescent="0.2">
      <c r="A35" s="93"/>
      <c r="B35" s="94"/>
      <c r="C35" s="94" t="s">
        <v>10</v>
      </c>
      <c r="D35" s="94"/>
      <c r="E35" s="94"/>
      <c r="F35" s="94"/>
      <c r="G35" s="94"/>
      <c r="H35" s="94"/>
      <c r="I35" s="94"/>
      <c r="J35" s="94"/>
      <c r="K35" s="94"/>
      <c r="L35" s="94"/>
      <c r="M35" s="94"/>
      <c r="N35" s="94"/>
      <c r="O35" s="94"/>
      <c r="P35" s="95"/>
    </row>
    <row r="36" spans="1:16" ht="14.25" x14ac:dyDescent="0.2">
      <c r="A36" s="93"/>
      <c r="B36" s="94"/>
      <c r="C36" s="94" t="s">
        <v>9</v>
      </c>
      <c r="D36" s="94"/>
      <c r="E36" s="94"/>
      <c r="F36" s="94"/>
      <c r="G36" s="94"/>
      <c r="H36" s="94"/>
      <c r="I36" s="94"/>
      <c r="J36" s="94"/>
      <c r="K36" s="94"/>
      <c r="L36" s="94"/>
      <c r="M36" s="94"/>
      <c r="N36" s="94"/>
      <c r="O36" s="94"/>
      <c r="P36" s="95"/>
    </row>
    <row r="37" spans="1:16" ht="14.25" x14ac:dyDescent="0.2">
      <c r="A37" s="93"/>
      <c r="B37" s="94"/>
      <c r="C37" s="94"/>
      <c r="D37" s="94"/>
      <c r="E37" s="94"/>
      <c r="F37" s="94"/>
      <c r="G37" s="94"/>
      <c r="H37" s="94"/>
      <c r="I37" s="94"/>
      <c r="J37" s="94"/>
      <c r="K37" s="94"/>
      <c r="L37" s="94"/>
      <c r="M37" s="94"/>
      <c r="N37" s="94"/>
      <c r="O37" s="94"/>
      <c r="P37" s="95"/>
    </row>
    <row r="38" spans="1:16" ht="14.25" x14ac:dyDescent="0.2">
      <c r="A38" s="93"/>
      <c r="B38" s="94"/>
      <c r="C38" s="94"/>
      <c r="D38" s="94"/>
      <c r="E38" s="94"/>
      <c r="F38" s="94"/>
      <c r="G38" s="94"/>
      <c r="H38" s="94"/>
      <c r="I38" s="94"/>
      <c r="J38" s="94"/>
      <c r="K38" s="94"/>
      <c r="L38" s="94"/>
      <c r="M38" s="94"/>
      <c r="N38" s="94"/>
      <c r="O38" s="94"/>
      <c r="P38" s="95"/>
    </row>
    <row r="39" spans="1:16" x14ac:dyDescent="0.2">
      <c r="A39" s="53"/>
      <c r="B39" s="54"/>
      <c r="C39" s="54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5"/>
    </row>
    <row r="40" spans="1:16" x14ac:dyDescent="0.2">
      <c r="A40" s="53"/>
      <c r="B40" s="54"/>
      <c r="C40" s="54"/>
      <c r="D40" s="54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5"/>
    </row>
    <row r="41" spans="1:16" x14ac:dyDescent="0.2">
      <c r="A41" s="53"/>
      <c r="B41" s="54"/>
      <c r="C41" s="54"/>
      <c r="D41" s="54"/>
      <c r="E41" s="5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5"/>
    </row>
    <row r="42" spans="1:16" x14ac:dyDescent="0.2">
      <c r="A42" s="53"/>
      <c r="B42" s="54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5"/>
    </row>
    <row r="43" spans="1:16" x14ac:dyDescent="0.2">
      <c r="A43" s="53"/>
      <c r="B43" s="54"/>
      <c r="C43" s="54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5"/>
    </row>
    <row r="44" spans="1:16" x14ac:dyDescent="0.2">
      <c r="A44" s="53"/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5"/>
    </row>
    <row r="45" spans="1:16" x14ac:dyDescent="0.2">
      <c r="A45" s="53"/>
      <c r="B45" s="54"/>
      <c r="C45" s="54"/>
      <c r="D45" s="54"/>
      <c r="E45" s="5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5"/>
    </row>
    <row r="46" spans="1:16" x14ac:dyDescent="0.2">
      <c r="A46" s="53"/>
      <c r="B46" s="54"/>
      <c r="C46" s="54"/>
      <c r="D46" s="54"/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5"/>
    </row>
    <row r="47" spans="1:16" x14ac:dyDescent="0.2">
      <c r="A47" s="53"/>
      <c r="B47" s="54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5"/>
    </row>
    <row r="48" spans="1:16" x14ac:dyDescent="0.2">
      <c r="A48" s="53"/>
      <c r="B48" s="54"/>
      <c r="C48" s="54"/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5"/>
    </row>
    <row r="49" spans="1:16" x14ac:dyDescent="0.2">
      <c r="A49" s="53"/>
      <c r="B49" s="54"/>
      <c r="C49" s="54"/>
      <c r="D49" s="54"/>
      <c r="E49" s="54"/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55"/>
    </row>
    <row r="50" spans="1:16" x14ac:dyDescent="0.2">
      <c r="A50" s="53"/>
      <c r="B50" s="54"/>
      <c r="C50" s="54"/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5"/>
    </row>
    <row r="51" spans="1:16" x14ac:dyDescent="0.2">
      <c r="A51" s="53"/>
      <c r="B51" s="54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5"/>
    </row>
    <row r="52" spans="1:16" x14ac:dyDescent="0.2">
      <c r="A52" s="53"/>
      <c r="B52" s="54"/>
      <c r="C52" s="54"/>
      <c r="D52" s="54"/>
      <c r="E52" s="5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5"/>
    </row>
    <row r="53" spans="1:16" x14ac:dyDescent="0.2">
      <c r="A53" s="53"/>
      <c r="B53" s="54"/>
      <c r="C53" s="54"/>
      <c r="D53" s="54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5"/>
    </row>
    <row r="54" spans="1:16" x14ac:dyDescent="0.2">
      <c r="A54" s="53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5"/>
    </row>
    <row r="55" spans="1:16" x14ac:dyDescent="0.2">
      <c r="A55" s="53"/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5"/>
    </row>
    <row r="56" spans="1:16" x14ac:dyDescent="0.2">
      <c r="A56" s="53"/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5"/>
    </row>
    <row r="57" spans="1:16" x14ac:dyDescent="0.2">
      <c r="A57" s="53"/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5"/>
    </row>
    <row r="58" spans="1:16" x14ac:dyDescent="0.2">
      <c r="A58" s="53"/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5"/>
    </row>
    <row r="59" spans="1:16" x14ac:dyDescent="0.2">
      <c r="A59" s="53"/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5"/>
    </row>
    <row r="60" spans="1:16" x14ac:dyDescent="0.2">
      <c r="A60" s="53"/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5"/>
    </row>
    <row r="61" spans="1:16" x14ac:dyDescent="0.2">
      <c r="A61" s="53"/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5"/>
    </row>
    <row r="62" spans="1:16" x14ac:dyDescent="0.2">
      <c r="A62" s="53"/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5"/>
    </row>
    <row r="63" spans="1:16" ht="15.75" x14ac:dyDescent="0.25">
      <c r="A63" s="53"/>
      <c r="B63" s="54"/>
      <c r="C63" s="59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5"/>
    </row>
    <row r="64" spans="1:16" x14ac:dyDescent="0.2">
      <c r="A64" s="53"/>
      <c r="B64" s="54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5"/>
    </row>
    <row r="65" spans="1:16" x14ac:dyDescent="0.2">
      <c r="A65" s="53"/>
      <c r="B65" s="54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5"/>
    </row>
    <row r="66" spans="1:16" x14ac:dyDescent="0.2">
      <c r="A66" s="53"/>
      <c r="B66" s="54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5"/>
    </row>
    <row r="67" spans="1:16" x14ac:dyDescent="0.2">
      <c r="A67" s="53"/>
      <c r="B67" s="54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5"/>
    </row>
    <row r="68" spans="1:16" x14ac:dyDescent="0.2">
      <c r="A68" s="53"/>
      <c r="B68" s="54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5"/>
    </row>
    <row r="69" spans="1:16" x14ac:dyDescent="0.2">
      <c r="A69" s="53"/>
      <c r="B69" s="54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5"/>
    </row>
    <row r="70" spans="1:16" x14ac:dyDescent="0.2">
      <c r="A70" s="53"/>
      <c r="B70" s="54"/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5"/>
    </row>
    <row r="71" spans="1:16" x14ac:dyDescent="0.2">
      <c r="A71" s="53"/>
      <c r="B71" s="54"/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5"/>
    </row>
    <row r="72" spans="1:16" x14ac:dyDescent="0.2">
      <c r="A72" s="53"/>
      <c r="B72" s="54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5"/>
    </row>
    <row r="73" spans="1:16" x14ac:dyDescent="0.2">
      <c r="A73" s="53"/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5"/>
    </row>
    <row r="74" spans="1:16" ht="13.5" thickBot="1" x14ac:dyDescent="0.25">
      <c r="A74" s="60"/>
      <c r="B74" s="61"/>
      <c r="C74" s="61"/>
      <c r="D74" s="61"/>
      <c r="E74" s="61"/>
      <c r="F74" s="61"/>
      <c r="G74" s="61"/>
      <c r="H74" s="61"/>
      <c r="I74" s="61"/>
      <c r="J74" s="61"/>
      <c r="K74" s="61"/>
      <c r="L74" s="61"/>
      <c r="M74" s="61"/>
      <c r="N74" s="61"/>
      <c r="O74" s="61"/>
      <c r="P74" s="62"/>
    </row>
    <row r="75" spans="1:16" ht="13.5" thickTop="1" x14ac:dyDescent="0.2"/>
  </sheetData>
  <sheetProtection password="87C7" sheet="1" objects="1" scenarios="1"/>
  <hyperlinks>
    <hyperlink ref="B27" r:id="rId1" xr:uid="{00000000-0004-0000-0000-000000000000}"/>
  </hyperlinks>
  <pageMargins left="0.75" right="0.75" top="1" bottom="1" header="0.5" footer="0.5"/>
  <pageSetup scale="75" orientation="portrait" r:id="rId2"/>
  <headerFooter alignWithMargins="0">
    <oddHeader>&amp;A</oddHeader>
    <oddFooter>Page &amp;P</oddFooter>
  </headerFooter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58"/>
  <sheetViews>
    <sheetView tabSelected="1" topLeftCell="B1" zoomScale="78" zoomScaleNormal="78" workbookViewId="0">
      <selection activeCell="G39" sqref="G39"/>
    </sheetView>
  </sheetViews>
  <sheetFormatPr defaultColWidth="9.140625" defaultRowHeight="19.5" customHeight="1" x14ac:dyDescent="0.25"/>
  <cols>
    <col min="1" max="1" width="13.5703125" style="182" bestFit="1" customWidth="1"/>
    <col min="2" max="2" width="60" style="182" customWidth="1"/>
    <col min="3" max="3" width="11.5703125" style="182" bestFit="1" customWidth="1"/>
    <col min="4" max="4" width="6.42578125" style="185" customWidth="1"/>
    <col min="5" max="5" width="44.85546875" style="182" bestFit="1" customWidth="1"/>
    <col min="6" max="8" width="51.5703125" style="182" customWidth="1"/>
    <col min="9" max="9" width="9.5703125" style="182" bestFit="1" customWidth="1"/>
    <col min="10" max="10" width="26.85546875" style="182" hidden="1" customWidth="1"/>
    <col min="11" max="16384" width="9.140625" style="182"/>
  </cols>
  <sheetData>
    <row r="1" spans="1:10" ht="60" customHeight="1" thickBot="1" x14ac:dyDescent="0.3">
      <c r="A1" s="195" t="s">
        <v>566</v>
      </c>
      <c r="B1" s="196"/>
      <c r="C1" s="197"/>
      <c r="D1" s="98"/>
      <c r="E1" s="63"/>
      <c r="F1" s="63"/>
      <c r="G1" s="180"/>
      <c r="H1" s="175"/>
    </row>
    <row r="2" spans="1:10" ht="39.75" customHeight="1" thickBot="1" x14ac:dyDescent="0.3">
      <c r="A2" s="190" t="s">
        <v>567</v>
      </c>
      <c r="B2" s="191"/>
      <c r="C2" s="192"/>
      <c r="D2" s="98"/>
      <c r="E2" s="63"/>
      <c r="F2" s="63"/>
      <c r="G2" s="175"/>
      <c r="H2" s="175"/>
    </row>
    <row r="3" spans="1:10" ht="19.5" customHeight="1" thickBot="1" x14ac:dyDescent="0.3">
      <c r="A3" s="221" t="s">
        <v>568</v>
      </c>
      <c r="B3" s="222"/>
      <c r="C3" s="223"/>
      <c r="D3" s="98"/>
      <c r="E3" s="63"/>
      <c r="F3" s="63"/>
      <c r="G3" s="175"/>
      <c r="H3" s="175"/>
      <c r="J3" s="182" t="b">
        <v>1</v>
      </c>
    </row>
    <row r="4" spans="1:10" ht="19.5" customHeight="1" thickBot="1" x14ac:dyDescent="0.3">
      <c r="A4" s="204" t="s">
        <v>707</v>
      </c>
      <c r="B4" s="205"/>
      <c r="C4" s="206"/>
      <c r="D4" s="98"/>
      <c r="E4" s="63"/>
      <c r="F4" s="63"/>
      <c r="G4" s="175"/>
      <c r="H4" s="175"/>
      <c r="J4" s="175">
        <v>14</v>
      </c>
    </row>
    <row r="5" spans="1:10" ht="19.5" customHeight="1" x14ac:dyDescent="0.25">
      <c r="A5" s="224" t="s">
        <v>491</v>
      </c>
      <c r="B5" s="225"/>
      <c r="C5" s="226"/>
      <c r="D5" s="98"/>
      <c r="E5" s="63"/>
      <c r="F5" s="63"/>
      <c r="G5" s="175"/>
      <c r="H5" s="175"/>
      <c r="J5" s="175">
        <v>20000</v>
      </c>
    </row>
    <row r="6" spans="1:10" ht="19.5" customHeight="1" x14ac:dyDescent="0.25">
      <c r="A6" s="227" t="s">
        <v>699</v>
      </c>
      <c r="B6" s="228"/>
      <c r="C6" s="229"/>
      <c r="D6" s="98"/>
      <c r="E6" s="63"/>
      <c r="F6" s="63"/>
      <c r="G6" s="175"/>
      <c r="H6" s="180"/>
      <c r="J6" s="175">
        <v>0.95</v>
      </c>
    </row>
    <row r="7" spans="1:10" ht="19.5" customHeight="1" x14ac:dyDescent="0.25">
      <c r="A7" s="202" t="s">
        <v>681</v>
      </c>
      <c r="B7" s="203"/>
      <c r="C7" s="65"/>
      <c r="D7" s="98"/>
      <c r="E7" s="63"/>
      <c r="F7" s="63"/>
      <c r="G7" s="175"/>
      <c r="H7" s="180"/>
      <c r="J7" s="175">
        <v>0.01</v>
      </c>
    </row>
    <row r="8" spans="1:10" ht="19.5" customHeight="1" x14ac:dyDescent="0.25">
      <c r="A8" s="193" t="s">
        <v>695</v>
      </c>
      <c r="B8" s="194"/>
      <c r="C8" s="65"/>
      <c r="D8" s="98"/>
      <c r="E8" s="63"/>
      <c r="F8" s="63"/>
      <c r="G8" s="180"/>
      <c r="H8" s="180"/>
      <c r="J8" s="175">
        <v>1.5</v>
      </c>
    </row>
    <row r="9" spans="1:10" ht="19.5" customHeight="1" thickBot="1" x14ac:dyDescent="0.3">
      <c r="A9" s="193" t="s">
        <v>696</v>
      </c>
      <c r="B9" s="194"/>
      <c r="C9" s="65"/>
      <c r="D9" s="98"/>
      <c r="E9" s="63"/>
      <c r="F9" s="63"/>
      <c r="G9" s="63"/>
      <c r="H9" s="63"/>
    </row>
    <row r="10" spans="1:10" s="183" customFormat="1" ht="18" customHeight="1" x14ac:dyDescent="0.3">
      <c r="A10" s="193" t="s">
        <v>697</v>
      </c>
      <c r="B10" s="194"/>
      <c r="C10" s="65"/>
      <c r="D10" s="102"/>
      <c r="E10" s="218" t="s">
        <v>618</v>
      </c>
      <c r="F10" s="219"/>
      <c r="G10" s="219"/>
      <c r="H10" s="220"/>
      <c r="J10" s="182" t="s">
        <v>553</v>
      </c>
    </row>
    <row r="11" spans="1:10" ht="18" customHeight="1" x14ac:dyDescent="0.25">
      <c r="A11" s="193" t="s">
        <v>692</v>
      </c>
      <c r="B11" s="194"/>
      <c r="C11" s="65"/>
      <c r="D11" s="98"/>
      <c r="E11" s="103" t="s">
        <v>621</v>
      </c>
      <c r="F11" s="100" t="s">
        <v>532</v>
      </c>
      <c r="G11" s="100" t="s">
        <v>532</v>
      </c>
      <c r="H11" s="101" t="s">
        <v>532</v>
      </c>
      <c r="J11" s="182" t="s">
        <v>532</v>
      </c>
    </row>
    <row r="12" spans="1:10" ht="18" customHeight="1" x14ac:dyDescent="0.25">
      <c r="A12" s="193" t="s">
        <v>693</v>
      </c>
      <c r="B12" s="194"/>
      <c r="C12" s="65"/>
      <c r="D12" s="98"/>
      <c r="E12" s="165" t="s">
        <v>617</v>
      </c>
      <c r="F12" s="163">
        <v>1</v>
      </c>
      <c r="G12" s="163">
        <v>1</v>
      </c>
      <c r="H12" s="164">
        <v>1</v>
      </c>
      <c r="J12" s="182" t="s">
        <v>531</v>
      </c>
    </row>
    <row r="13" spans="1:10" ht="18" customHeight="1" x14ac:dyDescent="0.25">
      <c r="A13" s="64" t="s">
        <v>704</v>
      </c>
      <c r="B13" s="167" t="s">
        <v>678</v>
      </c>
      <c r="C13" s="65">
        <v>12</v>
      </c>
      <c r="D13" s="98"/>
      <c r="E13" s="103" t="s">
        <v>702</v>
      </c>
      <c r="F13" s="187"/>
      <c r="G13" s="187"/>
      <c r="H13" s="188"/>
      <c r="J13" s="182" t="s">
        <v>679</v>
      </c>
    </row>
    <row r="14" spans="1:10" ht="18" customHeight="1" x14ac:dyDescent="0.35">
      <c r="A14" s="64" t="s">
        <v>570</v>
      </c>
      <c r="B14" s="167" t="s">
        <v>660</v>
      </c>
      <c r="C14" s="126">
        <v>125</v>
      </c>
      <c r="D14" s="98"/>
      <c r="E14" s="160"/>
      <c r="F14" s="145" t="s">
        <v>667</v>
      </c>
      <c r="G14" s="145" t="s">
        <v>667</v>
      </c>
      <c r="H14" s="166" t="s">
        <v>667</v>
      </c>
      <c r="J14" s="182" t="s">
        <v>680</v>
      </c>
    </row>
    <row r="15" spans="1:10" ht="18" customHeight="1" x14ac:dyDescent="0.25">
      <c r="A15" s="64" t="s">
        <v>689</v>
      </c>
      <c r="B15" s="167" t="s">
        <v>690</v>
      </c>
      <c r="C15" s="66">
        <v>8</v>
      </c>
      <c r="D15" s="98"/>
      <c r="E15" s="104" t="s">
        <v>620</v>
      </c>
      <c r="F15" s="67" t="s">
        <v>741</v>
      </c>
      <c r="G15" s="67" t="s">
        <v>829</v>
      </c>
      <c r="H15" s="68" t="s">
        <v>831</v>
      </c>
      <c r="J15" s="182" t="s">
        <v>683</v>
      </c>
    </row>
    <row r="16" spans="1:10" ht="18" customHeight="1" x14ac:dyDescent="0.25">
      <c r="A16" s="64" t="s">
        <v>622</v>
      </c>
      <c r="B16" s="167" t="s">
        <v>626</v>
      </c>
      <c r="C16" s="126">
        <v>500</v>
      </c>
      <c r="D16" s="98"/>
      <c r="E16" s="170" t="s">
        <v>508</v>
      </c>
      <c r="F16" s="69" t="str">
        <f>IF(Pick_FET&lt;&gt;"Invalid Part",IF(FET_config="Single Discrete",Q2_Part_Number,IF(FET_config="Dual/Power Block",LEFT(Q2_Part_Number,FIND(")",Q2_Part_Number)-7),Q2_Part_Number)),"Not Allowed")</f>
        <v>CSD17575Q3</v>
      </c>
      <c r="G16" s="69" t="str">
        <f>IF(Pick_FET2&lt;&gt;"Invalid Part",IF(FET_config2="Single Discrete",Q2_Part_Number2,IF(FET_config2="Dual/Power Block",LEFT(Q2_Part_Number2,FIND(")",Q2_Part_Number2)-7),Q2_Part_Number2)),"Not Allowed")</f>
        <v>CSD17577Q3A</v>
      </c>
      <c r="H16" s="70" t="str">
        <f>IF(Pick_FET3&lt;&gt;"Invalid Part",IF(FET_config3="Single Discrete",Q2_Part_Number3,IF(FET_config3="Dual/Power Block",LEFT(Q2_Part_Number3,FIND(")",Q2_Part_Number3)-7),Q2_Part_Number3)),"Not Allowed")</f>
        <v>CSD17578Q3A</v>
      </c>
      <c r="J16" s="175">
        <v>4</v>
      </c>
    </row>
    <row r="17" spans="1:11" ht="18" customHeight="1" x14ac:dyDescent="0.35">
      <c r="A17" s="64" t="s">
        <v>659</v>
      </c>
      <c r="B17" s="167" t="s">
        <v>628</v>
      </c>
      <c r="C17" s="173">
        <v>0.95</v>
      </c>
      <c r="D17" s="98"/>
      <c r="E17" s="170" t="s">
        <v>555</v>
      </c>
      <c r="F17" s="72">
        <f>IF(Q2_Part_Number&lt;&gt;"Invalid Part",LOOKUP(Q2_Part_Number,Discrete_NFET[PARTNUMBER],Discrete_NFET[VDSMAX]),"Not Allowed")</f>
        <v>30</v>
      </c>
      <c r="G17" s="72">
        <f>IF(Q2_Part_Number2&lt;&gt;"Invalid Part",LOOKUP(Q2_Part_Number2,Discrete_NFET[PARTNUMBER],Discrete_NFET[VDSMAX]),"Not Allowed")</f>
        <v>30</v>
      </c>
      <c r="H17" s="73">
        <f>IF(Q2_Part_Number3&lt;&gt;"Invalid Part",LOOKUP(Q2_Part_Number3,Discrete_NFET[PARTNUMBER],Discrete_NFET[VDSMAX]),"Not Allowed")</f>
        <v>30</v>
      </c>
      <c r="J17" s="175">
        <v>3000</v>
      </c>
    </row>
    <row r="18" spans="1:11" ht="18" customHeight="1" x14ac:dyDescent="0.35">
      <c r="A18" s="64" t="s">
        <v>624</v>
      </c>
      <c r="B18" s="167" t="s">
        <v>691</v>
      </c>
      <c r="C18" s="189">
        <v>0.4</v>
      </c>
      <c r="D18" s="98"/>
      <c r="E18" s="170" t="s">
        <v>556</v>
      </c>
      <c r="F18" s="72">
        <f>IF(Q2_Part_Number&lt;&gt;"Invalid Part",LOOKUP(Q2_Part_Number,Discrete_NFET[PARTNUMBER],Discrete_NFET[VGSMAX]),"Not Allowed")</f>
        <v>20</v>
      </c>
      <c r="G18" s="72">
        <f>IF(Q2_Part_Number2&lt;&gt;"Invalid Part",LOOKUP(Q2_Part_Number2,Discrete_NFET[PARTNUMBER],Discrete_NFET[VGSMAX]),"Not Allowed")</f>
        <v>20</v>
      </c>
      <c r="H18" s="73">
        <f>IF(Q2_Part_Number3&lt;&gt;"Invalid Part",LOOKUP(Q2_Part_Number3,Discrete_NFET[PARTNUMBER],Discrete_NFET[VGSMAX]),"Not Allowed")</f>
        <v>20</v>
      </c>
      <c r="J18" s="175">
        <v>0.95</v>
      </c>
    </row>
    <row r="19" spans="1:11" ht="18" customHeight="1" x14ac:dyDescent="0.35">
      <c r="A19" s="64" t="s">
        <v>703</v>
      </c>
      <c r="B19" s="167" t="s">
        <v>661</v>
      </c>
      <c r="C19" s="179">
        <v>1.3</v>
      </c>
      <c r="D19" s="98"/>
      <c r="E19" s="170" t="s">
        <v>610</v>
      </c>
      <c r="F19" s="69">
        <f>IF(Q2_Part_Number&lt;&gt;"Invalid Part",Q2RDSON,"Not Allowed")</f>
        <v>2</v>
      </c>
      <c r="G19" s="69">
        <f>IF(Q2_Part_Number2&lt;&gt;"Invalid Part",Q2RDSON2,"Not Allowed")</f>
        <v>4</v>
      </c>
      <c r="H19" s="70">
        <f>IF(Q2_Part_Number3&lt;&gt;"Invalid Part",Q2RDSON3,"Not Allowed")</f>
        <v>6.2</v>
      </c>
      <c r="J19" s="175">
        <v>0.1</v>
      </c>
    </row>
    <row r="20" spans="1:11" ht="18" customHeight="1" x14ac:dyDescent="0.35">
      <c r="A20" s="64" t="s">
        <v>623</v>
      </c>
      <c r="B20" s="167" t="s">
        <v>632</v>
      </c>
      <c r="C20" s="126">
        <v>20</v>
      </c>
      <c r="D20" s="98"/>
      <c r="E20" s="170" t="s">
        <v>612</v>
      </c>
      <c r="F20" s="69">
        <f>IF(Q2_Part_Number&lt;&gt;"Invalid Part",IF(GDR_V&gt;7,LOOKUP(Q2_Part_Number,Discrete_NFET[PARTNUMBER],Discrete_NFET[QGTYP]),LOOKUP(Q2_Part_Number,Discrete_NFET[PARTNUMBER],Discrete_NFET[QGTYP])),"Not Allowed")</f>
        <v>23</v>
      </c>
      <c r="G20" s="69">
        <f>IF(Q2_Part_Number2&lt;&gt;"Invalid Part",IF(GDR_V&gt;7,LOOKUP(Q2_Part_Number2,Discrete_NFET[PARTNUMBER],Discrete_NFET[QGTYP]),LOOKUP(Q2_Part_Number2,Discrete_NFET[PARTNUMBER],Discrete_NFET[QGTYP])),"Not Allowed")</f>
        <v>13</v>
      </c>
      <c r="H20" s="70">
        <f>IF(Q2_Part_Number3&lt;&gt;"Invalid Part",IF(GDR_V&gt;7,LOOKUP(Q2_Part_Number3,Discrete_NFET[PARTNUMBER],Discrete_NFET[QG10TYP]),LOOKUP(Q2_Part_Number3,Discrete_NFET[PARTNUMBER],Discrete_NFET[QGTYP])),"Not Allowed")</f>
        <v>17</v>
      </c>
      <c r="J20" s="175">
        <v>1.4</v>
      </c>
    </row>
    <row r="21" spans="1:11" ht="18" customHeight="1" x14ac:dyDescent="0.35">
      <c r="A21" s="64" t="s">
        <v>625</v>
      </c>
      <c r="B21" s="167" t="s">
        <v>663</v>
      </c>
      <c r="C21" s="65">
        <v>12</v>
      </c>
      <c r="D21" s="98"/>
      <c r="E21" s="170" t="s">
        <v>611</v>
      </c>
      <c r="F21" s="69">
        <f>IF(Q2_Part_Number&lt;&gt;"Invalid Part",Q1RDSON,"Not Allowed")</f>
        <v>2</v>
      </c>
      <c r="G21" s="69">
        <f>IF(Q2_Part_Number2&lt;&gt;"Invalid Part",Q1RDSON2,"Not Allowed")</f>
        <v>4</v>
      </c>
      <c r="H21" s="70">
        <f>IF(Q2_Part_Number3&lt;&gt;"Invalid Part",Q1RDSON3,"Not Allowed")</f>
        <v>6.2</v>
      </c>
      <c r="J21" s="175">
        <v>20</v>
      </c>
    </row>
    <row r="22" spans="1:11" ht="18" customHeight="1" x14ac:dyDescent="0.35">
      <c r="A22" s="64" t="s">
        <v>627</v>
      </c>
      <c r="B22" s="168" t="s">
        <v>664</v>
      </c>
      <c r="C22" s="65">
        <v>0.68</v>
      </c>
      <c r="D22" s="98"/>
      <c r="E22" s="170" t="s">
        <v>613</v>
      </c>
      <c r="F22" s="69">
        <f>IF(AND(Q1_Part_Number&lt;&gt;"Invalid Part",Q1_Part_Number&lt;&gt;""),IF(GDR_V&gt;7,LOOKUP(Q1_Part_Number,Discrete_NFET[PARTNUMBER],Discrete_NFET[QGTYP]),LOOKUP(Q1_Part_Number,Discrete_NFET[PARTNUMBER],Discrete_NFET[QGTYP])),"Not Allowed")</f>
        <v>23</v>
      </c>
      <c r="G22" s="69">
        <f>IF(Q1_Part_Number2&lt;&gt;"Invalid Part",IF(GDR_V&gt;7,LOOKUP(Q1_Part_Number2,Discrete_NFET[PARTNUMBER],Discrete_NFET[QGTYP]),LOOKUP(Q1_Part_Number2,Discrete_NFET[PARTNUMBER],Discrete_NFET[QGTYP])),"Not Allowed")</f>
        <v>13</v>
      </c>
      <c r="H22" s="70">
        <f>IF(Q1_Part_Number3&lt;&gt;"Invalid Part",IF(GDR_V&gt;7,LOOKUP(Q1_Part_Number3,Discrete_NFET[PARTNUMBER],Discrete_NFET[QGTYP]),LOOKUP(Q1_Part_Number3,Discrete_NFET[PARTNUMBER],Discrete_NFET[QGTYP])),"Not Allowed")</f>
        <v>7.9</v>
      </c>
      <c r="J22" s="182" t="s">
        <v>682</v>
      </c>
      <c r="K22" s="184"/>
    </row>
    <row r="23" spans="1:11" ht="18" customHeight="1" x14ac:dyDescent="0.35">
      <c r="A23" s="64" t="s">
        <v>627</v>
      </c>
      <c r="B23" s="168" t="s">
        <v>569</v>
      </c>
      <c r="C23" s="71">
        <v>1</v>
      </c>
      <c r="D23" s="98"/>
      <c r="E23" s="170" t="s">
        <v>557</v>
      </c>
      <c r="F23" s="72">
        <f>IF(Q2_Part_Number&lt;&gt;"Invalid Part",LOOKUP(Q2_Part_Number,Discrete_NFET[PARTNUMBER],Discrete_NFET[TJMAX]),"Not Allowed")</f>
        <v>150</v>
      </c>
      <c r="G23" s="72">
        <f>IF(Q2_Part_Number2&lt;&gt;"Invalid Part",LOOKUP(Q2_Part_Number2,Discrete_NFET[PARTNUMBER],Discrete_NFET[TJMAX]),"Not Allowed")</f>
        <v>150</v>
      </c>
      <c r="H23" s="73">
        <f>IF(Q2_Part_Number3&lt;&gt;"Invalid Part",LOOKUP(Q2_Part_Number3,Discrete_NFET[PARTNUMBER],Discrete_NFET[TJMAX]),"Not Allowed")</f>
        <v>150</v>
      </c>
      <c r="J23" s="175">
        <v>8</v>
      </c>
    </row>
    <row r="24" spans="1:11" ht="18" customHeight="1" x14ac:dyDescent="0.25">
      <c r="A24" s="64"/>
      <c r="B24" s="168" t="s">
        <v>665</v>
      </c>
      <c r="C24" s="71">
        <v>100</v>
      </c>
      <c r="D24" s="98"/>
      <c r="E24" s="170" t="s">
        <v>8</v>
      </c>
      <c r="F24" s="69" t="str">
        <f>IF(Q2_Part_Number&lt;&gt;"Invalid Part",LOOKUP(Q2_Part_Number,Discrete_NFET[PARTNUMBER],Discrete_NFET[TI_EQ_PACKAGE]),"Not Allowed")</f>
        <v>SON3X3</v>
      </c>
      <c r="G24" s="69" t="str">
        <f>IF(Q2_Part_Number2&lt;&gt;"Invalid Part",LOOKUP(Q2_Part_Number2,Discrete_NFET[PARTNUMBER],Discrete_NFET[TI_EQ_PACKAGE]),"Not Allowed")</f>
        <v>SON3x3</v>
      </c>
      <c r="H24" s="70" t="str">
        <f>IF(Q2_Part_Number3&lt;&gt;"Invalid Part",LOOKUP(Q2_Part_Number3,Discrete_NFET[PARTNUMBER],Discrete_NFET[TI_EQ_PACKAGE]),"Not Allowed")</f>
        <v>SON3x3</v>
      </c>
      <c r="J24" s="175">
        <v>500</v>
      </c>
    </row>
    <row r="25" spans="1:11" ht="18" customHeight="1" thickBot="1" x14ac:dyDescent="0.3">
      <c r="A25" s="64" t="s">
        <v>666</v>
      </c>
      <c r="B25" s="167" t="s">
        <v>558</v>
      </c>
      <c r="C25" s="66">
        <v>50</v>
      </c>
      <c r="D25" s="98"/>
      <c r="E25" s="170" t="s">
        <v>631</v>
      </c>
      <c r="F25" s="74">
        <f>IF(Q2_Part_Number&lt;&gt;"Invalid Part",LOOKUP(Q2_Part_Number,Discrete_NFET[PARTNUMBER],Discrete_NFET[1KPRICE]),"Not Allowed")</f>
        <v>0.31</v>
      </c>
      <c r="G25" s="74">
        <f>IF(Q2_Part_Number2&lt;&gt;"Invalid Part",LOOKUP(Q2_Part_Number2,Discrete_NFET[PARTNUMBER],Discrete_NFET[1KPRICE]),"Not Allowed")</f>
        <v>0.18</v>
      </c>
      <c r="H25" s="75">
        <f>IF(Q2_Part_Number3&lt;&gt;"Invalid Part",LOOKUP(Q2_Part_Number3,Discrete_NFET[PARTNUMBER],Discrete_NFET[1KPRICE]),"Not Allowed")</f>
        <v>0.17</v>
      </c>
      <c r="J25" s="175">
        <v>0.95</v>
      </c>
    </row>
    <row r="26" spans="1:11" ht="18" customHeight="1" x14ac:dyDescent="0.25">
      <c r="A26" s="199" t="s">
        <v>537</v>
      </c>
      <c r="B26" s="200"/>
      <c r="C26" s="201"/>
      <c r="D26" s="98"/>
      <c r="E26" s="170" t="s">
        <v>372</v>
      </c>
      <c r="F26" s="123" t="str">
        <f>IF(Q2_Part_Number&lt;&gt;"Invalid Part",HYPERLINK(LOOKUP(Q2_Part_Number,Discrete_NFET[PARTNUMBER],Discrete_NFET[DATASHEET_URL]),F16),"Not Allowed")</f>
        <v>CSD17575Q3</v>
      </c>
      <c r="G26" s="123" t="str">
        <f>IF(Q2_Part_Number2&lt;&gt;"Invalid Part",HYPERLINK(LOOKUP(Q2_Part_Number2,Discrete_NFET[PARTNUMBER],Discrete_NFET[DATASHEET_URL]),G16),"Not Allowed")</f>
        <v>CSD17577Q3A</v>
      </c>
      <c r="H26" s="124" t="str">
        <f>IF(Q2_Part_Number3&lt;&gt;"Invalid Part",HYPERLINK(LOOKUP(Q2_Part_Number3,Discrete_NFET[PARTNUMBER],Discrete_NFET[DATASHEET_URL]),H16),"Not Allowed")</f>
        <v>CSD17578Q3A</v>
      </c>
      <c r="J26" s="175">
        <v>0.4</v>
      </c>
    </row>
    <row r="27" spans="1:11" ht="18" customHeight="1" x14ac:dyDescent="0.25">
      <c r="A27" s="76"/>
      <c r="B27" s="169" t="s">
        <v>662</v>
      </c>
      <c r="C27" s="77">
        <f>P_DC/VDC_AVG/DUTY</f>
        <v>10.964912280701753</v>
      </c>
      <c r="D27" s="98"/>
      <c r="E27" s="207" t="s">
        <v>533</v>
      </c>
      <c r="F27" s="208"/>
      <c r="G27" s="208" t="s">
        <v>534</v>
      </c>
      <c r="H27" s="209"/>
      <c r="J27" s="175">
        <v>1.3</v>
      </c>
    </row>
    <row r="28" spans="1:11" ht="18" customHeight="1" x14ac:dyDescent="0.25">
      <c r="A28" s="76"/>
      <c r="B28" s="169" t="s">
        <v>635</v>
      </c>
      <c r="C28" s="77">
        <f>SQRT(2/3)*IM_AVG</f>
        <v>8.952813387365417</v>
      </c>
      <c r="D28" s="98"/>
      <c r="E28" s="171" t="s">
        <v>615</v>
      </c>
      <c r="F28" s="150">
        <f>IF(Q2_Part_Number&lt;&gt;"Invalid Part",Q2RDSONTJ,"Not Allowed")</f>
        <v>2.2999999999999998</v>
      </c>
      <c r="G28" s="150">
        <f>IF(Q2_Part_Number2&lt;&gt;"Invalid Part",Q2RDSONTJ2,"Not Allowed")</f>
        <v>4.4800000000000004</v>
      </c>
      <c r="H28" s="77">
        <f>IF(Q2_Part_Number3&lt;&gt;"Invalid Part",Q2RDSONTJ3,"Not Allowed")</f>
        <v>7.0679999999999996</v>
      </c>
      <c r="J28" s="175">
        <v>20</v>
      </c>
    </row>
    <row r="29" spans="1:11" ht="18" customHeight="1" x14ac:dyDescent="0.25">
      <c r="A29" s="76"/>
      <c r="B29" s="169" t="s">
        <v>636</v>
      </c>
      <c r="C29" s="77">
        <f>C19*IM_RMS</f>
        <v>11.638657403575042</v>
      </c>
      <c r="D29" s="98"/>
      <c r="E29" s="171" t="s">
        <v>616</v>
      </c>
      <c r="F29" s="150">
        <f>IF(Q1_Part_Number&lt;&gt;"Invalid Part",Q1RDSONTJ,"Not Allowed")</f>
        <v>2.2999999999999998</v>
      </c>
      <c r="G29" s="150">
        <f>IF(Q1_Part_Number2&lt;&gt;"Invalid Part",Q1RDSONTJ2,"Not Allowed")</f>
        <v>4.4800000000000004</v>
      </c>
      <c r="H29" s="77">
        <f>IF(Q1_Part_Number3&lt;&gt;"Invalid Part",Q1RDSONTJ3,"Not Allowed")</f>
        <v>7.0679999999999996</v>
      </c>
      <c r="J29" s="182" t="s">
        <v>684</v>
      </c>
    </row>
    <row r="30" spans="1:11" ht="18" customHeight="1" x14ac:dyDescent="0.25">
      <c r="A30" s="76"/>
      <c r="B30" s="169" t="s">
        <v>637</v>
      </c>
      <c r="C30" s="154">
        <f>POLES*RATED_SPEED/120</f>
        <v>33.333333333333336</v>
      </c>
      <c r="D30" s="98"/>
      <c r="E30" s="171" t="s">
        <v>609</v>
      </c>
      <c r="F30" s="78">
        <f>IF(Q2_Part_Number&lt;&gt;"Invalid Part",Calculations!K5,"Not Allowed")</f>
        <v>0.33316962860899851</v>
      </c>
      <c r="G30" s="78">
        <f>IF(Q2_Part_Number2&lt;&gt;"Invalid Part",Calculations2!K5,"Not Allowed")</f>
        <v>0.50266283697621861</v>
      </c>
      <c r="H30" s="79">
        <f>IF(Q2_Part_Number3&lt;&gt;"Invalid Part",Calculations3!K5,"Not Allowed")</f>
        <v>0.70736303202169259</v>
      </c>
      <c r="J30" s="175">
        <v>4</v>
      </c>
    </row>
    <row r="31" spans="1:11" ht="18" customHeight="1" thickBot="1" x14ac:dyDescent="0.3">
      <c r="A31" s="76"/>
      <c r="B31" s="169" t="s">
        <v>638</v>
      </c>
      <c r="C31" s="77">
        <f>IM_RMS*SQRT(1.5)</f>
        <v>10.964912280701753</v>
      </c>
      <c r="D31" s="98"/>
      <c r="E31" s="172" t="s">
        <v>605</v>
      </c>
      <c r="F31" s="78">
        <f>IF(Q2_Part_Number&lt;&gt;"Invalid Part",Calculations!L3,"Not Allowed")</f>
        <v>0.17238738194518904</v>
      </c>
      <c r="G31" s="78">
        <f>IF(Q2_Part_Number2&lt;&gt;"Invalid Part",Calculations2!L3,"Not Allowed")</f>
        <v>0.26360475549071438</v>
      </c>
      <c r="H31" s="79">
        <f>IF(Q2_Part_Number3&lt;&gt;"Invalid Part",Calculations3!L3,"Not Allowed")</f>
        <v>0.37227282558721464</v>
      </c>
      <c r="J31" s="175">
        <v>6000</v>
      </c>
    </row>
    <row r="32" spans="1:11" ht="18" customHeight="1" thickBot="1" x14ac:dyDescent="0.3">
      <c r="A32" s="210" t="s">
        <v>492</v>
      </c>
      <c r="B32" s="211"/>
      <c r="C32" s="212"/>
      <c r="D32" s="98"/>
      <c r="E32" s="172" t="s">
        <v>606</v>
      </c>
      <c r="F32" s="78">
        <f>IF(Q2_Part_Number&lt;&gt;"Invalid Part",Calculations!L4,"Not Allowed")</f>
        <v>0.16078224666380947</v>
      </c>
      <c r="G32" s="78">
        <f>IF(Q2_Part_Number2&lt;&gt;"Invalid Part",Calculations2!L4,"Not Allowed")</f>
        <v>0.23905808148550425</v>
      </c>
      <c r="H32" s="79">
        <f>IF(Q2_Part_Number3&lt;&gt;"Invalid Part",Calculations3!L4,"Not Allowed")</f>
        <v>0.33509020643447796</v>
      </c>
      <c r="J32" s="175">
        <v>0.95</v>
      </c>
    </row>
    <row r="33" spans="1:10" ht="18" customHeight="1" x14ac:dyDescent="0.25">
      <c r="A33" s="213" t="s">
        <v>493</v>
      </c>
      <c r="B33" s="213"/>
      <c r="C33" s="213"/>
      <c r="D33" s="98"/>
      <c r="E33" s="172" t="s">
        <v>607</v>
      </c>
      <c r="F33" s="78">
        <f>IF(Q2_Part_Number&lt;&gt;"Invalid Part",Calculations!M5,"Not Allowed")</f>
        <v>0.99950888582699549</v>
      </c>
      <c r="G33" s="78">
        <f>IF(Q2_Part_Number2&lt;&gt;"Invalid Part",Calculations2!M5,"Not Allowed")</f>
        <v>1.5079885109286559</v>
      </c>
      <c r="H33" s="79">
        <f>IF(Q2_Part_Number3&lt;&gt;"Invalid Part",Calculations3!M5,"Not Allowed")</f>
        <v>2.1220890960650776</v>
      </c>
      <c r="J33" s="175">
        <v>0.05</v>
      </c>
    </row>
    <row r="34" spans="1:10" ht="18" customHeight="1" x14ac:dyDescent="0.25">
      <c r="A34" s="63"/>
      <c r="B34" s="63"/>
      <c r="C34" s="63"/>
      <c r="D34" s="98"/>
      <c r="E34" s="172" t="s">
        <v>608</v>
      </c>
      <c r="F34" s="80">
        <f>IF(AND(Q2_Part_Number&lt;&gt;"Invalid Part",F11="Single Discrete"),F25*2*Num_FETS, IF(AND(Q2_Part_Number&lt;&gt;"Invalid Part",F11="Dual/Power Block"),F25*Num_FETS,"Not Allowed"))</f>
        <v>0.62</v>
      </c>
      <c r="G34" s="80">
        <f>IF(AND(Q2_Part_Number2&lt;&gt;"Invalid Part",G11="Single Discrete"),G25*2*Num_FETS2, IF(AND(Q2_Part_Number2&lt;&gt;"Invalid Part",G11="Dual/Power Block"),G25*Num_FETS2,"Not Allowed"))</f>
        <v>0.36</v>
      </c>
      <c r="H34" s="81">
        <f>IF(AND(Q2_Part_Number3&lt;&gt;"Invalid Part",H11="Single Discrete"),H25*2*Num_FETS3, IF(AND(Q2_Part_Number3&lt;&gt;"Invalid Part",H11="Dual/Power Block"),H25*Num_FETS3,"Not Allowed"))</f>
        <v>0.34</v>
      </c>
      <c r="J34" s="175">
        <v>1.4</v>
      </c>
    </row>
    <row r="35" spans="1:10" ht="18" customHeight="1" x14ac:dyDescent="0.25">
      <c r="A35" s="63"/>
      <c r="B35" s="63"/>
      <c r="C35" s="63"/>
      <c r="D35" s="98"/>
      <c r="E35" s="172" t="s">
        <v>552</v>
      </c>
      <c r="F35" s="80">
        <f>IF(AND(Q2_Part_Number&lt;&gt;"Invalid Part",F11="Single Discrete"),F34*3, IF(AND(Q2_Part_Number&lt;&gt;"Invalid Part",F11="Dual/Power Block"),F34*3,"Not Allowed"))</f>
        <v>1.8599999999999999</v>
      </c>
      <c r="G35" s="80">
        <f>IF(AND(Q2_Part_Number2&lt;&gt;"Invalid Part",G11="Single Discrete"),G34*3, IF(AND(Q2_Part_Number2&lt;&gt;"Invalid Part",G11="Dual/Power Block"),G34*3,"Not Allowed"))</f>
        <v>1.08</v>
      </c>
      <c r="H35" s="81">
        <f>IF(AND(Q2_Part_Number3&lt;&gt;"Invalid Part",H11="Single Discrete"),H34*3, IF(AND(Q2_Part_Number3&lt;&gt;"Invalid Part",H11="Dual/Power Block"),H34*3,"Not Allowed"))</f>
        <v>1.02</v>
      </c>
      <c r="J35" s="175">
        <v>20</v>
      </c>
    </row>
    <row r="36" spans="1:10" ht="18" customHeight="1" thickBot="1" x14ac:dyDescent="0.3">
      <c r="A36" s="63"/>
      <c r="B36" s="63"/>
      <c r="C36" s="63"/>
      <c r="D36" s="98"/>
      <c r="E36" s="214" t="s">
        <v>495</v>
      </c>
      <c r="F36" s="215"/>
      <c r="G36" s="216" t="s">
        <v>676</v>
      </c>
      <c r="H36" s="217"/>
      <c r="J36" s="182" t="s">
        <v>685</v>
      </c>
    </row>
    <row r="37" spans="1:10" ht="18.95" customHeight="1" x14ac:dyDescent="0.25">
      <c r="A37" s="63"/>
      <c r="B37" s="63"/>
      <c r="C37" s="63"/>
      <c r="D37" s="98"/>
      <c r="E37" s="99"/>
      <c r="F37" s="99"/>
      <c r="G37" s="99"/>
      <c r="H37" s="99"/>
      <c r="I37" s="185"/>
      <c r="J37" s="175">
        <v>4</v>
      </c>
    </row>
    <row r="38" spans="1:10" ht="19.5" customHeight="1" x14ac:dyDescent="0.25">
      <c r="A38" s="63"/>
      <c r="B38" s="63"/>
      <c r="C38" s="63"/>
      <c r="D38" s="98"/>
      <c r="E38" s="99"/>
      <c r="F38" s="99"/>
      <c r="G38" s="99"/>
      <c r="H38" s="99"/>
      <c r="J38" s="175">
        <v>20000</v>
      </c>
    </row>
    <row r="39" spans="1:10" ht="19.5" customHeight="1" x14ac:dyDescent="0.25">
      <c r="A39" s="198" t="s">
        <v>494</v>
      </c>
      <c r="B39" s="198"/>
      <c r="C39" s="198"/>
      <c r="D39" s="98"/>
      <c r="E39" s="99"/>
      <c r="F39" s="99"/>
      <c r="G39" s="99"/>
      <c r="H39" s="99"/>
      <c r="J39" s="175">
        <v>0.95</v>
      </c>
    </row>
    <row r="40" spans="1:10" ht="19.5" customHeight="1" x14ac:dyDescent="0.25">
      <c r="A40" s="180"/>
      <c r="B40" s="180"/>
      <c r="C40" s="180"/>
      <c r="D40" s="181"/>
      <c r="J40" s="175">
        <v>0.01</v>
      </c>
    </row>
    <row r="41" spans="1:10" ht="19.5" customHeight="1" x14ac:dyDescent="0.25">
      <c r="A41" s="180"/>
      <c r="B41" s="180"/>
      <c r="C41" s="180"/>
      <c r="D41" s="181"/>
      <c r="J41" s="175">
        <v>1.5</v>
      </c>
    </row>
    <row r="42" spans="1:10" ht="19.5" customHeight="1" x14ac:dyDescent="0.25">
      <c r="A42" s="180"/>
      <c r="B42" s="180"/>
      <c r="C42" s="180"/>
      <c r="D42" s="181"/>
      <c r="J42" s="175">
        <v>40</v>
      </c>
    </row>
    <row r="43" spans="1:10" ht="19.5" customHeight="1" x14ac:dyDescent="0.25">
      <c r="A43" s="180"/>
      <c r="B43" s="180"/>
      <c r="C43" s="180"/>
      <c r="D43" s="181"/>
      <c r="J43" s="182" t="s">
        <v>694</v>
      </c>
    </row>
    <row r="44" spans="1:10" ht="19.5" customHeight="1" x14ac:dyDescent="0.25">
      <c r="D44" s="181"/>
      <c r="J44" s="175">
        <v>2</v>
      </c>
    </row>
    <row r="45" spans="1:10" ht="19.5" customHeight="1" x14ac:dyDescent="0.25">
      <c r="D45" s="181"/>
      <c r="J45" s="175">
        <v>100000</v>
      </c>
    </row>
    <row r="46" spans="1:10" ht="19.5" customHeight="1" x14ac:dyDescent="0.25">
      <c r="B46" s="185"/>
      <c r="D46" s="181"/>
      <c r="J46" s="175">
        <v>0.95</v>
      </c>
    </row>
    <row r="47" spans="1:10" ht="19.5" customHeight="1" x14ac:dyDescent="0.25">
      <c r="B47" s="185"/>
      <c r="J47" s="175">
        <v>5.0000000000000001E-3</v>
      </c>
    </row>
    <row r="48" spans="1:10" ht="19.5" customHeight="1" x14ac:dyDescent="0.25">
      <c r="B48" s="186"/>
      <c r="J48" s="175">
        <v>1.5</v>
      </c>
    </row>
    <row r="49" spans="2:10" ht="19.5" customHeight="1" x14ac:dyDescent="0.25">
      <c r="B49" s="186"/>
      <c r="J49" s="175">
        <v>60</v>
      </c>
    </row>
    <row r="50" spans="2:10" ht="19.5" customHeight="1" x14ac:dyDescent="0.25">
      <c r="B50" s="186"/>
    </row>
    <row r="51" spans="2:10" ht="19.5" customHeight="1" x14ac:dyDescent="0.25">
      <c r="B51" s="186"/>
    </row>
    <row r="52" spans="2:10" ht="19.5" customHeight="1" x14ac:dyDescent="0.25">
      <c r="B52" s="186"/>
    </row>
    <row r="53" spans="2:10" ht="19.5" customHeight="1" x14ac:dyDescent="0.25">
      <c r="B53" s="186"/>
    </row>
    <row r="54" spans="2:10" ht="19.5" customHeight="1" x14ac:dyDescent="0.25">
      <c r="B54" s="186"/>
    </row>
    <row r="55" spans="2:10" ht="19.5" customHeight="1" x14ac:dyDescent="0.25">
      <c r="B55" s="185"/>
    </row>
    <row r="56" spans="2:10" ht="19.5" customHeight="1" x14ac:dyDescent="0.25">
      <c r="B56" s="185"/>
    </row>
    <row r="57" spans="2:10" ht="19.5" customHeight="1" x14ac:dyDescent="0.25">
      <c r="B57" s="185"/>
    </row>
    <row r="58" spans="2:10" ht="19.5" customHeight="1" x14ac:dyDescent="0.25">
      <c r="B58" s="185"/>
    </row>
  </sheetData>
  <sheetProtection password="87C7" sheet="1" objects="1" scenarios="1"/>
  <mergeCells count="21">
    <mergeCell ref="E10:H10"/>
    <mergeCell ref="A3:C3"/>
    <mergeCell ref="A5:C5"/>
    <mergeCell ref="A6:C6"/>
    <mergeCell ref="A11:B11"/>
    <mergeCell ref="A9:B9"/>
    <mergeCell ref="A10:B10"/>
    <mergeCell ref="E27:F27"/>
    <mergeCell ref="G27:H27"/>
    <mergeCell ref="A32:C32"/>
    <mergeCell ref="A33:C33"/>
    <mergeCell ref="E36:F36"/>
    <mergeCell ref="G36:H36"/>
    <mergeCell ref="A2:C2"/>
    <mergeCell ref="A8:B8"/>
    <mergeCell ref="A1:C1"/>
    <mergeCell ref="A39:C39"/>
    <mergeCell ref="A26:C26"/>
    <mergeCell ref="A7:B7"/>
    <mergeCell ref="A12:B12"/>
    <mergeCell ref="A4:C4"/>
  </mergeCells>
  <conditionalFormatting sqref="C14">
    <cfRule type="expression" dxfId="134" priority="42">
      <formula>$C$14&gt;5000</formula>
    </cfRule>
  </conditionalFormatting>
  <conditionalFormatting sqref="C25">
    <cfRule type="cellIs" dxfId="133" priority="41" operator="greaterThan">
      <formula>150</formula>
    </cfRule>
  </conditionalFormatting>
  <conditionalFormatting sqref="C15">
    <cfRule type="expression" dxfId="132" priority="3">
      <formula>ISODD($C$15)</formula>
    </cfRule>
    <cfRule type="cellIs" dxfId="131" priority="40" operator="notBetween">
      <formula>1</formula>
      <formula>20</formula>
    </cfRule>
  </conditionalFormatting>
  <conditionalFormatting sqref="C13">
    <cfRule type="cellIs" dxfId="130" priority="24" operator="notBetween">
      <formula>1</formula>
      <formula>80</formula>
    </cfRule>
  </conditionalFormatting>
  <conditionalFormatting sqref="H16 H33:H35 F16:G26 F28:G35">
    <cfRule type="expression" dxfId="129" priority="49">
      <formula>$F$15="Invalid Part"</formula>
    </cfRule>
  </conditionalFormatting>
  <conditionalFormatting sqref="H17:H26 H28:H32">
    <cfRule type="expression" dxfId="128" priority="54">
      <formula>$H$15="Invalid Part"</formula>
    </cfRule>
  </conditionalFormatting>
  <conditionalFormatting sqref="C17">
    <cfRule type="cellIs" dxfId="127" priority="17" operator="greaterThan">
      <formula>1</formula>
    </cfRule>
  </conditionalFormatting>
  <conditionalFormatting sqref="C20">
    <cfRule type="cellIs" dxfId="126" priority="13" operator="greaterThan">
      <formula>100</formula>
    </cfRule>
  </conditionalFormatting>
  <conditionalFormatting sqref="C19">
    <cfRule type="cellIs" dxfId="125" priority="12" operator="notBetween">
      <formula>1.1</formula>
      <formula>1.7</formula>
    </cfRule>
  </conditionalFormatting>
  <conditionalFormatting sqref="C21">
    <cfRule type="cellIs" dxfId="124" priority="11" operator="greaterThan">
      <formula>20</formula>
    </cfRule>
  </conditionalFormatting>
  <conditionalFormatting sqref="C22 C24">
    <cfRule type="cellIs" priority="10" operator="greaterThan">
      <formula>5</formula>
    </cfRule>
  </conditionalFormatting>
  <conditionalFormatting sqref="C23">
    <cfRule type="cellIs" priority="9" operator="greaterThan">
      <formula>5</formula>
    </cfRule>
  </conditionalFormatting>
  <conditionalFormatting sqref="A15:C20">
    <cfRule type="expression" dxfId="123" priority="8">
      <formula>$J$3</formula>
    </cfRule>
  </conditionalFormatting>
  <conditionalFormatting sqref="C16">
    <cfRule type="cellIs" dxfId="122" priority="2" operator="greaterThan">
      <formula>100000</formula>
    </cfRule>
  </conditionalFormatting>
  <conditionalFormatting sqref="C18">
    <cfRule type="cellIs" dxfId="121" priority="1" operator="notBetween">
      <formula>0.00001</formula>
      <formula>1</formula>
    </cfRule>
  </conditionalFormatting>
  <dataValidations xWindow="1458" yWindow="396" count="3">
    <dataValidation type="list" allowBlank="1" showErrorMessage="1" prompt="FET Config 3" sqref="H11" xr:uid="{00000000-0002-0000-0100-000000000000}">
      <formula1>$J$10:$J$12</formula1>
    </dataValidation>
    <dataValidation type="list" allowBlank="1" showErrorMessage="1" prompt="FET Config 2" sqref="G11" xr:uid="{00000000-0002-0000-0100-000001000000}">
      <formula1>$J$10:$J$12</formula1>
    </dataValidation>
    <dataValidation type="list" allowBlank="1" showErrorMessage="1" prompt="FET Config 1" sqref="F11" xr:uid="{00000000-0002-0000-0100-000002000000}">
      <formula1>$J$10:$J$12</formula1>
    </dataValidation>
  </dataValidations>
  <hyperlinks>
    <hyperlink ref="E27" r:id="rId1" location="p1143=Single&amp;p1480=D2PAK;SON2x2;SON3x3;SON5x6;TO-220" display="N-Channel MOSFET Selector" xr:uid="{00000000-0004-0000-0100-000000000000}"/>
    <hyperlink ref="G27" r:id="rId2" location="p2192=Power%20supply&amp;sort=o1;asc" xr:uid="{00000000-0004-0000-0100-000001000000}"/>
    <hyperlink ref="E27:F27" r:id="rId3" location="p1143=Dual;Single&amp;p1480=D2PAK;SO-8;SON2x2;SON3x3;SON5x6;TO-220&amp;sort=o1;asc" display="Click Here for N-Channel MOSFET Selector on TI.com" xr:uid="{00000000-0004-0000-0100-000002000000}"/>
    <hyperlink ref="G27:H27" r:id="rId4" location="p2192=Motor%20control&amp;sort=o1;asc" display="Click Here for Power Block MOSFET Selector on TI.com" xr:uid="{00000000-0004-0000-0100-000003000000}"/>
    <hyperlink ref="G36:H36" r:id="rId5" display="Click Here for TI BLDC Motor Driver Selector" xr:uid="{00000000-0004-0000-0100-000004000000}"/>
    <hyperlink ref="E36:F36" r:id="rId6" display="Click Here to See FET Power Loss Capability by Package" xr:uid="{00000000-0004-0000-0100-000005000000}"/>
  </hyperlinks>
  <pageMargins left="0.7" right="0.7" top="0.75" bottom="0.75" header="0.3" footer="0.3"/>
  <pageSetup orientation="portrait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49" r:id="rId10" name="Check Box 101">
              <controlPr locked="0" defaultSize="0" autoFill="0" autoLine="0" autoPict="0" altText="">
                <anchor moveWithCells="1">
                  <from>
                    <xdr:col>2</xdr:col>
                    <xdr:colOff>266700</xdr:colOff>
                    <xdr:row>6</xdr:row>
                    <xdr:rowOff>28575</xdr:rowOff>
                  </from>
                  <to>
                    <xdr:col>2</xdr:col>
                    <xdr:colOff>523875</xdr:colOff>
                    <xdr:row>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11" name="Option Button 105">
              <controlPr locked="0" defaultSize="0" autoFill="0" autoLine="0" autoPict="0" macro="[0]!Generic_Motor">
                <anchor moveWithCells="1">
                  <from>
                    <xdr:col>2</xdr:col>
                    <xdr:colOff>257175</xdr:colOff>
                    <xdr:row>7</xdr:row>
                    <xdr:rowOff>9525</xdr:rowOff>
                  </from>
                  <to>
                    <xdr:col>2</xdr:col>
                    <xdr:colOff>561975</xdr:colOff>
                    <xdr:row>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" r:id="rId12" name="Option Button 106">
              <controlPr locked="0" defaultSize="0" autoFill="0" autoLine="0" autoPict="0" macro="[0]!LowSpeed_Motor">
                <anchor moveWithCells="1">
                  <from>
                    <xdr:col>2</xdr:col>
                    <xdr:colOff>257175</xdr:colOff>
                    <xdr:row>8</xdr:row>
                    <xdr:rowOff>9525</xdr:rowOff>
                  </from>
                  <to>
                    <xdr:col>2</xdr:col>
                    <xdr:colOff>561975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" r:id="rId13" name="Option Button 107">
              <controlPr locked="0" defaultSize="0" autoFill="0" autoLine="0" autoPict="0" macro="[0]!MidSpeed_Motor">
                <anchor moveWithCells="1">
                  <from>
                    <xdr:col>2</xdr:col>
                    <xdr:colOff>257175</xdr:colOff>
                    <xdr:row>9</xdr:row>
                    <xdr:rowOff>0</xdr:rowOff>
                  </from>
                  <to>
                    <xdr:col>2</xdr:col>
                    <xdr:colOff>561975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14" name="Option Button 108">
              <controlPr defaultSize="0" autoFill="0" autoLine="0" autoPict="0" macro="[0]!HiSpeed_Motor">
                <anchor moveWithCells="1">
                  <from>
                    <xdr:col>2</xdr:col>
                    <xdr:colOff>257175</xdr:colOff>
                    <xdr:row>10</xdr:row>
                    <xdr:rowOff>9525</xdr:rowOff>
                  </from>
                  <to>
                    <xdr:col>2</xdr:col>
                    <xdr:colOff>561975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" r:id="rId15" name="Option Button 110">
              <controlPr locked="0" defaultSize="0" autoFill="0" autoLine="0" autoPict="0" macro="[0]!VHiSpeed_Motor">
                <anchor moveWithCells="1">
                  <from>
                    <xdr:col>2</xdr:col>
                    <xdr:colOff>257175</xdr:colOff>
                    <xdr:row>11</xdr:row>
                    <xdr:rowOff>9525</xdr:rowOff>
                  </from>
                  <to>
                    <xdr:col>2</xdr:col>
                    <xdr:colOff>561975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458" yWindow="396" count="3">
        <x14:dataValidation type="list" showErrorMessage="1" prompt="Select Sync FET 1" xr:uid="{00000000-0002-0000-0100-000003000000}">
          <x14:formula1>
            <xm:f>FET_List1!$B$1:$B$176</xm:f>
          </x14:formula1>
          <xm:sqref>F15</xm:sqref>
        </x14:dataValidation>
        <x14:dataValidation type="list" showErrorMessage="1" prompt="Select Sync FET 2" xr:uid="{00000000-0002-0000-0100-000004000000}">
          <x14:formula1>
            <xm:f>FET_List2!$B$1:$B$176</xm:f>
          </x14:formula1>
          <xm:sqref>G15</xm:sqref>
        </x14:dataValidation>
        <x14:dataValidation type="list" showErrorMessage="1" prompt="Select Sync FET 3" xr:uid="{00000000-0002-0000-0100-000005000000}">
          <x14:formula1>
            <xm:f>FET_List3!$B$1:$B$176</xm:f>
          </x14:formula1>
          <xm:sqref>H15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7"/>
  <dimension ref="B2:W53"/>
  <sheetViews>
    <sheetView workbookViewId="0">
      <selection activeCell="L2" sqref="L2:V2"/>
    </sheetView>
  </sheetViews>
  <sheetFormatPr defaultRowHeight="15" x14ac:dyDescent="0.25"/>
  <cols>
    <col min="1" max="16384" width="9.140625" style="175"/>
  </cols>
  <sheetData>
    <row r="2" spans="2:23" ht="16.5" x14ac:dyDescent="0.25">
      <c r="B2" s="232" t="s">
        <v>675</v>
      </c>
      <c r="C2" s="232"/>
      <c r="D2" s="232"/>
      <c r="E2" s="232"/>
      <c r="F2" s="232"/>
      <c r="G2" s="232"/>
      <c r="H2" s="232"/>
      <c r="I2" s="232"/>
      <c r="J2" s="232"/>
      <c r="K2" s="232"/>
      <c r="L2" s="231" t="s">
        <v>677</v>
      </c>
      <c r="M2" s="231"/>
      <c r="N2" s="231"/>
      <c r="O2" s="231"/>
      <c r="P2" s="231"/>
      <c r="Q2" s="231"/>
      <c r="R2" s="231"/>
      <c r="S2" s="231"/>
      <c r="T2" s="231"/>
      <c r="U2" s="231"/>
      <c r="V2" s="231"/>
      <c r="W2" s="176"/>
    </row>
    <row r="16" spans="2:23" x14ac:dyDescent="0.25">
      <c r="B16" s="177"/>
      <c r="C16" s="177"/>
      <c r="D16" s="177"/>
      <c r="E16" s="177"/>
      <c r="F16" s="177"/>
      <c r="G16" s="177"/>
      <c r="H16" s="177"/>
      <c r="I16" s="177"/>
    </row>
    <row r="19" spans="2:23" x14ac:dyDescent="0.25">
      <c r="B19" s="230" t="s">
        <v>686</v>
      </c>
      <c r="C19" s="230"/>
      <c r="D19" s="230"/>
      <c r="E19" s="230"/>
      <c r="F19" s="230"/>
      <c r="G19" s="230"/>
      <c r="H19" s="230"/>
      <c r="I19" s="230"/>
      <c r="J19" s="230"/>
      <c r="L19" s="230" t="s">
        <v>673</v>
      </c>
      <c r="M19" s="230"/>
      <c r="N19" s="230"/>
      <c r="O19" s="230"/>
      <c r="P19" s="230"/>
      <c r="Q19" s="230"/>
      <c r="R19" s="230"/>
      <c r="S19" s="230"/>
      <c r="T19" s="230"/>
      <c r="U19" s="230"/>
      <c r="V19" s="230"/>
      <c r="W19" s="230"/>
    </row>
    <row r="36" spans="2:23" x14ac:dyDescent="0.25">
      <c r="B36" s="230" t="s">
        <v>687</v>
      </c>
      <c r="C36" s="230"/>
      <c r="D36" s="230"/>
      <c r="E36" s="230"/>
      <c r="F36" s="230"/>
      <c r="G36" s="230"/>
      <c r="H36" s="230"/>
      <c r="I36" s="230"/>
      <c r="J36" s="230"/>
      <c r="K36" s="177"/>
      <c r="L36" s="230" t="s">
        <v>674</v>
      </c>
      <c r="M36" s="230"/>
      <c r="N36" s="230"/>
      <c r="O36" s="230"/>
      <c r="P36" s="230"/>
      <c r="Q36" s="230"/>
      <c r="R36" s="230"/>
      <c r="S36" s="230"/>
      <c r="T36" s="230"/>
      <c r="U36" s="230"/>
      <c r="V36" s="230"/>
      <c r="W36" s="230"/>
    </row>
    <row r="53" spans="12:20" x14ac:dyDescent="0.25">
      <c r="L53" s="230" t="s">
        <v>688</v>
      </c>
      <c r="M53" s="230"/>
      <c r="N53" s="230"/>
      <c r="O53" s="230"/>
      <c r="P53" s="230"/>
      <c r="Q53" s="230"/>
      <c r="R53" s="230"/>
      <c r="S53" s="230"/>
      <c r="T53" s="230"/>
    </row>
  </sheetData>
  <sheetProtection password="87C7" sheet="1" objects="1" scenarios="1"/>
  <mergeCells count="7">
    <mergeCell ref="L53:T53"/>
    <mergeCell ref="B36:J36"/>
    <mergeCell ref="L2:V2"/>
    <mergeCell ref="B2:K2"/>
    <mergeCell ref="B19:J19"/>
    <mergeCell ref="L19:W19"/>
    <mergeCell ref="L36:W36"/>
  </mergeCells>
  <hyperlinks>
    <hyperlink ref="B2" r:id="rId1" xr:uid="{00000000-0004-0000-0200-000000000000}"/>
    <hyperlink ref="L2" r:id="rId2" display="https://www.ti.com/motor-drivers/brushless-dc-bldc-drivers/overview.html" xr:uid="{00000000-0004-0000-0200-000001000000}"/>
    <hyperlink ref="L2:N2" r:id="rId3" display="Visit the BLDC Motor Driver Landing Page" xr:uid="{00000000-0004-0000-0200-000002000000}"/>
  </hyperlinks>
  <pageMargins left="0.7" right="0.7" top="0.75" bottom="0.75" header="0.3" footer="0.3"/>
  <pageSetup orientation="portrait" r:id="rId4"/>
  <drawing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B2:Y47"/>
  <sheetViews>
    <sheetView workbookViewId="0"/>
  </sheetViews>
  <sheetFormatPr defaultRowHeight="15" x14ac:dyDescent="0.25"/>
  <cols>
    <col min="1" max="13" width="9.140625" style="175"/>
    <col min="14" max="14" width="9.7109375" style="175" bestFit="1" customWidth="1"/>
    <col min="15" max="16384" width="9.140625" style="175"/>
  </cols>
  <sheetData>
    <row r="2" spans="2:16" s="178" customFormat="1" ht="18" x14ac:dyDescent="0.35">
      <c r="B2" s="178" t="s">
        <v>657</v>
      </c>
      <c r="I2" s="178" t="s">
        <v>643</v>
      </c>
      <c r="P2" s="178" t="s">
        <v>651</v>
      </c>
    </row>
    <row r="7" spans="2:16" ht="14.45" customHeight="1" x14ac:dyDescent="0.25">
      <c r="I7" s="178" t="s">
        <v>644</v>
      </c>
      <c r="O7" s="178"/>
      <c r="P7" s="178" t="s">
        <v>652</v>
      </c>
    </row>
    <row r="8" spans="2:16" x14ac:dyDescent="0.25">
      <c r="B8" s="178" t="s">
        <v>640</v>
      </c>
    </row>
    <row r="12" spans="2:16" x14ac:dyDescent="0.25">
      <c r="O12" s="178"/>
      <c r="P12" s="178" t="s">
        <v>653</v>
      </c>
    </row>
    <row r="13" spans="2:16" x14ac:dyDescent="0.25">
      <c r="B13" s="178" t="s">
        <v>639</v>
      </c>
    </row>
    <row r="15" spans="2:16" x14ac:dyDescent="0.25">
      <c r="I15" s="178" t="s">
        <v>645</v>
      </c>
    </row>
    <row r="17" spans="2:16" x14ac:dyDescent="0.25">
      <c r="B17" s="178" t="s">
        <v>641</v>
      </c>
      <c r="O17" s="178"/>
      <c r="P17" s="178" t="s">
        <v>654</v>
      </c>
    </row>
    <row r="20" spans="2:16" x14ac:dyDescent="0.25">
      <c r="I20" s="178" t="s">
        <v>646</v>
      </c>
    </row>
    <row r="21" spans="2:16" x14ac:dyDescent="0.25">
      <c r="B21" s="178" t="s">
        <v>642</v>
      </c>
    </row>
    <row r="22" spans="2:16" x14ac:dyDescent="0.25">
      <c r="O22" s="178"/>
      <c r="P22" s="178" t="s">
        <v>655</v>
      </c>
    </row>
    <row r="26" spans="2:16" x14ac:dyDescent="0.25">
      <c r="B26" s="178" t="s">
        <v>658</v>
      </c>
      <c r="O26" s="178"/>
      <c r="P26" s="178" t="s">
        <v>656</v>
      </c>
    </row>
    <row r="28" spans="2:16" x14ac:dyDescent="0.25">
      <c r="I28" s="178" t="s">
        <v>647</v>
      </c>
    </row>
    <row r="30" spans="2:16" ht="14.45" customHeight="1" x14ac:dyDescent="0.25"/>
    <row r="33" spans="2:25" x14ac:dyDescent="0.25">
      <c r="I33" s="178" t="s">
        <v>648</v>
      </c>
    </row>
    <row r="38" spans="2:25" x14ac:dyDescent="0.25">
      <c r="I38" s="178" t="s">
        <v>649</v>
      </c>
    </row>
    <row r="42" spans="2:25" x14ac:dyDescent="0.25">
      <c r="I42" s="178" t="s">
        <v>650</v>
      </c>
    </row>
    <row r="47" spans="2:25" x14ac:dyDescent="0.25">
      <c r="B47" s="177"/>
      <c r="C47" s="177"/>
      <c r="D47" s="177"/>
      <c r="E47" s="177"/>
      <c r="F47" s="177"/>
      <c r="G47" s="177"/>
      <c r="H47" s="177"/>
      <c r="I47" s="177"/>
      <c r="J47" s="177"/>
      <c r="K47" s="177"/>
      <c r="L47" s="177"/>
      <c r="M47" s="178"/>
      <c r="N47" s="177"/>
      <c r="O47" s="177"/>
      <c r="P47" s="177"/>
      <c r="Q47" s="177"/>
      <c r="R47" s="177"/>
      <c r="S47" s="177"/>
      <c r="T47" s="177"/>
      <c r="U47" s="177"/>
      <c r="V47" s="177"/>
      <c r="W47" s="177"/>
      <c r="X47" s="177"/>
      <c r="Y47" s="177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O29"/>
  <sheetViews>
    <sheetView topLeftCell="H1" zoomScale="90" zoomScaleNormal="90" workbookViewId="0">
      <selection activeCell="J21" sqref="J21"/>
    </sheetView>
  </sheetViews>
  <sheetFormatPr defaultRowHeight="15" x14ac:dyDescent="0.25"/>
  <cols>
    <col min="1" max="1" width="16.42578125" bestFit="1" customWidth="1"/>
    <col min="2" max="3" width="24.140625" bestFit="1" customWidth="1"/>
    <col min="6" max="6" width="16.140625" customWidth="1"/>
    <col min="7" max="7" width="7.42578125" bestFit="1" customWidth="1"/>
    <col min="9" max="9" width="16.42578125" bestFit="1" customWidth="1"/>
    <col min="10" max="10" width="40.5703125" bestFit="1" customWidth="1"/>
    <col min="11" max="11" width="32.42578125" bestFit="1" customWidth="1"/>
    <col min="12" max="12" width="25" bestFit="1" customWidth="1"/>
    <col min="13" max="13" width="23" bestFit="1" customWidth="1"/>
  </cols>
  <sheetData>
    <row r="1" spans="1:15" x14ac:dyDescent="0.25">
      <c r="B1" t="s">
        <v>535</v>
      </c>
      <c r="C1" t="s">
        <v>536</v>
      </c>
    </row>
    <row r="2" spans="1:15" ht="21" x14ac:dyDescent="0.35">
      <c r="A2" s="32" t="s">
        <v>508</v>
      </c>
      <c r="B2" s="31" t="str">
        <f>IF(Pick_FET&lt;&gt;"Invalid Part",LOOKUP(MID(Pick_FET,FIND("CSD",Pick_FET),19),Discrete_NFET[PARTNUMBER],Discrete_NFET[PARTNUMBER]),"Not Allowed")</f>
        <v>CSD17575Q3</v>
      </c>
      <c r="C2" s="31" t="str">
        <f>IF('User Input'!F16&lt;&gt;"Invalid Part",IF('User Input'!F11="Dual/Power Block",CONCATENATE('User Input'!F16," (CONT)"),'User Input'!F16),"Not Allowed")</f>
        <v>CSD17575Q3</v>
      </c>
      <c r="D2" s="233" t="s">
        <v>505</v>
      </c>
      <c r="E2" s="233"/>
      <c r="F2" s="233"/>
      <c r="J2" s="4" t="s">
        <v>604</v>
      </c>
      <c r="K2" s="4" t="s">
        <v>603</v>
      </c>
      <c r="L2" s="4" t="s">
        <v>601</v>
      </c>
      <c r="M2" s="4" t="s">
        <v>602</v>
      </c>
    </row>
    <row r="3" spans="1:15" ht="16.5" x14ac:dyDescent="0.25">
      <c r="A3" s="32" t="s">
        <v>417</v>
      </c>
      <c r="B3" s="31">
        <f>IF(Q2_Part_Number&lt;&gt;"Invalid Part",LOOKUP(Q2_Part_Number,Discrete_NFET[PARTNUMBER],Discrete_NFET[VTHMIN]),"Not Allowed")</f>
        <v>1.1000000000000001</v>
      </c>
      <c r="C3" s="31">
        <f>IF(Q1_Part_Number&lt;&gt;"Invalid Part",LOOKUP(Q1_Part_Number,Discrete_NFET[PARTNUMBER],Discrete_NFET[VTHMIN]),"Not Allowed")</f>
        <v>1.1000000000000001</v>
      </c>
      <c r="E3" s="1">
        <f>Q1_Rdson*(1+(Tj-25)*(LOOKUP(Q1_Part_Number,Discrete_NFET[PARTNUMBER],Discrete_NFET[RDSDELTA])/((LOOKUP(Q1_Part_Number,Discrete_NFET[PARTNUMBER],Discrete_NFET[TJMAX])-25))))</f>
        <v>2.2999999999999998</v>
      </c>
      <c r="F3" t="s">
        <v>378</v>
      </c>
      <c r="I3" t="s">
        <v>590</v>
      </c>
      <c r="J3" s="28">
        <f>(1+(1-DUTY))*IM_RMS_120^2*Q2RDSONTJ*m/Num_FETS/3</f>
        <v>9.6784587565404701E-2</v>
      </c>
      <c r="K3" s="28">
        <f>J3+J14+J15+(J16/3)+J19+(J20/6)+(J21/6)</f>
        <v>0.17238738194518904</v>
      </c>
      <c r="L3" s="28">
        <f>K3/Num_FETS</f>
        <v>0.17238738194518904</v>
      </c>
      <c r="M3" s="28">
        <f>3*K3</f>
        <v>0.51716214583556708</v>
      </c>
      <c r="N3" s="28"/>
      <c r="O3" s="29"/>
    </row>
    <row r="4" spans="1:15" ht="18.75" x14ac:dyDescent="0.3">
      <c r="A4" s="32" t="s">
        <v>416</v>
      </c>
      <c r="B4" s="31">
        <f>IF(Q2_Part_Number&lt;&gt;"Invalid Part",LOOKUP(Q2_Part_Number,Discrete_NFET[PARTNUMBER],Discrete_NFET[VTHMAX]),"Not Allowed")</f>
        <v>1.8</v>
      </c>
      <c r="C4" s="31">
        <f>IF(Q1_Part_Number&lt;&gt;"Invalid Part",LOOKUP(Q1_Part_Number,Discrete_NFET[PARTNUMBER],Discrete_NFET[VTHMAX]),"Not Allowed")</f>
        <v>1.8</v>
      </c>
      <c r="D4" s="233" t="s">
        <v>614</v>
      </c>
      <c r="E4" s="233"/>
      <c r="F4" s="233"/>
      <c r="I4" t="s">
        <v>591</v>
      </c>
      <c r="J4" s="28">
        <f>DUTY*IM_RMS_120^2*Q1RDSONTJ*m/Num_FETS/3</f>
        <v>8.7567007797270932E-2</v>
      </c>
      <c r="K4" s="28">
        <f>J4+J9+J10+(J16/3)+(J20/6)+(J21/6)</f>
        <v>0.16078224666380947</v>
      </c>
      <c r="L4" s="28">
        <f>K4/Num_FETS</f>
        <v>0.16078224666380947</v>
      </c>
      <c r="M4" s="28">
        <f>3*K4</f>
        <v>0.48234673999142841</v>
      </c>
      <c r="N4" s="28"/>
      <c r="O4" s="29"/>
    </row>
    <row r="5" spans="1:15" ht="16.5" x14ac:dyDescent="0.25">
      <c r="A5" s="32" t="s">
        <v>458</v>
      </c>
      <c r="B5" s="31">
        <f>IF(Q2_Part_Number&lt;&gt;"Invalid Part",LOOKUP(Q2_Part_Number,Discrete_NFET[PARTNUMBER],Discrete_NFET[VMILLER]),"Not Allowed")</f>
        <v>2.5</v>
      </c>
      <c r="C5" s="31">
        <f>IF(Q1_Part_Number&lt;&gt;"Invalid Part",LOOKUP(Q1_Part_Number,Discrete_NFET[PARTNUMBER],Discrete_NFET[VMILLER]),"Not Allowed")</f>
        <v>2.5</v>
      </c>
      <c r="E5" s="1">
        <f>LOOKUP(Q1_Part_Number,Discrete_NFET[PARTNUMBER],Discrete_NFET[VF_TYP])</f>
        <v>0.8</v>
      </c>
      <c r="F5" t="s">
        <v>459</v>
      </c>
      <c r="I5" t="s">
        <v>507</v>
      </c>
      <c r="J5" s="29">
        <f>SUM(J3:J4)</f>
        <v>0.18435159536267565</v>
      </c>
      <c r="K5" s="29">
        <f>SUM(K3:K4)</f>
        <v>0.33316962860899851</v>
      </c>
      <c r="L5" s="29">
        <f>SUM(L3:L4)</f>
        <v>0.33316962860899851</v>
      </c>
      <c r="M5" s="29">
        <f>SUM(M3:M4)</f>
        <v>0.99950888582699549</v>
      </c>
    </row>
    <row r="6" spans="1:15" ht="18.75" x14ac:dyDescent="0.3">
      <c r="A6" s="32" t="s">
        <v>619</v>
      </c>
      <c r="B6" s="31">
        <f>IF(Q2_Part_Number&lt;&gt;"Invalid Part",LOOKUP(Q2_Part_Number,Discrete_NFET[PARTNUMBER],Discrete_NFET[QGD]),"Not Allowed")</f>
        <v>5.4</v>
      </c>
      <c r="C6" s="31">
        <f>IF(Q1_Part_Number&lt;&gt;"Invalid Part",LOOKUP(Q1_Part_Number,Discrete_NFET[PARTNUMBER],Discrete_NFET[QGD]),"Not Allowed")</f>
        <v>5.4</v>
      </c>
      <c r="D6" s="233" t="s">
        <v>504</v>
      </c>
      <c r="E6" s="233"/>
      <c r="F6" s="233"/>
      <c r="I6" t="s">
        <v>630</v>
      </c>
      <c r="J6" s="29">
        <f>J5*3</f>
        <v>0.55305478608802694</v>
      </c>
    </row>
    <row r="7" spans="1:15" ht="18.75" x14ac:dyDescent="0.3">
      <c r="A7" s="32" t="s">
        <v>391</v>
      </c>
      <c r="B7" s="31">
        <f>IF(Q2_Part_Number&lt;&gt;"Invalid Part",LOOKUP(Q2_Part_Number,Discrete_NFET[PARTNUMBER],Discrete_NFET[QGS]),"Not Allowed")</f>
        <v>8.5</v>
      </c>
      <c r="C7" s="31">
        <f>IF(Q1_Part_Number&lt;&gt;"Invalid Part",LOOKUP(Q1_Part_Number,Discrete_NFET[PARTNUMBER],Discrete_NFET[QGS]),"Not Allowed")</f>
        <v>8.5</v>
      </c>
      <c r="E7" s="1">
        <f>Q2_Rdson*(1+(Tj-25)*(LOOKUP(Q2_Part_Number,Discrete_NFET[PARTNUMBER],Discrete_NFET[RDSDELTA])/((LOOKUP(Q2_Part_Number,Discrete_NFET[PARTNUMBER],Discrete_NFET[TJMAX])-25))))</f>
        <v>2.2999999999999998</v>
      </c>
      <c r="F7" t="s">
        <v>378</v>
      </c>
      <c r="I7" s="234" t="s">
        <v>592</v>
      </c>
      <c r="J7" s="234"/>
      <c r="K7" s="234"/>
    </row>
    <row r="8" spans="1:15" ht="18.75" x14ac:dyDescent="0.3">
      <c r="A8" s="32" t="s">
        <v>457</v>
      </c>
      <c r="B8" s="31">
        <f>IF(Q2_Part_Number&lt;&gt;"Invalid Part",LOOKUP(Q2_Part_Number,Discrete_NFET[PARTNUMBER],Discrete_NFET[QGTH]),"Not Allowed")</f>
        <v>4.5999999999999996</v>
      </c>
      <c r="C8" s="31">
        <f>IF(Q1_Part_Number&lt;&gt;"Invalid Part",LOOKUP(Q1_Part_Number,Discrete_NFET[PARTNUMBER],Discrete_NFET[QGTH]),"Not Allowed")</f>
        <v>4.5999999999999996</v>
      </c>
      <c r="D8" s="233" t="s">
        <v>506</v>
      </c>
      <c r="E8" s="233"/>
      <c r="F8" s="233"/>
      <c r="I8" s="18" t="s">
        <v>453</v>
      </c>
      <c r="J8" s="28">
        <f>Q2_Qgs-Q2_Qgth+Q2_Qgd</f>
        <v>9.3000000000000007</v>
      </c>
    </row>
    <row r="9" spans="1:15" ht="16.5" x14ac:dyDescent="0.25">
      <c r="A9" s="32" t="s">
        <v>502</v>
      </c>
      <c r="B9" s="31">
        <f>IF(Q2_Part_Number&lt;&gt;"Invalid Part",LOOKUP(Q2_Part_Number,Discrete_NFET[PARTNUMBER],Discrete_NFET[QOSSTYP]),"Not Allowed")</f>
        <v>11.6</v>
      </c>
      <c r="C9" s="31">
        <f>IF(Q1_Part_Number&lt;&gt;"Invalid Part",LOOKUP(Q1_Part_Number,Discrete_NFET[PARTNUMBER],Discrete_NFET[QOSSTYP]),"Not Allowed")</f>
        <v>11.6</v>
      </c>
      <c r="E9" s="1">
        <f>LOOKUP(Q2_Part_Number,Discrete_NFET[PARTNUMBER],Discrete_NFET[VF_TYP])</f>
        <v>0.8</v>
      </c>
      <c r="F9" t="s">
        <v>459</v>
      </c>
      <c r="I9" s="18" t="s">
        <v>593</v>
      </c>
      <c r="J9" s="28">
        <f>Num_FETS*0.5*IM_RMS_120*VDC_AVG*J8*n*FSW*k/GDR_SRC/3</f>
        <v>5.9984520123839008E-3</v>
      </c>
    </row>
    <row r="10" spans="1:15" ht="16.5" x14ac:dyDescent="0.25">
      <c r="A10" s="32" t="s">
        <v>503</v>
      </c>
      <c r="B10" s="31">
        <f>IF(Q2_Part_Number&lt;&gt;"Invalid Part",LOOKUP(Q2_Part_Number,Discrete_NFET[PARTNUMBER],Discrete_NFET[QRR]),"Not Allowed")</f>
        <v>15</v>
      </c>
      <c r="C10" s="31">
        <f>IF(Q1_Part_Number&lt;&gt;"Invalid Part",LOOKUP(Q1_Part_Number,Discrete_NFET[PARTNUMBER],Discrete_NFET[QRR]),"Not Allowed")</f>
        <v>15</v>
      </c>
      <c r="I10" s="18" t="s">
        <v>594</v>
      </c>
      <c r="J10" s="28">
        <f>Num_FETS*0.5*IM_RMS_120*VDC_AVG*J8*n*FSW*k/GDR_SINK/3</f>
        <v>4.0789473684210526E-3</v>
      </c>
    </row>
    <row r="11" spans="1:15" ht="16.5" x14ac:dyDescent="0.25">
      <c r="A11" s="33" t="s">
        <v>460</v>
      </c>
      <c r="B11" s="31">
        <f>IF(Q2_Part_Number&lt;&gt;"Invalid Part",LOOKUP(Q2_Part_Number,Discrete_NFET[PARTNUMBER],Discrete_NFET[RGITYP]),"Not Allowed")</f>
        <v>0.9</v>
      </c>
      <c r="C11" s="31">
        <f>IF(Q1_Part_Number&lt;&gt;"Invalid Part",LOOKUP(Q1_Part_Number,Discrete_NFET[PARTNUMBER],Discrete_NFET[RGITYP]),"Not Allowed")</f>
        <v>0.9</v>
      </c>
      <c r="I11" s="18" t="s">
        <v>630</v>
      </c>
      <c r="J11" s="28">
        <f>3*(J9+J10)</f>
        <v>3.0232198142414863E-2</v>
      </c>
    </row>
    <row r="12" spans="1:15" ht="18.75" x14ac:dyDescent="0.3">
      <c r="I12" s="234" t="s">
        <v>595</v>
      </c>
      <c r="J12" s="234"/>
      <c r="K12" s="234"/>
    </row>
    <row r="13" spans="1:15" ht="18.75" x14ac:dyDescent="0.3">
      <c r="A13" s="233" t="s">
        <v>0</v>
      </c>
      <c r="B13" s="233"/>
      <c r="I13" s="48" t="s">
        <v>453</v>
      </c>
      <c r="J13" s="28">
        <f>Q1_Qgs-Q1_Qgth+Q1_Qgd</f>
        <v>9.3000000000000007</v>
      </c>
    </row>
    <row r="14" spans="1:15" x14ac:dyDescent="0.25">
      <c r="A14" s="2" t="s">
        <v>1</v>
      </c>
      <c r="B14" s="3">
        <v>9.9999999999999998E-13</v>
      </c>
      <c r="I14" s="48" t="s">
        <v>593</v>
      </c>
      <c r="J14" s="146">
        <f>Num_FETS*0.5*IM_RMS_120*VDC_AVG*J13*n*MOT_ELEC_FREQ/GDR_SRC</f>
        <v>2.9992260061919509E-5</v>
      </c>
    </row>
    <row r="15" spans="1:15" x14ac:dyDescent="0.25">
      <c r="A15" s="2" t="s">
        <v>2</v>
      </c>
      <c r="B15" s="3">
        <v>1.0000000000000001E-9</v>
      </c>
      <c r="I15" s="18" t="s">
        <v>594</v>
      </c>
      <c r="J15" s="146">
        <f>Num_FETS*0.5*IM_RMS_120*VDC_AVG*J13*n*MOT_ELEC_FREQ/GDR_SINK</f>
        <v>2.0394736842105267E-5</v>
      </c>
    </row>
    <row r="16" spans="1:15" ht="18.75" x14ac:dyDescent="0.3">
      <c r="A16" s="2" t="s">
        <v>3</v>
      </c>
      <c r="B16" s="3">
        <v>9.9999999999999995E-7</v>
      </c>
      <c r="I16" s="18" t="s">
        <v>599</v>
      </c>
      <c r="J16" s="28">
        <f>Num_FETS*((Q2_Qoss*VDC_AVG)*((FSW*k)))*n/2</f>
        <v>1.392E-3</v>
      </c>
      <c r="K16" s="151"/>
    </row>
    <row r="17" spans="1:11" x14ac:dyDescent="0.25">
      <c r="A17" s="2" t="s">
        <v>4</v>
      </c>
      <c r="B17" s="3">
        <v>1E-3</v>
      </c>
      <c r="I17" s="48" t="s">
        <v>630</v>
      </c>
      <c r="J17" s="162">
        <f>3*(J14+J15)</f>
        <v>1.5116099071207432E-4</v>
      </c>
      <c r="K17" s="29">
        <f>J11+J17</f>
        <v>3.0383359133126939E-2</v>
      </c>
    </row>
    <row r="18" spans="1:11" ht="18.75" x14ac:dyDescent="0.3">
      <c r="A18" s="2" t="s">
        <v>5</v>
      </c>
      <c r="B18" s="3">
        <v>1000</v>
      </c>
      <c r="I18" s="151" t="s">
        <v>596</v>
      </c>
      <c r="J18" s="162"/>
    </row>
    <row r="19" spans="1:11" x14ac:dyDescent="0.25">
      <c r="A19" s="2" t="s">
        <v>7</v>
      </c>
      <c r="B19" s="3">
        <v>1000000</v>
      </c>
      <c r="I19" s="18" t="s">
        <v>597</v>
      </c>
      <c r="J19" s="146">
        <f>2*T_DEAD*n*Q2_Vsd*IM_PEAK*(FSW*k)/3</f>
        <v>1.2414567897146714E-2</v>
      </c>
      <c r="K19" s="161"/>
    </row>
    <row r="20" spans="1:11" x14ac:dyDescent="0.25">
      <c r="A20" s="2" t="s">
        <v>6</v>
      </c>
      <c r="B20" s="3">
        <v>1000000000</v>
      </c>
      <c r="I20" s="18" t="s">
        <v>598</v>
      </c>
      <c r="J20" s="146">
        <f>Num_FETS*((Q2_Qrr*VDC_AVG)*((MOT_ELEC_FREQ+FSW*k)))*n</f>
        <v>3.6060000000000003E-3</v>
      </c>
    </row>
    <row r="21" spans="1:11" ht="18.75" x14ac:dyDescent="0.3">
      <c r="A21" s="2"/>
      <c r="B21" s="21"/>
      <c r="G21" s="19"/>
      <c r="H21" s="19"/>
      <c r="I21" s="18" t="s">
        <v>600</v>
      </c>
      <c r="J21" s="146">
        <f>6*0.5*Q2_Vsd*IM_PEAK*MOT_COM_TIME*m*MOT_ELEC_FREQ</f>
        <v>0.37243703691440144</v>
      </c>
    </row>
    <row r="22" spans="1:11" x14ac:dyDescent="0.25">
      <c r="A22" s="2"/>
      <c r="B22" s="21"/>
      <c r="G22" s="20"/>
      <c r="H22" s="20"/>
      <c r="I22" s="18" t="s">
        <v>629</v>
      </c>
      <c r="J22" s="161">
        <f>3*(J19+J20)+J21</f>
        <v>0.42049874060584158</v>
      </c>
    </row>
    <row r="23" spans="1:11" x14ac:dyDescent="0.25">
      <c r="A23" s="2"/>
      <c r="B23" s="21"/>
      <c r="J23" s="161">
        <f>6*(J19+J20)</f>
        <v>9.6123407382880277E-2</v>
      </c>
    </row>
    <row r="24" spans="1:11" ht="18.75" x14ac:dyDescent="0.3">
      <c r="A24" s="2"/>
      <c r="B24" s="21"/>
      <c r="G24" s="19"/>
      <c r="H24" s="19"/>
      <c r="J24" s="29">
        <f>J6+J11+J17+J21+J23</f>
        <v>1.0519985895184356</v>
      </c>
    </row>
    <row r="25" spans="1:11" x14ac:dyDescent="0.25">
      <c r="A25" s="2"/>
      <c r="B25" s="21"/>
      <c r="I25" s="27"/>
      <c r="J25" s="29"/>
    </row>
    <row r="26" spans="1:11" x14ac:dyDescent="0.25">
      <c r="A26" s="2"/>
      <c r="B26" s="21"/>
      <c r="J26" s="29"/>
    </row>
    <row r="27" spans="1:11" x14ac:dyDescent="0.25">
      <c r="A27" s="2"/>
      <c r="B27" s="21"/>
      <c r="J27" s="29"/>
    </row>
    <row r="28" spans="1:11" x14ac:dyDescent="0.25">
      <c r="A28" s="2"/>
      <c r="B28" s="21"/>
      <c r="J28" s="29">
        <f>LOOKUP("CSD87588N S",Discrete_NFET[PARTNUMBER],Discrete_NFET[RDSON45])*1000</f>
        <v>42</v>
      </c>
    </row>
    <row r="29" spans="1:11" x14ac:dyDescent="0.25">
      <c r="A29" s="2"/>
      <c r="B29" s="21"/>
      <c r="J29" s="29"/>
    </row>
  </sheetData>
  <sheetProtection password="87C7" sheet="1" objects="1" scenarios="1"/>
  <mergeCells count="7">
    <mergeCell ref="D2:F2"/>
    <mergeCell ref="I12:K12"/>
    <mergeCell ref="I7:K7"/>
    <mergeCell ref="A13:B13"/>
    <mergeCell ref="D8:F8"/>
    <mergeCell ref="D4:F4"/>
    <mergeCell ref="D6:F6"/>
  </mergeCell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1" id="{331FE697-09A8-48C1-82BC-5A34269E4BE7}">
            <xm:f>'User Input'!$F$15="Invalid Part"</xm:f>
            <x14:dxf>
              <font>
                <strike/>
              </font>
              <fill>
                <patternFill>
                  <bgColor rgb="FFFF0000"/>
                </patternFill>
              </fill>
            </x14:dxf>
          </x14:cfRule>
          <xm:sqref>B3:B4 B6:C6</xm:sqref>
        </x14:conditionalFormatting>
        <x14:conditionalFormatting xmlns:xm="http://schemas.microsoft.com/office/excel/2006/main">
          <x14:cfRule type="expression" priority="10" id="{84BF228D-0CF6-40BB-9688-5154C8483A1E}">
            <xm:f>'User Input'!$F$15="Invalid Part"</xm:f>
            <x14:dxf>
              <font>
                <strike/>
              </font>
              <fill>
                <patternFill>
                  <bgColor rgb="FFFF0000"/>
                </patternFill>
              </fill>
            </x14:dxf>
          </x14:cfRule>
          <xm:sqref>B5</xm:sqref>
        </x14:conditionalFormatting>
        <x14:conditionalFormatting xmlns:xm="http://schemas.microsoft.com/office/excel/2006/main">
          <x14:cfRule type="expression" priority="9" id="{D213B90E-5D5D-4C03-A853-499E074F014B}">
            <xm:f>'User Input'!$F$15="Invalid Part"</xm:f>
            <x14:dxf>
              <font>
                <strike/>
              </font>
              <fill>
                <patternFill>
                  <bgColor rgb="FFFF0000"/>
                </patternFill>
              </fill>
            </x14:dxf>
          </x14:cfRule>
          <xm:sqref>B7</xm:sqref>
        </x14:conditionalFormatting>
        <x14:conditionalFormatting xmlns:xm="http://schemas.microsoft.com/office/excel/2006/main">
          <x14:cfRule type="expression" priority="8" id="{68655367-2897-4409-84C6-9106695A82A7}">
            <xm:f>'User Input'!$F$15="Invalid Part"</xm:f>
            <x14:dxf>
              <font>
                <strike/>
              </font>
              <fill>
                <patternFill>
                  <bgColor rgb="FFFF0000"/>
                </patternFill>
              </fill>
            </x14:dxf>
          </x14:cfRule>
          <xm:sqref>B8:B10</xm:sqref>
        </x14:conditionalFormatting>
        <x14:conditionalFormatting xmlns:xm="http://schemas.microsoft.com/office/excel/2006/main">
          <x14:cfRule type="expression" priority="7" id="{29E930ED-2033-4FDE-90CE-8D149A5730DF}">
            <xm:f>'User Input'!$F$15="Invalid Part"</xm:f>
            <x14:dxf>
              <font>
                <strike/>
              </font>
              <fill>
                <patternFill>
                  <bgColor rgb="FFFF0000"/>
                </patternFill>
              </fill>
            </x14:dxf>
          </x14:cfRule>
          <xm:sqref>C3:C5</xm:sqref>
        </x14:conditionalFormatting>
        <x14:conditionalFormatting xmlns:xm="http://schemas.microsoft.com/office/excel/2006/main">
          <x14:cfRule type="expression" priority="6" id="{CC67317B-8955-4D0E-840E-6E58EF80BE13}">
            <xm:f>'User Input'!$F$15="Invalid Part"</xm:f>
            <x14:dxf>
              <font>
                <strike/>
              </font>
              <fill>
                <patternFill>
                  <bgColor rgb="FFFF0000"/>
                </patternFill>
              </fill>
            </x14:dxf>
          </x14:cfRule>
          <xm:sqref>C7</xm:sqref>
        </x14:conditionalFormatting>
        <x14:conditionalFormatting xmlns:xm="http://schemas.microsoft.com/office/excel/2006/main">
          <x14:cfRule type="expression" priority="5" id="{B4EB274B-1AEA-4001-8D8A-B7AD3B83B665}">
            <xm:f>'User Input'!$F$15="Invalid Part"</xm:f>
            <x14:dxf>
              <font>
                <strike/>
              </font>
              <fill>
                <patternFill>
                  <bgColor rgb="FFFF0000"/>
                </patternFill>
              </fill>
            </x14:dxf>
          </x14:cfRule>
          <xm:sqref>C8:C10</xm:sqref>
        </x14:conditionalFormatting>
        <x14:conditionalFormatting xmlns:xm="http://schemas.microsoft.com/office/excel/2006/main">
          <x14:cfRule type="expression" priority="4" id="{E382D0CB-94A0-457A-A99B-5F95AB94C53C}">
            <xm:f>'User Input'!$F$15="Invalid Part"</xm:f>
            <x14:dxf>
              <font>
                <strike/>
              </font>
              <fill>
                <patternFill>
                  <bgColor rgb="FFFF0000"/>
                </patternFill>
              </fill>
            </x14:dxf>
          </x14:cfRule>
          <xm:sqref>B2</xm:sqref>
        </x14:conditionalFormatting>
        <x14:conditionalFormatting xmlns:xm="http://schemas.microsoft.com/office/excel/2006/main">
          <x14:cfRule type="expression" priority="3" id="{4D6D5AF2-56FF-4EC6-8C9F-055C11350D30}">
            <xm:f>'User Input'!$F$15="Invalid Part"</xm:f>
            <x14:dxf>
              <font>
                <strike/>
              </font>
              <fill>
                <patternFill>
                  <bgColor rgb="FFFF0000"/>
                </patternFill>
              </fill>
            </x14:dxf>
          </x14:cfRule>
          <xm:sqref>C2</xm:sqref>
        </x14:conditionalFormatting>
        <x14:conditionalFormatting xmlns:xm="http://schemas.microsoft.com/office/excel/2006/main">
          <x14:cfRule type="expression" priority="2" id="{06B26D78-E3BC-4F53-BB0D-E1AB5AE7A6D0}">
            <xm:f>'User Input'!$F$15="Invalid Part"</xm:f>
            <x14:dxf>
              <font>
                <strike/>
              </font>
              <fill>
                <patternFill>
                  <bgColor rgb="FFFF0000"/>
                </patternFill>
              </fill>
            </x14:dxf>
          </x14:cfRule>
          <xm:sqref>B11</xm:sqref>
        </x14:conditionalFormatting>
        <x14:conditionalFormatting xmlns:xm="http://schemas.microsoft.com/office/excel/2006/main">
          <x14:cfRule type="expression" priority="1" id="{16DB4377-8560-4130-ABEF-A32D9718B68E}">
            <xm:f>'User Input'!$F$15="Invalid Part"</xm:f>
            <x14:dxf>
              <font>
                <strike/>
              </font>
              <fill>
                <patternFill>
                  <bgColor rgb="FFFF0000"/>
                </patternFill>
              </fill>
            </x14:dxf>
          </x14:cfRule>
          <xm:sqref>C11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O29"/>
  <sheetViews>
    <sheetView topLeftCell="I1" zoomScale="90" zoomScaleNormal="90" workbookViewId="0">
      <selection activeCell="J15" sqref="J15"/>
    </sheetView>
  </sheetViews>
  <sheetFormatPr defaultRowHeight="15" x14ac:dyDescent="0.25"/>
  <cols>
    <col min="1" max="1" width="16.42578125" bestFit="1" customWidth="1"/>
    <col min="2" max="3" width="24.140625" bestFit="1" customWidth="1"/>
    <col min="6" max="6" width="16.140625" customWidth="1"/>
    <col min="7" max="7" width="7.42578125" bestFit="1" customWidth="1"/>
    <col min="9" max="9" width="16.42578125" bestFit="1" customWidth="1"/>
    <col min="10" max="10" width="40.5703125" bestFit="1" customWidth="1"/>
    <col min="11" max="11" width="32.42578125" bestFit="1" customWidth="1"/>
    <col min="12" max="12" width="25" bestFit="1" customWidth="1"/>
    <col min="13" max="13" width="23" bestFit="1" customWidth="1"/>
  </cols>
  <sheetData>
    <row r="1" spans="1:15" x14ac:dyDescent="0.25">
      <c r="B1" t="s">
        <v>535</v>
      </c>
      <c r="C1" t="s">
        <v>536</v>
      </c>
    </row>
    <row r="2" spans="1:15" ht="21" x14ac:dyDescent="0.35">
      <c r="A2" s="32" t="s">
        <v>508</v>
      </c>
      <c r="B2" s="31" t="str">
        <f>IF(Pick_FET2&lt;&gt;"Invalid Part",LOOKUP(MID(Pick_FET2,FIND("CSD",Pick_FET2),19),Discrete_NFET[PARTNUMBER],Discrete_NFET[PARTNUMBER]),"Not Allowed")</f>
        <v>CSD17577Q3A</v>
      </c>
      <c r="C2" s="31" t="str">
        <f>IF('User Input'!G16&lt;&gt;"Invalid Part",IF('User Input'!G11="Dual/Power Block",CONCATENATE('User Input'!G16," (CONT)"),'User Input'!G16),"Not Allowed")</f>
        <v>CSD17577Q3A</v>
      </c>
      <c r="D2" s="233" t="s">
        <v>505</v>
      </c>
      <c r="E2" s="233"/>
      <c r="F2" s="233"/>
      <c r="J2" s="4" t="s">
        <v>604</v>
      </c>
      <c r="K2" s="4" t="s">
        <v>603</v>
      </c>
      <c r="L2" s="4" t="s">
        <v>601</v>
      </c>
      <c r="M2" s="4" t="s">
        <v>602</v>
      </c>
    </row>
    <row r="3" spans="1:15" ht="16.5" x14ac:dyDescent="0.25">
      <c r="A3" s="32" t="s">
        <v>417</v>
      </c>
      <c r="B3" s="31">
        <f>IF(Q2_Part_Number2&lt;&gt;"Invalid Part",LOOKUP(Q2_Part_Number2,Discrete_NFET[PARTNUMBER],Discrete_NFET[VTHMIN]),"Not Allowed")</f>
        <v>1.1000000000000001</v>
      </c>
      <c r="C3" s="31">
        <f>IF(Q1_Part_Number2&lt;&gt;"Invalid Part",LOOKUP(Q1_Part_Number2,Discrete_NFET[PARTNUMBER],Discrete_NFET[VTHMIN]),"Not Allowed")</f>
        <v>1.1000000000000001</v>
      </c>
      <c r="E3" s="1">
        <f>Q1_Rdson2*(1+(Tj-25)*(LOOKUP(Q1_Part_Number2,Discrete_NFET[PARTNUMBER],Discrete_NFET[RDSDELTA])/((LOOKUP(Q1_Part_Number2,Discrete_NFET[PARTNUMBER],Discrete_NFET[TJMAX])-25))))</f>
        <v>4.4800000000000004</v>
      </c>
      <c r="F3" t="s">
        <v>378</v>
      </c>
      <c r="I3" s="155" t="s">
        <v>590</v>
      </c>
      <c r="J3" s="156">
        <f>(1+(1-DUTY))*IM_RMS_120^2*Q2RDSONTJ2*m/Num_FETS2/3</f>
        <v>0.18851954447522315</v>
      </c>
      <c r="K3" s="28">
        <f>J3+J14+J15+(J16/3)+J19+(J20/6)+(J21/6)</f>
        <v>0.26360475549071438</v>
      </c>
      <c r="L3" s="156">
        <f>K3/Num_FETS2</f>
        <v>0.26360475549071438</v>
      </c>
      <c r="M3" s="156">
        <f>3*K3</f>
        <v>0.79081426647214315</v>
      </c>
      <c r="N3" s="28"/>
      <c r="O3" s="29"/>
    </row>
    <row r="4" spans="1:15" ht="18.75" x14ac:dyDescent="0.3">
      <c r="A4" s="32" t="s">
        <v>416</v>
      </c>
      <c r="B4" s="31">
        <f>IF(Q2_Part_Number2&lt;&gt;"Invalid Part",LOOKUP(Q2_Part_Number2,Discrete_NFET[PARTNUMBER],Discrete_NFET[VTHMAX]),"Not Allowed")</f>
        <v>1.8</v>
      </c>
      <c r="C4" s="31">
        <f>IF(Q1_Part_Number2&lt;&gt;"Invalid Part",LOOKUP(Q1_Part_Number2,Discrete_NFET[PARTNUMBER],Discrete_NFET[VTHMAX]),"Not Allowed")</f>
        <v>1.8</v>
      </c>
      <c r="D4" s="233" t="s">
        <v>614</v>
      </c>
      <c r="E4" s="233"/>
      <c r="F4" s="233"/>
      <c r="I4" s="155" t="s">
        <v>591</v>
      </c>
      <c r="J4" s="156">
        <f>DUTY*IM_RMS_120^2*Q1RDSONTJ2*m/Num_FETS2/3</f>
        <v>0.1705653021442495</v>
      </c>
      <c r="K4" s="28">
        <f>J4+J9+J10+(J16/3)+(J20/6)+(J21/6)</f>
        <v>0.23905808148550425</v>
      </c>
      <c r="L4" s="156">
        <f>K4/Num_FETS2</f>
        <v>0.23905808148550425</v>
      </c>
      <c r="M4" s="156">
        <f>3*K4</f>
        <v>0.71717424445651279</v>
      </c>
      <c r="N4" s="28"/>
      <c r="O4" s="29"/>
    </row>
    <row r="5" spans="1:15" ht="16.5" x14ac:dyDescent="0.25">
      <c r="A5" s="32" t="s">
        <v>458</v>
      </c>
      <c r="B5" s="31">
        <f>IF(Q2_Part_Number2&lt;&gt;"Invalid Part",LOOKUP(Q2_Part_Number2,Discrete_NFET[PARTNUMBER],Discrete_NFET[VMILLER]),"Not Allowed")</f>
        <v>2.7</v>
      </c>
      <c r="C5" s="31">
        <f>IF(Q1_Part_Number2&lt;&gt;"Invalid Part",LOOKUP(Q1_Part_Number2,Discrete_NFET[PARTNUMBER],Discrete_NFET[VMILLER]),"Not Allowed")</f>
        <v>2.7</v>
      </c>
      <c r="E5" s="1">
        <f>LOOKUP(Q1_Part_Number2,Discrete_NFET[PARTNUMBER],Discrete_NFET[VF_TYP])</f>
        <v>0.8</v>
      </c>
      <c r="F5" t="s">
        <v>459</v>
      </c>
      <c r="I5" s="155" t="s">
        <v>507</v>
      </c>
      <c r="J5" s="156">
        <f t="shared" ref="J5:L5" si="0">SUM(J3:J4)</f>
        <v>0.35908484661947265</v>
      </c>
      <c r="K5" s="156">
        <f t="shared" si="0"/>
        <v>0.50266283697621861</v>
      </c>
      <c r="L5" s="156">
        <f t="shared" si="0"/>
        <v>0.50266283697621861</v>
      </c>
      <c r="M5" s="156">
        <f>SUM(M3:M4)</f>
        <v>1.5079885109286559</v>
      </c>
    </row>
    <row r="6" spans="1:15" ht="18.75" x14ac:dyDescent="0.3">
      <c r="A6" s="32" t="s">
        <v>619</v>
      </c>
      <c r="B6" s="31">
        <f>IF(Q2_Part_Number&lt;2&gt;"Invalid Part",LOOKUP(Q2_Part_Number2,Discrete_NFET[PARTNUMBER],Discrete_NFET[QGD]),"Not Allowed")</f>
        <v>2.8</v>
      </c>
      <c r="C6" s="31">
        <f>IF(Q1_Part_Number2&lt;&gt;"Invalid Part",LOOKUP(Q1_Part_Number2,Discrete_NFET[PARTNUMBER],Discrete_NFET[QGD]),"Not Allowed")</f>
        <v>2.8</v>
      </c>
      <c r="D6" s="233" t="s">
        <v>504</v>
      </c>
      <c r="E6" s="233"/>
      <c r="F6" s="233"/>
      <c r="I6" s="155"/>
      <c r="J6" s="155"/>
      <c r="K6" s="155"/>
      <c r="L6" s="155"/>
      <c r="M6" s="155"/>
    </row>
    <row r="7" spans="1:15" ht="18.75" x14ac:dyDescent="0.3">
      <c r="A7" s="32" t="s">
        <v>391</v>
      </c>
      <c r="B7" s="31">
        <f>IF(Q2_Part_Number2&lt;&gt;"Invalid Part",LOOKUP(Q2_Part_Number2,Discrete_NFET[PARTNUMBER],Discrete_NFET[QGS]),"Not Allowed")</f>
        <v>5.0999999999999996</v>
      </c>
      <c r="C7" s="31">
        <f>IF(Q1_Part_Number2&lt;&gt;"Invalid Part",LOOKUP(Q1_Part_Number2,Discrete_NFET[PARTNUMBER],Discrete_NFET[QGS]),"Not Allowed")</f>
        <v>5.0999999999999996</v>
      </c>
      <c r="E7" s="1">
        <f>Q2_Rdson2*(1+(Tj-25)*(LOOKUP(Q2_Part_Number2,Discrete_NFET[PARTNUMBER],Discrete_NFET[RDSDELTA])/((LOOKUP(Q2_Part_Number2,Discrete_NFET[PARTNUMBER],Discrete_NFET[TJMAX])-25))))</f>
        <v>4.4800000000000004</v>
      </c>
      <c r="F7" t="s">
        <v>378</v>
      </c>
      <c r="I7" s="235" t="s">
        <v>592</v>
      </c>
      <c r="J7" s="235"/>
      <c r="K7" s="235"/>
      <c r="L7" s="155"/>
      <c r="M7" s="155"/>
    </row>
    <row r="8" spans="1:15" ht="18.75" x14ac:dyDescent="0.3">
      <c r="A8" s="32" t="s">
        <v>457</v>
      </c>
      <c r="B8" s="31">
        <f>IF(Q2_Part_Number2&lt;&gt;"Invalid Part",LOOKUP(Q2_Part_Number2,Discrete_NFET[PARTNUMBER],Discrete_NFET[QGTH]),"Not Allowed")</f>
        <v>2.5</v>
      </c>
      <c r="C8" s="31">
        <f>IF(Q1_Part_Number2&lt;&gt;"Invalid Part",LOOKUP(Q1_Part_Number2,Discrete_NFET[PARTNUMBER],Discrete_NFET[QGTH]),"Not Allowed")</f>
        <v>2.5</v>
      </c>
      <c r="D8" s="233" t="s">
        <v>506</v>
      </c>
      <c r="E8" s="233"/>
      <c r="F8" s="233"/>
      <c r="I8" s="157" t="s">
        <v>453</v>
      </c>
      <c r="J8" s="156">
        <f>Q2_Qgs2-Q2_Qgth2+Q2_Qgd2</f>
        <v>5.3999999999999995</v>
      </c>
      <c r="K8" s="155"/>
      <c r="L8" s="155"/>
      <c r="M8" s="155"/>
    </row>
    <row r="9" spans="1:15" ht="16.5" x14ac:dyDescent="0.25">
      <c r="A9" s="32" t="s">
        <v>502</v>
      </c>
      <c r="B9" s="31">
        <f>IF(Q2_Part_Number2&lt;&gt;"Invalid Part",LOOKUP(Q2_Part_Number2,Discrete_NFET[PARTNUMBER],Discrete_NFET[QOSSTYP]),"Not Allowed")</f>
        <v>6</v>
      </c>
      <c r="C9" s="31">
        <f>IF(Q1_Part_Number2&lt;&gt;"Invalid Part",LOOKUP(Q1_Part_Number2,Discrete_NFET[PARTNUMBER],Discrete_NFET[QOSSTYP]),"Not Allowed")</f>
        <v>6</v>
      </c>
      <c r="E9" s="1">
        <f>LOOKUP(Q2_Part_Number2,Discrete_NFET[PARTNUMBER],Discrete_NFET[VF_TYP])</f>
        <v>0.8</v>
      </c>
      <c r="F9" t="s">
        <v>459</v>
      </c>
      <c r="I9" s="157" t="s">
        <v>593</v>
      </c>
      <c r="J9" s="156">
        <f>Num_FETS2*0.5*IM_RMS_120*VDC_AVG*J8*n*FSW*k/GDR_SRC/3</f>
        <v>3.4829721362229092E-3</v>
      </c>
      <c r="K9" s="155"/>
      <c r="L9" s="155"/>
      <c r="M9" s="155"/>
    </row>
    <row r="10" spans="1:15" ht="16.5" x14ac:dyDescent="0.25">
      <c r="A10" s="32" t="s">
        <v>503</v>
      </c>
      <c r="B10" s="31">
        <f>IF(Q2_Part_Number2&lt;&gt;"Invalid Part",LOOKUP(Q2_Part_Number2,Discrete_NFET[PARTNUMBER],Discrete_NFET[QRR]),"Not Allowed")</f>
        <v>8.1999999999999993</v>
      </c>
      <c r="C10" s="31">
        <f>IF(Q1_Part_Number2&lt;&gt;"Invalid Part",LOOKUP(Q1_Part_Number2,Discrete_NFET[PARTNUMBER],Discrete_NFET[QRR]),"Not Allowed")</f>
        <v>8.1999999999999993</v>
      </c>
      <c r="I10" s="157" t="s">
        <v>594</v>
      </c>
      <c r="J10" s="156">
        <f>Num_FETS2*0.5*IM_RMS_120*VDC_AVG*J8*n*FSW*k/GDR_SINK/3</f>
        <v>2.3684210526315787E-3</v>
      </c>
      <c r="K10" s="155"/>
      <c r="L10" s="155"/>
      <c r="M10" s="155"/>
    </row>
    <row r="11" spans="1:15" ht="16.5" x14ac:dyDescent="0.25">
      <c r="A11" s="33" t="s">
        <v>460</v>
      </c>
      <c r="B11" s="31">
        <f>IF(Q2_Part_Number2&lt;&gt;"Invalid Part",LOOKUP(Q2_Part_Number2,Discrete_NFET[PARTNUMBER],Discrete_NFET[RGITYP]),"Not Allowed")</f>
        <v>1.4</v>
      </c>
      <c r="C11" s="31">
        <f>IF(Q1_Part_Number2&lt;&gt;"Invalid Part",LOOKUP(Q1_Part_Number2,Discrete_NFET[PARTNUMBER],Discrete_NFET[RGITYP]),"Not Allowed")</f>
        <v>1.4</v>
      </c>
      <c r="I11" s="157"/>
      <c r="J11" s="156"/>
      <c r="K11" s="155"/>
      <c r="L11" s="155"/>
      <c r="M11" s="155"/>
    </row>
    <row r="12" spans="1:15" ht="18.75" x14ac:dyDescent="0.3">
      <c r="I12" s="235" t="s">
        <v>595</v>
      </c>
      <c r="J12" s="235"/>
      <c r="K12" s="235"/>
      <c r="L12" s="155"/>
      <c r="M12" s="155"/>
    </row>
    <row r="13" spans="1:15" ht="18.75" x14ac:dyDescent="0.3">
      <c r="A13" s="233" t="s">
        <v>0</v>
      </c>
      <c r="B13" s="233"/>
      <c r="I13" s="157" t="s">
        <v>453</v>
      </c>
      <c r="J13" s="156">
        <f>Q1_Qgs2-Q1_Qgth2+Q1_Qgd2</f>
        <v>5.3999999999999995</v>
      </c>
      <c r="K13" s="155"/>
      <c r="L13" s="155"/>
      <c r="M13" s="155"/>
    </row>
    <row r="14" spans="1:15" x14ac:dyDescent="0.25">
      <c r="A14" s="2" t="s">
        <v>1</v>
      </c>
      <c r="B14" s="3">
        <v>9.9999999999999998E-13</v>
      </c>
      <c r="I14" s="157" t="s">
        <v>593</v>
      </c>
      <c r="J14" s="156">
        <f>Num_FETS2*0.5*IM_RMS_120*VDC_AVG*J13*n*MOT_ELEC_FREQ/GDR_SRC</f>
        <v>1.7414860681114547E-5</v>
      </c>
      <c r="K14" s="155"/>
      <c r="L14" s="155"/>
      <c r="M14" s="155"/>
    </row>
    <row r="15" spans="1:15" x14ac:dyDescent="0.25">
      <c r="A15" s="2" t="s">
        <v>2</v>
      </c>
      <c r="B15" s="3">
        <v>1.0000000000000001E-9</v>
      </c>
      <c r="I15" s="157" t="s">
        <v>594</v>
      </c>
      <c r="J15" s="156">
        <f>Num_FETS2*0.5*IM_RMS_120*VDC_AVG*J13*n*MOT_ELEC_FREQ/GDR_SINK</f>
        <v>1.1842105263157894E-5</v>
      </c>
      <c r="K15" s="155"/>
      <c r="L15" s="155"/>
      <c r="M15" s="155"/>
    </row>
    <row r="16" spans="1:15" ht="18.75" x14ac:dyDescent="0.3">
      <c r="A16" s="2" t="s">
        <v>3</v>
      </c>
      <c r="B16" s="3">
        <v>9.9999999999999995E-7</v>
      </c>
      <c r="I16" s="157" t="s">
        <v>599</v>
      </c>
      <c r="J16" s="156">
        <f>Num_FETS2*((Q2_Qoss2*VDC_AVG)*((FSW*k)))*n/2</f>
        <v>7.2000000000000005E-4</v>
      </c>
      <c r="K16" s="158"/>
      <c r="L16" s="155"/>
      <c r="M16" s="155"/>
    </row>
    <row r="17" spans="1:13" x14ac:dyDescent="0.25">
      <c r="A17" s="2" t="s">
        <v>4</v>
      </c>
      <c r="B17" s="3">
        <v>1E-3</v>
      </c>
      <c r="I17" s="48" t="s">
        <v>630</v>
      </c>
      <c r="J17" s="162">
        <f>3*(J14+J15)</f>
        <v>8.7770897832817324E-5</v>
      </c>
      <c r="K17" s="155"/>
      <c r="L17" s="155"/>
      <c r="M17" s="155"/>
    </row>
    <row r="18" spans="1:13" ht="18.75" x14ac:dyDescent="0.3">
      <c r="A18" s="2" t="s">
        <v>5</v>
      </c>
      <c r="B18" s="3">
        <v>1000</v>
      </c>
      <c r="I18" s="158" t="s">
        <v>596</v>
      </c>
      <c r="J18" s="158"/>
      <c r="K18" s="155"/>
      <c r="L18" s="155"/>
      <c r="M18" s="155"/>
    </row>
    <row r="19" spans="1:13" x14ac:dyDescent="0.25">
      <c r="A19" s="2" t="s">
        <v>7</v>
      </c>
      <c r="B19" s="3">
        <v>1000000</v>
      </c>
      <c r="I19" s="157" t="s">
        <v>597</v>
      </c>
      <c r="J19" s="156">
        <f>2*T_DEAD*n*Q2_Vsd2*IM_PEAK*(FSW*k)/3</f>
        <v>1.2414567897146714E-2</v>
      </c>
      <c r="K19" s="155"/>
      <c r="L19" s="155"/>
      <c r="M19" s="155"/>
    </row>
    <row r="20" spans="1:13" x14ac:dyDescent="0.25">
      <c r="A20" s="2" t="s">
        <v>6</v>
      </c>
      <c r="B20" s="3">
        <v>1000000000</v>
      </c>
      <c r="I20" s="157" t="s">
        <v>598</v>
      </c>
      <c r="J20" s="156">
        <f>Num_FETS2*((Q2_Qrr2*VDC_AVG)*((MOT_ELEC_FREQ+FSW*k)))*n</f>
        <v>1.9712799999999997E-3</v>
      </c>
      <c r="K20" s="155"/>
      <c r="L20" s="155"/>
      <c r="M20" s="155"/>
    </row>
    <row r="21" spans="1:13" ht="18.75" x14ac:dyDescent="0.3">
      <c r="A21" s="2"/>
      <c r="B21" s="153"/>
      <c r="G21" s="152"/>
      <c r="H21" s="152"/>
      <c r="I21" s="157" t="s">
        <v>600</v>
      </c>
      <c r="J21" s="156">
        <f>6*0.5*Q2_Vsd2*IM_PEAK*MOT_COM_TIME*m*MOT_ELEC_FREQ</f>
        <v>0.37243703691440144</v>
      </c>
      <c r="K21" s="155"/>
      <c r="L21" s="155"/>
      <c r="M21" s="155"/>
    </row>
    <row r="22" spans="1:13" x14ac:dyDescent="0.25">
      <c r="A22" s="2"/>
      <c r="B22" s="153"/>
      <c r="G22" s="20"/>
      <c r="H22" s="20"/>
      <c r="I22" s="48" t="s">
        <v>629</v>
      </c>
      <c r="J22" s="28">
        <f>3*(J19+J20)+J21</f>
        <v>0.41559458060584159</v>
      </c>
      <c r="K22" s="155"/>
      <c r="L22" s="155"/>
      <c r="M22" s="155"/>
    </row>
    <row r="23" spans="1:13" x14ac:dyDescent="0.25">
      <c r="A23" s="2"/>
      <c r="B23" s="153"/>
      <c r="I23" s="155"/>
      <c r="J23" s="155"/>
      <c r="K23" s="155"/>
      <c r="L23" s="155"/>
      <c r="M23" s="155"/>
    </row>
    <row r="24" spans="1:13" ht="18.75" x14ac:dyDescent="0.3">
      <c r="A24" s="2"/>
      <c r="B24" s="153"/>
      <c r="G24" s="152"/>
      <c r="H24" s="152"/>
      <c r="I24" s="159"/>
      <c r="J24" s="155"/>
      <c r="K24" s="155"/>
      <c r="L24" s="155"/>
      <c r="M24" s="155"/>
    </row>
    <row r="25" spans="1:13" x14ac:dyDescent="0.25">
      <c r="A25" s="2"/>
      <c r="B25" s="153"/>
      <c r="I25" s="155"/>
      <c r="J25" s="155"/>
      <c r="K25" s="155"/>
      <c r="L25" s="155"/>
      <c r="M25" s="155"/>
    </row>
    <row r="26" spans="1:13" x14ac:dyDescent="0.25">
      <c r="A26" s="2"/>
      <c r="B26" s="153"/>
      <c r="I26" s="155"/>
      <c r="J26" s="155"/>
      <c r="K26" s="155"/>
      <c r="L26" s="155"/>
      <c r="M26" s="155"/>
    </row>
    <row r="27" spans="1:13" x14ac:dyDescent="0.25">
      <c r="A27" s="2"/>
      <c r="B27" s="153"/>
      <c r="I27" s="155"/>
      <c r="J27" s="155">
        <f>LOOKUP("CSD87588N S",Discrete_NFET[PARTNUMBER],Discrete_NFET[RDSON45])*1000</f>
        <v>42</v>
      </c>
    </row>
    <row r="28" spans="1:13" x14ac:dyDescent="0.25">
      <c r="A28" s="2"/>
      <c r="B28" s="153"/>
      <c r="J28" s="29"/>
    </row>
    <row r="29" spans="1:13" x14ac:dyDescent="0.25">
      <c r="A29" s="2"/>
      <c r="B29" s="153"/>
    </row>
  </sheetData>
  <sheetProtection password="87C7" sheet="1" objects="1" scenarios="1"/>
  <mergeCells count="7">
    <mergeCell ref="A13:B13"/>
    <mergeCell ref="I12:K12"/>
    <mergeCell ref="D2:F2"/>
    <mergeCell ref="D4:F4"/>
    <mergeCell ref="D6:F6"/>
    <mergeCell ref="D8:F8"/>
    <mergeCell ref="I7:K7"/>
  </mergeCell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" id="{A9C9C248-B612-42E3-A19F-90AB76FB2C9F}">
            <xm:f>'User Input'!$F$15="Invalid Part"</xm:f>
            <x14:dxf>
              <font>
                <strike/>
              </font>
              <fill>
                <patternFill>
                  <bgColor rgb="FFFF0000"/>
                </patternFill>
              </fill>
            </x14:dxf>
          </x14:cfRule>
          <xm:sqref>B3:B4</xm:sqref>
        </x14:conditionalFormatting>
        <x14:conditionalFormatting xmlns:xm="http://schemas.microsoft.com/office/excel/2006/main">
          <x14:cfRule type="expression" priority="11" id="{ED61C263-75E8-4142-9C6D-4F3615FBFEBD}">
            <xm:f>'User Input'!$F$15="Invalid Part"</xm:f>
            <x14:dxf>
              <font>
                <strike/>
              </font>
              <fill>
                <patternFill>
                  <bgColor rgb="FFFF0000"/>
                </patternFill>
              </fill>
            </x14:dxf>
          </x14:cfRule>
          <xm:sqref>B5</xm:sqref>
        </x14:conditionalFormatting>
        <x14:conditionalFormatting xmlns:xm="http://schemas.microsoft.com/office/excel/2006/main">
          <x14:cfRule type="expression" priority="10" id="{70A702FD-4455-41EE-AA47-0853E2492974}">
            <xm:f>'User Input'!$F$15="Invalid Part"</xm:f>
            <x14:dxf>
              <font>
                <strike/>
              </font>
              <fill>
                <patternFill>
                  <bgColor rgb="FFFF0000"/>
                </patternFill>
              </fill>
            </x14:dxf>
          </x14:cfRule>
          <xm:sqref>B7</xm:sqref>
        </x14:conditionalFormatting>
        <x14:conditionalFormatting xmlns:xm="http://schemas.microsoft.com/office/excel/2006/main">
          <x14:cfRule type="expression" priority="9" id="{F0A2F10E-C2CD-49FD-B4D1-9A98298D03A2}">
            <xm:f>'User Input'!$F$15="Invalid Part"</xm:f>
            <x14:dxf>
              <font>
                <strike/>
              </font>
              <fill>
                <patternFill>
                  <bgColor rgb="FFFF0000"/>
                </patternFill>
              </fill>
            </x14:dxf>
          </x14:cfRule>
          <xm:sqref>B8:B10</xm:sqref>
        </x14:conditionalFormatting>
        <x14:conditionalFormatting xmlns:xm="http://schemas.microsoft.com/office/excel/2006/main">
          <x14:cfRule type="expression" priority="8" id="{38DCC80D-6E00-4948-B0BF-4F5119025E2B}">
            <xm:f>'User Input'!$F$15="Invalid Part"</xm:f>
            <x14:dxf>
              <font>
                <strike/>
              </font>
              <fill>
                <patternFill>
                  <bgColor rgb="FFFF0000"/>
                </patternFill>
              </fill>
            </x14:dxf>
          </x14:cfRule>
          <xm:sqref>C3:C5</xm:sqref>
        </x14:conditionalFormatting>
        <x14:conditionalFormatting xmlns:xm="http://schemas.microsoft.com/office/excel/2006/main">
          <x14:cfRule type="expression" priority="7" id="{67113338-2260-43FA-9D7A-F76579DB543B}">
            <xm:f>'User Input'!$F$15="Invalid Part"</xm:f>
            <x14:dxf>
              <font>
                <strike/>
              </font>
              <fill>
                <patternFill>
                  <bgColor rgb="FFFF0000"/>
                </patternFill>
              </fill>
            </x14:dxf>
          </x14:cfRule>
          <xm:sqref>C7</xm:sqref>
        </x14:conditionalFormatting>
        <x14:conditionalFormatting xmlns:xm="http://schemas.microsoft.com/office/excel/2006/main">
          <x14:cfRule type="expression" priority="6" id="{63AC7CF6-C285-4BC4-8E15-86B145610A6A}">
            <xm:f>'User Input'!$F$15="Invalid Part"</xm:f>
            <x14:dxf>
              <font>
                <strike/>
              </font>
              <fill>
                <patternFill>
                  <bgColor rgb="FFFF0000"/>
                </patternFill>
              </fill>
            </x14:dxf>
          </x14:cfRule>
          <xm:sqref>C8:C10</xm:sqref>
        </x14:conditionalFormatting>
        <x14:conditionalFormatting xmlns:xm="http://schemas.microsoft.com/office/excel/2006/main">
          <x14:cfRule type="expression" priority="5" id="{8C4EE244-C1D0-41C2-8B53-5E806D6588CD}">
            <xm:f>'User Input'!$F$15="Invalid Part"</xm:f>
            <x14:dxf>
              <font>
                <strike/>
              </font>
              <fill>
                <patternFill>
                  <bgColor rgb="FFFF0000"/>
                </patternFill>
              </fill>
            </x14:dxf>
          </x14:cfRule>
          <xm:sqref>B2</xm:sqref>
        </x14:conditionalFormatting>
        <x14:conditionalFormatting xmlns:xm="http://schemas.microsoft.com/office/excel/2006/main">
          <x14:cfRule type="expression" priority="4" id="{4DC2D72D-DBEA-4D79-8DF0-E32A95BCA160}">
            <xm:f>'User Input'!$F$15="Invalid Part"</xm:f>
            <x14:dxf>
              <font>
                <strike/>
              </font>
              <fill>
                <patternFill>
                  <bgColor rgb="FFFF0000"/>
                </patternFill>
              </fill>
            </x14:dxf>
          </x14:cfRule>
          <xm:sqref>C2</xm:sqref>
        </x14:conditionalFormatting>
        <x14:conditionalFormatting xmlns:xm="http://schemas.microsoft.com/office/excel/2006/main">
          <x14:cfRule type="expression" priority="3" id="{CEFCDB09-8574-429E-918A-E6AD7C0E008F}">
            <xm:f>'User Input'!$F$15="Invalid Part"</xm:f>
            <x14:dxf>
              <font>
                <strike/>
              </font>
              <fill>
                <patternFill>
                  <bgColor rgb="FFFF0000"/>
                </patternFill>
              </fill>
            </x14:dxf>
          </x14:cfRule>
          <xm:sqref>B11</xm:sqref>
        </x14:conditionalFormatting>
        <x14:conditionalFormatting xmlns:xm="http://schemas.microsoft.com/office/excel/2006/main">
          <x14:cfRule type="expression" priority="2" id="{A6F4363A-DD6E-4187-9818-C7874D1271A4}">
            <xm:f>'User Input'!$F$15="Invalid Part"</xm:f>
            <x14:dxf>
              <font>
                <strike/>
              </font>
              <fill>
                <patternFill>
                  <bgColor rgb="FFFF0000"/>
                </patternFill>
              </fill>
            </x14:dxf>
          </x14:cfRule>
          <xm:sqref>C11</xm:sqref>
        </x14:conditionalFormatting>
        <x14:conditionalFormatting xmlns:xm="http://schemas.microsoft.com/office/excel/2006/main">
          <x14:cfRule type="expression" priority="1" id="{100B17A5-A34C-4A81-998E-B12406DB7A1D}">
            <xm:f>'User Input'!$F$15="Invalid Part"</xm:f>
            <x14:dxf>
              <font>
                <strike/>
              </font>
              <fill>
                <patternFill>
                  <bgColor rgb="FFFF0000"/>
                </patternFill>
              </fill>
            </x14:dxf>
          </x14:cfRule>
          <xm:sqref>B6:C6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O29"/>
  <sheetViews>
    <sheetView zoomScale="90" zoomScaleNormal="90" workbookViewId="0">
      <selection activeCell="J20" sqref="J20"/>
    </sheetView>
  </sheetViews>
  <sheetFormatPr defaultRowHeight="15" x14ac:dyDescent="0.25"/>
  <cols>
    <col min="1" max="1" width="16.42578125" bestFit="1" customWidth="1"/>
    <col min="2" max="3" width="24.140625" bestFit="1" customWidth="1"/>
    <col min="6" max="6" width="16.140625" customWidth="1"/>
    <col min="7" max="7" width="7.42578125" bestFit="1" customWidth="1"/>
    <col min="9" max="9" width="16.42578125" bestFit="1" customWidth="1"/>
    <col min="10" max="10" width="40.5703125" bestFit="1" customWidth="1"/>
    <col min="11" max="11" width="32.42578125" bestFit="1" customWidth="1"/>
    <col min="12" max="12" width="25" bestFit="1" customWidth="1"/>
    <col min="13" max="13" width="23" bestFit="1" customWidth="1"/>
  </cols>
  <sheetData>
    <row r="1" spans="1:15" x14ac:dyDescent="0.25">
      <c r="B1" t="s">
        <v>535</v>
      </c>
      <c r="C1" t="s">
        <v>536</v>
      </c>
    </row>
    <row r="2" spans="1:15" ht="21" x14ac:dyDescent="0.35">
      <c r="A2" s="32" t="s">
        <v>508</v>
      </c>
      <c r="B2" s="31" t="str">
        <f>IF(Pick_FET3&lt;&gt;"Invalid Part",LOOKUP(MID(Pick_FET3,FIND("CSD",Pick_FET3),19),Discrete_NFET[PARTNUMBER],Discrete_NFET[PARTNUMBER]),"Not Allowed")</f>
        <v>CSD17578Q3A</v>
      </c>
      <c r="C2" s="31" t="str">
        <f>IF('User Input'!H16&lt;&gt;"Invalid Part",IF('User Input'!H11="Dual/Power Block",CONCATENATE('User Input'!H16," (CONT)"),'User Input'!H16),"Not Allowed")</f>
        <v>CSD17578Q3A</v>
      </c>
      <c r="D2" s="233" t="s">
        <v>505</v>
      </c>
      <c r="E2" s="233"/>
      <c r="F2" s="233"/>
      <c r="J2" s="4" t="s">
        <v>604</v>
      </c>
      <c r="K2" s="4" t="s">
        <v>603</v>
      </c>
      <c r="L2" s="4" t="s">
        <v>601</v>
      </c>
      <c r="M2" s="4" t="s">
        <v>602</v>
      </c>
    </row>
    <row r="3" spans="1:15" ht="16.5" x14ac:dyDescent="0.25">
      <c r="A3" s="32" t="s">
        <v>417</v>
      </c>
      <c r="B3" s="31">
        <f>IF(Q2_Part_Number3&lt;&gt;"Invalid Part",LOOKUP(Q2_Part_Number3,Discrete_NFET[PARTNUMBER],Discrete_NFET[VTHMIN]),"Not Allowed")</f>
        <v>1.1000000000000001</v>
      </c>
      <c r="C3" s="31">
        <f>IF(Q1_Part_Number3&lt;&gt;"Invalid Part",LOOKUP(Q1_Part_Number3,Discrete_NFET[PARTNUMBER],Discrete_NFET[VTHMIN]),"Not Allowed")</f>
        <v>1.1000000000000001</v>
      </c>
      <c r="E3" s="1">
        <f>Q1_Rdson3*(1+(Tj-25)*(LOOKUP(Q1_Part_Number3,Discrete_NFET[PARTNUMBER],Discrete_NFET[RDSDELTA])/((LOOKUP(Q1_Part_Number3,Discrete_NFET[PARTNUMBER],Discrete_NFET[TJMAX])-25))))</f>
        <v>7.0679999999999996</v>
      </c>
      <c r="F3" t="s">
        <v>378</v>
      </c>
      <c r="I3" t="s">
        <v>590</v>
      </c>
      <c r="J3" s="28">
        <f>(1+(1-DUTY))*IM_RMS_120^2*Q2RDSONTJ3*m/Num_FETS3/3</f>
        <v>0.29742324561403505</v>
      </c>
      <c r="K3" s="28">
        <f>J3+J14+J15+(J16/3)+J19+(J20/6)+(J21/6)</f>
        <v>0.37227282558721464</v>
      </c>
      <c r="L3" s="28">
        <f>K3/Num_FETS3</f>
        <v>0.37227282558721464</v>
      </c>
      <c r="M3" s="28">
        <f>3*K3</f>
        <v>1.1168184767616438</v>
      </c>
      <c r="N3" s="28"/>
      <c r="O3" s="29"/>
    </row>
    <row r="4" spans="1:15" ht="18.75" x14ac:dyDescent="0.3">
      <c r="A4" s="32" t="s">
        <v>416</v>
      </c>
      <c r="B4" s="31">
        <f>IF(Q2_Part_Number3&lt;&gt;"Invalid Part",LOOKUP(Q2_Part_Number3,Discrete_NFET[PARTNUMBER],Discrete_NFET[VTHMAX]),"Not Allowed")</f>
        <v>1.9</v>
      </c>
      <c r="C4" s="31">
        <f>IF(Q1_Part_Number3&lt;&gt;"Invalid Part",LOOKUP(Q1_Part_Number3,Discrete_NFET[PARTNUMBER],Discrete_NFET[VTHMAX]),"Not Allowed")</f>
        <v>1.9</v>
      </c>
      <c r="D4" s="233" t="s">
        <v>614</v>
      </c>
      <c r="E4" s="233"/>
      <c r="F4" s="233"/>
      <c r="I4" t="s">
        <v>591</v>
      </c>
      <c r="J4" s="28">
        <f>DUTY*IM_RMS_120^2*Q1RDSONTJ3*m/Num_FETS3/3</f>
        <v>0.26909722222222215</v>
      </c>
      <c r="K4" s="28">
        <f>J4+J9+J10+(J16/3)+(J20/6)+(J21/6)</f>
        <v>0.33509020643447796</v>
      </c>
      <c r="L4" s="28">
        <f>K4/Num_FETS3</f>
        <v>0.33509020643447796</v>
      </c>
      <c r="M4" s="28">
        <f>3*K4</f>
        <v>1.0052706193034338</v>
      </c>
      <c r="N4" s="28"/>
      <c r="O4" s="29"/>
    </row>
    <row r="5" spans="1:15" ht="16.5" x14ac:dyDescent="0.25">
      <c r="A5" s="32" t="s">
        <v>458</v>
      </c>
      <c r="B5" s="31">
        <f>IF(Q2_Part_Number3&lt;&gt;"Invalid Part",LOOKUP(Q2_Part_Number3,Discrete_NFET[PARTNUMBER],Discrete_NFET[VMILLER]),"Not Allowed")</f>
        <v>2.8</v>
      </c>
      <c r="C5" s="31">
        <f>IF(Q1_Part_Number3&lt;&gt;"Invalid Part",LOOKUP(Q1_Part_Number3,Discrete_NFET[PARTNUMBER],Discrete_NFET[VMILLER]),"Not Allowed")</f>
        <v>2.8</v>
      </c>
      <c r="E5" s="1">
        <f>LOOKUP(Q1_Part_Number3,Discrete_NFET[PARTNUMBER],Discrete_NFET[VF_TYP])</f>
        <v>0.8</v>
      </c>
      <c r="F5" t="s">
        <v>459</v>
      </c>
      <c r="I5" t="s">
        <v>507</v>
      </c>
      <c r="J5" s="28">
        <f>SUM(J3:J4)</f>
        <v>0.5665204678362572</v>
      </c>
      <c r="K5" s="28">
        <f>SUM(K3:K4)</f>
        <v>0.70736303202169259</v>
      </c>
      <c r="L5" s="28">
        <f>SUM(L3:L4)</f>
        <v>0.70736303202169259</v>
      </c>
      <c r="M5" s="28">
        <f>SUM(M3:M4)</f>
        <v>2.1220890960650776</v>
      </c>
    </row>
    <row r="6" spans="1:15" ht="18.75" x14ac:dyDescent="0.3">
      <c r="A6" s="32" t="s">
        <v>619</v>
      </c>
      <c r="B6" s="31">
        <f>IF(Q2_Part_Number3&lt;&gt;"Invalid Part",LOOKUP(Q2_Part_Number3,Discrete_NFET[PARTNUMBER],Discrete_NFET[QGD]),"Not Allowed")</f>
        <v>1.7</v>
      </c>
      <c r="C6" s="31">
        <f>IF(Q1_Part_Number3&lt;&gt;"Invalid Part",LOOKUP(Q1_Part_Number3,Discrete_NFET[PARTNUMBER],Discrete_NFET[QGD]),"Not Allowed")</f>
        <v>1.7</v>
      </c>
      <c r="D6" s="233" t="s">
        <v>504</v>
      </c>
      <c r="E6" s="233"/>
      <c r="F6" s="233"/>
    </row>
    <row r="7" spans="1:15" ht="18.75" x14ac:dyDescent="0.3">
      <c r="A7" s="32" t="s">
        <v>391</v>
      </c>
      <c r="B7" s="31">
        <f>IF(Q2_Part_Number3&lt;&gt;"Invalid Part",LOOKUP(Q2_Part_Number3,Discrete_NFET[PARTNUMBER],Discrete_NFET[QGS]),"Not Allowed")</f>
        <v>3.3</v>
      </c>
      <c r="C7" s="31">
        <f>IF(Q1_Part_Number3&lt;&gt;"Invalid Part",LOOKUP(Q1_Part_Number3,Discrete_NFET[PARTNUMBER],Discrete_NFET[QGS]),"Not Allowed")</f>
        <v>3.3</v>
      </c>
      <c r="E7" s="1">
        <f>Q2_Rdson3*(1+(Tj-25)*(LOOKUP(Q2_Part_Number3,Discrete_NFET[PARTNUMBER],Discrete_NFET[RDSDELTA])/((LOOKUP(Q2_Part_Number3,Discrete_NFET[PARTNUMBER],Discrete_NFET[TJMAX])-25))))</f>
        <v>7.0679999999999996</v>
      </c>
      <c r="F7" t="s">
        <v>378</v>
      </c>
      <c r="I7" s="234" t="s">
        <v>592</v>
      </c>
      <c r="J7" s="234"/>
      <c r="K7" s="234"/>
    </row>
    <row r="8" spans="1:15" ht="18.75" x14ac:dyDescent="0.3">
      <c r="A8" s="32" t="s">
        <v>457</v>
      </c>
      <c r="B8" s="31">
        <f>IF(Q2_Part_Number3&lt;&gt;"Invalid Part",LOOKUP(Q2_Part_Number3,Discrete_NFET[PARTNUMBER],Discrete_NFET[QGTH]),"Not Allowed")</f>
        <v>1.7</v>
      </c>
      <c r="C8" s="31">
        <f>IF(Q1_Part_Number3&lt;&gt;"Invalid Part",LOOKUP(Q1_Part_Number3,Discrete_NFET[PARTNUMBER],Discrete_NFET[QGTH]),"Not Allowed")</f>
        <v>1.7</v>
      </c>
      <c r="D8" s="233" t="s">
        <v>506</v>
      </c>
      <c r="E8" s="233"/>
      <c r="F8" s="233"/>
      <c r="I8" s="48" t="s">
        <v>453</v>
      </c>
      <c r="J8" s="28">
        <f>Q2_Qgs3-Q2_Qgth3+Q2_Qgd3</f>
        <v>3.3</v>
      </c>
    </row>
    <row r="9" spans="1:15" ht="16.5" x14ac:dyDescent="0.25">
      <c r="A9" s="32" t="s">
        <v>502</v>
      </c>
      <c r="B9" s="31">
        <f>IF(Q2_Part_Number3&lt;&gt;"Invalid Part",LOOKUP(Q2_Part_Number3,Discrete_NFET[PARTNUMBER],Discrete_NFET[QOSSTYP]),"Not Allowed")</f>
        <v>4.2</v>
      </c>
      <c r="C9" s="31">
        <f>IF(Q1_Part_Number3&lt;&gt;"Invalid Part",LOOKUP(Q1_Part_Number3,Discrete_NFET[PARTNUMBER],Discrete_NFET[QOSSTYP]),"Not Allowed")</f>
        <v>4.2</v>
      </c>
      <c r="E9" s="1">
        <f>LOOKUP(Q2_Part_Number3,Discrete_NFET[PARTNUMBER],Discrete_NFET[VF_TYP])</f>
        <v>0.8</v>
      </c>
      <c r="F9" t="s">
        <v>459</v>
      </c>
      <c r="I9" s="48" t="s">
        <v>593</v>
      </c>
      <c r="J9" s="28">
        <f>Num_FETS3*0.5*IM_RMS_120*VDC_AVG*J8*n*FSW*k/GDR_SRC/3</f>
        <v>2.1284829721362232E-3</v>
      </c>
    </row>
    <row r="10" spans="1:15" ht="16.5" x14ac:dyDescent="0.25">
      <c r="A10" s="32" t="s">
        <v>503</v>
      </c>
      <c r="B10" s="31">
        <f>IF(Q2_Part_Number3&lt;&gt;"Invalid Part",LOOKUP(Q2_Part_Number3,Discrete_NFET[PARTNUMBER],Discrete_NFET[QRR]),"Not Allowed")</f>
        <v>4.4000000000000004</v>
      </c>
      <c r="C10" s="31">
        <f>IF(Q1_Part_Number3&lt;&gt;"Invalid Part",LOOKUP(Q1_Part_Number3,Discrete_NFET[PARTNUMBER],Discrete_NFET[QRR]),"Not Allowed")</f>
        <v>4.4000000000000004</v>
      </c>
      <c r="I10" s="48" t="s">
        <v>594</v>
      </c>
      <c r="J10" s="28">
        <f>Num_FETS3*0.5*IM_RMS_120*VDC_AVG*J8*n*FSW*k/GDR_SINK/3</f>
        <v>1.4473684210526319E-3</v>
      </c>
    </row>
    <row r="11" spans="1:15" ht="16.5" x14ac:dyDescent="0.25">
      <c r="A11" s="33" t="s">
        <v>460</v>
      </c>
      <c r="B11" s="31">
        <f>IF(Q2_Part_Number3&lt;&gt;"Invalid Part",LOOKUP(Q2_Part_Number3,Discrete_NFET[PARTNUMBER],Discrete_NFET[RGITYP]),"Not Allowed")</f>
        <v>1.8</v>
      </c>
      <c r="C11" s="31">
        <f>IF(Q1_Part_Number3&lt;&gt;"Invalid Part",LOOKUP(Q1_Part_Number3,Discrete_NFET[PARTNUMBER],Discrete_NFET[RGITYP]),"Not Allowed")</f>
        <v>1.8</v>
      </c>
      <c r="I11" s="48"/>
      <c r="J11" s="28"/>
    </row>
    <row r="12" spans="1:15" ht="18.75" x14ac:dyDescent="0.3">
      <c r="I12" s="234" t="s">
        <v>595</v>
      </c>
      <c r="J12" s="234"/>
      <c r="K12" s="234"/>
    </row>
    <row r="13" spans="1:15" ht="18.75" x14ac:dyDescent="0.3">
      <c r="A13" s="233" t="s">
        <v>0</v>
      </c>
      <c r="B13" s="233"/>
      <c r="I13" s="48" t="s">
        <v>453</v>
      </c>
      <c r="J13" s="28">
        <f>Q1_Qgs3-Q1_Qgth3+Q1_Qgd3</f>
        <v>3.3</v>
      </c>
    </row>
    <row r="14" spans="1:15" x14ac:dyDescent="0.25">
      <c r="A14" s="2" t="s">
        <v>1</v>
      </c>
      <c r="B14" s="3">
        <v>9.9999999999999998E-13</v>
      </c>
      <c r="I14" s="48" t="s">
        <v>593</v>
      </c>
      <c r="J14" s="146">
        <f>Num_FETS3*0.5*IM_RMS_120*VDC_AVG*J13*n*MOT_ELEC_FREQ/GDR_SRC</f>
        <v>1.0642414860681115E-5</v>
      </c>
    </row>
    <row r="15" spans="1:15" x14ac:dyDescent="0.25">
      <c r="A15" s="2" t="s">
        <v>2</v>
      </c>
      <c r="B15" s="3">
        <v>1.0000000000000001E-9</v>
      </c>
      <c r="I15" s="48" t="s">
        <v>594</v>
      </c>
      <c r="J15" s="146">
        <f>Num_FETS3*0.5*IM_RMS_120*VDC_AVG*J13*n*MOT_ELEC_FREQ/GDR_SINK</f>
        <v>7.2368421052631584E-6</v>
      </c>
    </row>
    <row r="16" spans="1:15" ht="18.75" x14ac:dyDescent="0.3">
      <c r="A16" s="2" t="s">
        <v>3</v>
      </c>
      <c r="B16" s="3">
        <v>9.9999999999999995E-7</v>
      </c>
      <c r="I16" s="48" t="s">
        <v>599</v>
      </c>
      <c r="J16" s="28">
        <f>Num_FETS3*((Q2_Qoss3*VDC_AVG)*((FSW*k)))*n/2</f>
        <v>5.0400000000000011E-4</v>
      </c>
      <c r="K16" s="151"/>
    </row>
    <row r="17" spans="1:10" x14ac:dyDescent="0.25">
      <c r="A17" s="2" t="s">
        <v>4</v>
      </c>
      <c r="B17" s="3">
        <v>1E-3</v>
      </c>
      <c r="I17" s="48" t="s">
        <v>630</v>
      </c>
      <c r="J17" s="162">
        <f>3*(J14+J15)</f>
        <v>5.3637770897832821E-5</v>
      </c>
    </row>
    <row r="18" spans="1:10" ht="18.75" x14ac:dyDescent="0.3">
      <c r="A18" s="2" t="s">
        <v>5</v>
      </c>
      <c r="B18" s="3">
        <v>1000</v>
      </c>
      <c r="I18" s="151" t="s">
        <v>596</v>
      </c>
      <c r="J18" s="151"/>
    </row>
    <row r="19" spans="1:10" x14ac:dyDescent="0.25">
      <c r="A19" s="2" t="s">
        <v>7</v>
      </c>
      <c r="B19" s="3">
        <v>1000000</v>
      </c>
      <c r="I19" s="48" t="s">
        <v>597</v>
      </c>
      <c r="J19" s="28">
        <f>2*T_DEAD*n*Q2_Vsd3*IM_PEAK*(FSW*k)/3</f>
        <v>1.2414567897146714E-2</v>
      </c>
    </row>
    <row r="20" spans="1:10" x14ac:dyDescent="0.25">
      <c r="A20" s="2" t="s">
        <v>6</v>
      </c>
      <c r="B20" s="3">
        <v>1000000000</v>
      </c>
      <c r="I20" s="48" t="s">
        <v>598</v>
      </c>
      <c r="J20" s="28">
        <f>Num_FETS3*((Q2_Qrr3*VDC_AVG)*((MOT_ELEC_FREQ+FSW*k)))*n</f>
        <v>1.05776E-3</v>
      </c>
    </row>
    <row r="21" spans="1:10" ht="18.75" x14ac:dyDescent="0.3">
      <c r="A21" s="2"/>
      <c r="B21" s="153"/>
      <c r="G21" s="152"/>
      <c r="H21" s="152"/>
      <c r="I21" s="48" t="s">
        <v>600</v>
      </c>
      <c r="J21" s="28">
        <f>6*0.5*Q2_Vsd3*IM_PEAK*MOT_COM_TIME*m*MOT_ELEC_FREQ</f>
        <v>0.37243703691440144</v>
      </c>
    </row>
    <row r="22" spans="1:10" x14ac:dyDescent="0.25">
      <c r="A22" s="2"/>
      <c r="B22" s="153"/>
      <c r="G22" s="20"/>
      <c r="H22" s="20"/>
      <c r="I22" s="48"/>
      <c r="J22" s="30"/>
    </row>
    <row r="23" spans="1:10" x14ac:dyDescent="0.25">
      <c r="A23" s="2"/>
      <c r="B23" s="153"/>
      <c r="J23" s="30"/>
    </row>
    <row r="24" spans="1:10" ht="18.75" x14ac:dyDescent="0.3">
      <c r="A24" s="2"/>
      <c r="B24" s="153"/>
      <c r="G24" s="152"/>
      <c r="H24" s="152"/>
      <c r="J24" s="29"/>
    </row>
    <row r="25" spans="1:10" x14ac:dyDescent="0.25">
      <c r="A25" s="2"/>
      <c r="B25" s="153"/>
      <c r="I25" s="27"/>
      <c r="J25" s="29"/>
    </row>
    <row r="26" spans="1:10" x14ac:dyDescent="0.25">
      <c r="A26" s="2"/>
      <c r="B26" s="153"/>
      <c r="J26" s="29"/>
    </row>
    <row r="27" spans="1:10" x14ac:dyDescent="0.25">
      <c r="A27" s="2"/>
      <c r="B27" s="153"/>
      <c r="J27" s="29"/>
    </row>
    <row r="28" spans="1:10" x14ac:dyDescent="0.25">
      <c r="A28" s="2"/>
      <c r="B28" s="153"/>
      <c r="J28" s="29">
        <f>LOOKUP("CSD87588N S",Discrete_NFET[PARTNUMBER],Discrete_NFET[RDSON45])*1000</f>
        <v>42</v>
      </c>
    </row>
    <row r="29" spans="1:10" x14ac:dyDescent="0.25">
      <c r="A29" s="2"/>
      <c r="B29" s="153"/>
      <c r="J29" s="29"/>
    </row>
  </sheetData>
  <sheetProtection password="87C7" sheet="1" objects="1" scenarios="1"/>
  <mergeCells count="7">
    <mergeCell ref="A13:B13"/>
    <mergeCell ref="I12:K12"/>
    <mergeCell ref="D2:F2"/>
    <mergeCell ref="D4:F4"/>
    <mergeCell ref="D6:F6"/>
    <mergeCell ref="I7:K7"/>
    <mergeCell ref="D8:F8"/>
  </mergeCell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" id="{80E240E0-94DF-4E1B-9F77-5549BF76DBE4}">
            <xm:f>'User Input'!$F$15="Invalid Part"</xm:f>
            <x14:dxf>
              <font>
                <strike/>
              </font>
              <fill>
                <patternFill>
                  <bgColor rgb="FFFF0000"/>
                </patternFill>
              </fill>
            </x14:dxf>
          </x14:cfRule>
          <xm:sqref>B3:B4</xm:sqref>
        </x14:conditionalFormatting>
        <x14:conditionalFormatting xmlns:xm="http://schemas.microsoft.com/office/excel/2006/main">
          <x14:cfRule type="expression" priority="11" id="{CEB6F8C5-2CAD-44CB-B7A2-0DB9ECD63617}">
            <xm:f>'User Input'!$F$15="Invalid Part"</xm:f>
            <x14:dxf>
              <font>
                <strike/>
              </font>
              <fill>
                <patternFill>
                  <bgColor rgb="FFFF0000"/>
                </patternFill>
              </fill>
            </x14:dxf>
          </x14:cfRule>
          <xm:sqref>B5</xm:sqref>
        </x14:conditionalFormatting>
        <x14:conditionalFormatting xmlns:xm="http://schemas.microsoft.com/office/excel/2006/main">
          <x14:cfRule type="expression" priority="10" id="{5976074E-7822-4EDC-B742-7A29206C5F77}">
            <xm:f>'User Input'!$F$15="Invalid Part"</xm:f>
            <x14:dxf>
              <font>
                <strike/>
              </font>
              <fill>
                <patternFill>
                  <bgColor rgb="FFFF0000"/>
                </patternFill>
              </fill>
            </x14:dxf>
          </x14:cfRule>
          <xm:sqref>B7</xm:sqref>
        </x14:conditionalFormatting>
        <x14:conditionalFormatting xmlns:xm="http://schemas.microsoft.com/office/excel/2006/main">
          <x14:cfRule type="expression" priority="9" id="{2EF48CF7-C72C-46B1-ABFA-DA58D084DA60}">
            <xm:f>'User Input'!$F$15="Invalid Part"</xm:f>
            <x14:dxf>
              <font>
                <strike/>
              </font>
              <fill>
                <patternFill>
                  <bgColor rgb="FFFF0000"/>
                </patternFill>
              </fill>
            </x14:dxf>
          </x14:cfRule>
          <xm:sqref>B8:B10</xm:sqref>
        </x14:conditionalFormatting>
        <x14:conditionalFormatting xmlns:xm="http://schemas.microsoft.com/office/excel/2006/main">
          <x14:cfRule type="expression" priority="8" id="{8090A679-F148-4361-A49F-1C149DAC76A1}">
            <xm:f>'User Input'!$F$15="Invalid Part"</xm:f>
            <x14:dxf>
              <font>
                <strike/>
              </font>
              <fill>
                <patternFill>
                  <bgColor rgb="FFFF0000"/>
                </patternFill>
              </fill>
            </x14:dxf>
          </x14:cfRule>
          <xm:sqref>C3:C5</xm:sqref>
        </x14:conditionalFormatting>
        <x14:conditionalFormatting xmlns:xm="http://schemas.microsoft.com/office/excel/2006/main">
          <x14:cfRule type="expression" priority="7" id="{577CF666-C1D2-4868-A1CE-D5A875A2E4F0}">
            <xm:f>'User Input'!$F$15="Invalid Part"</xm:f>
            <x14:dxf>
              <font>
                <strike/>
              </font>
              <fill>
                <patternFill>
                  <bgColor rgb="FFFF0000"/>
                </patternFill>
              </fill>
            </x14:dxf>
          </x14:cfRule>
          <xm:sqref>C7</xm:sqref>
        </x14:conditionalFormatting>
        <x14:conditionalFormatting xmlns:xm="http://schemas.microsoft.com/office/excel/2006/main">
          <x14:cfRule type="expression" priority="6" id="{7DE8860E-00F6-4B3F-8BC9-BB26B5F5DDA5}">
            <xm:f>'User Input'!$F$15="Invalid Part"</xm:f>
            <x14:dxf>
              <font>
                <strike/>
              </font>
              <fill>
                <patternFill>
                  <bgColor rgb="FFFF0000"/>
                </patternFill>
              </fill>
            </x14:dxf>
          </x14:cfRule>
          <xm:sqref>C8:C10</xm:sqref>
        </x14:conditionalFormatting>
        <x14:conditionalFormatting xmlns:xm="http://schemas.microsoft.com/office/excel/2006/main">
          <x14:cfRule type="expression" priority="5" id="{09792E81-4B61-49FB-8EE8-E32CC8242C67}">
            <xm:f>'User Input'!$F$15="Invalid Part"</xm:f>
            <x14:dxf>
              <font>
                <strike/>
              </font>
              <fill>
                <patternFill>
                  <bgColor rgb="FFFF0000"/>
                </patternFill>
              </fill>
            </x14:dxf>
          </x14:cfRule>
          <xm:sqref>B2</xm:sqref>
        </x14:conditionalFormatting>
        <x14:conditionalFormatting xmlns:xm="http://schemas.microsoft.com/office/excel/2006/main">
          <x14:cfRule type="expression" priority="4" id="{8747E593-D7A7-4CDF-8383-63B4BD9C26D9}">
            <xm:f>'User Input'!$F$15="Invalid Part"</xm:f>
            <x14:dxf>
              <font>
                <strike/>
              </font>
              <fill>
                <patternFill>
                  <bgColor rgb="FFFF0000"/>
                </patternFill>
              </fill>
            </x14:dxf>
          </x14:cfRule>
          <xm:sqref>C2</xm:sqref>
        </x14:conditionalFormatting>
        <x14:conditionalFormatting xmlns:xm="http://schemas.microsoft.com/office/excel/2006/main">
          <x14:cfRule type="expression" priority="3" id="{96534368-CB05-43D6-8AFA-C702092B6794}">
            <xm:f>'User Input'!$F$15="Invalid Part"</xm:f>
            <x14:dxf>
              <font>
                <strike/>
              </font>
              <fill>
                <patternFill>
                  <bgColor rgb="FFFF0000"/>
                </patternFill>
              </fill>
            </x14:dxf>
          </x14:cfRule>
          <xm:sqref>B11</xm:sqref>
        </x14:conditionalFormatting>
        <x14:conditionalFormatting xmlns:xm="http://schemas.microsoft.com/office/excel/2006/main">
          <x14:cfRule type="expression" priority="2" id="{3E752524-D38D-4902-B74C-23D7525030E6}">
            <xm:f>'User Input'!$F$15="Invalid Part"</xm:f>
            <x14:dxf>
              <font>
                <strike/>
              </font>
              <fill>
                <patternFill>
                  <bgColor rgb="FFFF0000"/>
                </patternFill>
              </fill>
            </x14:dxf>
          </x14:cfRule>
          <xm:sqref>C11</xm:sqref>
        </x14:conditionalFormatting>
        <x14:conditionalFormatting xmlns:xm="http://schemas.microsoft.com/office/excel/2006/main">
          <x14:cfRule type="expression" priority="1" id="{7C33D82E-B92D-4D0C-B4C6-1F1DA937E063}">
            <xm:f>'User Input'!$F$15="Invalid Part"</xm:f>
            <x14:dxf>
              <font>
                <strike/>
              </font>
              <fill>
                <patternFill>
                  <bgColor rgb="FFFF0000"/>
                </patternFill>
              </fill>
            </x14:dxf>
          </x14:cfRule>
          <xm:sqref>B6:C6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CF144"/>
  <sheetViews>
    <sheetView topLeftCell="A115" zoomScaleNormal="100" workbookViewId="0">
      <pane xSplit="1" topLeftCell="B1" activePane="topRight" state="frozen"/>
      <selection activeCell="D32" sqref="D32:F32"/>
      <selection pane="topRight" activeCell="E146" sqref="E146"/>
    </sheetView>
  </sheetViews>
  <sheetFormatPr defaultColWidth="9.140625" defaultRowHeight="15" x14ac:dyDescent="0.25"/>
  <cols>
    <col min="1" max="1" width="20.85546875" style="105" bestFit="1" customWidth="1"/>
    <col min="2" max="2" width="9.140625" style="105" customWidth="1"/>
    <col min="3" max="3" width="18.5703125" style="105" customWidth="1"/>
    <col min="4" max="4" width="12.42578125" style="105" customWidth="1"/>
    <col min="5" max="5" width="21" style="105" customWidth="1"/>
    <col min="6" max="6" width="13.85546875" style="105" customWidth="1"/>
    <col min="7" max="7" width="13.42578125" style="105" customWidth="1"/>
    <col min="8" max="8" width="9.42578125" style="105" customWidth="1"/>
    <col min="9" max="9" width="9.5703125" style="105" customWidth="1"/>
    <col min="10" max="10" width="9.140625" style="105"/>
    <col min="11" max="11" width="9.5703125" style="105" customWidth="1"/>
    <col min="12" max="13" width="10.42578125" style="105" customWidth="1"/>
    <col min="14" max="14" width="9.5703125" style="105" customWidth="1"/>
    <col min="15" max="15" width="10.5703125" style="105" customWidth="1"/>
    <col min="16" max="16" width="9.140625" style="105"/>
    <col min="17" max="17" width="9.42578125" style="105" customWidth="1"/>
    <col min="18" max="19" width="9.140625" style="105"/>
    <col min="20" max="20" width="10" style="105" customWidth="1"/>
    <col min="21" max="22" width="10.42578125" style="105" customWidth="1"/>
    <col min="23" max="23" width="9.140625" style="105" customWidth="1"/>
    <col min="24" max="24" width="9.42578125" style="105" customWidth="1"/>
    <col min="25" max="26" width="9.140625" style="105"/>
    <col min="27" max="27" width="9.140625" style="105" customWidth="1"/>
    <col min="28" max="28" width="9.140625" style="105"/>
    <col min="29" max="32" width="10.85546875" style="105" customWidth="1"/>
    <col min="33" max="33" width="9.85546875" style="105" customWidth="1"/>
    <col min="34" max="34" width="10.85546875" style="105" customWidth="1"/>
    <col min="35" max="35" width="11.5703125" style="105" customWidth="1"/>
    <col min="36" max="36" width="9.140625" style="105"/>
    <col min="37" max="37" width="11.5703125" style="105" customWidth="1"/>
    <col min="38" max="38" width="10.5703125" style="105" customWidth="1"/>
    <col min="39" max="39" width="13" style="105" customWidth="1"/>
    <col min="40" max="41" width="18.42578125" style="105" customWidth="1"/>
    <col min="42" max="42" width="10.5703125" style="105" customWidth="1"/>
    <col min="43" max="43" width="13.5703125" style="105" customWidth="1"/>
    <col min="44" max="44" width="19.42578125" style="105" customWidth="1"/>
    <col min="45" max="45" width="11.42578125" style="105" customWidth="1"/>
    <col min="46" max="46" width="13.5703125" style="105" customWidth="1"/>
    <col min="47" max="47" width="19" style="105" customWidth="1"/>
    <col min="48" max="48" width="11.42578125" style="105" customWidth="1"/>
    <col min="49" max="49" width="10.5703125" style="105" customWidth="1"/>
    <col min="50" max="50" width="14.5703125" style="105" customWidth="1"/>
    <col min="51" max="51" width="12.5703125" style="105" customWidth="1"/>
    <col min="52" max="52" width="11" style="105" customWidth="1"/>
    <col min="53" max="53" width="15.140625" style="105" customWidth="1"/>
    <col min="54" max="54" width="13.42578125" style="105" customWidth="1"/>
    <col min="55" max="55" width="15.5703125" style="105" customWidth="1"/>
    <col min="56" max="56" width="14" style="105" customWidth="1"/>
    <col min="57" max="57" width="15.42578125" style="105" customWidth="1"/>
    <col min="58" max="58" width="13.5703125" style="105" customWidth="1"/>
    <col min="59" max="59" width="10.85546875" style="105" customWidth="1"/>
    <col min="60" max="60" width="9.42578125" style="105" customWidth="1"/>
    <col min="61" max="61" width="9.140625" style="105"/>
    <col min="62" max="62" width="14.5703125" style="105" customWidth="1"/>
    <col min="63" max="63" width="9.140625" style="105" customWidth="1"/>
    <col min="64" max="64" width="15.5703125" style="105" customWidth="1"/>
    <col min="65" max="65" width="10.85546875" style="105" customWidth="1"/>
    <col min="66" max="67" width="9.140625" style="105"/>
    <col min="68" max="68" width="17.140625" style="105" customWidth="1"/>
    <col min="69" max="69" width="9.140625" style="105"/>
    <col min="70" max="70" width="9.85546875" style="105" customWidth="1"/>
    <col min="71" max="71" width="16" style="105" customWidth="1"/>
    <col min="72" max="74" width="9.140625" style="105"/>
    <col min="75" max="75" width="17.5703125" style="105" customWidth="1"/>
    <col min="76" max="76" width="16.5703125" style="105" customWidth="1"/>
    <col min="77" max="77" width="14.5703125" style="105" customWidth="1"/>
    <col min="78" max="78" width="9.140625" style="105"/>
    <col min="79" max="79" width="14.85546875" style="105" bestFit="1" customWidth="1"/>
    <col min="80" max="80" width="15.85546875" style="105" customWidth="1"/>
    <col min="81" max="81" width="9.140625" style="105"/>
    <col min="82" max="82" width="9.42578125" style="105" bestFit="1" customWidth="1"/>
    <col min="83" max="16384" width="9.140625" style="105"/>
  </cols>
  <sheetData>
    <row r="1" spans="1:84" x14ac:dyDescent="0.25">
      <c r="A1" s="105" t="s">
        <v>15</v>
      </c>
      <c r="B1" s="105" t="s">
        <v>16</v>
      </c>
      <c r="C1" s="105" t="s">
        <v>17</v>
      </c>
      <c r="D1" s="105" t="s">
        <v>18</v>
      </c>
      <c r="E1" s="105" t="s">
        <v>19</v>
      </c>
      <c r="F1" s="105" t="s">
        <v>20</v>
      </c>
      <c r="G1" s="105" t="s">
        <v>21</v>
      </c>
      <c r="H1" s="105" t="s">
        <v>22</v>
      </c>
      <c r="I1" s="105" t="s">
        <v>23</v>
      </c>
      <c r="J1" s="105" t="s">
        <v>24</v>
      </c>
      <c r="K1" s="105" t="s">
        <v>25</v>
      </c>
      <c r="L1" s="105" t="s">
        <v>26</v>
      </c>
      <c r="M1" s="105" t="s">
        <v>27</v>
      </c>
      <c r="N1" s="105" t="s">
        <v>28</v>
      </c>
      <c r="O1" s="105" t="s">
        <v>29</v>
      </c>
      <c r="P1" s="105" t="s">
        <v>30</v>
      </c>
      <c r="Q1" s="105" t="s">
        <v>31</v>
      </c>
      <c r="R1" s="105" t="s">
        <v>32</v>
      </c>
      <c r="S1" s="105" t="s">
        <v>33</v>
      </c>
      <c r="T1" s="105" t="s">
        <v>34</v>
      </c>
      <c r="U1" s="105" t="s">
        <v>35</v>
      </c>
      <c r="V1" s="105" t="s">
        <v>455</v>
      </c>
      <c r="W1" s="105" t="s">
        <v>36</v>
      </c>
      <c r="X1" s="105" t="s">
        <v>37</v>
      </c>
      <c r="Y1" s="105" t="s">
        <v>38</v>
      </c>
      <c r="Z1" s="105" t="s">
        <v>39</v>
      </c>
      <c r="AA1" s="105" t="s">
        <v>40</v>
      </c>
      <c r="AB1" s="105" t="s">
        <v>41</v>
      </c>
      <c r="AC1" s="105" t="s">
        <v>488</v>
      </c>
      <c r="AD1" s="105" t="s">
        <v>42</v>
      </c>
      <c r="AE1" s="105" t="s">
        <v>392</v>
      </c>
      <c r="AF1" s="105" t="s">
        <v>43</v>
      </c>
      <c r="AG1" s="105" t="s">
        <v>376</v>
      </c>
      <c r="AH1" s="105" t="s">
        <v>44</v>
      </c>
      <c r="AI1" s="105" t="s">
        <v>45</v>
      </c>
      <c r="AJ1" s="105" t="s">
        <v>46</v>
      </c>
      <c r="AK1" s="105" t="s">
        <v>47</v>
      </c>
      <c r="AL1" s="105" t="s">
        <v>48</v>
      </c>
      <c r="AM1" s="105" t="s">
        <v>456</v>
      </c>
      <c r="AN1" s="105" t="s">
        <v>49</v>
      </c>
      <c r="AO1" s="105" t="s">
        <v>499</v>
      </c>
      <c r="AP1" s="105" t="s">
        <v>50</v>
      </c>
      <c r="AQ1" s="105" t="s">
        <v>51</v>
      </c>
      <c r="AR1" s="105" t="s">
        <v>52</v>
      </c>
      <c r="AS1" s="105" t="s">
        <v>53</v>
      </c>
      <c r="AT1" s="105" t="s">
        <v>54</v>
      </c>
      <c r="AU1" s="105" t="s">
        <v>55</v>
      </c>
      <c r="AV1" s="105" t="s">
        <v>56</v>
      </c>
      <c r="AW1" s="105" t="s">
        <v>57</v>
      </c>
      <c r="AX1" s="105" t="s">
        <v>58</v>
      </c>
      <c r="AY1" s="105" t="s">
        <v>59</v>
      </c>
      <c r="AZ1" s="105" t="s">
        <v>60</v>
      </c>
      <c r="BA1" s="105" t="s">
        <v>61</v>
      </c>
      <c r="BB1" s="105" t="s">
        <v>62</v>
      </c>
      <c r="BC1" s="105" t="s">
        <v>63</v>
      </c>
      <c r="BD1" s="105" t="s">
        <v>64</v>
      </c>
      <c r="BE1" s="105" t="s">
        <v>65</v>
      </c>
      <c r="BF1" s="105" t="s">
        <v>66</v>
      </c>
      <c r="BG1" s="105" t="s">
        <v>67</v>
      </c>
      <c r="BH1" s="105" t="s">
        <v>68</v>
      </c>
      <c r="BI1" s="105" t="s">
        <v>69</v>
      </c>
      <c r="BJ1" s="105" t="s">
        <v>70</v>
      </c>
      <c r="BK1" s="105" t="s">
        <v>71</v>
      </c>
      <c r="BL1" s="105" t="s">
        <v>72</v>
      </c>
      <c r="BM1" s="105" t="s">
        <v>73</v>
      </c>
      <c r="BN1" s="105" t="s">
        <v>74</v>
      </c>
      <c r="BO1" s="105" t="s">
        <v>75</v>
      </c>
      <c r="BP1" s="105" t="s">
        <v>76</v>
      </c>
      <c r="BQ1" s="105" t="s">
        <v>77</v>
      </c>
      <c r="BR1" s="105" t="s">
        <v>78</v>
      </c>
      <c r="BS1" s="105" t="s">
        <v>79</v>
      </c>
      <c r="BT1" s="105" t="s">
        <v>80</v>
      </c>
      <c r="BU1" s="105" t="s">
        <v>81</v>
      </c>
      <c r="BV1" s="105" t="s">
        <v>82</v>
      </c>
      <c r="BW1" s="105" t="s">
        <v>83</v>
      </c>
      <c r="BX1" s="105" t="s">
        <v>84</v>
      </c>
      <c r="BY1" s="105" t="s">
        <v>85</v>
      </c>
      <c r="BZ1" s="105" t="s">
        <v>86</v>
      </c>
      <c r="CA1" s="105" t="s">
        <v>87</v>
      </c>
      <c r="CB1" s="105" t="s">
        <v>88</v>
      </c>
      <c r="CC1" s="105" t="s">
        <v>89</v>
      </c>
      <c r="CD1" s="105" t="s">
        <v>90</v>
      </c>
      <c r="CE1" s="105" t="s">
        <v>91</v>
      </c>
      <c r="CF1" s="105" t="s">
        <v>390</v>
      </c>
    </row>
    <row r="2" spans="1:84" x14ac:dyDescent="0.25">
      <c r="A2" s="105" t="s">
        <v>95</v>
      </c>
      <c r="B2" s="105">
        <v>146</v>
      </c>
      <c r="C2" s="105" t="s">
        <v>92</v>
      </c>
      <c r="D2" s="105" t="s">
        <v>92</v>
      </c>
      <c r="E2" s="105" t="s">
        <v>96</v>
      </c>
      <c r="F2" s="105" t="s">
        <v>97</v>
      </c>
      <c r="G2" s="105" t="s">
        <v>98</v>
      </c>
      <c r="H2" s="105" t="s">
        <v>93</v>
      </c>
      <c r="I2" s="105">
        <v>1</v>
      </c>
      <c r="J2" s="105">
        <v>0</v>
      </c>
      <c r="K2" s="105">
        <v>1</v>
      </c>
      <c r="L2" s="105">
        <v>12</v>
      </c>
      <c r="M2" s="105">
        <v>8</v>
      </c>
      <c r="N2" s="105">
        <v>22</v>
      </c>
      <c r="O2" s="105">
        <v>76</v>
      </c>
      <c r="P2" s="105">
        <v>150</v>
      </c>
      <c r="Q2" s="105">
        <v>2.7</v>
      </c>
      <c r="R2" s="105">
        <v>60</v>
      </c>
      <c r="S2" s="105">
        <v>6.4</v>
      </c>
      <c r="T2" s="105">
        <v>0.57999999999999996</v>
      </c>
      <c r="U2" s="105">
        <v>1.1000000000000001</v>
      </c>
      <c r="V2" s="105">
        <v>1.4</v>
      </c>
      <c r="W2" s="105">
        <v>1</v>
      </c>
      <c r="X2" s="105">
        <v>28</v>
      </c>
      <c r="Y2" s="105">
        <v>5</v>
      </c>
      <c r="Z2" s="105">
        <v>200</v>
      </c>
      <c r="AA2" s="105">
        <v>44</v>
      </c>
      <c r="AB2" s="105">
        <v>0.7</v>
      </c>
      <c r="AC2" s="105" t="s">
        <v>94</v>
      </c>
      <c r="AD2" s="105">
        <v>1.1599999999999999E-2</v>
      </c>
      <c r="AE2" s="105">
        <v>1.04E-2</v>
      </c>
      <c r="AF2" s="105">
        <v>9.2999999999999992E-3</v>
      </c>
      <c r="AG2" s="105" t="s">
        <v>94</v>
      </c>
      <c r="AH2" s="105" t="s">
        <v>94</v>
      </c>
      <c r="AI2" s="105" t="s">
        <v>94</v>
      </c>
      <c r="AJ2" s="105">
        <v>0.39</v>
      </c>
      <c r="AK2" s="106">
        <v>5.0999999999999996</v>
      </c>
      <c r="AL2" s="105">
        <v>2.9</v>
      </c>
      <c r="AM2" s="105">
        <v>0.56999999999999995</v>
      </c>
      <c r="AN2" s="106" t="s">
        <v>94</v>
      </c>
      <c r="AO2" s="105">
        <v>5.7</v>
      </c>
      <c r="AP2" s="105">
        <v>0.78100000000000003</v>
      </c>
      <c r="AQ2" s="105">
        <v>0.76700000000000002</v>
      </c>
      <c r="AR2" s="105">
        <v>0.80600000000000005</v>
      </c>
      <c r="AS2" s="105">
        <v>0.81399999999999995</v>
      </c>
      <c r="AT2" s="105">
        <v>0.50600000000000001</v>
      </c>
      <c r="AU2" s="105">
        <v>0.97699999999999998</v>
      </c>
      <c r="AV2" s="105">
        <v>6.9599999999999995E-2</v>
      </c>
      <c r="AW2" s="105">
        <v>4.2999999999999997E-2</v>
      </c>
      <c r="AX2" s="105">
        <v>9.6799999999999997E-2</v>
      </c>
      <c r="AY2" s="105">
        <v>6</v>
      </c>
      <c r="AZ2" s="105">
        <v>10</v>
      </c>
      <c r="BA2" s="105">
        <v>0.01</v>
      </c>
      <c r="BB2" s="105">
        <v>0.9</v>
      </c>
      <c r="BC2" s="105">
        <v>0.5</v>
      </c>
      <c r="BD2" s="105">
        <v>45</v>
      </c>
      <c r="BE2" s="105">
        <v>1</v>
      </c>
      <c r="BF2" s="105">
        <v>22</v>
      </c>
      <c r="BG2" s="105">
        <v>13</v>
      </c>
      <c r="BH2" s="105">
        <v>2</v>
      </c>
      <c r="BI2" s="105">
        <v>13</v>
      </c>
      <c r="BJ2" s="105">
        <v>0.01</v>
      </c>
      <c r="BK2" s="105">
        <v>0.98</v>
      </c>
      <c r="BL2" s="105" t="s">
        <v>93</v>
      </c>
      <c r="BM2" s="105">
        <v>0.75</v>
      </c>
      <c r="BN2" s="105" t="s">
        <v>94</v>
      </c>
      <c r="BO2" s="105" t="s">
        <v>94</v>
      </c>
      <c r="BP2" s="105" t="s">
        <v>94</v>
      </c>
      <c r="BQ2" s="105" t="s">
        <v>92</v>
      </c>
      <c r="BR2" s="105" t="s">
        <v>99</v>
      </c>
      <c r="BS2" s="105" t="s">
        <v>94</v>
      </c>
      <c r="BT2" s="105">
        <v>1.4</v>
      </c>
      <c r="BU2" s="105">
        <v>1.7</v>
      </c>
      <c r="BV2" s="105">
        <v>13</v>
      </c>
      <c r="BW2" s="105">
        <v>0.76</v>
      </c>
      <c r="BX2" s="105">
        <v>0.98</v>
      </c>
      <c r="BY2" s="105" t="s">
        <v>94</v>
      </c>
      <c r="BZ2" s="105" t="s">
        <v>100</v>
      </c>
      <c r="CA2" s="105" t="s">
        <v>93</v>
      </c>
      <c r="CB2" s="105" t="s">
        <v>94</v>
      </c>
      <c r="CC2" s="105">
        <v>42577</v>
      </c>
      <c r="CD2" s="105">
        <v>42662</v>
      </c>
      <c r="CE2" s="105">
        <v>2585</v>
      </c>
      <c r="CF2" s="105">
        <v>0.12</v>
      </c>
    </row>
    <row r="3" spans="1:84" x14ac:dyDescent="0.25">
      <c r="A3" s="105" t="s">
        <v>103</v>
      </c>
      <c r="B3" s="105">
        <v>146</v>
      </c>
      <c r="C3" s="105" t="s">
        <v>92</v>
      </c>
      <c r="D3" s="105" t="s">
        <v>93</v>
      </c>
      <c r="E3" s="105" t="s">
        <v>104</v>
      </c>
      <c r="F3" s="105" t="s">
        <v>97</v>
      </c>
      <c r="G3" s="105" t="s">
        <v>102</v>
      </c>
      <c r="H3" s="105" t="s">
        <v>93</v>
      </c>
      <c r="I3" s="105">
        <v>1</v>
      </c>
      <c r="J3" s="105">
        <v>0</v>
      </c>
      <c r="K3" s="105" t="s">
        <v>94</v>
      </c>
      <c r="L3" s="105">
        <v>20</v>
      </c>
      <c r="M3" s="105">
        <v>20</v>
      </c>
      <c r="N3" s="105">
        <v>22</v>
      </c>
      <c r="O3" s="105">
        <v>52</v>
      </c>
      <c r="P3" s="105">
        <v>150</v>
      </c>
      <c r="Q3" s="105">
        <v>2.5</v>
      </c>
      <c r="R3" s="105">
        <v>65</v>
      </c>
      <c r="S3" s="105">
        <v>4.5</v>
      </c>
      <c r="T3" s="105">
        <v>1.1000000000000001</v>
      </c>
      <c r="U3" s="105">
        <v>1.9</v>
      </c>
      <c r="V3" s="105">
        <v>2.5</v>
      </c>
      <c r="W3" s="105">
        <v>1</v>
      </c>
      <c r="X3" s="105">
        <v>19</v>
      </c>
      <c r="Y3" s="105">
        <v>5</v>
      </c>
      <c r="Z3" s="105">
        <v>300</v>
      </c>
      <c r="AA3" s="105">
        <v>25</v>
      </c>
      <c r="AB3" s="105">
        <v>3.8</v>
      </c>
      <c r="AC3" s="105" t="s">
        <v>94</v>
      </c>
      <c r="AD3" s="105" t="s">
        <v>94</v>
      </c>
      <c r="AE3" s="105" t="s">
        <v>94</v>
      </c>
      <c r="AF3" s="105">
        <v>1.9199999999999998E-2</v>
      </c>
      <c r="AG3" s="105" t="s">
        <v>94</v>
      </c>
      <c r="AH3" s="105" t="s">
        <v>94</v>
      </c>
      <c r="AI3" s="105">
        <v>1.4999999999999999E-2</v>
      </c>
      <c r="AJ3" s="105">
        <v>0.63</v>
      </c>
      <c r="AK3" s="106">
        <v>2.5</v>
      </c>
      <c r="AL3" s="105">
        <v>1.3</v>
      </c>
      <c r="AM3" s="105">
        <v>0.52</v>
      </c>
      <c r="AN3" s="106">
        <v>5.0999999999999996</v>
      </c>
      <c r="AO3" s="105">
        <v>4.0999999999999996</v>
      </c>
      <c r="AP3" s="105">
        <v>0.36099999999999999</v>
      </c>
      <c r="AQ3" s="105">
        <v>0.32</v>
      </c>
      <c r="AR3" s="105">
        <v>0.39200000000000002</v>
      </c>
      <c r="AS3" s="105">
        <v>0.42299999999999999</v>
      </c>
      <c r="AT3" s="105">
        <v>0.184</v>
      </c>
      <c r="AU3" s="105">
        <v>0.51900000000000002</v>
      </c>
      <c r="AV3" s="105">
        <v>7.3499999999999996E-2</v>
      </c>
      <c r="AW3" s="105">
        <v>3.2000000000000001E-2</v>
      </c>
      <c r="AX3" s="105">
        <v>9.6600000000000005E-2</v>
      </c>
      <c r="AY3" s="105">
        <v>10</v>
      </c>
      <c r="AZ3" s="105">
        <v>10</v>
      </c>
      <c r="BA3" s="105">
        <v>0.01</v>
      </c>
      <c r="BB3" s="105">
        <v>0.5</v>
      </c>
      <c r="BC3" s="105">
        <v>0.6</v>
      </c>
      <c r="BD3" s="105">
        <v>30</v>
      </c>
      <c r="BE3" s="105">
        <v>20</v>
      </c>
      <c r="BF3" s="105">
        <v>0.9</v>
      </c>
      <c r="BG3" s="105">
        <v>20</v>
      </c>
      <c r="BH3" s="105">
        <v>0.01</v>
      </c>
      <c r="BI3" s="105">
        <v>20</v>
      </c>
      <c r="BJ3" s="105">
        <v>0.01</v>
      </c>
      <c r="BK3" s="105">
        <v>2.0299999999999998</v>
      </c>
      <c r="BL3" s="105" t="s">
        <v>93</v>
      </c>
      <c r="BM3" s="105">
        <v>0.82</v>
      </c>
      <c r="BN3" s="105" t="s">
        <v>94</v>
      </c>
      <c r="BO3" s="105" t="s">
        <v>94</v>
      </c>
      <c r="BP3" s="105" t="s">
        <v>94</v>
      </c>
      <c r="BQ3" s="105" t="s">
        <v>92</v>
      </c>
      <c r="BR3" s="105" t="s">
        <v>105</v>
      </c>
      <c r="BS3" s="105" t="s">
        <v>94</v>
      </c>
      <c r="BT3" s="105">
        <v>7.6</v>
      </c>
      <c r="BU3" s="105">
        <v>3</v>
      </c>
      <c r="BV3" s="105">
        <v>10.7</v>
      </c>
      <c r="BW3" s="105">
        <v>0.66</v>
      </c>
      <c r="BX3" s="105">
        <v>0.93</v>
      </c>
      <c r="BY3" s="105" t="s">
        <v>94</v>
      </c>
      <c r="BZ3" s="105" t="s">
        <v>100</v>
      </c>
      <c r="CA3" s="105" t="s">
        <v>94</v>
      </c>
      <c r="CB3" s="105" t="s">
        <v>94</v>
      </c>
      <c r="CC3" s="105">
        <v>42577</v>
      </c>
      <c r="CD3" s="105" t="s">
        <v>94</v>
      </c>
      <c r="CE3" s="105">
        <v>2590</v>
      </c>
      <c r="CF3" s="105">
        <v>0.1</v>
      </c>
    </row>
    <row r="4" spans="1:84" x14ac:dyDescent="0.25">
      <c r="A4" s="105" t="s">
        <v>106</v>
      </c>
      <c r="B4" s="105">
        <v>146</v>
      </c>
      <c r="C4" s="105" t="s">
        <v>92</v>
      </c>
      <c r="D4" s="105" t="s">
        <v>92</v>
      </c>
      <c r="E4" s="105" t="s">
        <v>96</v>
      </c>
      <c r="F4" s="105" t="s">
        <v>97</v>
      </c>
      <c r="G4" s="105" t="s">
        <v>107</v>
      </c>
      <c r="H4" s="105" t="s">
        <v>93</v>
      </c>
      <c r="I4" s="105">
        <v>1</v>
      </c>
      <c r="J4" s="105">
        <v>0</v>
      </c>
      <c r="K4" s="105">
        <v>1</v>
      </c>
      <c r="L4" s="105">
        <v>25</v>
      </c>
      <c r="M4" s="105">
        <v>10</v>
      </c>
      <c r="N4" s="105">
        <v>5</v>
      </c>
      <c r="O4" s="105">
        <v>85</v>
      </c>
      <c r="P4" s="105">
        <v>150</v>
      </c>
      <c r="Q4" s="105">
        <v>2.5</v>
      </c>
      <c r="R4" s="105">
        <v>65</v>
      </c>
      <c r="S4" s="105">
        <v>8.4</v>
      </c>
      <c r="T4" s="105">
        <v>0.9</v>
      </c>
      <c r="U4" s="105">
        <v>1.55</v>
      </c>
      <c r="V4" s="105">
        <v>1.94</v>
      </c>
      <c r="W4" s="105">
        <v>1</v>
      </c>
      <c r="X4" s="105">
        <v>11</v>
      </c>
      <c r="Y4" s="105">
        <v>4</v>
      </c>
      <c r="Z4" s="105">
        <v>200</v>
      </c>
      <c r="AA4" s="105">
        <v>16.5</v>
      </c>
      <c r="AB4" s="105">
        <v>1.3</v>
      </c>
      <c r="AC4" s="105" t="s">
        <v>94</v>
      </c>
      <c r="AD4" s="105" t="s">
        <v>94</v>
      </c>
      <c r="AE4" s="105">
        <v>3.4000000000000002E-2</v>
      </c>
      <c r="AF4" s="105">
        <v>2.9000000000000001E-2</v>
      </c>
      <c r="AG4" s="105" t="s">
        <v>94</v>
      </c>
      <c r="AH4" s="105">
        <v>2.4E-2</v>
      </c>
      <c r="AI4" s="105" t="s">
        <v>94</v>
      </c>
      <c r="AJ4" s="105">
        <v>0.56999999999999995</v>
      </c>
      <c r="AK4" s="106">
        <v>2</v>
      </c>
      <c r="AL4" s="105">
        <v>1.25</v>
      </c>
      <c r="AM4" s="105">
        <v>0.3</v>
      </c>
      <c r="AN4" s="106">
        <v>4</v>
      </c>
      <c r="AO4" s="105">
        <v>3</v>
      </c>
      <c r="AP4" s="105">
        <v>0.28499999999999998</v>
      </c>
      <c r="AQ4" s="105">
        <v>0.26</v>
      </c>
      <c r="AR4" s="105">
        <v>0.31</v>
      </c>
      <c r="AS4" s="105">
        <v>0.40600000000000003</v>
      </c>
      <c r="AT4" s="105">
        <v>0.16500000000000001</v>
      </c>
      <c r="AU4" s="105">
        <v>0.56000000000000005</v>
      </c>
      <c r="AV4" s="105">
        <v>4.0599999999999997E-2</v>
      </c>
      <c r="AW4" s="105">
        <v>1.2999999999999999E-2</v>
      </c>
      <c r="AX4" s="105">
        <v>0.05</v>
      </c>
      <c r="AY4" s="105">
        <v>12.5</v>
      </c>
      <c r="AZ4" s="105">
        <v>10</v>
      </c>
      <c r="BA4" s="105">
        <v>0.1</v>
      </c>
      <c r="BB4" s="105">
        <v>22.5</v>
      </c>
      <c r="BC4" s="105">
        <v>1.69</v>
      </c>
      <c r="BD4" s="105">
        <v>278</v>
      </c>
      <c r="BE4" s="105">
        <v>2.41</v>
      </c>
      <c r="BF4" s="105">
        <v>194</v>
      </c>
      <c r="BG4" s="105">
        <v>60</v>
      </c>
      <c r="BH4" s="105">
        <v>1.53</v>
      </c>
      <c r="BI4" s="105">
        <v>60</v>
      </c>
      <c r="BJ4" s="105">
        <v>0.1</v>
      </c>
      <c r="BK4" s="105">
        <v>2.66</v>
      </c>
      <c r="BL4" s="105" t="s">
        <v>93</v>
      </c>
      <c r="BM4" s="105">
        <v>0.8</v>
      </c>
      <c r="BN4" s="105" t="s">
        <v>94</v>
      </c>
      <c r="BO4" s="105">
        <v>1156</v>
      </c>
      <c r="BP4" s="105">
        <v>0.26</v>
      </c>
      <c r="BQ4" s="105" t="s">
        <v>92</v>
      </c>
      <c r="BR4" s="105" t="s">
        <v>108</v>
      </c>
      <c r="BS4" s="105" t="s">
        <v>94</v>
      </c>
      <c r="BT4" s="105">
        <v>2.6</v>
      </c>
      <c r="BU4" s="105">
        <v>2</v>
      </c>
      <c r="BV4" s="105">
        <v>5.0999999999999996</v>
      </c>
      <c r="BW4" s="105">
        <v>0.4</v>
      </c>
      <c r="BX4" s="105">
        <v>0.6</v>
      </c>
      <c r="BY4" s="105" t="s">
        <v>94</v>
      </c>
      <c r="BZ4" s="105" t="s">
        <v>100</v>
      </c>
      <c r="CA4" s="105" t="s">
        <v>94</v>
      </c>
      <c r="CB4" s="105" t="s">
        <v>94</v>
      </c>
      <c r="CC4" s="105">
        <v>40760</v>
      </c>
      <c r="CD4" s="105">
        <v>42577</v>
      </c>
      <c r="CE4" s="105">
        <v>2474</v>
      </c>
      <c r="CF4" s="105">
        <v>0.12</v>
      </c>
    </row>
    <row r="5" spans="1:84" x14ac:dyDescent="0.25">
      <c r="A5" s="105" t="s">
        <v>109</v>
      </c>
      <c r="B5" s="105">
        <v>146</v>
      </c>
      <c r="C5" s="105" t="s">
        <v>92</v>
      </c>
      <c r="D5" s="105" t="s">
        <v>92</v>
      </c>
      <c r="E5" s="105" t="s">
        <v>110</v>
      </c>
      <c r="F5" s="105" t="s">
        <v>111</v>
      </c>
      <c r="G5" s="105" t="s">
        <v>112</v>
      </c>
      <c r="H5" s="105" t="s">
        <v>93</v>
      </c>
      <c r="I5" s="105">
        <v>1</v>
      </c>
      <c r="J5" s="105">
        <v>0</v>
      </c>
      <c r="K5" s="105">
        <v>1</v>
      </c>
      <c r="L5" s="105">
        <v>25</v>
      </c>
      <c r="M5" s="105">
        <v>10</v>
      </c>
      <c r="N5" s="105">
        <v>100</v>
      </c>
      <c r="O5" s="105">
        <v>200</v>
      </c>
      <c r="P5" s="105">
        <v>150</v>
      </c>
      <c r="Q5" s="105">
        <v>3.125</v>
      </c>
      <c r="R5" s="105">
        <v>50</v>
      </c>
      <c r="S5" s="105">
        <v>0.9</v>
      </c>
      <c r="T5" s="105">
        <v>0.9</v>
      </c>
      <c r="U5" s="105">
        <v>1.4</v>
      </c>
      <c r="V5" s="105">
        <v>2.1</v>
      </c>
      <c r="W5" s="105">
        <v>1</v>
      </c>
      <c r="X5" s="105">
        <v>32</v>
      </c>
      <c r="Y5" s="105">
        <v>25</v>
      </c>
      <c r="Z5" s="105">
        <v>300</v>
      </c>
      <c r="AA5" s="105">
        <v>150</v>
      </c>
      <c r="AB5" s="105">
        <v>1.5</v>
      </c>
      <c r="AC5" s="105" t="s">
        <v>94</v>
      </c>
      <c r="AD5" s="105" t="s">
        <v>94</v>
      </c>
      <c r="AE5" s="105">
        <v>3.8E-3</v>
      </c>
      <c r="AF5" s="105">
        <v>2.5999999999999999E-3</v>
      </c>
      <c r="AG5" s="105" t="s">
        <v>94</v>
      </c>
      <c r="AH5" s="105">
        <v>2.3999999999999998E-3</v>
      </c>
      <c r="AI5" s="105" t="s">
        <v>94</v>
      </c>
      <c r="AJ5" s="105">
        <v>0.53</v>
      </c>
      <c r="AK5" s="106">
        <v>14</v>
      </c>
      <c r="AL5" s="105">
        <v>6</v>
      </c>
      <c r="AM5" s="105">
        <v>2.1</v>
      </c>
      <c r="AN5" s="106">
        <v>25.15</v>
      </c>
      <c r="AO5" s="105">
        <v>36</v>
      </c>
      <c r="AP5" s="105">
        <v>2.4500000000000002</v>
      </c>
      <c r="AQ5" s="105">
        <v>2.36</v>
      </c>
      <c r="AR5" s="105">
        <v>2.56</v>
      </c>
      <c r="AS5" s="105">
        <v>4.12</v>
      </c>
      <c r="AT5" s="105">
        <v>1.7</v>
      </c>
      <c r="AU5" s="105">
        <v>5.62</v>
      </c>
      <c r="AV5" s="105">
        <v>0.252</v>
      </c>
      <c r="AW5" s="105">
        <v>0.115</v>
      </c>
      <c r="AX5" s="105">
        <v>0.39100000000000001</v>
      </c>
      <c r="AY5" s="105">
        <v>12.5</v>
      </c>
      <c r="AZ5" s="105">
        <v>10</v>
      </c>
      <c r="BA5" s="105">
        <v>0.01</v>
      </c>
      <c r="BB5" s="105">
        <v>3</v>
      </c>
      <c r="BC5" s="105">
        <v>0.4</v>
      </c>
      <c r="BD5" s="105">
        <v>175</v>
      </c>
      <c r="BE5" s="105">
        <v>1.4</v>
      </c>
      <c r="BF5" s="105">
        <v>175</v>
      </c>
      <c r="BG5" s="105">
        <v>25</v>
      </c>
      <c r="BH5" s="105">
        <v>8.5</v>
      </c>
      <c r="BI5" s="105">
        <v>25</v>
      </c>
      <c r="BJ5" s="105">
        <v>0.01</v>
      </c>
      <c r="BK5" s="105">
        <v>0.44</v>
      </c>
      <c r="BL5" s="105" t="s">
        <v>93</v>
      </c>
      <c r="BM5" s="105">
        <v>0.8</v>
      </c>
      <c r="BN5" s="105" t="s">
        <v>94</v>
      </c>
      <c r="BO5" s="105">
        <v>1155</v>
      </c>
      <c r="BP5" s="105">
        <v>3.1</v>
      </c>
      <c r="BQ5" s="105" t="s">
        <v>92</v>
      </c>
      <c r="BR5" s="105" t="s">
        <v>113</v>
      </c>
      <c r="BS5" s="105" t="s">
        <v>94</v>
      </c>
      <c r="BT5" s="105">
        <v>3</v>
      </c>
      <c r="BU5" s="105">
        <v>2.1</v>
      </c>
      <c r="BV5" s="105">
        <v>33</v>
      </c>
      <c r="BW5" s="105">
        <v>2.5</v>
      </c>
      <c r="BX5" s="105">
        <v>4</v>
      </c>
      <c r="BY5" s="105" t="s">
        <v>94</v>
      </c>
      <c r="BZ5" s="105" t="s">
        <v>114</v>
      </c>
      <c r="CA5" s="105" t="s">
        <v>94</v>
      </c>
      <c r="CB5" s="105" t="s">
        <v>94</v>
      </c>
      <c r="CC5" s="105">
        <v>40764</v>
      </c>
      <c r="CD5" s="105">
        <v>42577</v>
      </c>
      <c r="CE5" s="105">
        <v>2475</v>
      </c>
      <c r="CF5" s="105">
        <v>0.54</v>
      </c>
    </row>
    <row r="6" spans="1:84" x14ac:dyDescent="0.25">
      <c r="A6" s="105" t="s">
        <v>115</v>
      </c>
      <c r="B6" s="105">
        <v>146</v>
      </c>
      <c r="C6" s="105" t="s">
        <v>92</v>
      </c>
      <c r="D6" s="105" t="s">
        <v>92</v>
      </c>
      <c r="E6" s="105" t="s">
        <v>110</v>
      </c>
      <c r="F6" s="105" t="s">
        <v>111</v>
      </c>
      <c r="G6" s="105" t="s">
        <v>116</v>
      </c>
      <c r="H6" s="105" t="s">
        <v>93</v>
      </c>
      <c r="I6" s="105">
        <v>1</v>
      </c>
      <c r="J6" s="105">
        <v>0</v>
      </c>
      <c r="K6" s="105">
        <v>1</v>
      </c>
      <c r="L6" s="105">
        <v>25</v>
      </c>
      <c r="M6" s="105">
        <v>10</v>
      </c>
      <c r="N6" s="105">
        <v>97</v>
      </c>
      <c r="O6" s="105">
        <v>136</v>
      </c>
      <c r="P6" s="105">
        <v>150</v>
      </c>
      <c r="Q6" s="105">
        <v>3.125</v>
      </c>
      <c r="R6" s="105">
        <v>50</v>
      </c>
      <c r="S6" s="105">
        <v>2.4</v>
      </c>
      <c r="T6" s="105">
        <v>0.9</v>
      </c>
      <c r="U6" s="105">
        <v>1.4</v>
      </c>
      <c r="V6" s="105">
        <v>2.3199999999999998</v>
      </c>
      <c r="W6" s="105">
        <v>1</v>
      </c>
      <c r="X6" s="105">
        <v>21</v>
      </c>
      <c r="Y6" s="105">
        <v>20</v>
      </c>
      <c r="Z6" s="105">
        <v>300</v>
      </c>
      <c r="AA6" s="105">
        <v>106</v>
      </c>
      <c r="AB6" s="105">
        <v>1.1000000000000001</v>
      </c>
      <c r="AC6" s="105" t="s">
        <v>94</v>
      </c>
      <c r="AD6" s="105" t="s">
        <v>94</v>
      </c>
      <c r="AE6" s="105">
        <v>7.1999999999999998E-3</v>
      </c>
      <c r="AF6" s="105">
        <v>5.7999999999999996E-3</v>
      </c>
      <c r="AG6" s="105" t="s">
        <v>94</v>
      </c>
      <c r="AH6" s="105">
        <v>5.0000000000000001E-3</v>
      </c>
      <c r="AI6" s="105" t="s">
        <v>94</v>
      </c>
      <c r="AJ6" s="105">
        <v>0.3</v>
      </c>
      <c r="AK6" s="106">
        <v>6.8</v>
      </c>
      <c r="AL6" s="105">
        <v>3.9</v>
      </c>
      <c r="AM6" s="105">
        <v>1.3</v>
      </c>
      <c r="AN6" s="106">
        <v>14.5</v>
      </c>
      <c r="AO6" s="105">
        <v>17</v>
      </c>
      <c r="AP6" s="105">
        <v>1.1100000000000001</v>
      </c>
      <c r="AQ6" s="105">
        <v>1.05</v>
      </c>
      <c r="AR6" s="105">
        <v>1.1599999999999999</v>
      </c>
      <c r="AS6" s="105">
        <v>1.8</v>
      </c>
      <c r="AT6" s="105">
        <v>0.74</v>
      </c>
      <c r="AU6" s="105">
        <v>2.46</v>
      </c>
      <c r="AV6" s="105">
        <v>0.114</v>
      </c>
      <c r="AW6" s="105">
        <v>5.5E-2</v>
      </c>
      <c r="AX6" s="105">
        <v>0.17</v>
      </c>
      <c r="AY6" s="105">
        <v>12.5</v>
      </c>
      <c r="AZ6" s="105">
        <v>10</v>
      </c>
      <c r="BA6" s="105">
        <v>0.01</v>
      </c>
      <c r="BB6" s="105">
        <v>2</v>
      </c>
      <c r="BC6" s="105">
        <v>0.6</v>
      </c>
      <c r="BD6" s="105">
        <v>110</v>
      </c>
      <c r="BE6" s="105">
        <v>0.8</v>
      </c>
      <c r="BF6" s="105">
        <v>110</v>
      </c>
      <c r="BG6" s="105">
        <v>25</v>
      </c>
      <c r="BH6" s="105">
        <v>3.7</v>
      </c>
      <c r="BI6" s="105">
        <v>25</v>
      </c>
      <c r="BJ6" s="105">
        <v>0.01</v>
      </c>
      <c r="BK6" s="105">
        <v>0.71</v>
      </c>
      <c r="BL6" s="105" t="s">
        <v>93</v>
      </c>
      <c r="BM6" s="105">
        <v>0.8</v>
      </c>
      <c r="BN6" s="105" t="s">
        <v>94</v>
      </c>
      <c r="BO6" s="105">
        <v>1155</v>
      </c>
      <c r="BP6" s="105">
        <v>1.365</v>
      </c>
      <c r="BQ6" s="105" t="s">
        <v>92</v>
      </c>
      <c r="BR6" s="105" t="s">
        <v>117</v>
      </c>
      <c r="BS6" s="105" t="s">
        <v>94</v>
      </c>
      <c r="BT6" s="105">
        <v>2.2000000000000002</v>
      </c>
      <c r="BU6" s="105">
        <v>2.2000000000000002</v>
      </c>
      <c r="BV6" s="105">
        <v>19</v>
      </c>
      <c r="BW6" s="105">
        <v>1.3</v>
      </c>
      <c r="BX6" s="105">
        <v>2.4</v>
      </c>
      <c r="BY6" s="105" t="s">
        <v>94</v>
      </c>
      <c r="BZ6" s="105" t="s">
        <v>114</v>
      </c>
      <c r="CA6" s="105" t="s">
        <v>94</v>
      </c>
      <c r="CB6" s="105" t="s">
        <v>94</v>
      </c>
      <c r="CC6" s="105">
        <v>40777</v>
      </c>
      <c r="CD6" s="105">
        <v>42577</v>
      </c>
      <c r="CE6" s="105">
        <v>2477</v>
      </c>
      <c r="CF6" s="105">
        <v>0.35</v>
      </c>
    </row>
    <row r="7" spans="1:84" x14ac:dyDescent="0.25">
      <c r="A7" s="105" t="s">
        <v>118</v>
      </c>
      <c r="B7" s="105">
        <v>146</v>
      </c>
      <c r="C7" s="105" t="s">
        <v>92</v>
      </c>
      <c r="D7" s="105" t="s">
        <v>92</v>
      </c>
      <c r="E7" s="105" t="s">
        <v>110</v>
      </c>
      <c r="F7" s="105" t="s">
        <v>119</v>
      </c>
      <c r="G7" s="105" t="s">
        <v>120</v>
      </c>
      <c r="H7" s="105" t="s">
        <v>93</v>
      </c>
      <c r="I7" s="105">
        <v>1</v>
      </c>
      <c r="J7" s="105">
        <v>0</v>
      </c>
      <c r="K7" s="105">
        <v>1</v>
      </c>
      <c r="L7" s="105">
        <v>25</v>
      </c>
      <c r="M7" s="105">
        <v>10</v>
      </c>
      <c r="N7" s="105">
        <v>60</v>
      </c>
      <c r="O7" s="105">
        <v>240</v>
      </c>
      <c r="P7" s="105">
        <v>150</v>
      </c>
      <c r="Q7" s="105">
        <v>2.8</v>
      </c>
      <c r="R7" s="105">
        <v>55</v>
      </c>
      <c r="S7" s="105">
        <v>1.7</v>
      </c>
      <c r="T7" s="105">
        <v>0.9</v>
      </c>
      <c r="U7" s="105">
        <v>1.4</v>
      </c>
      <c r="V7" s="105">
        <v>2.06</v>
      </c>
      <c r="W7" s="105">
        <v>1</v>
      </c>
      <c r="X7" s="105">
        <v>16</v>
      </c>
      <c r="Y7" s="105">
        <v>24</v>
      </c>
      <c r="Z7" s="105">
        <v>300</v>
      </c>
      <c r="AA7" s="105">
        <v>108</v>
      </c>
      <c r="AB7" s="105">
        <v>1.4</v>
      </c>
      <c r="AC7" s="105" t="s">
        <v>94</v>
      </c>
      <c r="AD7" s="105" t="s">
        <v>94</v>
      </c>
      <c r="AE7" s="105">
        <v>7.1999999999999998E-3</v>
      </c>
      <c r="AF7" s="105">
        <v>5.4999999999999997E-3</v>
      </c>
      <c r="AG7" s="105" t="s">
        <v>94</v>
      </c>
      <c r="AH7" s="105">
        <v>4.4999999999999997E-3</v>
      </c>
      <c r="AI7" s="105" t="s">
        <v>94</v>
      </c>
      <c r="AJ7" s="105">
        <v>0.49</v>
      </c>
      <c r="AK7" s="106">
        <v>6.2</v>
      </c>
      <c r="AL7" s="105">
        <v>4</v>
      </c>
      <c r="AM7" s="105">
        <v>1</v>
      </c>
      <c r="AN7" s="106">
        <v>10.5</v>
      </c>
      <c r="AO7" s="105">
        <v>14</v>
      </c>
      <c r="AP7" s="105">
        <v>1.08</v>
      </c>
      <c r="AQ7" s="105">
        <v>1.02</v>
      </c>
      <c r="AR7" s="105">
        <v>1.1000000000000001</v>
      </c>
      <c r="AS7" s="105">
        <v>1.73</v>
      </c>
      <c r="AT7" s="105">
        <v>0.74</v>
      </c>
      <c r="AU7" s="105">
        <v>2.2000000000000002</v>
      </c>
      <c r="AV7" s="105">
        <v>0.1</v>
      </c>
      <c r="AW7" s="105">
        <v>0.05</v>
      </c>
      <c r="AX7" s="105">
        <v>0.15</v>
      </c>
      <c r="AY7" s="105">
        <v>12.5</v>
      </c>
      <c r="AZ7" s="105">
        <v>10</v>
      </c>
      <c r="BA7" s="105">
        <v>0.1</v>
      </c>
      <c r="BB7" s="105">
        <v>16</v>
      </c>
      <c r="BC7" s="105">
        <v>1.1000000000000001</v>
      </c>
      <c r="BD7" s="105">
        <v>160</v>
      </c>
      <c r="BE7" s="105">
        <v>9</v>
      </c>
      <c r="BF7" s="105">
        <v>18</v>
      </c>
      <c r="BG7" s="105">
        <v>25</v>
      </c>
      <c r="BH7" s="105">
        <v>2.6</v>
      </c>
      <c r="BI7" s="105">
        <v>25</v>
      </c>
      <c r="BJ7" s="105">
        <v>0.1</v>
      </c>
      <c r="BK7" s="105">
        <v>0.94699999999999995</v>
      </c>
      <c r="BL7" s="105" t="s">
        <v>93</v>
      </c>
      <c r="BM7" s="105">
        <v>0.85</v>
      </c>
      <c r="BN7" s="105" t="s">
        <v>94</v>
      </c>
      <c r="BO7" s="105">
        <v>1154</v>
      </c>
      <c r="BP7" s="105">
        <v>0.95</v>
      </c>
      <c r="BQ7" s="105" t="s">
        <v>92</v>
      </c>
      <c r="BR7" s="105" t="s">
        <v>379</v>
      </c>
      <c r="BS7" s="105" t="s">
        <v>94</v>
      </c>
      <c r="BT7" s="105">
        <v>2.8</v>
      </c>
      <c r="BU7" s="105">
        <v>2</v>
      </c>
      <c r="BV7" s="105">
        <v>21</v>
      </c>
      <c r="BW7" s="105">
        <v>1.1000000000000001</v>
      </c>
      <c r="BX7" s="105">
        <v>1.8</v>
      </c>
      <c r="BY7" s="105" t="s">
        <v>94</v>
      </c>
      <c r="BZ7" s="105" t="s">
        <v>121</v>
      </c>
      <c r="CA7" s="105" t="s">
        <v>94</v>
      </c>
      <c r="CB7" s="105" t="s">
        <v>94</v>
      </c>
      <c r="CC7" s="105">
        <v>40744</v>
      </c>
      <c r="CD7" s="105">
        <v>42599</v>
      </c>
      <c r="CE7" s="105">
        <v>1987</v>
      </c>
      <c r="CF7" s="105">
        <v>0.32</v>
      </c>
    </row>
    <row r="8" spans="1:84" x14ac:dyDescent="0.25">
      <c r="A8" s="105" t="s">
        <v>122</v>
      </c>
      <c r="B8" s="105">
        <v>146</v>
      </c>
      <c r="C8" s="105" t="s">
        <v>92</v>
      </c>
      <c r="D8" s="105" t="s">
        <v>92</v>
      </c>
      <c r="E8" s="105" t="s">
        <v>110</v>
      </c>
      <c r="F8" s="105" t="s">
        <v>111</v>
      </c>
      <c r="G8" s="105" t="s">
        <v>116</v>
      </c>
      <c r="H8" s="105" t="s">
        <v>93</v>
      </c>
      <c r="I8" s="105">
        <v>1</v>
      </c>
      <c r="J8" s="105">
        <v>0</v>
      </c>
      <c r="K8" s="105">
        <v>1</v>
      </c>
      <c r="L8" s="105">
        <v>25</v>
      </c>
      <c r="M8" s="105">
        <v>10</v>
      </c>
      <c r="N8" s="105">
        <v>100</v>
      </c>
      <c r="O8" s="105">
        <v>200</v>
      </c>
      <c r="P8" s="105">
        <v>150</v>
      </c>
      <c r="Q8" s="105">
        <v>3.125</v>
      </c>
      <c r="R8" s="105">
        <v>50</v>
      </c>
      <c r="S8" s="105">
        <v>1</v>
      </c>
      <c r="T8" s="105">
        <v>0.9</v>
      </c>
      <c r="U8" s="105">
        <v>1.4</v>
      </c>
      <c r="V8" s="105">
        <v>2.48</v>
      </c>
      <c r="W8" s="105">
        <v>1</v>
      </c>
      <c r="X8" s="105">
        <v>47</v>
      </c>
      <c r="Y8" s="105">
        <v>30</v>
      </c>
      <c r="Z8" s="105">
        <v>300</v>
      </c>
      <c r="AA8" s="105">
        <v>159</v>
      </c>
      <c r="AB8" s="105">
        <v>1.6</v>
      </c>
      <c r="AC8" s="105" t="s">
        <v>94</v>
      </c>
      <c r="AD8" s="105" t="s">
        <v>94</v>
      </c>
      <c r="AE8" s="105">
        <v>2.8999999999999998E-3</v>
      </c>
      <c r="AF8" s="105">
        <v>2.2000000000000001E-3</v>
      </c>
      <c r="AG8" s="105" t="s">
        <v>94</v>
      </c>
      <c r="AH8" s="105">
        <v>2E-3</v>
      </c>
      <c r="AI8" s="105" t="s">
        <v>94</v>
      </c>
      <c r="AJ8" s="105">
        <v>0.47</v>
      </c>
      <c r="AK8" s="106">
        <v>18</v>
      </c>
      <c r="AL8" s="105">
        <v>10.1</v>
      </c>
      <c r="AM8" s="105">
        <v>3.3</v>
      </c>
      <c r="AN8" s="106">
        <v>42.02</v>
      </c>
      <c r="AO8" s="105">
        <v>43</v>
      </c>
      <c r="AP8" s="105">
        <v>3.21</v>
      </c>
      <c r="AQ8" s="105">
        <v>3.07</v>
      </c>
      <c r="AR8" s="105">
        <v>3.36</v>
      </c>
      <c r="AS8" s="105">
        <v>5.19</v>
      </c>
      <c r="AT8" s="105">
        <v>2.19</v>
      </c>
      <c r="AU8" s="105">
        <v>7.11</v>
      </c>
      <c r="AV8" s="105">
        <v>0.32700000000000001</v>
      </c>
      <c r="AW8" s="105">
        <v>0.12</v>
      </c>
      <c r="AX8" s="105">
        <v>0.56699999999999995</v>
      </c>
      <c r="AY8" s="105">
        <v>12.5</v>
      </c>
      <c r="AZ8" s="105">
        <v>10</v>
      </c>
      <c r="BA8" s="105">
        <v>0.01</v>
      </c>
      <c r="BB8" s="105">
        <v>4.7</v>
      </c>
      <c r="BC8" s="105">
        <v>0.5</v>
      </c>
      <c r="BD8" s="105">
        <v>180</v>
      </c>
      <c r="BE8" s="105">
        <v>0.8</v>
      </c>
      <c r="BF8" s="105">
        <v>180</v>
      </c>
      <c r="BG8" s="105">
        <v>25</v>
      </c>
      <c r="BH8" s="105">
        <v>5.5</v>
      </c>
      <c r="BI8" s="105">
        <v>25</v>
      </c>
      <c r="BJ8" s="105">
        <v>0.01</v>
      </c>
      <c r="BK8" s="105">
        <v>0.24</v>
      </c>
      <c r="BL8" s="105" t="s">
        <v>93</v>
      </c>
      <c r="BM8" s="105">
        <v>0.8</v>
      </c>
      <c r="BN8" s="105" t="s">
        <v>94</v>
      </c>
      <c r="BO8" s="105">
        <v>1155</v>
      </c>
      <c r="BP8" s="105">
        <v>4</v>
      </c>
      <c r="BQ8" s="105" t="s">
        <v>92</v>
      </c>
      <c r="BR8" s="105" t="s">
        <v>123</v>
      </c>
      <c r="BS8" s="105" t="s">
        <v>94</v>
      </c>
      <c r="BT8" s="105">
        <v>3.2</v>
      </c>
      <c r="BU8" s="105">
        <v>2.2000000000000002</v>
      </c>
      <c r="BV8" s="105">
        <v>63</v>
      </c>
      <c r="BW8" s="105">
        <v>3.5</v>
      </c>
      <c r="BX8" s="105">
        <v>6.6</v>
      </c>
      <c r="BY8" s="105" t="s">
        <v>94</v>
      </c>
      <c r="BZ8" s="105" t="s">
        <v>114</v>
      </c>
      <c r="CA8" s="105" t="s">
        <v>94</v>
      </c>
      <c r="CB8" s="105" t="s">
        <v>94</v>
      </c>
      <c r="CC8" s="105">
        <v>40777</v>
      </c>
      <c r="CD8" s="105">
        <v>42577</v>
      </c>
      <c r="CE8" s="105">
        <v>2479</v>
      </c>
      <c r="CF8" s="105">
        <v>0.64</v>
      </c>
    </row>
    <row r="9" spans="1:84" x14ac:dyDescent="0.25">
      <c r="A9" s="105" t="s">
        <v>124</v>
      </c>
      <c r="B9" s="105">
        <v>146</v>
      </c>
      <c r="C9" s="105" t="s">
        <v>92</v>
      </c>
      <c r="D9" s="105" t="s">
        <v>92</v>
      </c>
      <c r="E9" s="105" t="s">
        <v>110</v>
      </c>
      <c r="F9" s="105" t="s">
        <v>119</v>
      </c>
      <c r="G9" s="105" t="s">
        <v>125</v>
      </c>
      <c r="H9" s="105" t="s">
        <v>93</v>
      </c>
      <c r="I9" s="105">
        <v>1</v>
      </c>
      <c r="J9" s="105">
        <v>0</v>
      </c>
      <c r="K9" s="105">
        <v>1</v>
      </c>
      <c r="L9" s="105">
        <v>25</v>
      </c>
      <c r="M9" s="105">
        <v>10</v>
      </c>
      <c r="N9" s="105">
        <v>22</v>
      </c>
      <c r="O9" s="105">
        <v>240</v>
      </c>
      <c r="P9" s="105">
        <v>150</v>
      </c>
      <c r="Q9" s="105">
        <v>2.8</v>
      </c>
      <c r="R9" s="105">
        <v>55</v>
      </c>
      <c r="S9" s="105">
        <v>1.7</v>
      </c>
      <c r="T9" s="105">
        <v>0.9</v>
      </c>
      <c r="U9" s="105">
        <v>1.4</v>
      </c>
      <c r="V9" s="105">
        <v>2</v>
      </c>
      <c r="W9" s="105">
        <v>1</v>
      </c>
      <c r="X9" s="105">
        <v>16</v>
      </c>
      <c r="Y9" s="105">
        <v>24</v>
      </c>
      <c r="Z9" s="105">
        <v>300</v>
      </c>
      <c r="AA9" s="105">
        <v>96</v>
      </c>
      <c r="AB9" s="105">
        <v>1.4</v>
      </c>
      <c r="AC9" s="105" t="s">
        <v>94</v>
      </c>
      <c r="AD9" s="105" t="s">
        <v>94</v>
      </c>
      <c r="AE9" s="105">
        <v>6.4999999999999997E-3</v>
      </c>
      <c r="AF9" s="105">
        <v>4.7999999999999996E-3</v>
      </c>
      <c r="AG9" s="105" t="s">
        <v>94</v>
      </c>
      <c r="AH9" s="105">
        <v>4.0000000000000001E-3</v>
      </c>
      <c r="AI9" s="105">
        <v>2.8E-3</v>
      </c>
      <c r="AJ9" s="105">
        <v>0.44</v>
      </c>
      <c r="AK9" s="106">
        <v>6.2</v>
      </c>
      <c r="AL9" s="105">
        <v>3.89</v>
      </c>
      <c r="AM9" s="105">
        <v>1</v>
      </c>
      <c r="AN9" s="106">
        <v>11</v>
      </c>
      <c r="AO9" s="105">
        <v>14</v>
      </c>
      <c r="AP9" s="105">
        <v>1.1599999999999999</v>
      </c>
      <c r="AQ9" s="105">
        <v>1.02</v>
      </c>
      <c r="AR9" s="105">
        <v>1.2</v>
      </c>
      <c r="AS9" s="105">
        <v>1.9</v>
      </c>
      <c r="AT9" s="105">
        <v>0.74</v>
      </c>
      <c r="AU9" s="105">
        <v>2.2000000000000002</v>
      </c>
      <c r="AV9" s="105">
        <v>0.109</v>
      </c>
      <c r="AW9" s="105">
        <v>0.05</v>
      </c>
      <c r="AX9" s="105">
        <v>0.17</v>
      </c>
      <c r="AY9" s="105">
        <v>12.5</v>
      </c>
      <c r="AZ9" s="105">
        <v>10</v>
      </c>
      <c r="BA9" s="105">
        <v>0.1</v>
      </c>
      <c r="BB9" s="105">
        <v>19</v>
      </c>
      <c r="BC9" s="105">
        <v>1.1000000000000001</v>
      </c>
      <c r="BD9" s="105">
        <v>180</v>
      </c>
      <c r="BE9" s="105">
        <v>8</v>
      </c>
      <c r="BF9" s="105">
        <v>20</v>
      </c>
      <c r="BG9" s="105">
        <v>25</v>
      </c>
      <c r="BH9" s="105">
        <v>2.2000000000000002</v>
      </c>
      <c r="BI9" s="105">
        <v>25</v>
      </c>
      <c r="BJ9" s="105">
        <v>0.1</v>
      </c>
      <c r="BK9" s="105">
        <v>1</v>
      </c>
      <c r="BL9" s="105" t="s">
        <v>93</v>
      </c>
      <c r="BM9" s="105">
        <v>0.85</v>
      </c>
      <c r="BN9" s="105" t="s">
        <v>94</v>
      </c>
      <c r="BO9" s="105">
        <v>1154</v>
      </c>
      <c r="BP9" s="105">
        <v>1.03</v>
      </c>
      <c r="BQ9" s="105" t="s">
        <v>92</v>
      </c>
      <c r="BR9" s="105" t="s">
        <v>126</v>
      </c>
      <c r="BS9" s="105" t="s">
        <v>94</v>
      </c>
      <c r="BT9" s="105">
        <v>2.8</v>
      </c>
      <c r="BU9" s="105">
        <v>2.4</v>
      </c>
      <c r="BV9" s="105">
        <v>21</v>
      </c>
      <c r="BW9" s="105">
        <v>1.1000000000000001</v>
      </c>
      <c r="BX9" s="105">
        <v>1.8</v>
      </c>
      <c r="BY9" s="105" t="s">
        <v>94</v>
      </c>
      <c r="BZ9" s="105" t="s">
        <v>121</v>
      </c>
      <c r="CA9" s="105" t="s">
        <v>94</v>
      </c>
      <c r="CB9" s="105" t="s">
        <v>94</v>
      </c>
      <c r="CC9" s="105" t="s">
        <v>94</v>
      </c>
      <c r="CD9" s="105">
        <v>42599</v>
      </c>
      <c r="CE9" s="105">
        <v>1991</v>
      </c>
      <c r="CF9" s="105">
        <v>0.32</v>
      </c>
    </row>
    <row r="10" spans="1:84" x14ac:dyDescent="0.25">
      <c r="A10" s="105" t="s">
        <v>127</v>
      </c>
      <c r="B10" s="105">
        <v>146</v>
      </c>
      <c r="C10" s="105" t="s">
        <v>92</v>
      </c>
      <c r="D10" s="105" t="s">
        <v>92</v>
      </c>
      <c r="E10" s="105" t="s">
        <v>110</v>
      </c>
      <c r="F10" s="105" t="s">
        <v>119</v>
      </c>
      <c r="G10" s="105" t="s">
        <v>128</v>
      </c>
      <c r="H10" s="105" t="s">
        <v>93</v>
      </c>
      <c r="I10" s="105">
        <v>1</v>
      </c>
      <c r="J10" s="105">
        <v>0</v>
      </c>
      <c r="K10" s="105">
        <v>1</v>
      </c>
      <c r="L10" s="105">
        <v>25</v>
      </c>
      <c r="M10" s="105">
        <v>10</v>
      </c>
      <c r="N10" s="105">
        <v>60</v>
      </c>
      <c r="O10" s="105">
        <v>115</v>
      </c>
      <c r="P10" s="105">
        <v>150</v>
      </c>
      <c r="Q10" s="105">
        <v>3</v>
      </c>
      <c r="R10" s="105">
        <v>42</v>
      </c>
      <c r="S10" s="105">
        <v>20.6</v>
      </c>
      <c r="T10" s="105">
        <v>0.6</v>
      </c>
      <c r="U10" s="105">
        <v>1.1000000000000001</v>
      </c>
      <c r="V10" s="105">
        <v>2.02</v>
      </c>
      <c r="W10" s="105">
        <v>1</v>
      </c>
      <c r="X10" s="105">
        <v>20</v>
      </c>
      <c r="Y10" s="105">
        <v>20</v>
      </c>
      <c r="Z10" s="105">
        <v>300</v>
      </c>
      <c r="AA10" s="105">
        <v>121</v>
      </c>
      <c r="AB10" s="105">
        <v>1.5</v>
      </c>
      <c r="AC10" s="105" t="s">
        <v>94</v>
      </c>
      <c r="AD10" s="105">
        <v>7.7999999999999996E-3</v>
      </c>
      <c r="AE10" s="105" t="s">
        <v>94</v>
      </c>
      <c r="AF10" s="105">
        <v>4.3E-3</v>
      </c>
      <c r="AG10" s="105" t="s">
        <v>94</v>
      </c>
      <c r="AH10" s="105">
        <v>4.4999999999999997E-3</v>
      </c>
      <c r="AI10" s="105">
        <v>3.8E-3</v>
      </c>
      <c r="AJ10" s="105">
        <v>0.32</v>
      </c>
      <c r="AK10" s="106">
        <v>6.5</v>
      </c>
      <c r="AL10" s="105">
        <v>4</v>
      </c>
      <c r="AM10" s="105">
        <v>1</v>
      </c>
      <c r="AN10" s="106">
        <v>11.5</v>
      </c>
      <c r="AO10" s="105">
        <v>15</v>
      </c>
      <c r="AP10" s="105">
        <v>1.1000000000000001</v>
      </c>
      <c r="AQ10" s="105">
        <v>1.05</v>
      </c>
      <c r="AR10" s="105">
        <v>1.1599999999999999</v>
      </c>
      <c r="AS10" s="105">
        <v>1.72</v>
      </c>
      <c r="AT10" s="105">
        <v>0.73</v>
      </c>
      <c r="AU10" s="105">
        <v>2.37</v>
      </c>
      <c r="AV10" s="105">
        <v>0.11799999999999999</v>
      </c>
      <c r="AW10" s="105">
        <v>5.2999999999999999E-2</v>
      </c>
      <c r="AX10" s="105">
        <v>0.19400000000000001</v>
      </c>
      <c r="AY10" s="105">
        <v>12.5</v>
      </c>
      <c r="AZ10" s="105">
        <v>10</v>
      </c>
      <c r="BA10" s="105">
        <v>0.01</v>
      </c>
      <c r="BB10" s="105">
        <v>2</v>
      </c>
      <c r="BC10" s="105">
        <v>0.45</v>
      </c>
      <c r="BD10" s="105">
        <v>100</v>
      </c>
      <c r="BE10" s="105">
        <v>0.9</v>
      </c>
      <c r="BF10" s="105">
        <v>100</v>
      </c>
      <c r="BG10" s="105">
        <v>25</v>
      </c>
      <c r="BH10" s="105">
        <v>3.8</v>
      </c>
      <c r="BI10" s="105">
        <v>25</v>
      </c>
      <c r="BJ10" s="105">
        <v>0.01</v>
      </c>
      <c r="BK10" s="105">
        <v>1</v>
      </c>
      <c r="BL10" s="105" t="s">
        <v>93</v>
      </c>
      <c r="BM10" s="105">
        <v>0.8</v>
      </c>
      <c r="BN10" s="105" t="s">
        <v>94</v>
      </c>
      <c r="BO10" s="105">
        <v>1154</v>
      </c>
      <c r="BP10" s="105">
        <v>0.96599999999999997</v>
      </c>
      <c r="BQ10" s="105" t="s">
        <v>92</v>
      </c>
      <c r="BR10" s="105" t="s">
        <v>129</v>
      </c>
      <c r="BS10" s="105" t="s">
        <v>94</v>
      </c>
      <c r="BT10" s="105">
        <v>3</v>
      </c>
      <c r="BU10" s="105">
        <v>1.9</v>
      </c>
      <c r="BV10" s="105">
        <v>14.5</v>
      </c>
      <c r="BW10" s="105">
        <v>1.2</v>
      </c>
      <c r="BX10" s="105">
        <v>2.1</v>
      </c>
      <c r="BY10" s="105" t="s">
        <v>94</v>
      </c>
      <c r="BZ10" s="105" t="s">
        <v>121</v>
      </c>
      <c r="CA10" s="105" t="s">
        <v>94</v>
      </c>
      <c r="CB10" s="105" t="s">
        <v>94</v>
      </c>
      <c r="CC10" s="105">
        <v>40777</v>
      </c>
      <c r="CD10" s="105">
        <v>42599</v>
      </c>
      <c r="CE10" s="105">
        <v>1992</v>
      </c>
      <c r="CF10" s="105">
        <v>0.33</v>
      </c>
    </row>
    <row r="11" spans="1:84" x14ac:dyDescent="0.25">
      <c r="A11" s="105" t="s">
        <v>130</v>
      </c>
      <c r="B11" s="105">
        <v>146</v>
      </c>
      <c r="C11" s="105" t="s">
        <v>92</v>
      </c>
      <c r="D11" s="105" t="s">
        <v>92</v>
      </c>
      <c r="E11" s="105" t="s">
        <v>110</v>
      </c>
      <c r="F11" s="105" t="s">
        <v>131</v>
      </c>
      <c r="G11" s="105" t="s">
        <v>132</v>
      </c>
      <c r="H11" s="105" t="s">
        <v>93</v>
      </c>
      <c r="I11" s="105">
        <v>1</v>
      </c>
      <c r="J11" s="105">
        <v>0</v>
      </c>
      <c r="K11" s="105">
        <v>1</v>
      </c>
      <c r="L11" s="105">
        <v>25</v>
      </c>
      <c r="M11" s="105">
        <v>10</v>
      </c>
      <c r="N11" s="105">
        <v>100</v>
      </c>
      <c r="O11" s="105">
        <v>131</v>
      </c>
      <c r="P11" s="105">
        <v>150</v>
      </c>
      <c r="Q11" s="105">
        <v>3.125</v>
      </c>
      <c r="R11" s="105">
        <v>50</v>
      </c>
      <c r="S11" s="105">
        <v>1.2</v>
      </c>
      <c r="T11" s="105">
        <v>0.6</v>
      </c>
      <c r="U11" s="105">
        <v>1.1000000000000001</v>
      </c>
      <c r="V11" s="105">
        <v>1.6</v>
      </c>
      <c r="W11" s="105">
        <v>1</v>
      </c>
      <c r="X11" s="105">
        <v>20</v>
      </c>
      <c r="Y11" s="105">
        <v>20</v>
      </c>
      <c r="Z11" s="105">
        <v>300</v>
      </c>
      <c r="AA11" s="105">
        <v>91</v>
      </c>
      <c r="AB11" s="105">
        <v>1.5</v>
      </c>
      <c r="AC11" s="105" t="s">
        <v>94</v>
      </c>
      <c r="AD11" s="105">
        <v>7.7999999999999996E-3</v>
      </c>
      <c r="AE11" s="105" t="s">
        <v>94</v>
      </c>
      <c r="AF11" s="105">
        <v>5.4999999999999997E-3</v>
      </c>
      <c r="AG11" s="105" t="s">
        <v>94</v>
      </c>
      <c r="AH11" s="105">
        <v>4.7000000000000002E-3</v>
      </c>
      <c r="AI11" s="105" t="s">
        <v>94</v>
      </c>
      <c r="AJ11" s="105">
        <v>0.47</v>
      </c>
      <c r="AK11" s="106">
        <v>6.8</v>
      </c>
      <c r="AL11" s="105">
        <v>3.8</v>
      </c>
      <c r="AM11" s="105">
        <v>1.2</v>
      </c>
      <c r="AN11" s="106">
        <v>13</v>
      </c>
      <c r="AO11" s="105">
        <v>13.7</v>
      </c>
      <c r="AP11" s="105">
        <v>1.1499999999999999</v>
      </c>
      <c r="AQ11" s="105">
        <v>1.05</v>
      </c>
      <c r="AR11" s="105">
        <v>1.19</v>
      </c>
      <c r="AS11" s="105">
        <v>1.88</v>
      </c>
      <c r="AT11" s="105">
        <v>0.73</v>
      </c>
      <c r="AU11" s="105">
        <v>2.37</v>
      </c>
      <c r="AV11" s="105">
        <v>0.113</v>
      </c>
      <c r="AW11" s="105">
        <v>5.2999999999999999E-2</v>
      </c>
      <c r="AX11" s="105">
        <v>0.159</v>
      </c>
      <c r="AY11" s="105">
        <v>12.5</v>
      </c>
      <c r="AZ11" s="105">
        <v>10</v>
      </c>
      <c r="BA11" s="105">
        <v>0.01</v>
      </c>
      <c r="BB11" s="105">
        <v>2</v>
      </c>
      <c r="BC11" s="105">
        <v>0.55000000000000004</v>
      </c>
      <c r="BD11" s="105">
        <v>110</v>
      </c>
      <c r="BE11" s="105">
        <v>0.55000000000000004</v>
      </c>
      <c r="BF11" s="105">
        <v>110</v>
      </c>
      <c r="BG11" s="105">
        <v>25</v>
      </c>
      <c r="BH11" s="105">
        <v>2</v>
      </c>
      <c r="BI11" s="105">
        <v>25</v>
      </c>
      <c r="BJ11" s="105">
        <v>0.01</v>
      </c>
      <c r="BK11" s="105">
        <v>0.88</v>
      </c>
      <c r="BL11" s="105" t="s">
        <v>93</v>
      </c>
      <c r="BM11" s="105">
        <v>0.8</v>
      </c>
      <c r="BN11" s="105" t="s">
        <v>94</v>
      </c>
      <c r="BO11" s="105">
        <v>1155</v>
      </c>
      <c r="BP11" s="105">
        <v>1.05</v>
      </c>
      <c r="BQ11" s="105" t="s">
        <v>92</v>
      </c>
      <c r="BR11" s="105" t="s">
        <v>133</v>
      </c>
      <c r="BS11" s="105" t="s">
        <v>94</v>
      </c>
      <c r="BT11" s="105">
        <v>3</v>
      </c>
      <c r="BU11" s="105">
        <v>1.8</v>
      </c>
      <c r="BV11" s="105">
        <v>14.5</v>
      </c>
      <c r="BW11" s="105">
        <v>0.9</v>
      </c>
      <c r="BX11" s="105">
        <v>1.9</v>
      </c>
      <c r="BY11" s="105" t="s">
        <v>94</v>
      </c>
      <c r="BZ11" s="105" t="s">
        <v>114</v>
      </c>
      <c r="CA11" s="105" t="s">
        <v>94</v>
      </c>
      <c r="CB11" s="105" t="s">
        <v>94</v>
      </c>
      <c r="CC11" s="105">
        <v>41503</v>
      </c>
      <c r="CD11" s="105">
        <v>42577</v>
      </c>
      <c r="CE11" s="105">
        <v>2481</v>
      </c>
      <c r="CF11" s="105">
        <v>0.32</v>
      </c>
    </row>
    <row r="12" spans="1:84" x14ac:dyDescent="0.25">
      <c r="A12" s="105" t="s">
        <v>134</v>
      </c>
      <c r="B12" s="105">
        <v>146</v>
      </c>
      <c r="C12" s="105" t="s">
        <v>92</v>
      </c>
      <c r="D12" s="105" t="s">
        <v>92</v>
      </c>
      <c r="E12" s="105" t="s">
        <v>110</v>
      </c>
      <c r="F12" s="105" t="s">
        <v>111</v>
      </c>
      <c r="G12" s="105" t="s">
        <v>135</v>
      </c>
      <c r="H12" s="105" t="s">
        <v>93</v>
      </c>
      <c r="I12" s="105">
        <v>1</v>
      </c>
      <c r="J12" s="105">
        <v>0</v>
      </c>
      <c r="K12" s="105">
        <v>1</v>
      </c>
      <c r="L12" s="105">
        <v>25</v>
      </c>
      <c r="M12" s="105">
        <v>16</v>
      </c>
      <c r="N12" s="105">
        <v>100</v>
      </c>
      <c r="O12" s="105">
        <v>240</v>
      </c>
      <c r="P12" s="105">
        <v>150</v>
      </c>
      <c r="Q12" s="105">
        <v>3.125</v>
      </c>
      <c r="R12" s="105">
        <v>50</v>
      </c>
      <c r="S12" s="105">
        <v>1.1000000000000001</v>
      </c>
      <c r="T12" s="105">
        <v>1.2</v>
      </c>
      <c r="U12" s="105">
        <v>1.9</v>
      </c>
      <c r="V12" s="105">
        <v>2.92</v>
      </c>
      <c r="W12" s="105">
        <v>1</v>
      </c>
      <c r="X12" s="105">
        <v>45</v>
      </c>
      <c r="Y12" s="105">
        <v>40</v>
      </c>
      <c r="Z12" s="105">
        <v>300</v>
      </c>
      <c r="AA12" s="105">
        <v>168</v>
      </c>
      <c r="AB12" s="105">
        <v>1.2</v>
      </c>
      <c r="AC12" s="105" t="s">
        <v>94</v>
      </c>
      <c r="AD12" s="105" t="s">
        <v>94</v>
      </c>
      <c r="AE12" s="105" t="s">
        <v>94</v>
      </c>
      <c r="AF12" s="105">
        <v>2.3E-3</v>
      </c>
      <c r="AG12" s="105" t="s">
        <v>94</v>
      </c>
      <c r="AH12" s="105" t="s">
        <v>94</v>
      </c>
      <c r="AI12" s="105">
        <v>1.6000000000000001E-3</v>
      </c>
      <c r="AJ12" s="105">
        <v>0.47</v>
      </c>
      <c r="AK12" s="106">
        <v>21</v>
      </c>
      <c r="AL12" s="105">
        <v>7.7</v>
      </c>
      <c r="AM12" s="105">
        <v>4.8</v>
      </c>
      <c r="AN12" s="106">
        <v>43.5</v>
      </c>
      <c r="AO12" s="105">
        <v>55</v>
      </c>
      <c r="AP12" s="105">
        <v>3.42</v>
      </c>
      <c r="AQ12" s="105">
        <v>3.15</v>
      </c>
      <c r="AR12" s="105">
        <v>3.58</v>
      </c>
      <c r="AS12" s="105">
        <v>5.93</v>
      </c>
      <c r="AT12" s="105">
        <v>2.5299999999999998</v>
      </c>
      <c r="AU12" s="105">
        <v>8.0399999999999991</v>
      </c>
      <c r="AV12" s="105">
        <v>0.45900000000000002</v>
      </c>
      <c r="AW12" s="105">
        <v>0.17499999999999999</v>
      </c>
      <c r="AX12" s="105">
        <v>0.68200000000000005</v>
      </c>
      <c r="AY12" s="105">
        <v>12.5</v>
      </c>
      <c r="AZ12" s="105">
        <v>10</v>
      </c>
      <c r="BA12" s="105">
        <v>0.1</v>
      </c>
      <c r="BB12" s="105">
        <v>43.8</v>
      </c>
      <c r="BC12" s="105">
        <v>1.4</v>
      </c>
      <c r="BD12" s="105">
        <v>376</v>
      </c>
      <c r="BE12" s="105">
        <v>4.21</v>
      </c>
      <c r="BF12" s="105">
        <v>125</v>
      </c>
      <c r="BG12" s="105">
        <v>25</v>
      </c>
      <c r="BH12" s="105">
        <v>6.37</v>
      </c>
      <c r="BI12" s="105">
        <v>25</v>
      </c>
      <c r="BJ12" s="105">
        <v>0.1</v>
      </c>
      <c r="BK12" s="105">
        <v>0.24</v>
      </c>
      <c r="BL12" s="105" t="s">
        <v>93</v>
      </c>
      <c r="BM12" s="105">
        <v>0.85</v>
      </c>
      <c r="BN12" s="105" t="s">
        <v>94</v>
      </c>
      <c r="BO12" s="105">
        <v>1155</v>
      </c>
      <c r="BP12" s="105">
        <v>4.0999999999999996</v>
      </c>
      <c r="BQ12" s="105" t="s">
        <v>92</v>
      </c>
      <c r="BR12" s="105" t="s">
        <v>136</v>
      </c>
      <c r="BS12" s="105" t="s">
        <v>94</v>
      </c>
      <c r="BT12" s="105">
        <v>2.4</v>
      </c>
      <c r="BU12" s="105">
        <v>3</v>
      </c>
      <c r="BV12" s="105">
        <v>72</v>
      </c>
      <c r="BW12" s="105">
        <v>5.2</v>
      </c>
      <c r="BX12" s="105">
        <v>8.3000000000000007</v>
      </c>
      <c r="BY12" s="105" t="s">
        <v>94</v>
      </c>
      <c r="BZ12" s="105" t="s">
        <v>114</v>
      </c>
      <c r="CA12" s="105" t="s">
        <v>94</v>
      </c>
      <c r="CB12" s="105" t="s">
        <v>94</v>
      </c>
      <c r="CC12" s="105">
        <v>41033</v>
      </c>
      <c r="CD12" s="105">
        <v>42577</v>
      </c>
      <c r="CE12" s="105">
        <v>2482</v>
      </c>
      <c r="CF12" s="105">
        <v>0.76</v>
      </c>
    </row>
    <row r="13" spans="1:84" x14ac:dyDescent="0.25">
      <c r="A13" s="105" t="s">
        <v>137</v>
      </c>
      <c r="B13" s="105">
        <v>146</v>
      </c>
      <c r="C13" s="105" t="s">
        <v>92</v>
      </c>
      <c r="D13" s="105" t="s">
        <v>92</v>
      </c>
      <c r="E13" s="105" t="s">
        <v>110</v>
      </c>
      <c r="F13" s="105" t="s">
        <v>131</v>
      </c>
      <c r="G13" s="105" t="s">
        <v>138</v>
      </c>
      <c r="H13" s="105" t="s">
        <v>93</v>
      </c>
      <c r="I13" s="105">
        <v>1</v>
      </c>
      <c r="J13" s="105">
        <v>0</v>
      </c>
      <c r="K13" s="105">
        <v>1</v>
      </c>
      <c r="L13" s="105">
        <v>25</v>
      </c>
      <c r="M13" s="105">
        <v>16</v>
      </c>
      <c r="N13" s="105">
        <v>100</v>
      </c>
      <c r="O13" s="105">
        <v>184</v>
      </c>
      <c r="P13" s="105">
        <v>150</v>
      </c>
      <c r="Q13" s="105">
        <v>3.125</v>
      </c>
      <c r="R13" s="105">
        <v>50</v>
      </c>
      <c r="S13" s="105">
        <v>1.8</v>
      </c>
      <c r="T13" s="105">
        <v>1.2</v>
      </c>
      <c r="U13" s="105">
        <v>1.9</v>
      </c>
      <c r="V13" s="105">
        <v>2.83</v>
      </c>
      <c r="W13" s="105">
        <v>1</v>
      </c>
      <c r="X13" s="105">
        <v>35</v>
      </c>
      <c r="Y13" s="105">
        <v>20</v>
      </c>
      <c r="Z13" s="105">
        <v>300</v>
      </c>
      <c r="AA13" s="105">
        <v>91</v>
      </c>
      <c r="AB13" s="105">
        <v>1.2</v>
      </c>
      <c r="AC13" s="105" t="s">
        <v>94</v>
      </c>
      <c r="AD13" s="105" t="s">
        <v>94</v>
      </c>
      <c r="AE13" s="105" t="s">
        <v>94</v>
      </c>
      <c r="AF13" s="105">
        <v>3.7000000000000002E-3</v>
      </c>
      <c r="AG13" s="105" t="s">
        <v>94</v>
      </c>
      <c r="AH13" s="105" t="s">
        <v>94</v>
      </c>
      <c r="AI13" s="105">
        <v>2.8E-3</v>
      </c>
      <c r="AJ13" s="105">
        <v>0.52</v>
      </c>
      <c r="AK13" s="106">
        <v>13.3</v>
      </c>
      <c r="AL13" s="105">
        <v>4.8499999999999996</v>
      </c>
      <c r="AM13" s="105">
        <v>3.1</v>
      </c>
      <c r="AN13" s="106">
        <v>28</v>
      </c>
      <c r="AO13" s="105">
        <v>33</v>
      </c>
      <c r="AP13" s="105">
        <v>2.1800000000000002</v>
      </c>
      <c r="AQ13" s="105">
        <v>2.04</v>
      </c>
      <c r="AR13" s="105">
        <v>2.29</v>
      </c>
      <c r="AS13" s="105">
        <v>3.83</v>
      </c>
      <c r="AT13" s="105">
        <v>1.6</v>
      </c>
      <c r="AU13" s="105">
        <v>5.22</v>
      </c>
      <c r="AV13" s="105">
        <v>0.318</v>
      </c>
      <c r="AW13" s="105">
        <v>0.115</v>
      </c>
      <c r="AX13" s="105">
        <v>0.64200000000000002</v>
      </c>
      <c r="AY13" s="105">
        <v>12.5</v>
      </c>
      <c r="AZ13" s="105">
        <v>10</v>
      </c>
      <c r="BA13" s="105">
        <v>0.01</v>
      </c>
      <c r="BB13" s="105">
        <v>3.8</v>
      </c>
      <c r="BC13" s="105">
        <v>0.4</v>
      </c>
      <c r="BD13" s="105">
        <v>180</v>
      </c>
      <c r="BE13" s="105">
        <v>1.6</v>
      </c>
      <c r="BF13" s="105">
        <v>180</v>
      </c>
      <c r="BG13" s="105">
        <v>25</v>
      </c>
      <c r="BH13" s="105">
        <v>9</v>
      </c>
      <c r="BI13" s="105">
        <v>25</v>
      </c>
      <c r="BJ13" s="105">
        <v>0.01</v>
      </c>
      <c r="BK13" s="105">
        <v>0.38</v>
      </c>
      <c r="BL13" s="105" t="s">
        <v>93</v>
      </c>
      <c r="BM13" s="105">
        <v>0.8</v>
      </c>
      <c r="BN13" s="105" t="s">
        <v>94</v>
      </c>
      <c r="BO13" s="105">
        <v>1155</v>
      </c>
      <c r="BP13" s="105">
        <v>1.85</v>
      </c>
      <c r="BQ13" s="105" t="s">
        <v>92</v>
      </c>
      <c r="BR13" s="105" t="s">
        <v>139</v>
      </c>
      <c r="BS13" s="105" t="s">
        <v>94</v>
      </c>
      <c r="BT13" s="105">
        <v>2.4</v>
      </c>
      <c r="BU13" s="105">
        <v>3</v>
      </c>
      <c r="BV13" s="105">
        <v>47</v>
      </c>
      <c r="BW13" s="105">
        <v>3.5</v>
      </c>
      <c r="BX13" s="105">
        <v>5.5</v>
      </c>
      <c r="BY13" s="105" t="s">
        <v>94</v>
      </c>
      <c r="BZ13" s="105" t="s">
        <v>114</v>
      </c>
      <c r="CA13" s="105" t="s">
        <v>94</v>
      </c>
      <c r="CB13" s="105" t="s">
        <v>94</v>
      </c>
      <c r="CC13" s="105">
        <v>41033</v>
      </c>
      <c r="CD13" s="105">
        <v>42577</v>
      </c>
      <c r="CE13" s="105">
        <v>2483</v>
      </c>
      <c r="CF13" s="105">
        <v>0.51</v>
      </c>
    </row>
    <row r="14" spans="1:84" x14ac:dyDescent="0.25">
      <c r="A14" s="105" t="s">
        <v>140</v>
      </c>
      <c r="B14" s="105">
        <v>146</v>
      </c>
      <c r="C14" s="105" t="s">
        <v>92</v>
      </c>
      <c r="D14" s="105" t="s">
        <v>92</v>
      </c>
      <c r="E14" s="105" t="s">
        <v>110</v>
      </c>
      <c r="F14" s="105" t="s">
        <v>131</v>
      </c>
      <c r="G14" s="105" t="s">
        <v>135</v>
      </c>
      <c r="H14" s="105" t="s">
        <v>93</v>
      </c>
      <c r="I14" s="105">
        <v>1</v>
      </c>
      <c r="J14" s="105">
        <v>0</v>
      </c>
      <c r="K14" s="105">
        <v>1</v>
      </c>
      <c r="L14" s="105">
        <v>25</v>
      </c>
      <c r="M14" s="105">
        <v>16</v>
      </c>
      <c r="N14" s="105">
        <v>81</v>
      </c>
      <c r="O14" s="105">
        <v>135</v>
      </c>
      <c r="P14" s="105">
        <v>150</v>
      </c>
      <c r="Q14" s="105">
        <v>3.125</v>
      </c>
      <c r="R14" s="105">
        <v>50</v>
      </c>
      <c r="S14" s="105">
        <v>3.3</v>
      </c>
      <c r="T14" s="105">
        <v>1.4</v>
      </c>
      <c r="U14" s="105">
        <v>2.1</v>
      </c>
      <c r="V14" s="105">
        <v>3.16</v>
      </c>
      <c r="W14" s="105">
        <v>1</v>
      </c>
      <c r="X14" s="105">
        <v>22</v>
      </c>
      <c r="Y14" s="105">
        <v>20</v>
      </c>
      <c r="Z14" s="105">
        <v>300</v>
      </c>
      <c r="AA14" s="105">
        <v>57</v>
      </c>
      <c r="AB14" s="105">
        <v>0.9</v>
      </c>
      <c r="AC14" s="105" t="s">
        <v>94</v>
      </c>
      <c r="AD14" s="105" t="s">
        <v>94</v>
      </c>
      <c r="AE14" s="105" t="s">
        <v>94</v>
      </c>
      <c r="AF14" s="105">
        <v>7.1999999999999998E-3</v>
      </c>
      <c r="AG14" s="105" t="s">
        <v>94</v>
      </c>
      <c r="AH14" s="105" t="s">
        <v>94</v>
      </c>
      <c r="AI14" s="105">
        <v>5.1000000000000004E-3</v>
      </c>
      <c r="AJ14" s="105">
        <v>0.43</v>
      </c>
      <c r="AK14" s="106">
        <v>6.5</v>
      </c>
      <c r="AL14" s="105">
        <v>2.25</v>
      </c>
      <c r="AM14" s="105">
        <v>1.5</v>
      </c>
      <c r="AN14" s="106">
        <v>13</v>
      </c>
      <c r="AO14" s="105">
        <v>16</v>
      </c>
      <c r="AP14" s="105">
        <v>0.99</v>
      </c>
      <c r="AQ14" s="105">
        <v>0.94</v>
      </c>
      <c r="AR14" s="105">
        <v>1.03</v>
      </c>
      <c r="AS14" s="105">
        <v>1.92</v>
      </c>
      <c r="AT14" s="105">
        <v>0.81</v>
      </c>
      <c r="AU14" s="105">
        <v>2.61</v>
      </c>
      <c r="AV14" s="105">
        <v>0.14399999999999999</v>
      </c>
      <c r="AW14" s="105">
        <v>6.2E-2</v>
      </c>
      <c r="AX14" s="105">
        <v>0.20599999999999999</v>
      </c>
      <c r="AY14" s="105">
        <v>12.5</v>
      </c>
      <c r="AZ14" s="105">
        <v>10</v>
      </c>
      <c r="BA14" s="105">
        <v>0.01</v>
      </c>
      <c r="BB14" s="105">
        <v>1.98</v>
      </c>
      <c r="BC14" s="105">
        <v>0.42</v>
      </c>
      <c r="BD14" s="105">
        <v>70</v>
      </c>
      <c r="BE14" s="105">
        <v>25</v>
      </c>
      <c r="BF14" s="105">
        <v>1.1000000000000001</v>
      </c>
      <c r="BG14" s="105">
        <v>25</v>
      </c>
      <c r="BH14" s="105">
        <v>0.01</v>
      </c>
      <c r="BI14" s="105">
        <v>25</v>
      </c>
      <c r="BJ14" s="105">
        <v>0.01</v>
      </c>
      <c r="BK14" s="105">
        <v>0.8</v>
      </c>
      <c r="BL14" s="105" t="s">
        <v>93</v>
      </c>
      <c r="BM14" s="105">
        <v>0.85</v>
      </c>
      <c r="BN14" s="105" t="s">
        <v>94</v>
      </c>
      <c r="BO14" s="105">
        <v>1155</v>
      </c>
      <c r="BP14" s="105">
        <v>1.22</v>
      </c>
      <c r="BQ14" s="105" t="s">
        <v>92</v>
      </c>
      <c r="BR14" s="105" t="s">
        <v>141</v>
      </c>
      <c r="BS14" s="105" t="s">
        <v>94</v>
      </c>
      <c r="BT14" s="105">
        <v>1.8</v>
      </c>
      <c r="BU14" s="105">
        <v>3.3</v>
      </c>
      <c r="BV14" s="105">
        <v>20</v>
      </c>
      <c r="BW14" s="105">
        <v>1.7</v>
      </c>
      <c r="BX14" s="105">
        <v>3</v>
      </c>
      <c r="BY14" s="105" t="s">
        <v>94</v>
      </c>
      <c r="BZ14" s="105" t="s">
        <v>114</v>
      </c>
      <c r="CA14" s="105" t="s">
        <v>94</v>
      </c>
      <c r="CB14" s="105" t="s">
        <v>94</v>
      </c>
      <c r="CC14" s="105">
        <v>41033</v>
      </c>
      <c r="CD14" s="105">
        <v>42577</v>
      </c>
      <c r="CE14" s="105">
        <v>2484</v>
      </c>
      <c r="CF14" s="105">
        <v>0.3</v>
      </c>
    </row>
    <row r="15" spans="1:84" x14ac:dyDescent="0.25">
      <c r="A15" s="105" t="s">
        <v>142</v>
      </c>
      <c r="B15" s="105">
        <v>146</v>
      </c>
      <c r="C15" s="105" t="s">
        <v>92</v>
      </c>
      <c r="D15" s="105" t="s">
        <v>92</v>
      </c>
      <c r="E15" s="105" t="s">
        <v>110</v>
      </c>
      <c r="F15" s="105" t="s">
        <v>119</v>
      </c>
      <c r="G15" s="105" t="s">
        <v>143</v>
      </c>
      <c r="H15" s="105" t="s">
        <v>93</v>
      </c>
      <c r="I15" s="105">
        <v>1</v>
      </c>
      <c r="J15" s="105">
        <v>0</v>
      </c>
      <c r="K15" s="105">
        <v>1</v>
      </c>
      <c r="L15" s="105">
        <v>25</v>
      </c>
      <c r="M15" s="105">
        <v>16</v>
      </c>
      <c r="N15" s="105">
        <v>60</v>
      </c>
      <c r="O15" s="105">
        <v>240</v>
      </c>
      <c r="P15" s="105">
        <v>150</v>
      </c>
      <c r="Q15" s="105">
        <v>2.8</v>
      </c>
      <c r="R15" s="105">
        <v>55</v>
      </c>
      <c r="S15" s="105">
        <v>2.7</v>
      </c>
      <c r="T15" s="105">
        <v>1.4</v>
      </c>
      <c r="U15" s="105">
        <v>2.2000000000000002</v>
      </c>
      <c r="V15" s="105">
        <v>2.996</v>
      </c>
      <c r="W15" s="105">
        <v>1</v>
      </c>
      <c r="X15" s="105">
        <v>22</v>
      </c>
      <c r="Y15" s="105">
        <v>20</v>
      </c>
      <c r="Z15" s="105">
        <v>300</v>
      </c>
      <c r="AA15" s="105">
        <v>53</v>
      </c>
      <c r="AB15" s="105">
        <v>1.2</v>
      </c>
      <c r="AC15" s="105" t="s">
        <v>94</v>
      </c>
      <c r="AD15" s="105" t="s">
        <v>94</v>
      </c>
      <c r="AE15" s="105" t="s">
        <v>94</v>
      </c>
      <c r="AF15" s="105">
        <v>7.4000000000000003E-3</v>
      </c>
      <c r="AG15" s="105" t="s">
        <v>94</v>
      </c>
      <c r="AH15" s="105">
        <v>4.3E-3</v>
      </c>
      <c r="AI15" s="105">
        <v>4.1999999999999997E-3</v>
      </c>
      <c r="AJ15" s="105">
        <v>0.41</v>
      </c>
      <c r="AK15" s="106">
        <v>5.8</v>
      </c>
      <c r="AL15" s="105">
        <v>2</v>
      </c>
      <c r="AM15" s="105">
        <v>1.5</v>
      </c>
      <c r="AN15" s="106">
        <v>11.6</v>
      </c>
      <c r="AO15" s="105">
        <v>13.9</v>
      </c>
      <c r="AP15" s="105">
        <v>0.94</v>
      </c>
      <c r="AQ15" s="105">
        <v>0.84</v>
      </c>
      <c r="AR15" s="105">
        <v>1</v>
      </c>
      <c r="AS15" s="105">
        <v>1.6</v>
      </c>
      <c r="AT15" s="105">
        <v>0.7</v>
      </c>
      <c r="AU15" s="105">
        <v>2.2000000000000002</v>
      </c>
      <c r="AV15" s="105">
        <v>0.15</v>
      </c>
      <c r="AW15" s="105">
        <v>0.06</v>
      </c>
      <c r="AX15" s="105">
        <v>0.19</v>
      </c>
      <c r="AY15" s="105">
        <v>12.5</v>
      </c>
      <c r="AZ15" s="105">
        <v>10</v>
      </c>
      <c r="BA15" s="105">
        <v>0.1</v>
      </c>
      <c r="BB15" s="105">
        <v>13</v>
      </c>
      <c r="BC15" s="105">
        <v>0.8</v>
      </c>
      <c r="BD15" s="105">
        <v>103</v>
      </c>
      <c r="BE15" s="105">
        <v>1.4</v>
      </c>
      <c r="BF15" s="105">
        <v>103</v>
      </c>
      <c r="BG15" s="105">
        <v>25</v>
      </c>
      <c r="BH15" s="105">
        <v>3.3</v>
      </c>
      <c r="BI15" s="105">
        <v>25</v>
      </c>
      <c r="BJ15" s="105">
        <v>0.1</v>
      </c>
      <c r="BK15" s="105">
        <v>1</v>
      </c>
      <c r="BL15" s="105" t="s">
        <v>93</v>
      </c>
      <c r="BM15" s="105">
        <v>0.85</v>
      </c>
      <c r="BN15" s="105" t="s">
        <v>94</v>
      </c>
      <c r="BO15" s="105">
        <v>1154</v>
      </c>
      <c r="BP15" s="105">
        <v>0.81</v>
      </c>
      <c r="BQ15" s="105" t="s">
        <v>92</v>
      </c>
      <c r="BR15" s="105" t="s">
        <v>144</v>
      </c>
      <c r="BS15" s="105" t="s">
        <v>94</v>
      </c>
      <c r="BT15" s="105">
        <v>2.4</v>
      </c>
      <c r="BU15" s="105">
        <v>3.7</v>
      </c>
      <c r="BV15" s="105">
        <v>18</v>
      </c>
      <c r="BW15" s="105">
        <v>1.5</v>
      </c>
      <c r="BX15" s="105">
        <v>2.5</v>
      </c>
      <c r="BY15" s="105" t="s">
        <v>94</v>
      </c>
      <c r="BZ15" s="105" t="s">
        <v>121</v>
      </c>
      <c r="CA15" s="105" t="s">
        <v>94</v>
      </c>
      <c r="CB15" s="105" t="s">
        <v>94</v>
      </c>
      <c r="CC15" s="105">
        <v>41033</v>
      </c>
      <c r="CD15" s="105">
        <v>42599</v>
      </c>
      <c r="CE15" s="105">
        <v>1997</v>
      </c>
      <c r="CF15" s="105">
        <v>0.32</v>
      </c>
    </row>
    <row r="16" spans="1:84" x14ac:dyDescent="0.25">
      <c r="A16" s="105" t="s">
        <v>145</v>
      </c>
      <c r="B16" s="105">
        <v>146</v>
      </c>
      <c r="C16" s="105" t="s">
        <v>92</v>
      </c>
      <c r="D16" s="105" t="s">
        <v>92</v>
      </c>
      <c r="E16" s="105" t="s">
        <v>110</v>
      </c>
      <c r="F16" s="105" t="s">
        <v>111</v>
      </c>
      <c r="G16" s="105" t="s">
        <v>135</v>
      </c>
      <c r="H16" s="105" t="s">
        <v>93</v>
      </c>
      <c r="I16" s="105">
        <v>1</v>
      </c>
      <c r="J16" s="105">
        <v>0</v>
      </c>
      <c r="K16" s="105">
        <v>1</v>
      </c>
      <c r="L16" s="105">
        <v>25</v>
      </c>
      <c r="M16" s="105">
        <v>16</v>
      </c>
      <c r="N16" s="105">
        <v>100</v>
      </c>
      <c r="O16" s="105">
        <v>200</v>
      </c>
      <c r="P16" s="105">
        <v>150</v>
      </c>
      <c r="Q16" s="105">
        <v>3.125</v>
      </c>
      <c r="R16" s="105">
        <v>50</v>
      </c>
      <c r="S16" s="105">
        <v>1.1000000000000001</v>
      </c>
      <c r="T16" s="105">
        <v>1.3</v>
      </c>
      <c r="U16" s="105">
        <v>1.9</v>
      </c>
      <c r="V16" s="105">
        <v>2.7970000000000002</v>
      </c>
      <c r="W16" s="105">
        <v>1</v>
      </c>
      <c r="X16" s="105">
        <v>34</v>
      </c>
      <c r="Y16" s="105">
        <v>25</v>
      </c>
      <c r="Z16" s="105">
        <v>300</v>
      </c>
      <c r="AA16" s="105">
        <v>111</v>
      </c>
      <c r="AB16" s="105">
        <v>1.2</v>
      </c>
      <c r="AC16" s="105" t="s">
        <v>94</v>
      </c>
      <c r="AD16" s="105" t="s">
        <v>94</v>
      </c>
      <c r="AE16" s="105" t="s">
        <v>94</v>
      </c>
      <c r="AF16" s="105">
        <v>3.3E-3</v>
      </c>
      <c r="AG16" s="105" t="s">
        <v>94</v>
      </c>
      <c r="AH16" s="105" t="s">
        <v>94</v>
      </c>
      <c r="AI16" s="105">
        <v>2.3999999999999998E-3</v>
      </c>
      <c r="AJ16" s="105">
        <v>0.42</v>
      </c>
      <c r="AK16" s="106">
        <v>13.3</v>
      </c>
      <c r="AL16" s="105">
        <v>4.9000000000000004</v>
      </c>
      <c r="AM16" s="105">
        <v>3.1</v>
      </c>
      <c r="AN16" s="106">
        <v>27.8</v>
      </c>
      <c r="AO16" s="105">
        <v>33</v>
      </c>
      <c r="AP16" s="105">
        <v>2.0499999999999998</v>
      </c>
      <c r="AQ16" s="105">
        <v>2.04</v>
      </c>
      <c r="AR16" s="105">
        <v>2.1</v>
      </c>
      <c r="AS16" s="105">
        <v>3.5</v>
      </c>
      <c r="AT16" s="105">
        <v>1.6</v>
      </c>
      <c r="AU16" s="105">
        <v>5.0999999999999996</v>
      </c>
      <c r="AV16" s="105">
        <v>0.15</v>
      </c>
      <c r="AW16" s="105">
        <v>0.115</v>
      </c>
      <c r="AX16" s="105">
        <v>0.2</v>
      </c>
      <c r="AY16" s="105">
        <v>12.5</v>
      </c>
      <c r="AZ16" s="105">
        <v>10</v>
      </c>
      <c r="BA16" s="105">
        <v>0.01</v>
      </c>
      <c r="BB16" s="105">
        <v>3.9</v>
      </c>
      <c r="BC16" s="105">
        <v>0.5</v>
      </c>
      <c r="BD16" s="105">
        <v>190</v>
      </c>
      <c r="BE16" s="105">
        <v>0.85</v>
      </c>
      <c r="BF16" s="105">
        <v>190</v>
      </c>
      <c r="BG16" s="105">
        <v>25</v>
      </c>
      <c r="BH16" s="105">
        <v>6</v>
      </c>
      <c r="BI16" s="105">
        <v>25</v>
      </c>
      <c r="BJ16" s="105">
        <v>0.01</v>
      </c>
      <c r="BK16" s="105">
        <v>0.37</v>
      </c>
      <c r="BL16" s="105" t="s">
        <v>93</v>
      </c>
      <c r="BM16" s="105">
        <v>0.8</v>
      </c>
      <c r="BN16" s="105" t="s">
        <v>94</v>
      </c>
      <c r="BO16" s="105">
        <v>1155</v>
      </c>
      <c r="BP16" s="105">
        <v>2.66</v>
      </c>
      <c r="BQ16" s="105" t="s">
        <v>92</v>
      </c>
      <c r="BR16" s="105" t="s">
        <v>146</v>
      </c>
      <c r="BS16" s="105" t="s">
        <v>94</v>
      </c>
      <c r="BT16" s="105">
        <v>2.4</v>
      </c>
      <c r="BU16" s="105">
        <v>3.1</v>
      </c>
      <c r="BV16" s="105">
        <v>41</v>
      </c>
      <c r="BW16" s="105">
        <v>3.5</v>
      </c>
      <c r="BX16" s="105">
        <v>5.3</v>
      </c>
      <c r="BY16" s="105" t="s">
        <v>94</v>
      </c>
      <c r="BZ16" s="105" t="s">
        <v>114</v>
      </c>
      <c r="CA16" s="105" t="s">
        <v>94</v>
      </c>
      <c r="CB16" s="105" t="s">
        <v>94</v>
      </c>
      <c r="CC16" s="105">
        <v>41033</v>
      </c>
      <c r="CD16" s="105">
        <v>42577</v>
      </c>
      <c r="CE16" s="105">
        <v>2485</v>
      </c>
      <c r="CF16" s="105">
        <v>0.56999999999999995</v>
      </c>
    </row>
    <row r="17" spans="1:84" x14ac:dyDescent="0.25">
      <c r="A17" s="105" t="s">
        <v>147</v>
      </c>
      <c r="B17" s="105">
        <v>146</v>
      </c>
      <c r="C17" s="105" t="s">
        <v>92</v>
      </c>
      <c r="D17" s="105" t="s">
        <v>92</v>
      </c>
      <c r="E17" s="105" t="s">
        <v>110</v>
      </c>
      <c r="F17" s="105" t="s">
        <v>111</v>
      </c>
      <c r="G17" s="105" t="s">
        <v>135</v>
      </c>
      <c r="H17" s="105" t="s">
        <v>93</v>
      </c>
      <c r="I17" s="105">
        <v>1</v>
      </c>
      <c r="J17" s="105">
        <v>0</v>
      </c>
      <c r="K17" s="105">
        <v>1</v>
      </c>
      <c r="L17" s="105">
        <v>25</v>
      </c>
      <c r="M17" s="105">
        <v>16</v>
      </c>
      <c r="N17" s="105">
        <v>113</v>
      </c>
      <c r="O17" s="105">
        <v>141</v>
      </c>
      <c r="P17" s="105">
        <v>150</v>
      </c>
      <c r="Q17" s="105">
        <v>3.125</v>
      </c>
      <c r="R17" s="105">
        <v>50</v>
      </c>
      <c r="S17" s="105">
        <v>1.9</v>
      </c>
      <c r="T17" s="105">
        <v>1.4</v>
      </c>
      <c r="U17" s="105">
        <v>2.1</v>
      </c>
      <c r="V17" s="105">
        <v>3.2</v>
      </c>
      <c r="W17" s="105">
        <v>1</v>
      </c>
      <c r="X17" s="105">
        <v>21</v>
      </c>
      <c r="Y17" s="105">
        <v>25</v>
      </c>
      <c r="Z17" s="105">
        <v>300</v>
      </c>
      <c r="AA17" s="105">
        <v>60</v>
      </c>
      <c r="AB17" s="105">
        <v>0.8</v>
      </c>
      <c r="AC17" s="105" t="s">
        <v>94</v>
      </c>
      <c r="AD17" s="105" t="s">
        <v>94</v>
      </c>
      <c r="AE17" s="105" t="s">
        <v>94</v>
      </c>
      <c r="AF17" s="105">
        <v>6.7999999999999996E-3</v>
      </c>
      <c r="AG17" s="105" t="s">
        <v>94</v>
      </c>
      <c r="AH17" s="105" t="s">
        <v>94</v>
      </c>
      <c r="AI17" s="105">
        <v>4.4999999999999997E-3</v>
      </c>
      <c r="AJ17" s="105">
        <v>0.49</v>
      </c>
      <c r="AK17" s="106">
        <v>6.7</v>
      </c>
      <c r="AL17" s="105">
        <v>2.2999999999999998</v>
      </c>
      <c r="AM17" s="105">
        <v>1.8</v>
      </c>
      <c r="AN17" s="106">
        <v>14</v>
      </c>
      <c r="AO17" s="105">
        <v>15.7</v>
      </c>
      <c r="AP17" s="105">
        <v>1.06</v>
      </c>
      <c r="AQ17" s="105">
        <v>0.99</v>
      </c>
      <c r="AR17" s="105">
        <v>1.1399999999999999</v>
      </c>
      <c r="AS17" s="105">
        <v>1.8</v>
      </c>
      <c r="AT17" s="105">
        <v>0.76</v>
      </c>
      <c r="AU17" s="105">
        <v>2.5299999999999998</v>
      </c>
      <c r="AV17" s="105">
        <v>0.18099999999999999</v>
      </c>
      <c r="AW17" s="105">
        <v>7.4999999999999997E-2</v>
      </c>
      <c r="AX17" s="105">
        <v>0.28299999999999997</v>
      </c>
      <c r="AY17" s="105">
        <v>12.5</v>
      </c>
      <c r="AZ17" s="105">
        <v>10</v>
      </c>
      <c r="BA17" s="105">
        <v>0.01</v>
      </c>
      <c r="BB17" s="105">
        <v>2.2999999999999998</v>
      </c>
      <c r="BC17" s="105">
        <v>0.55000000000000004</v>
      </c>
      <c r="BD17" s="105">
        <v>110</v>
      </c>
      <c r="BE17" s="105">
        <v>1</v>
      </c>
      <c r="BF17" s="105">
        <v>110</v>
      </c>
      <c r="BG17" s="105">
        <v>25</v>
      </c>
      <c r="BH17" s="105">
        <v>4.8</v>
      </c>
      <c r="BI17" s="105">
        <v>25</v>
      </c>
      <c r="BJ17" s="105">
        <v>0.01</v>
      </c>
      <c r="BK17" s="105">
        <v>0.75</v>
      </c>
      <c r="BL17" s="105" t="s">
        <v>93</v>
      </c>
      <c r="BM17" s="105">
        <v>0.8</v>
      </c>
      <c r="BN17" s="105" t="s">
        <v>94</v>
      </c>
      <c r="BO17" s="105">
        <v>1155</v>
      </c>
      <c r="BP17" s="105">
        <v>1.3</v>
      </c>
      <c r="BQ17" s="105" t="s">
        <v>92</v>
      </c>
      <c r="BR17" s="105" t="s">
        <v>148</v>
      </c>
      <c r="BS17" s="105" t="s">
        <v>94</v>
      </c>
      <c r="BT17" s="105">
        <v>1.6</v>
      </c>
      <c r="BU17" s="105">
        <v>3.2</v>
      </c>
      <c r="BV17" s="105">
        <v>17</v>
      </c>
      <c r="BW17" s="105">
        <v>1.9</v>
      </c>
      <c r="BX17" s="105">
        <v>3.1</v>
      </c>
      <c r="BY17" s="105" t="s">
        <v>94</v>
      </c>
      <c r="BZ17" s="105" t="s">
        <v>114</v>
      </c>
      <c r="CA17" s="105" t="s">
        <v>94</v>
      </c>
      <c r="CB17" s="105" t="s">
        <v>94</v>
      </c>
      <c r="CC17" s="105">
        <v>41033</v>
      </c>
      <c r="CD17" s="105">
        <v>42577</v>
      </c>
      <c r="CE17" s="105">
        <v>2487</v>
      </c>
      <c r="CF17" s="105">
        <v>0.44</v>
      </c>
    </row>
    <row r="18" spans="1:84" x14ac:dyDescent="0.25">
      <c r="A18" s="105" t="s">
        <v>149</v>
      </c>
      <c r="B18" s="105">
        <v>146</v>
      </c>
      <c r="C18" s="105" t="s">
        <v>92</v>
      </c>
      <c r="D18" s="105" t="s">
        <v>92</v>
      </c>
      <c r="E18" s="105" t="s">
        <v>110</v>
      </c>
      <c r="F18" s="105" t="s">
        <v>119</v>
      </c>
      <c r="G18" s="105" t="s">
        <v>150</v>
      </c>
      <c r="H18" s="105" t="s">
        <v>93</v>
      </c>
      <c r="I18" s="105">
        <v>1</v>
      </c>
      <c r="J18" s="105">
        <v>0</v>
      </c>
      <c r="K18" s="105">
        <v>1</v>
      </c>
      <c r="L18" s="105">
        <v>25</v>
      </c>
      <c r="M18" s="105">
        <v>16</v>
      </c>
      <c r="N18" s="105">
        <v>60</v>
      </c>
      <c r="O18" s="105">
        <v>90</v>
      </c>
      <c r="P18" s="105">
        <v>150</v>
      </c>
      <c r="Q18" s="105">
        <v>2.6</v>
      </c>
      <c r="R18" s="105">
        <v>59</v>
      </c>
      <c r="S18" s="105">
        <v>3.5</v>
      </c>
      <c r="T18" s="105">
        <v>1.7</v>
      </c>
      <c r="U18" s="105">
        <v>2.2999999999999998</v>
      </c>
      <c r="V18" s="105">
        <v>3.47</v>
      </c>
      <c r="W18" s="105">
        <v>1</v>
      </c>
      <c r="X18" s="105">
        <v>17.5</v>
      </c>
      <c r="Y18" s="105">
        <v>17</v>
      </c>
      <c r="Z18" s="105">
        <v>300</v>
      </c>
      <c r="AA18" s="105">
        <v>38</v>
      </c>
      <c r="AB18" s="105">
        <v>0.9</v>
      </c>
      <c r="AC18" s="105" t="s">
        <v>94</v>
      </c>
      <c r="AD18" s="105" t="s">
        <v>94</v>
      </c>
      <c r="AE18" s="105" t="s">
        <v>94</v>
      </c>
      <c r="AF18" s="105">
        <v>1.24E-2</v>
      </c>
      <c r="AG18" s="105" t="s">
        <v>94</v>
      </c>
      <c r="AH18" s="105">
        <v>6.7999999999999996E-3</v>
      </c>
      <c r="AI18" s="105">
        <v>8.2000000000000007E-3</v>
      </c>
      <c r="AJ18" s="105">
        <v>0.45</v>
      </c>
      <c r="AK18" s="106">
        <v>4</v>
      </c>
      <c r="AL18" s="105">
        <v>1.5</v>
      </c>
      <c r="AM18" s="105">
        <v>1.1000000000000001</v>
      </c>
      <c r="AN18" s="106">
        <v>8</v>
      </c>
      <c r="AO18" s="105">
        <v>9.1</v>
      </c>
      <c r="AP18" s="105">
        <v>0.63700000000000001</v>
      </c>
      <c r="AQ18" s="105">
        <v>0.6</v>
      </c>
      <c r="AR18" s="105">
        <v>0.67100000000000004</v>
      </c>
      <c r="AS18" s="105">
        <v>1.0900000000000001</v>
      </c>
      <c r="AT18" s="105">
        <v>0.48</v>
      </c>
      <c r="AU18" s="105">
        <v>1.5</v>
      </c>
      <c r="AV18" s="105">
        <v>9.4299999999999995E-2</v>
      </c>
      <c r="AW18" s="105">
        <v>0.04</v>
      </c>
      <c r="AX18" s="105">
        <v>0.13500000000000001</v>
      </c>
      <c r="AY18" s="105">
        <v>12.5</v>
      </c>
      <c r="AZ18" s="105">
        <v>10</v>
      </c>
      <c r="BA18" s="105">
        <v>0.01</v>
      </c>
      <c r="BB18" s="105">
        <v>1.2</v>
      </c>
      <c r="BC18" s="105">
        <v>0.6</v>
      </c>
      <c r="BD18" s="105">
        <v>80</v>
      </c>
      <c r="BE18" s="105">
        <v>0.65</v>
      </c>
      <c r="BF18" s="105">
        <v>80</v>
      </c>
      <c r="BG18" s="105">
        <v>25</v>
      </c>
      <c r="BH18" s="105">
        <v>2</v>
      </c>
      <c r="BI18" s="105">
        <v>25</v>
      </c>
      <c r="BJ18" s="105">
        <v>0.01</v>
      </c>
      <c r="BK18" s="105">
        <v>0.625</v>
      </c>
      <c r="BL18" s="105" t="s">
        <v>93</v>
      </c>
      <c r="BM18" s="105">
        <v>0.85</v>
      </c>
      <c r="BN18" s="105" t="s">
        <v>94</v>
      </c>
      <c r="BO18" s="105">
        <v>1154</v>
      </c>
      <c r="BP18" s="105">
        <v>0.53600000000000003</v>
      </c>
      <c r="BQ18" s="105" t="s">
        <v>92</v>
      </c>
      <c r="BR18" s="105" t="s">
        <v>151</v>
      </c>
      <c r="BS18" s="105" t="s">
        <v>94</v>
      </c>
      <c r="BT18" s="105">
        <v>1.8</v>
      </c>
      <c r="BU18" s="105">
        <v>3.8</v>
      </c>
      <c r="BV18" s="105">
        <v>13.8</v>
      </c>
      <c r="BW18" s="105">
        <v>1</v>
      </c>
      <c r="BX18" s="105">
        <v>2.1</v>
      </c>
      <c r="BY18" s="105" t="s">
        <v>94</v>
      </c>
      <c r="BZ18" s="105" t="s">
        <v>121</v>
      </c>
      <c r="CA18" s="105" t="s">
        <v>94</v>
      </c>
      <c r="CB18" s="105" t="s">
        <v>94</v>
      </c>
      <c r="CC18" s="105">
        <v>40742</v>
      </c>
      <c r="CD18" s="105">
        <v>42599</v>
      </c>
      <c r="CE18" s="105">
        <v>2489</v>
      </c>
      <c r="CF18" s="105">
        <v>0.28000000000000003</v>
      </c>
    </row>
    <row r="19" spans="1:84" x14ac:dyDescent="0.25">
      <c r="A19" s="105" t="s">
        <v>152</v>
      </c>
      <c r="B19" s="105">
        <v>146</v>
      </c>
      <c r="C19" s="105" t="s">
        <v>92</v>
      </c>
      <c r="D19" s="105" t="s">
        <v>92</v>
      </c>
      <c r="E19" s="105" t="s">
        <v>110</v>
      </c>
      <c r="F19" s="105" t="s">
        <v>131</v>
      </c>
      <c r="G19" s="105" t="s">
        <v>153</v>
      </c>
      <c r="H19" s="105" t="s">
        <v>93</v>
      </c>
      <c r="I19" s="105">
        <v>1</v>
      </c>
      <c r="J19" s="105">
        <v>0</v>
      </c>
      <c r="K19" s="105">
        <v>1</v>
      </c>
      <c r="L19" s="105">
        <v>25</v>
      </c>
      <c r="M19" s="105">
        <v>16</v>
      </c>
      <c r="N19" s="105">
        <v>59</v>
      </c>
      <c r="O19" s="105">
        <v>158</v>
      </c>
      <c r="P19" s="105">
        <v>150</v>
      </c>
      <c r="Q19" s="105">
        <v>3.125</v>
      </c>
      <c r="R19" s="105">
        <v>50</v>
      </c>
      <c r="S19" s="105">
        <v>3.8</v>
      </c>
      <c r="T19" s="105">
        <v>1.6</v>
      </c>
      <c r="U19" s="105">
        <v>2.2999999999999998</v>
      </c>
      <c r="V19" s="105">
        <v>3.23</v>
      </c>
      <c r="W19" s="105">
        <v>1</v>
      </c>
      <c r="X19" s="105">
        <v>18.2</v>
      </c>
      <c r="Y19" s="105">
        <v>17</v>
      </c>
      <c r="Z19" s="105">
        <v>300</v>
      </c>
      <c r="AA19" s="105">
        <v>38</v>
      </c>
      <c r="AB19" s="105">
        <v>0.7</v>
      </c>
      <c r="AC19" s="105" t="s">
        <v>94</v>
      </c>
      <c r="AD19" s="105" t="s">
        <v>94</v>
      </c>
      <c r="AE19" s="105" t="s">
        <v>94</v>
      </c>
      <c r="AF19" s="105">
        <v>1.2E-2</v>
      </c>
      <c r="AG19" s="105" t="s">
        <v>94</v>
      </c>
      <c r="AH19" s="105" t="s">
        <v>94</v>
      </c>
      <c r="AI19" s="105">
        <v>8.5000000000000006E-3</v>
      </c>
      <c r="AJ19" s="105">
        <v>0.43</v>
      </c>
      <c r="AK19" s="106">
        <v>3.9</v>
      </c>
      <c r="AL19" s="105">
        <v>1.5</v>
      </c>
      <c r="AM19" s="105">
        <v>1.1000000000000001</v>
      </c>
      <c r="AN19" s="106">
        <v>7.9</v>
      </c>
      <c r="AO19" s="105">
        <v>10</v>
      </c>
      <c r="AP19" s="105">
        <v>0.6</v>
      </c>
      <c r="AQ19" s="105">
        <v>0.57999999999999996</v>
      </c>
      <c r="AR19" s="105">
        <v>0.629</v>
      </c>
      <c r="AS19" s="105">
        <v>1.1000000000000001</v>
      </c>
      <c r="AT19" s="105">
        <v>0.46</v>
      </c>
      <c r="AU19" s="105">
        <v>1.49</v>
      </c>
      <c r="AV19" s="105">
        <v>8.6599999999999996E-2</v>
      </c>
      <c r="AW19" s="105">
        <v>0.04</v>
      </c>
      <c r="AX19" s="105">
        <v>0.123</v>
      </c>
      <c r="AY19" s="105">
        <v>12.5</v>
      </c>
      <c r="AZ19" s="105">
        <v>10</v>
      </c>
      <c r="BA19" s="105">
        <v>0.01</v>
      </c>
      <c r="BB19" s="105">
        <v>1.2</v>
      </c>
      <c r="BC19" s="105">
        <v>0.7</v>
      </c>
      <c r="BD19" s="105">
        <v>80</v>
      </c>
      <c r="BE19" s="105">
        <v>25</v>
      </c>
      <c r="BF19" s="105">
        <v>2.1</v>
      </c>
      <c r="BG19" s="105">
        <v>25</v>
      </c>
      <c r="BH19" s="105">
        <v>0.01</v>
      </c>
      <c r="BI19" s="105">
        <v>25</v>
      </c>
      <c r="BJ19" s="105">
        <v>0.01</v>
      </c>
      <c r="BK19" s="105">
        <v>1.36</v>
      </c>
      <c r="BL19" s="105" t="s">
        <v>93</v>
      </c>
      <c r="BM19" s="105">
        <v>0.85</v>
      </c>
      <c r="BN19" s="105" t="s">
        <v>94</v>
      </c>
      <c r="BO19" s="105">
        <v>1155</v>
      </c>
      <c r="BP19" s="105">
        <v>0.74</v>
      </c>
      <c r="BQ19" s="105" t="s">
        <v>92</v>
      </c>
      <c r="BR19" s="105" t="s">
        <v>154</v>
      </c>
      <c r="BS19" s="105" t="s">
        <v>94</v>
      </c>
      <c r="BT19" s="105">
        <v>1.4</v>
      </c>
      <c r="BU19" s="105">
        <v>3.5</v>
      </c>
      <c r="BV19" s="105">
        <v>14</v>
      </c>
      <c r="BW19" s="105">
        <v>1.1000000000000001</v>
      </c>
      <c r="BX19" s="105">
        <v>1.8</v>
      </c>
      <c r="BY19" s="105" t="s">
        <v>94</v>
      </c>
      <c r="BZ19" s="105" t="s">
        <v>114</v>
      </c>
      <c r="CA19" s="105" t="s">
        <v>94</v>
      </c>
      <c r="CB19" s="105" t="s">
        <v>94</v>
      </c>
      <c r="CC19" s="105">
        <v>41033</v>
      </c>
      <c r="CD19" s="105">
        <v>42577</v>
      </c>
      <c r="CE19" s="105">
        <v>2490</v>
      </c>
      <c r="CF19" s="105">
        <v>0.23</v>
      </c>
    </row>
    <row r="20" spans="1:84" x14ac:dyDescent="0.25">
      <c r="A20" s="105" t="s">
        <v>155</v>
      </c>
      <c r="B20" s="105">
        <v>146</v>
      </c>
      <c r="C20" s="105" t="s">
        <v>92</v>
      </c>
      <c r="D20" s="105" t="s">
        <v>92</v>
      </c>
      <c r="E20" s="105" t="s">
        <v>110</v>
      </c>
      <c r="F20" s="105" t="s">
        <v>119</v>
      </c>
      <c r="G20" s="105" t="s">
        <v>156</v>
      </c>
      <c r="H20" s="105" t="s">
        <v>93</v>
      </c>
      <c r="I20" s="105">
        <v>1</v>
      </c>
      <c r="J20" s="105">
        <v>0</v>
      </c>
      <c r="K20" s="105">
        <v>1</v>
      </c>
      <c r="L20" s="105">
        <v>25</v>
      </c>
      <c r="M20" s="105">
        <v>16</v>
      </c>
      <c r="N20" s="105">
        <v>50</v>
      </c>
      <c r="O20" s="105">
        <v>130</v>
      </c>
      <c r="P20" s="105">
        <v>150</v>
      </c>
      <c r="Q20" s="105">
        <v>2.87</v>
      </c>
      <c r="R20" s="105">
        <v>55</v>
      </c>
      <c r="S20" s="105">
        <v>3.5</v>
      </c>
      <c r="T20" s="105">
        <v>1.7</v>
      </c>
      <c r="U20" s="105">
        <v>2.2999999999999998</v>
      </c>
      <c r="V20" s="105">
        <v>3.25</v>
      </c>
      <c r="W20" s="105">
        <v>1</v>
      </c>
      <c r="X20" s="105">
        <v>15.5</v>
      </c>
      <c r="Y20" s="105">
        <v>10</v>
      </c>
      <c r="Z20" s="105">
        <v>300</v>
      </c>
      <c r="AA20" s="105">
        <v>30</v>
      </c>
      <c r="AB20" s="105">
        <v>0.8</v>
      </c>
      <c r="AC20" s="105" t="s">
        <v>94</v>
      </c>
      <c r="AD20" s="105" t="s">
        <v>94</v>
      </c>
      <c r="AE20" s="105" t="s">
        <v>94</v>
      </c>
      <c r="AF20" s="105">
        <v>1.4999999999999999E-2</v>
      </c>
      <c r="AG20" s="105" t="s">
        <v>94</v>
      </c>
      <c r="AH20" s="105" t="s">
        <v>94</v>
      </c>
      <c r="AI20" s="105">
        <v>0.01</v>
      </c>
      <c r="AJ20" s="105">
        <v>0.42</v>
      </c>
      <c r="AK20" s="106">
        <v>2.9</v>
      </c>
      <c r="AL20" s="105">
        <v>1.2</v>
      </c>
      <c r="AM20" s="105">
        <v>0.9</v>
      </c>
      <c r="AN20" s="106">
        <v>6.1</v>
      </c>
      <c r="AO20" s="105">
        <v>6.5</v>
      </c>
      <c r="AP20" s="105">
        <v>0.49</v>
      </c>
      <c r="AQ20" s="105">
        <v>0.42</v>
      </c>
      <c r="AR20" s="105">
        <v>0.49</v>
      </c>
      <c r="AS20" s="105">
        <v>0.8</v>
      </c>
      <c r="AT20" s="105">
        <v>0.33</v>
      </c>
      <c r="AU20" s="105">
        <v>1.01</v>
      </c>
      <c r="AV20" s="105">
        <v>7.0000000000000007E-2</v>
      </c>
      <c r="AW20" s="105">
        <v>3.3000000000000002E-2</v>
      </c>
      <c r="AX20" s="105">
        <v>0.09</v>
      </c>
      <c r="AY20" s="105">
        <v>12.5</v>
      </c>
      <c r="AZ20" s="105">
        <v>10</v>
      </c>
      <c r="BA20" s="105">
        <v>0.1</v>
      </c>
      <c r="BB20" s="105">
        <v>7</v>
      </c>
      <c r="BC20" s="105">
        <v>1.1000000000000001</v>
      </c>
      <c r="BD20" s="105">
        <v>75</v>
      </c>
      <c r="BE20" s="105">
        <v>9.5</v>
      </c>
      <c r="BF20" s="105">
        <v>8.5</v>
      </c>
      <c r="BG20" s="105">
        <v>25</v>
      </c>
      <c r="BH20" s="105">
        <v>1.2</v>
      </c>
      <c r="BI20" s="105">
        <v>25</v>
      </c>
      <c r="BJ20" s="105">
        <v>0.1</v>
      </c>
      <c r="BK20" s="105">
        <v>0.47599999999999998</v>
      </c>
      <c r="BL20" s="105" t="s">
        <v>93</v>
      </c>
      <c r="BM20" s="105">
        <v>0.85</v>
      </c>
      <c r="BN20" s="105" t="s">
        <v>94</v>
      </c>
      <c r="BO20" s="105">
        <v>1154</v>
      </c>
      <c r="BP20" s="105">
        <v>0.4</v>
      </c>
      <c r="BQ20" s="105" t="s">
        <v>92</v>
      </c>
      <c r="BR20" s="105" t="s">
        <v>157</v>
      </c>
      <c r="BS20" s="105" t="s">
        <v>94</v>
      </c>
      <c r="BT20" s="105">
        <v>1.6</v>
      </c>
      <c r="BU20" s="105">
        <v>3.25</v>
      </c>
      <c r="BV20" s="105">
        <v>11.7</v>
      </c>
      <c r="BW20" s="105">
        <v>0.7</v>
      </c>
      <c r="BX20" s="105">
        <v>1.5</v>
      </c>
      <c r="BY20" s="105" t="s">
        <v>94</v>
      </c>
      <c r="BZ20" s="105" t="s">
        <v>121</v>
      </c>
      <c r="CA20" s="105" t="s">
        <v>94</v>
      </c>
      <c r="CB20" s="105" t="s">
        <v>94</v>
      </c>
      <c r="CC20" s="105">
        <v>41033</v>
      </c>
      <c r="CD20" s="105">
        <v>42599</v>
      </c>
      <c r="CE20" s="105">
        <v>2491</v>
      </c>
      <c r="CF20" s="105">
        <v>0.24</v>
      </c>
    </row>
    <row r="21" spans="1:84" x14ac:dyDescent="0.25">
      <c r="A21" s="105" t="s">
        <v>158</v>
      </c>
      <c r="B21" s="105">
        <v>146</v>
      </c>
      <c r="C21" s="105" t="s">
        <v>92</v>
      </c>
      <c r="D21" s="105" t="s">
        <v>92</v>
      </c>
      <c r="E21" s="105" t="s">
        <v>110</v>
      </c>
      <c r="F21" s="105" t="s">
        <v>131</v>
      </c>
      <c r="G21" s="105" t="s">
        <v>153</v>
      </c>
      <c r="H21" s="105" t="s">
        <v>93</v>
      </c>
      <c r="I21" s="105">
        <v>1</v>
      </c>
      <c r="J21" s="105">
        <v>0</v>
      </c>
      <c r="K21" s="105">
        <v>1</v>
      </c>
      <c r="L21" s="105">
        <v>25</v>
      </c>
      <c r="M21" s="105">
        <v>16</v>
      </c>
      <c r="N21" s="105">
        <v>52</v>
      </c>
      <c r="O21" s="105">
        <v>91</v>
      </c>
      <c r="P21" s="105">
        <v>150</v>
      </c>
      <c r="Q21" s="105">
        <v>3.125</v>
      </c>
      <c r="R21" s="105">
        <v>50</v>
      </c>
      <c r="S21" s="105">
        <v>3.7</v>
      </c>
      <c r="T21" s="105">
        <v>1.7</v>
      </c>
      <c r="U21" s="105">
        <v>2.2999999999999998</v>
      </c>
      <c r="V21" s="105">
        <v>3.17</v>
      </c>
      <c r="W21" s="105">
        <v>1</v>
      </c>
      <c r="X21" s="105">
        <v>16</v>
      </c>
      <c r="Y21" s="105">
        <v>10</v>
      </c>
      <c r="Z21" s="105">
        <v>300</v>
      </c>
      <c r="AA21" s="105">
        <v>33</v>
      </c>
      <c r="AB21" s="105">
        <v>0.7</v>
      </c>
      <c r="AC21" s="105" t="s">
        <v>94</v>
      </c>
      <c r="AD21" s="105" t="s">
        <v>94</v>
      </c>
      <c r="AE21" s="105" t="s">
        <v>94</v>
      </c>
      <c r="AF21" s="105">
        <v>1.6E-2</v>
      </c>
      <c r="AG21" s="105" t="s">
        <v>94</v>
      </c>
      <c r="AH21" s="105" t="s">
        <v>94</v>
      </c>
      <c r="AI21" s="105">
        <v>1.0999999999999999E-2</v>
      </c>
      <c r="AJ21" s="105">
        <v>0.49</v>
      </c>
      <c r="AK21" s="106">
        <v>2.9</v>
      </c>
      <c r="AL21" s="105">
        <v>1.1000000000000001</v>
      </c>
      <c r="AM21" s="105">
        <v>0.9</v>
      </c>
      <c r="AN21" s="106">
        <v>6.1</v>
      </c>
      <c r="AO21" s="105">
        <v>7</v>
      </c>
      <c r="AP21" s="105">
        <v>0.44400000000000001</v>
      </c>
      <c r="AQ21" s="105">
        <v>0.41</v>
      </c>
      <c r="AR21" s="105">
        <v>0.46400000000000002</v>
      </c>
      <c r="AS21" s="105">
        <v>0.79700000000000004</v>
      </c>
      <c r="AT21" s="105">
        <v>0.35</v>
      </c>
      <c r="AU21" s="105">
        <v>1.08</v>
      </c>
      <c r="AV21" s="105">
        <v>6.6000000000000003E-2</v>
      </c>
      <c r="AW21" s="105">
        <v>3.2000000000000001E-2</v>
      </c>
      <c r="AX21" s="105">
        <v>9.11E-2</v>
      </c>
      <c r="AY21" s="105">
        <v>12.5</v>
      </c>
      <c r="AZ21" s="105">
        <v>10</v>
      </c>
      <c r="BA21" s="105">
        <v>0.01</v>
      </c>
      <c r="BB21" s="105">
        <v>1.2</v>
      </c>
      <c r="BC21" s="105">
        <v>0.7</v>
      </c>
      <c r="BD21" s="105">
        <v>85</v>
      </c>
      <c r="BE21" s="105">
        <v>0.8</v>
      </c>
      <c r="BF21" s="105">
        <v>85</v>
      </c>
      <c r="BG21" s="105">
        <v>25</v>
      </c>
      <c r="BH21" s="105">
        <v>2.5</v>
      </c>
      <c r="BI21" s="105">
        <v>25</v>
      </c>
      <c r="BJ21" s="105">
        <v>0.01</v>
      </c>
      <c r="BK21" s="105">
        <v>1.77</v>
      </c>
      <c r="BL21" s="105" t="s">
        <v>93</v>
      </c>
      <c r="BM21" s="105">
        <v>0.85</v>
      </c>
      <c r="BN21" s="105" t="s">
        <v>94</v>
      </c>
      <c r="BO21" s="105">
        <v>1155</v>
      </c>
      <c r="BP21" s="105">
        <v>0.41</v>
      </c>
      <c r="BQ21" s="105" t="s">
        <v>92</v>
      </c>
      <c r="BR21" s="105" t="s">
        <v>159</v>
      </c>
      <c r="BS21" s="105" t="s">
        <v>94</v>
      </c>
      <c r="BT21" s="105">
        <v>1.4</v>
      </c>
      <c r="BU21" s="105">
        <v>3.4</v>
      </c>
      <c r="BV21" s="105">
        <v>12</v>
      </c>
      <c r="BW21" s="105">
        <v>0.7</v>
      </c>
      <c r="BX21" s="105">
        <v>1.4</v>
      </c>
      <c r="BY21" s="105" t="s">
        <v>94</v>
      </c>
      <c r="BZ21" s="105" t="s">
        <v>114</v>
      </c>
      <c r="CA21" s="105" t="s">
        <v>94</v>
      </c>
      <c r="CB21" s="105" t="s">
        <v>94</v>
      </c>
      <c r="CC21" s="105">
        <v>41033</v>
      </c>
      <c r="CD21" s="105">
        <v>42577</v>
      </c>
      <c r="CE21" s="105">
        <v>2492</v>
      </c>
      <c r="CF21" s="105">
        <v>0.24</v>
      </c>
    </row>
    <row r="22" spans="1:84" x14ac:dyDescent="0.25">
      <c r="A22" s="105" t="s">
        <v>160</v>
      </c>
      <c r="B22" s="105">
        <v>146</v>
      </c>
      <c r="C22" s="105" t="s">
        <v>92</v>
      </c>
      <c r="D22" s="105" t="s">
        <v>92</v>
      </c>
      <c r="E22" s="105" t="s">
        <v>110</v>
      </c>
      <c r="F22" s="105" t="s">
        <v>131</v>
      </c>
      <c r="G22" s="105" t="s">
        <v>153</v>
      </c>
      <c r="H22" s="105" t="s">
        <v>93</v>
      </c>
      <c r="I22" s="105">
        <v>1</v>
      </c>
      <c r="J22" s="105">
        <v>0</v>
      </c>
      <c r="K22" s="105">
        <v>1</v>
      </c>
      <c r="L22" s="105">
        <v>25</v>
      </c>
      <c r="M22" s="105">
        <v>16</v>
      </c>
      <c r="N22" s="105">
        <v>100</v>
      </c>
      <c r="O22" s="105">
        <v>156</v>
      </c>
      <c r="P22" s="105">
        <v>150</v>
      </c>
      <c r="Q22" s="105">
        <v>3.125</v>
      </c>
      <c r="R22" s="105">
        <v>50</v>
      </c>
      <c r="S22" s="105">
        <v>2.6</v>
      </c>
      <c r="T22" s="105">
        <v>1.2</v>
      </c>
      <c r="U22" s="105">
        <v>1.9</v>
      </c>
      <c r="V22" s="105">
        <v>2.84</v>
      </c>
      <c r="W22" s="105">
        <v>1</v>
      </c>
      <c r="X22" s="105">
        <v>28</v>
      </c>
      <c r="Y22" s="105">
        <v>24</v>
      </c>
      <c r="Z22" s="105">
        <v>300</v>
      </c>
      <c r="AA22" s="105">
        <v>95</v>
      </c>
      <c r="AB22" s="105">
        <v>0.9</v>
      </c>
      <c r="AC22" s="105" t="s">
        <v>94</v>
      </c>
      <c r="AD22" s="105" t="s">
        <v>94</v>
      </c>
      <c r="AE22" s="105" t="s">
        <v>94</v>
      </c>
      <c r="AF22" s="105">
        <v>5.5999999999999999E-3</v>
      </c>
      <c r="AG22" s="105" t="s">
        <v>94</v>
      </c>
      <c r="AH22" s="105" t="s">
        <v>94</v>
      </c>
      <c r="AI22" s="105">
        <v>3.8999999999999998E-3</v>
      </c>
      <c r="AJ22" s="105">
        <v>0.39900000000000002</v>
      </c>
      <c r="AK22" s="106">
        <v>9</v>
      </c>
      <c r="AL22" s="105">
        <v>6.2</v>
      </c>
      <c r="AM22" s="105">
        <v>2.2000000000000002</v>
      </c>
      <c r="AN22" s="106">
        <v>18.899999999999999</v>
      </c>
      <c r="AO22" s="105">
        <v>21</v>
      </c>
      <c r="AP22" s="105">
        <v>1.4419999999999999</v>
      </c>
      <c r="AQ22" s="105">
        <v>1.37</v>
      </c>
      <c r="AR22" s="105">
        <v>1.524</v>
      </c>
      <c r="AS22" s="105">
        <v>2.61</v>
      </c>
      <c r="AT22" s="105">
        <v>1.06</v>
      </c>
      <c r="AU22" s="105">
        <v>3.57</v>
      </c>
      <c r="AV22" s="105">
        <v>0.2</v>
      </c>
      <c r="AW22" s="105">
        <v>8.4000000000000005E-2</v>
      </c>
      <c r="AX22" s="105">
        <v>0.30199999999999999</v>
      </c>
      <c r="AY22" s="105">
        <v>12.5</v>
      </c>
      <c r="AZ22" s="105">
        <v>10</v>
      </c>
      <c r="BA22" s="105">
        <v>0.01</v>
      </c>
      <c r="BB22" s="105">
        <v>3</v>
      </c>
      <c r="BC22" s="105">
        <v>0.47</v>
      </c>
      <c r="BD22" s="105">
        <v>180</v>
      </c>
      <c r="BE22" s="105">
        <v>0.65</v>
      </c>
      <c r="BF22" s="105">
        <v>180</v>
      </c>
      <c r="BG22" s="105">
        <v>25</v>
      </c>
      <c r="BH22" s="105">
        <v>3.9</v>
      </c>
      <c r="BI22" s="105">
        <v>25</v>
      </c>
      <c r="BJ22" s="105">
        <v>0.01</v>
      </c>
      <c r="BK22" s="105">
        <v>0.59</v>
      </c>
      <c r="BL22" s="105" t="s">
        <v>93</v>
      </c>
      <c r="BM22" s="105">
        <v>0.85</v>
      </c>
      <c r="BN22" s="105" t="s">
        <v>94</v>
      </c>
      <c r="BO22" s="105">
        <v>1155</v>
      </c>
      <c r="BP22" s="105">
        <v>1.78</v>
      </c>
      <c r="BQ22" s="105" t="s">
        <v>92</v>
      </c>
      <c r="BR22" s="105" t="s">
        <v>161</v>
      </c>
      <c r="BS22" s="105" t="s">
        <v>94</v>
      </c>
      <c r="BT22" s="105">
        <v>1.8</v>
      </c>
      <c r="BU22" s="105">
        <v>2.9</v>
      </c>
      <c r="BV22" s="105">
        <v>32</v>
      </c>
      <c r="BW22" s="105">
        <v>2.5</v>
      </c>
      <c r="BX22" s="105">
        <v>3.5</v>
      </c>
      <c r="BY22" s="105" t="s">
        <v>94</v>
      </c>
      <c r="BZ22" s="105" t="s">
        <v>114</v>
      </c>
      <c r="CA22" s="105" t="s">
        <v>94</v>
      </c>
      <c r="CB22" s="105" t="s">
        <v>94</v>
      </c>
      <c r="CC22" s="105">
        <v>41033</v>
      </c>
      <c r="CD22" s="105">
        <v>42577</v>
      </c>
      <c r="CE22" s="105">
        <v>2493</v>
      </c>
      <c r="CF22" s="105">
        <v>0.41</v>
      </c>
    </row>
    <row r="23" spans="1:84" x14ac:dyDescent="0.25">
      <c r="A23" s="105" t="s">
        <v>162</v>
      </c>
      <c r="B23" s="105">
        <v>146</v>
      </c>
      <c r="C23" s="105" t="s">
        <v>92</v>
      </c>
      <c r="D23" s="105" t="s">
        <v>92</v>
      </c>
      <c r="E23" s="105" t="s">
        <v>110</v>
      </c>
      <c r="F23" s="105" t="s">
        <v>111</v>
      </c>
      <c r="G23" s="105" t="s">
        <v>163</v>
      </c>
      <c r="H23" s="105" t="s">
        <v>93</v>
      </c>
      <c r="I23" s="105">
        <v>1</v>
      </c>
      <c r="J23" s="105">
        <v>0</v>
      </c>
      <c r="K23" s="105">
        <v>1</v>
      </c>
      <c r="L23" s="105">
        <v>25</v>
      </c>
      <c r="M23" s="105">
        <v>16</v>
      </c>
      <c r="N23" s="105">
        <v>100</v>
      </c>
      <c r="O23" s="105">
        <v>213</v>
      </c>
      <c r="P23" s="105">
        <v>150</v>
      </c>
      <c r="Q23" s="105">
        <v>3.125</v>
      </c>
      <c r="R23" s="105">
        <v>50</v>
      </c>
      <c r="S23" s="105">
        <v>1.1000000000000001</v>
      </c>
      <c r="T23" s="105">
        <v>1.3</v>
      </c>
      <c r="U23" s="105">
        <v>2</v>
      </c>
      <c r="V23" s="105">
        <v>3.02</v>
      </c>
      <c r="W23" s="105">
        <v>1</v>
      </c>
      <c r="X23" s="105">
        <v>35</v>
      </c>
      <c r="Y23" s="105">
        <v>30</v>
      </c>
      <c r="Z23" s="105">
        <v>300</v>
      </c>
      <c r="AA23" s="105">
        <v>138</v>
      </c>
      <c r="AB23" s="105">
        <v>1.4</v>
      </c>
      <c r="AC23" s="105" t="s">
        <v>94</v>
      </c>
      <c r="AD23" s="105" t="s">
        <v>94</v>
      </c>
      <c r="AE23" s="105" t="s">
        <v>94</v>
      </c>
      <c r="AF23" s="105">
        <v>2.5999999999999999E-3</v>
      </c>
      <c r="AG23" s="105" t="s">
        <v>94</v>
      </c>
      <c r="AH23" s="105" t="s">
        <v>94</v>
      </c>
      <c r="AI23" s="105">
        <v>1.9E-3</v>
      </c>
      <c r="AJ23" s="105">
        <v>0.46</v>
      </c>
      <c r="AK23" s="106">
        <v>16.600000000000001</v>
      </c>
      <c r="AL23" s="105">
        <v>6</v>
      </c>
      <c r="AM23" s="105">
        <v>4.5</v>
      </c>
      <c r="AN23" s="106">
        <v>35</v>
      </c>
      <c r="AO23" s="105">
        <v>40</v>
      </c>
      <c r="AP23" s="105">
        <v>2.88</v>
      </c>
      <c r="AQ23" s="105">
        <v>2.81</v>
      </c>
      <c r="AR23" s="105">
        <v>3.03</v>
      </c>
      <c r="AS23" s="105">
        <v>4.75</v>
      </c>
      <c r="AT23" s="105">
        <v>2.04</v>
      </c>
      <c r="AU23" s="105">
        <v>6.53</v>
      </c>
      <c r="AV23" s="105">
        <v>0.39500000000000002</v>
      </c>
      <c r="AW23" s="105">
        <v>0.14000000000000001</v>
      </c>
      <c r="AX23" s="105">
        <v>0.58599999999999997</v>
      </c>
      <c r="AY23" s="105">
        <v>12.5</v>
      </c>
      <c r="AZ23" s="105">
        <v>10</v>
      </c>
      <c r="BA23" s="105">
        <v>0.01</v>
      </c>
      <c r="BB23" s="105">
        <v>5</v>
      </c>
      <c r="BC23" s="105">
        <v>0.4</v>
      </c>
      <c r="BD23" s="105">
        <v>200</v>
      </c>
      <c r="BE23" s="105">
        <v>1</v>
      </c>
      <c r="BF23" s="105">
        <v>200</v>
      </c>
      <c r="BG23" s="105">
        <v>25</v>
      </c>
      <c r="BH23" s="105">
        <v>8</v>
      </c>
      <c r="BI23" s="105">
        <v>25</v>
      </c>
      <c r="BJ23" s="105">
        <v>0.01</v>
      </c>
      <c r="BK23" s="105">
        <v>0.3</v>
      </c>
      <c r="BL23" s="105" t="s">
        <v>93</v>
      </c>
      <c r="BM23" s="105">
        <v>0.81</v>
      </c>
      <c r="BN23" s="105" t="s">
        <v>94</v>
      </c>
      <c r="BO23" s="105">
        <v>1346</v>
      </c>
      <c r="BP23" s="105">
        <v>2.4</v>
      </c>
      <c r="BQ23" s="105" t="s">
        <v>92</v>
      </c>
      <c r="BR23" s="105" t="s">
        <v>164</v>
      </c>
      <c r="BS23" s="105" t="s">
        <v>94</v>
      </c>
      <c r="BT23" s="105">
        <v>2.8</v>
      </c>
      <c r="BU23" s="105">
        <v>3</v>
      </c>
      <c r="BV23" s="105">
        <v>44</v>
      </c>
      <c r="BW23" s="105">
        <v>4.4000000000000004</v>
      </c>
      <c r="BX23" s="105">
        <v>7.3</v>
      </c>
      <c r="BY23" s="105" t="s">
        <v>94</v>
      </c>
      <c r="BZ23" s="105" t="s">
        <v>114</v>
      </c>
      <c r="CA23" s="105" t="s">
        <v>94</v>
      </c>
      <c r="CB23" s="105" t="s">
        <v>94</v>
      </c>
      <c r="CC23" s="105">
        <v>40764</v>
      </c>
      <c r="CD23" s="105">
        <v>42577</v>
      </c>
      <c r="CE23" s="105">
        <v>2494</v>
      </c>
      <c r="CF23" s="105">
        <v>0.64</v>
      </c>
    </row>
    <row r="24" spans="1:84" x14ac:dyDescent="0.25">
      <c r="A24" s="105" t="s">
        <v>165</v>
      </c>
      <c r="B24" s="105">
        <v>146</v>
      </c>
      <c r="C24" s="105" t="s">
        <v>92</v>
      </c>
      <c r="D24" s="105" t="s">
        <v>92</v>
      </c>
      <c r="E24" s="105" t="s">
        <v>110</v>
      </c>
      <c r="F24" s="105" t="s">
        <v>111</v>
      </c>
      <c r="G24" s="105" t="s">
        <v>138</v>
      </c>
      <c r="H24" s="105" t="s">
        <v>93</v>
      </c>
      <c r="I24" s="105">
        <v>1</v>
      </c>
      <c r="J24" s="105">
        <v>0</v>
      </c>
      <c r="K24" s="105">
        <v>1</v>
      </c>
      <c r="L24" s="105">
        <v>25</v>
      </c>
      <c r="M24" s="105">
        <v>16</v>
      </c>
      <c r="N24" s="105">
        <v>100</v>
      </c>
      <c r="O24" s="105">
        <v>200</v>
      </c>
      <c r="P24" s="105">
        <v>150</v>
      </c>
      <c r="Q24" s="105">
        <v>3.125</v>
      </c>
      <c r="R24" s="105">
        <v>50</v>
      </c>
      <c r="S24" s="105">
        <v>1.1000000000000001</v>
      </c>
      <c r="T24" s="105">
        <v>1.2</v>
      </c>
      <c r="U24" s="105">
        <v>1.9</v>
      </c>
      <c r="V24" s="105">
        <v>2.92</v>
      </c>
      <c r="W24" s="105">
        <v>1</v>
      </c>
      <c r="X24" s="105">
        <v>45</v>
      </c>
      <c r="Y24" s="105">
        <v>40</v>
      </c>
      <c r="Z24" s="105">
        <v>300</v>
      </c>
      <c r="AA24" s="105">
        <v>168</v>
      </c>
      <c r="AB24" s="105">
        <v>1.2</v>
      </c>
      <c r="AC24" s="105" t="s">
        <v>94</v>
      </c>
      <c r="AD24" s="105" t="s">
        <v>94</v>
      </c>
      <c r="AE24" s="105" t="s">
        <v>94</v>
      </c>
      <c r="AF24" s="105">
        <v>1.8E-3</v>
      </c>
      <c r="AG24" s="105" t="s">
        <v>94</v>
      </c>
      <c r="AH24" s="105" t="s">
        <v>94</v>
      </c>
      <c r="AI24" s="105">
        <v>1.1000000000000001E-3</v>
      </c>
      <c r="AJ24" s="105">
        <v>0.47</v>
      </c>
      <c r="AK24" s="106">
        <v>21</v>
      </c>
      <c r="AL24" s="105">
        <v>6.5</v>
      </c>
      <c r="AM24" s="105">
        <v>4.8</v>
      </c>
      <c r="AN24" s="106">
        <v>43.5</v>
      </c>
      <c r="AO24" s="105">
        <v>55</v>
      </c>
      <c r="AP24" s="105">
        <v>3.42</v>
      </c>
      <c r="AQ24" s="105">
        <v>3.15</v>
      </c>
      <c r="AR24" s="105">
        <v>3.58</v>
      </c>
      <c r="AS24" s="105">
        <v>5.93</v>
      </c>
      <c r="AT24" s="105">
        <v>2.5299999999999998</v>
      </c>
      <c r="AU24" s="105">
        <v>8.0399999999999991</v>
      </c>
      <c r="AV24" s="105">
        <v>0.45900000000000002</v>
      </c>
      <c r="AW24" s="105">
        <v>0.17499999999999999</v>
      </c>
      <c r="AX24" s="105">
        <v>0.68200000000000005</v>
      </c>
      <c r="AY24" s="105">
        <v>12.5</v>
      </c>
      <c r="AZ24" s="105">
        <v>10</v>
      </c>
      <c r="BA24" s="105">
        <v>0.1</v>
      </c>
      <c r="BB24" s="105">
        <v>60.89</v>
      </c>
      <c r="BC24" s="105">
        <v>0.65</v>
      </c>
      <c r="BD24" s="105">
        <v>400</v>
      </c>
      <c r="BE24" s="105">
        <v>1.38</v>
      </c>
      <c r="BF24" s="105">
        <v>400</v>
      </c>
      <c r="BG24" s="105">
        <v>25</v>
      </c>
      <c r="BH24" s="105">
        <v>6.47</v>
      </c>
      <c r="BI24" s="105">
        <v>25</v>
      </c>
      <c r="BJ24" s="105">
        <v>0.1</v>
      </c>
      <c r="BK24" s="105">
        <v>0.24</v>
      </c>
      <c r="BL24" s="105" t="s">
        <v>93</v>
      </c>
      <c r="BM24" s="105">
        <v>0.85</v>
      </c>
      <c r="BN24" s="105" t="s">
        <v>94</v>
      </c>
      <c r="BO24" s="105">
        <v>1155</v>
      </c>
      <c r="BP24" s="105">
        <v>8.3000000000000007</v>
      </c>
      <c r="BQ24" s="105" t="s">
        <v>92</v>
      </c>
      <c r="BR24" s="105" t="s">
        <v>166</v>
      </c>
      <c r="BS24" s="105" t="s">
        <v>94</v>
      </c>
      <c r="BT24" s="105">
        <v>2.4</v>
      </c>
      <c r="BU24" s="105">
        <v>3</v>
      </c>
      <c r="BV24" s="105">
        <v>72</v>
      </c>
      <c r="BW24" s="105">
        <v>5.2</v>
      </c>
      <c r="BX24" s="105">
        <v>8.3000000000000007</v>
      </c>
      <c r="BY24" s="105" t="s">
        <v>94</v>
      </c>
      <c r="BZ24" s="105" t="s">
        <v>114</v>
      </c>
      <c r="CA24" s="105" t="s">
        <v>94</v>
      </c>
      <c r="CB24" s="105" t="s">
        <v>94</v>
      </c>
      <c r="CC24" s="105">
        <v>41030</v>
      </c>
      <c r="CD24" s="105">
        <v>42577</v>
      </c>
      <c r="CE24" s="105">
        <v>2495</v>
      </c>
      <c r="CF24" s="105">
        <v>0.8</v>
      </c>
    </row>
    <row r="25" spans="1:84" x14ac:dyDescent="0.25">
      <c r="A25" s="105" t="s">
        <v>167</v>
      </c>
      <c r="B25" s="105">
        <v>146</v>
      </c>
      <c r="C25" s="105" t="s">
        <v>92</v>
      </c>
      <c r="D25" s="105" t="s">
        <v>92</v>
      </c>
      <c r="E25" s="105" t="s">
        <v>110</v>
      </c>
      <c r="F25" s="105" t="s">
        <v>168</v>
      </c>
      <c r="G25" s="105" t="s">
        <v>132</v>
      </c>
      <c r="H25" s="105" t="s">
        <v>93</v>
      </c>
      <c r="I25" s="105">
        <v>1</v>
      </c>
      <c r="J25" s="105">
        <v>0</v>
      </c>
      <c r="K25" s="105">
        <v>1</v>
      </c>
      <c r="L25" s="105">
        <v>25</v>
      </c>
      <c r="M25" s="105">
        <v>20</v>
      </c>
      <c r="N25" s="105">
        <v>100</v>
      </c>
      <c r="O25" s="105">
        <v>400</v>
      </c>
      <c r="P25" s="105">
        <v>150</v>
      </c>
      <c r="Q25" s="105">
        <v>3.125</v>
      </c>
      <c r="R25" s="105">
        <v>50</v>
      </c>
      <c r="S25" s="105">
        <v>1.1000000000000001</v>
      </c>
      <c r="T25" s="105">
        <v>1.2</v>
      </c>
      <c r="U25" s="105">
        <v>1.7</v>
      </c>
      <c r="V25" s="105">
        <v>2.5</v>
      </c>
      <c r="W25" s="105">
        <v>1</v>
      </c>
      <c r="X25" s="105">
        <v>41</v>
      </c>
      <c r="Y25" s="105">
        <v>30</v>
      </c>
      <c r="Z25" s="105">
        <v>300</v>
      </c>
      <c r="AA25" s="105">
        <v>191</v>
      </c>
      <c r="AB25" s="105">
        <v>0.7</v>
      </c>
      <c r="AC25" s="105" t="s">
        <v>94</v>
      </c>
      <c r="AD25" s="105" t="s">
        <v>94</v>
      </c>
      <c r="AE25" s="105" t="s">
        <v>94</v>
      </c>
      <c r="AF25" s="105">
        <v>1.5E-3</v>
      </c>
      <c r="AG25" s="105" t="s">
        <v>94</v>
      </c>
      <c r="AH25" s="105" t="s">
        <v>94</v>
      </c>
      <c r="AI25" s="105">
        <v>1E-3</v>
      </c>
      <c r="AJ25" s="105">
        <v>0.65</v>
      </c>
      <c r="AK25" s="106">
        <v>36</v>
      </c>
      <c r="AL25" s="105">
        <v>18</v>
      </c>
      <c r="AM25" s="105">
        <v>7</v>
      </c>
      <c r="AN25" s="106">
        <v>76</v>
      </c>
      <c r="AO25" s="105">
        <v>45</v>
      </c>
      <c r="AP25" s="105">
        <v>5.3</v>
      </c>
      <c r="AQ25" s="105">
        <v>4.75</v>
      </c>
      <c r="AR25" s="105">
        <v>5.62</v>
      </c>
      <c r="AS25" s="105">
        <v>6.85</v>
      </c>
      <c r="AT25" s="105">
        <v>2.27</v>
      </c>
      <c r="AU25" s="105">
        <v>8.9</v>
      </c>
      <c r="AV25" s="105">
        <v>0.75900000000000001</v>
      </c>
      <c r="AW25" s="105">
        <v>0.22</v>
      </c>
      <c r="AX25" s="105">
        <v>1.04</v>
      </c>
      <c r="AY25" s="105">
        <v>12.5</v>
      </c>
      <c r="AZ25" s="105">
        <v>10</v>
      </c>
      <c r="BA25" s="105">
        <v>0.1</v>
      </c>
      <c r="BB25" s="105">
        <v>56.64</v>
      </c>
      <c r="BC25" s="105">
        <v>0.55000000000000004</v>
      </c>
      <c r="BD25" s="105">
        <v>311</v>
      </c>
      <c r="BE25" s="105">
        <v>1.33</v>
      </c>
      <c r="BF25" s="105">
        <v>311</v>
      </c>
      <c r="BG25" s="105">
        <v>25</v>
      </c>
      <c r="BH25" s="105">
        <v>2.59</v>
      </c>
      <c r="BI25" s="105">
        <v>25</v>
      </c>
      <c r="BJ25" s="105">
        <v>0.1</v>
      </c>
      <c r="BK25" s="105">
        <v>0.13</v>
      </c>
      <c r="BL25" s="105" t="s">
        <v>93</v>
      </c>
      <c r="BM25" s="105">
        <v>0.8</v>
      </c>
      <c r="BN25" s="105" t="s">
        <v>94</v>
      </c>
      <c r="BO25" s="105">
        <v>1345</v>
      </c>
      <c r="BP25" s="105">
        <v>4.99</v>
      </c>
      <c r="BQ25" s="105" t="s">
        <v>92</v>
      </c>
      <c r="BR25" s="105" t="s">
        <v>169</v>
      </c>
      <c r="BS25" s="105" t="s">
        <v>94</v>
      </c>
      <c r="BT25" s="105">
        <v>1.4</v>
      </c>
      <c r="BU25" s="105">
        <v>2.8</v>
      </c>
      <c r="BV25" s="105">
        <v>84</v>
      </c>
      <c r="BW25" s="105">
        <v>12</v>
      </c>
      <c r="BX25" s="105">
        <v>11</v>
      </c>
      <c r="BY25" s="105" t="s">
        <v>94</v>
      </c>
      <c r="BZ25" s="105" t="s">
        <v>114</v>
      </c>
      <c r="CA25" s="105" t="s">
        <v>94</v>
      </c>
      <c r="CB25" s="105" t="s">
        <v>94</v>
      </c>
      <c r="CC25" s="105">
        <v>41503</v>
      </c>
      <c r="CD25" s="105">
        <v>42577</v>
      </c>
      <c r="CE25" s="105">
        <v>2496</v>
      </c>
      <c r="CF25" s="105">
        <v>0.75</v>
      </c>
    </row>
    <row r="26" spans="1:84" x14ac:dyDescent="0.25">
      <c r="A26" s="105" t="s">
        <v>171</v>
      </c>
      <c r="B26" s="105">
        <v>146</v>
      </c>
      <c r="C26" s="105" t="s">
        <v>92</v>
      </c>
      <c r="D26" s="105" t="s">
        <v>92</v>
      </c>
      <c r="E26" s="105" t="s">
        <v>110</v>
      </c>
      <c r="F26" s="105" t="s">
        <v>131</v>
      </c>
      <c r="G26" s="105" t="s">
        <v>112</v>
      </c>
      <c r="H26" s="105" t="s">
        <v>93</v>
      </c>
      <c r="I26" s="105">
        <v>1</v>
      </c>
      <c r="J26" s="105">
        <v>0</v>
      </c>
      <c r="K26" s="105">
        <v>1</v>
      </c>
      <c r="L26" s="105">
        <v>30</v>
      </c>
      <c r="M26" s="105">
        <v>10</v>
      </c>
      <c r="N26" s="105">
        <v>100</v>
      </c>
      <c r="O26" s="105">
        <v>181</v>
      </c>
      <c r="P26" s="105">
        <v>150</v>
      </c>
      <c r="Q26" s="105">
        <v>3.125</v>
      </c>
      <c r="R26" s="105">
        <v>50</v>
      </c>
      <c r="S26" s="105">
        <v>2.2000000000000002</v>
      </c>
      <c r="T26" s="105">
        <v>0.9</v>
      </c>
      <c r="U26" s="105">
        <v>1.55</v>
      </c>
      <c r="V26" s="105">
        <v>2.2599999999999998</v>
      </c>
      <c r="W26" s="105">
        <v>1</v>
      </c>
      <c r="X26" s="105">
        <v>33</v>
      </c>
      <c r="Y26" s="105">
        <v>25</v>
      </c>
      <c r="Z26" s="105">
        <v>300</v>
      </c>
      <c r="AA26" s="105">
        <v>149</v>
      </c>
      <c r="AB26" s="105">
        <v>1.3</v>
      </c>
      <c r="AC26" s="105" t="s">
        <v>94</v>
      </c>
      <c r="AD26" s="105" t="s">
        <v>94</v>
      </c>
      <c r="AE26" s="105">
        <v>3.7000000000000002E-3</v>
      </c>
      <c r="AF26" s="105">
        <v>3.0000000000000001E-3</v>
      </c>
      <c r="AG26" s="105" t="s">
        <v>94</v>
      </c>
      <c r="AH26" s="105">
        <v>2.5999999999999999E-3</v>
      </c>
      <c r="AI26" s="105" t="s">
        <v>94</v>
      </c>
      <c r="AJ26" s="105">
        <v>0.61</v>
      </c>
      <c r="AK26" s="106">
        <v>19</v>
      </c>
      <c r="AL26" s="105">
        <v>11</v>
      </c>
      <c r="AM26" s="105">
        <v>2.9</v>
      </c>
      <c r="AN26" s="106">
        <v>4.03</v>
      </c>
      <c r="AO26" s="105">
        <v>35</v>
      </c>
      <c r="AP26" s="105">
        <v>2.87</v>
      </c>
      <c r="AQ26" s="105">
        <v>2.66</v>
      </c>
      <c r="AR26" s="105">
        <v>3.18</v>
      </c>
      <c r="AS26" s="105">
        <v>4.3099999999999996</v>
      </c>
      <c r="AT26" s="105">
        <v>1.42</v>
      </c>
      <c r="AU26" s="105">
        <v>6.14</v>
      </c>
      <c r="AV26" s="105">
        <v>0.30099999999999999</v>
      </c>
      <c r="AW26" s="105">
        <v>0.08</v>
      </c>
      <c r="AX26" s="105">
        <v>0.65900000000000003</v>
      </c>
      <c r="AY26" s="105">
        <v>15</v>
      </c>
      <c r="AZ26" s="105">
        <v>10</v>
      </c>
      <c r="BA26" s="105">
        <v>0.01</v>
      </c>
      <c r="BB26" s="105">
        <v>4.7</v>
      </c>
      <c r="BC26" s="105">
        <v>0.5</v>
      </c>
      <c r="BD26" s="105">
        <v>180</v>
      </c>
      <c r="BE26" s="105">
        <v>0.9</v>
      </c>
      <c r="BF26" s="105">
        <v>180</v>
      </c>
      <c r="BG26" s="105">
        <v>25</v>
      </c>
      <c r="BH26" s="105">
        <v>5.7</v>
      </c>
      <c r="BI26" s="105">
        <v>25</v>
      </c>
      <c r="BJ26" s="105">
        <v>0.01</v>
      </c>
      <c r="BK26" s="105">
        <v>0.25</v>
      </c>
      <c r="BL26" s="105" t="s">
        <v>93</v>
      </c>
      <c r="BM26" s="105">
        <v>0.8</v>
      </c>
      <c r="BN26" s="105" t="s">
        <v>94</v>
      </c>
      <c r="BO26" s="105">
        <v>1155</v>
      </c>
      <c r="BP26" s="105">
        <v>3.48</v>
      </c>
      <c r="BQ26" s="105" t="s">
        <v>92</v>
      </c>
      <c r="BR26" s="105" t="s">
        <v>172</v>
      </c>
      <c r="BS26" s="105" t="s">
        <v>94</v>
      </c>
      <c r="BT26" s="105">
        <v>2.6</v>
      </c>
      <c r="BU26" s="105">
        <v>2.15</v>
      </c>
      <c r="BV26" s="105">
        <v>50</v>
      </c>
      <c r="BW26" s="105">
        <v>4.3</v>
      </c>
      <c r="BX26" s="105">
        <v>5.7</v>
      </c>
      <c r="BY26" s="105" t="s">
        <v>94</v>
      </c>
      <c r="BZ26" s="105" t="s">
        <v>114</v>
      </c>
      <c r="CA26" s="105" t="s">
        <v>94</v>
      </c>
      <c r="CB26" s="105" t="s">
        <v>94</v>
      </c>
      <c r="CC26" s="105">
        <v>40763</v>
      </c>
      <c r="CD26" s="105">
        <v>42577</v>
      </c>
      <c r="CE26" s="105">
        <v>2498</v>
      </c>
      <c r="CF26" s="105">
        <v>0.51</v>
      </c>
    </row>
    <row r="27" spans="1:84" x14ac:dyDescent="0.25">
      <c r="A27" s="105" t="s">
        <v>173</v>
      </c>
      <c r="B27" s="105">
        <v>146</v>
      </c>
      <c r="C27" s="105" t="s">
        <v>92</v>
      </c>
      <c r="D27" s="105" t="s">
        <v>92</v>
      </c>
      <c r="E27" s="105" t="s">
        <v>110</v>
      </c>
      <c r="F27" s="105" t="s">
        <v>131</v>
      </c>
      <c r="G27" s="105" t="s">
        <v>116</v>
      </c>
      <c r="H27" s="105" t="s">
        <v>93</v>
      </c>
      <c r="I27" s="105">
        <v>1</v>
      </c>
      <c r="J27" s="105">
        <v>0</v>
      </c>
      <c r="K27" s="105">
        <v>1</v>
      </c>
      <c r="L27" s="105">
        <v>30</v>
      </c>
      <c r="M27" s="105">
        <v>10</v>
      </c>
      <c r="N27" s="105">
        <v>87</v>
      </c>
      <c r="O27" s="105">
        <v>104</v>
      </c>
      <c r="P27" s="105">
        <v>150</v>
      </c>
      <c r="Q27" s="105">
        <v>3.125</v>
      </c>
      <c r="R27" s="105">
        <v>50</v>
      </c>
      <c r="S27" s="105">
        <v>1.8</v>
      </c>
      <c r="T27" s="105">
        <v>0.9</v>
      </c>
      <c r="U27" s="105">
        <v>1.7</v>
      </c>
      <c r="V27" s="105">
        <v>2.2799999999999998</v>
      </c>
      <c r="W27" s="105">
        <v>1</v>
      </c>
      <c r="X27" s="105">
        <v>17.5</v>
      </c>
      <c r="Y27" s="105">
        <v>14</v>
      </c>
      <c r="Z27" s="105">
        <v>300</v>
      </c>
      <c r="AA27" s="105">
        <v>68</v>
      </c>
      <c r="AB27" s="105">
        <v>0.8</v>
      </c>
      <c r="AC27" s="105" t="s">
        <v>94</v>
      </c>
      <c r="AD27" s="105" t="s">
        <v>94</v>
      </c>
      <c r="AE27" s="105">
        <v>1.2800000000000001E-2</v>
      </c>
      <c r="AF27" s="105">
        <v>8.9999999999999993E-3</v>
      </c>
      <c r="AG27" s="105" t="s">
        <v>94</v>
      </c>
      <c r="AH27" s="105">
        <v>7.9000000000000008E-3</v>
      </c>
      <c r="AI27" s="105" t="s">
        <v>94</v>
      </c>
      <c r="AJ27" s="105">
        <v>0.56000000000000005</v>
      </c>
      <c r="AK27" s="106">
        <v>5.4</v>
      </c>
      <c r="AL27" s="105">
        <v>3</v>
      </c>
      <c r="AM27" s="105">
        <v>0.9</v>
      </c>
      <c r="AN27" s="106">
        <v>11.2</v>
      </c>
      <c r="AO27" s="105">
        <v>9.5</v>
      </c>
      <c r="AP27" s="105">
        <v>0.78400000000000003</v>
      </c>
      <c r="AQ27" s="105">
        <v>0.73</v>
      </c>
      <c r="AR27" s="105">
        <v>0.871</v>
      </c>
      <c r="AS27" s="105">
        <v>1.17</v>
      </c>
      <c r="AT27" s="105">
        <v>0.39</v>
      </c>
      <c r="AU27" s="105">
        <v>1.64</v>
      </c>
      <c r="AV27" s="105">
        <v>9.98E-2</v>
      </c>
      <c r="AW27" s="105">
        <v>3.5000000000000003E-2</v>
      </c>
      <c r="AX27" s="105">
        <v>0.18099999999999999</v>
      </c>
      <c r="AY27" s="105">
        <v>15</v>
      </c>
      <c r="AZ27" s="105">
        <v>10</v>
      </c>
      <c r="BA27" s="105">
        <v>0.01</v>
      </c>
      <c r="BB27" s="105">
        <v>1.2</v>
      </c>
      <c r="BC27" s="105">
        <v>0.8</v>
      </c>
      <c r="BD27" s="105">
        <v>90</v>
      </c>
      <c r="BE27" s="105">
        <v>25</v>
      </c>
      <c r="BF27" s="105">
        <v>2.2999999999999998</v>
      </c>
      <c r="BG27" s="105">
        <v>25</v>
      </c>
      <c r="BH27" s="105">
        <v>0.1</v>
      </c>
      <c r="BI27" s="105">
        <v>25</v>
      </c>
      <c r="BJ27" s="105">
        <v>0.01</v>
      </c>
      <c r="BK27" s="105">
        <v>0.92</v>
      </c>
      <c r="BL27" s="105" t="s">
        <v>93</v>
      </c>
      <c r="BM27" s="105">
        <v>0.85</v>
      </c>
      <c r="BN27" s="105" t="s">
        <v>94</v>
      </c>
      <c r="BO27" s="105">
        <v>1155</v>
      </c>
      <c r="BP27" s="105">
        <v>0.95</v>
      </c>
      <c r="BQ27" s="105" t="s">
        <v>92</v>
      </c>
      <c r="BR27" s="105" t="s">
        <v>174</v>
      </c>
      <c r="BS27" s="105" t="s">
        <v>94</v>
      </c>
      <c r="BT27" s="105">
        <v>1.6</v>
      </c>
      <c r="BU27" s="105">
        <v>2.2000000000000002</v>
      </c>
      <c r="BV27" s="105">
        <v>15.4</v>
      </c>
      <c r="BW27" s="105">
        <v>1.2</v>
      </c>
      <c r="BX27" s="105">
        <v>1.7</v>
      </c>
      <c r="BY27" s="105" t="s">
        <v>94</v>
      </c>
      <c r="BZ27" s="105" t="s">
        <v>114</v>
      </c>
      <c r="CA27" s="105" t="s">
        <v>94</v>
      </c>
      <c r="CB27" s="105" t="s">
        <v>94</v>
      </c>
      <c r="CC27" s="105">
        <v>40777</v>
      </c>
      <c r="CD27" s="105">
        <v>42577</v>
      </c>
      <c r="CE27" s="105">
        <v>2499</v>
      </c>
      <c r="CF27" s="105">
        <v>0.28999999999999998</v>
      </c>
    </row>
    <row r="28" spans="1:84" x14ac:dyDescent="0.25">
      <c r="A28" s="105" t="s">
        <v>175</v>
      </c>
      <c r="B28" s="105">
        <v>146</v>
      </c>
      <c r="C28" s="105" t="s">
        <v>92</v>
      </c>
      <c r="D28" s="105" t="s">
        <v>92</v>
      </c>
      <c r="E28" s="105" t="s">
        <v>110</v>
      </c>
      <c r="F28" s="105" t="s">
        <v>111</v>
      </c>
      <c r="G28" s="105" t="s">
        <v>176</v>
      </c>
      <c r="H28" s="105" t="s">
        <v>93</v>
      </c>
      <c r="I28" s="105">
        <v>1</v>
      </c>
      <c r="J28" s="105">
        <v>0</v>
      </c>
      <c r="K28" s="105">
        <v>1</v>
      </c>
      <c r="L28" s="105">
        <v>30</v>
      </c>
      <c r="M28" s="105">
        <v>10</v>
      </c>
      <c r="N28" s="105">
        <v>100</v>
      </c>
      <c r="O28" s="105">
        <v>200</v>
      </c>
      <c r="P28" s="105">
        <v>150</v>
      </c>
      <c r="Q28" s="105">
        <v>3.125</v>
      </c>
      <c r="R28" s="105">
        <v>50</v>
      </c>
      <c r="S28" s="105">
        <v>1.1000000000000001</v>
      </c>
      <c r="T28" s="105">
        <v>0.9</v>
      </c>
      <c r="U28" s="105">
        <v>1.6</v>
      </c>
      <c r="V28" s="105">
        <v>2.29</v>
      </c>
      <c r="W28" s="105">
        <v>1</v>
      </c>
      <c r="X28" s="105">
        <v>33</v>
      </c>
      <c r="Y28" s="105">
        <v>25</v>
      </c>
      <c r="Z28" s="105">
        <v>300</v>
      </c>
      <c r="AA28" s="105">
        <v>114</v>
      </c>
      <c r="AB28" s="105">
        <v>1.4</v>
      </c>
      <c r="AC28" s="105" t="s">
        <v>94</v>
      </c>
      <c r="AD28" s="105" t="s">
        <v>94</v>
      </c>
      <c r="AE28" s="105">
        <v>3.7000000000000002E-3</v>
      </c>
      <c r="AF28" s="105">
        <v>2.5999999999999999E-3</v>
      </c>
      <c r="AG28" s="105" t="s">
        <v>94</v>
      </c>
      <c r="AH28" s="105">
        <v>2.3999999999999998E-3</v>
      </c>
      <c r="AI28" s="105" t="s">
        <v>94</v>
      </c>
      <c r="AJ28" s="105">
        <v>0.43</v>
      </c>
      <c r="AK28" s="106">
        <v>18</v>
      </c>
      <c r="AL28" s="105">
        <v>11</v>
      </c>
      <c r="AM28" s="105">
        <v>3</v>
      </c>
      <c r="AN28" s="106">
        <v>39</v>
      </c>
      <c r="AO28" s="105">
        <v>34</v>
      </c>
      <c r="AP28" s="105">
        <v>2.83</v>
      </c>
      <c r="AQ28" s="105">
        <v>2.63</v>
      </c>
      <c r="AR28" s="105">
        <v>3.12</v>
      </c>
      <c r="AS28" s="105">
        <v>4.32</v>
      </c>
      <c r="AT28" s="105">
        <v>1.44</v>
      </c>
      <c r="AU28" s="105">
        <v>6.12</v>
      </c>
      <c r="AV28" s="105">
        <v>0.29499999999999998</v>
      </c>
      <c r="AW28" s="105">
        <v>8.3000000000000004E-2</v>
      </c>
      <c r="AX28" s="105">
        <v>0.59799999999999998</v>
      </c>
      <c r="AY28" s="105">
        <v>15</v>
      </c>
      <c r="AZ28" s="105">
        <v>10</v>
      </c>
      <c r="BA28" s="105">
        <v>0.01</v>
      </c>
      <c r="BB28" s="105">
        <v>4.5</v>
      </c>
      <c r="BC28" s="105">
        <v>0.5</v>
      </c>
      <c r="BD28" s="105">
        <v>180</v>
      </c>
      <c r="BE28" s="105">
        <v>1</v>
      </c>
      <c r="BF28" s="105">
        <v>180</v>
      </c>
      <c r="BG28" s="105">
        <v>30</v>
      </c>
      <c r="BH28" s="105">
        <v>6</v>
      </c>
      <c r="BI28" s="105">
        <v>30</v>
      </c>
      <c r="BJ28" s="105">
        <v>0.01</v>
      </c>
      <c r="BK28" s="105">
        <v>0.27</v>
      </c>
      <c r="BL28" s="105" t="s">
        <v>93</v>
      </c>
      <c r="BM28" s="105">
        <v>0.8</v>
      </c>
      <c r="BN28" s="105" t="s">
        <v>94</v>
      </c>
      <c r="BO28" s="105">
        <v>1155</v>
      </c>
      <c r="BP28" s="105">
        <v>3.42</v>
      </c>
      <c r="BQ28" s="105" t="s">
        <v>92</v>
      </c>
      <c r="BR28" s="105" t="s">
        <v>177</v>
      </c>
      <c r="BS28" s="105" t="s">
        <v>94</v>
      </c>
      <c r="BT28" s="105">
        <v>2.8</v>
      </c>
      <c r="BU28" s="105">
        <v>2.2999999999999998</v>
      </c>
      <c r="BV28" s="105">
        <v>50</v>
      </c>
      <c r="BW28" s="105">
        <v>4</v>
      </c>
      <c r="BX28" s="105">
        <v>5.6</v>
      </c>
      <c r="BY28" s="105" t="s">
        <v>94</v>
      </c>
      <c r="BZ28" s="105" t="s">
        <v>114</v>
      </c>
      <c r="CA28" s="105" t="s">
        <v>94</v>
      </c>
      <c r="CB28" s="105" t="s">
        <v>94</v>
      </c>
      <c r="CC28" s="105">
        <v>40763</v>
      </c>
      <c r="CD28" s="105">
        <v>42564</v>
      </c>
      <c r="CE28" s="105">
        <v>2012</v>
      </c>
      <c r="CF28" s="105">
        <v>0.56000000000000005</v>
      </c>
    </row>
    <row r="29" spans="1:84" x14ac:dyDescent="0.25">
      <c r="A29" s="105" t="s">
        <v>178</v>
      </c>
      <c r="B29" s="105">
        <v>146</v>
      </c>
      <c r="C29" s="105" t="s">
        <v>92</v>
      </c>
      <c r="D29" s="105" t="s">
        <v>92</v>
      </c>
      <c r="E29" s="105" t="s">
        <v>110</v>
      </c>
      <c r="F29" s="105" t="s">
        <v>119</v>
      </c>
      <c r="G29" s="105" t="s">
        <v>120</v>
      </c>
      <c r="H29" s="105" t="s">
        <v>93</v>
      </c>
      <c r="I29" s="105">
        <v>1</v>
      </c>
      <c r="J29" s="105">
        <v>0</v>
      </c>
      <c r="K29" s="105">
        <v>1</v>
      </c>
      <c r="L29" s="105">
        <v>30</v>
      </c>
      <c r="M29" s="105">
        <v>10</v>
      </c>
      <c r="N29" s="105">
        <v>56</v>
      </c>
      <c r="O29" s="105">
        <v>88</v>
      </c>
      <c r="P29" s="105">
        <v>150</v>
      </c>
      <c r="Q29" s="105">
        <v>2.7776999999999998</v>
      </c>
      <c r="R29" s="105">
        <v>55</v>
      </c>
      <c r="S29" s="105">
        <v>3.9</v>
      </c>
      <c r="T29" s="105">
        <v>0.9</v>
      </c>
      <c r="U29" s="105">
        <v>1.8</v>
      </c>
      <c r="V29" s="105">
        <v>2.5099999999999998</v>
      </c>
      <c r="W29" s="105">
        <v>1</v>
      </c>
      <c r="X29" s="105">
        <v>17.3</v>
      </c>
      <c r="Y29" s="105">
        <v>17</v>
      </c>
      <c r="Z29" s="105">
        <v>300</v>
      </c>
      <c r="AA29" s="105">
        <v>48</v>
      </c>
      <c r="AB29" s="105">
        <v>1.1000000000000001</v>
      </c>
      <c r="AC29" s="105" t="s">
        <v>94</v>
      </c>
      <c r="AD29" s="105" t="s">
        <v>94</v>
      </c>
      <c r="AE29" s="105">
        <v>1.26E-2</v>
      </c>
      <c r="AF29" s="105">
        <v>8.8000000000000005E-3</v>
      </c>
      <c r="AG29" s="105" t="s">
        <v>94</v>
      </c>
      <c r="AH29" s="105">
        <v>7.4999999999999997E-3</v>
      </c>
      <c r="AI29" s="105" t="s">
        <v>94</v>
      </c>
      <c r="AJ29" s="105">
        <v>0.51</v>
      </c>
      <c r="AK29" s="106">
        <v>5.0999999999999996</v>
      </c>
      <c r="AL29" s="105">
        <v>1.7</v>
      </c>
      <c r="AM29" s="105">
        <v>0.9</v>
      </c>
      <c r="AN29" s="106">
        <v>10.8</v>
      </c>
      <c r="AO29" s="105">
        <v>9.9</v>
      </c>
      <c r="AP29" s="105">
        <v>0.8</v>
      </c>
      <c r="AQ29" s="105">
        <v>0.73499999999999999</v>
      </c>
      <c r="AR29" s="105">
        <v>0.86499999999999999</v>
      </c>
      <c r="AS29" s="105">
        <v>1.3</v>
      </c>
      <c r="AT29" s="105">
        <v>0.39</v>
      </c>
      <c r="AU29" s="105">
        <v>1.76</v>
      </c>
      <c r="AV29" s="105">
        <v>8.8999999999999996E-2</v>
      </c>
      <c r="AW29" s="105">
        <v>2.9000000000000001E-2</v>
      </c>
      <c r="AX29" s="105">
        <v>0.157</v>
      </c>
      <c r="AY29" s="105">
        <v>15</v>
      </c>
      <c r="AZ29" s="105">
        <v>10</v>
      </c>
      <c r="BA29" s="105">
        <v>0.01</v>
      </c>
      <c r="BB29" s="105">
        <v>1</v>
      </c>
      <c r="BC29" s="105">
        <v>0.75</v>
      </c>
      <c r="BD29" s="105">
        <v>80</v>
      </c>
      <c r="BE29" s="105">
        <v>0.9</v>
      </c>
      <c r="BF29" s="105">
        <v>80</v>
      </c>
      <c r="BG29" s="105">
        <v>30</v>
      </c>
      <c r="BH29" s="105">
        <v>2</v>
      </c>
      <c r="BI29" s="105">
        <v>30</v>
      </c>
      <c r="BJ29" s="105">
        <v>0.01</v>
      </c>
      <c r="BK29" s="105">
        <v>0.94</v>
      </c>
      <c r="BL29" s="105" t="s">
        <v>93</v>
      </c>
      <c r="BM29" s="105">
        <v>0.85</v>
      </c>
      <c r="BN29" s="105" t="s">
        <v>94</v>
      </c>
      <c r="BO29" s="105">
        <v>1154</v>
      </c>
      <c r="BP29" s="105">
        <v>0.95499999999999996</v>
      </c>
      <c r="BQ29" s="105" t="s">
        <v>92</v>
      </c>
      <c r="BR29" s="105" t="s">
        <v>179</v>
      </c>
      <c r="BS29" s="105" t="s">
        <v>94</v>
      </c>
      <c r="BT29" s="105">
        <v>2.2000000000000002</v>
      </c>
      <c r="BU29" s="105">
        <v>2.5</v>
      </c>
      <c r="BV29" s="105">
        <v>14.5</v>
      </c>
      <c r="BW29" s="105">
        <v>1.1000000000000001</v>
      </c>
      <c r="BX29" s="105">
        <v>1.8</v>
      </c>
      <c r="BY29" s="105" t="s">
        <v>94</v>
      </c>
      <c r="BZ29" s="105" t="s">
        <v>121</v>
      </c>
      <c r="CA29" s="105" t="s">
        <v>94</v>
      </c>
      <c r="CB29" s="105" t="s">
        <v>94</v>
      </c>
      <c r="CC29" s="105">
        <v>40742</v>
      </c>
      <c r="CD29" s="105">
        <v>42599</v>
      </c>
      <c r="CE29" s="105">
        <v>2013</v>
      </c>
      <c r="CF29" s="105">
        <v>0.25</v>
      </c>
    </row>
    <row r="30" spans="1:84" x14ac:dyDescent="0.25">
      <c r="A30" s="105" t="s">
        <v>180</v>
      </c>
      <c r="B30" s="105">
        <v>146</v>
      </c>
      <c r="C30" s="105" t="s">
        <v>92</v>
      </c>
      <c r="D30" s="105" t="s">
        <v>92</v>
      </c>
      <c r="E30" s="105" t="s">
        <v>110</v>
      </c>
      <c r="F30" s="105" t="s">
        <v>131</v>
      </c>
      <c r="G30" s="105" t="s">
        <v>116</v>
      </c>
      <c r="H30" s="105" t="s">
        <v>93</v>
      </c>
      <c r="I30" s="105">
        <v>1</v>
      </c>
      <c r="J30" s="105">
        <v>0</v>
      </c>
      <c r="K30" s="105">
        <v>1</v>
      </c>
      <c r="L30" s="105">
        <v>30</v>
      </c>
      <c r="M30" s="105">
        <v>10</v>
      </c>
      <c r="N30" s="105">
        <v>100</v>
      </c>
      <c r="O30" s="105">
        <v>181</v>
      </c>
      <c r="P30" s="105">
        <v>150</v>
      </c>
      <c r="Q30" s="105">
        <v>3.125</v>
      </c>
      <c r="R30" s="105">
        <v>50</v>
      </c>
      <c r="S30" s="105">
        <v>1.3</v>
      </c>
      <c r="T30" s="105">
        <v>0.9</v>
      </c>
      <c r="U30" s="105">
        <v>1.6</v>
      </c>
      <c r="V30" s="105">
        <v>2.34</v>
      </c>
      <c r="W30" s="105">
        <v>1</v>
      </c>
      <c r="X30" s="105">
        <v>27</v>
      </c>
      <c r="Y30" s="105">
        <v>30</v>
      </c>
      <c r="Z30" s="105">
        <v>300</v>
      </c>
      <c r="AA30" s="105">
        <v>139</v>
      </c>
      <c r="AB30" s="105">
        <v>1</v>
      </c>
      <c r="AC30" s="105" t="s">
        <v>94</v>
      </c>
      <c r="AD30" s="105" t="s">
        <v>94</v>
      </c>
      <c r="AE30" s="105">
        <v>5.4000000000000003E-3</v>
      </c>
      <c r="AF30" s="105">
        <v>3.5999999999999999E-3</v>
      </c>
      <c r="AG30" s="105" t="s">
        <v>94</v>
      </c>
      <c r="AH30" s="105">
        <v>3.3999999999999998E-3</v>
      </c>
      <c r="AI30" s="105" t="s">
        <v>94</v>
      </c>
      <c r="AJ30" s="105">
        <v>0.56000000000000005</v>
      </c>
      <c r="AK30" s="106">
        <v>14.1</v>
      </c>
      <c r="AL30" s="105">
        <v>8.5</v>
      </c>
      <c r="AM30" s="105">
        <v>2.2000000000000002</v>
      </c>
      <c r="AN30" s="106">
        <v>31</v>
      </c>
      <c r="AO30" s="105">
        <v>27</v>
      </c>
      <c r="AP30" s="105">
        <v>2.15</v>
      </c>
      <c r="AQ30" s="105">
        <v>2</v>
      </c>
      <c r="AR30" s="105">
        <v>2.36</v>
      </c>
      <c r="AS30" s="105">
        <v>3.4</v>
      </c>
      <c r="AT30" s="105">
        <v>1.1000000000000001</v>
      </c>
      <c r="AU30" s="105">
        <v>4.78</v>
      </c>
      <c r="AV30" s="105">
        <v>0.246</v>
      </c>
      <c r="AW30" s="105">
        <v>7.9000000000000001E-2</v>
      </c>
      <c r="AX30" s="105">
        <v>0.497</v>
      </c>
      <c r="AY30" s="105">
        <v>15</v>
      </c>
      <c r="AZ30" s="105">
        <v>10</v>
      </c>
      <c r="BA30" s="105">
        <v>0.01</v>
      </c>
      <c r="BB30" s="105">
        <v>4</v>
      </c>
      <c r="BC30" s="105">
        <v>0.4</v>
      </c>
      <c r="BD30" s="105">
        <v>170</v>
      </c>
      <c r="BE30" s="105">
        <v>0.9</v>
      </c>
      <c r="BF30" s="105">
        <v>170</v>
      </c>
      <c r="BG30" s="105">
        <v>25</v>
      </c>
      <c r="BH30" s="105">
        <v>4.7</v>
      </c>
      <c r="BI30" s="105">
        <v>25</v>
      </c>
      <c r="BJ30" s="105">
        <v>0.01</v>
      </c>
      <c r="BK30" s="105">
        <v>0.28999999999999998</v>
      </c>
      <c r="BL30" s="105" t="s">
        <v>93</v>
      </c>
      <c r="BM30" s="105">
        <v>0.85</v>
      </c>
      <c r="BN30" s="105" t="s">
        <v>94</v>
      </c>
      <c r="BO30" s="105">
        <v>1155</v>
      </c>
      <c r="BP30" s="105">
        <v>2.6</v>
      </c>
      <c r="BQ30" s="105" t="s">
        <v>92</v>
      </c>
      <c r="BR30" s="105" t="s">
        <v>181</v>
      </c>
      <c r="BS30" s="105" t="s">
        <v>94</v>
      </c>
      <c r="BT30" s="105">
        <v>2</v>
      </c>
      <c r="BU30" s="105">
        <v>2.1</v>
      </c>
      <c r="BV30" s="105">
        <v>34</v>
      </c>
      <c r="BW30" s="105">
        <v>3</v>
      </c>
      <c r="BX30" s="105">
        <v>4.5</v>
      </c>
      <c r="BY30" s="105" t="s">
        <v>94</v>
      </c>
      <c r="BZ30" s="105" t="s">
        <v>114</v>
      </c>
      <c r="CA30" s="105" t="s">
        <v>94</v>
      </c>
      <c r="CB30" s="105" t="s">
        <v>94</v>
      </c>
      <c r="CC30" s="105">
        <v>40777</v>
      </c>
      <c r="CD30" s="105">
        <v>42577</v>
      </c>
      <c r="CE30" s="105">
        <v>2500</v>
      </c>
      <c r="CF30" s="105">
        <v>0.45</v>
      </c>
    </row>
    <row r="31" spans="1:84" x14ac:dyDescent="0.25">
      <c r="A31" s="105" t="s">
        <v>182</v>
      </c>
      <c r="B31" s="105">
        <v>146</v>
      </c>
      <c r="C31" s="105" t="s">
        <v>92</v>
      </c>
      <c r="D31" s="105" t="s">
        <v>92</v>
      </c>
      <c r="E31" s="105" t="s">
        <v>110</v>
      </c>
      <c r="F31" s="105" t="s">
        <v>131</v>
      </c>
      <c r="G31" s="105" t="s">
        <v>116</v>
      </c>
      <c r="H31" s="105" t="s">
        <v>93</v>
      </c>
      <c r="I31" s="105">
        <v>1</v>
      </c>
      <c r="J31" s="105">
        <v>0</v>
      </c>
      <c r="K31" s="105">
        <v>1</v>
      </c>
      <c r="L31" s="105">
        <v>30</v>
      </c>
      <c r="M31" s="105">
        <v>10</v>
      </c>
      <c r="N31" s="105">
        <v>100</v>
      </c>
      <c r="O31" s="105">
        <v>155</v>
      </c>
      <c r="P31" s="105">
        <v>150</v>
      </c>
      <c r="Q31" s="105">
        <v>3.125</v>
      </c>
      <c r="R31" s="105">
        <v>50</v>
      </c>
      <c r="S31" s="105">
        <v>0.9</v>
      </c>
      <c r="T31" s="105">
        <v>0.9</v>
      </c>
      <c r="U31" s="105">
        <v>1.6</v>
      </c>
      <c r="V31" s="105">
        <v>2.14</v>
      </c>
      <c r="W31" s="105">
        <v>1</v>
      </c>
      <c r="X31" s="105">
        <v>25</v>
      </c>
      <c r="Y31" s="105">
        <v>25</v>
      </c>
      <c r="Z31" s="105">
        <v>300</v>
      </c>
      <c r="AA31" s="105">
        <v>105</v>
      </c>
      <c r="AB31" s="105">
        <v>1</v>
      </c>
      <c r="AC31" s="105" t="s">
        <v>94</v>
      </c>
      <c r="AD31" s="105" t="s">
        <v>94</v>
      </c>
      <c r="AE31" s="105">
        <v>5.4000000000000003E-3</v>
      </c>
      <c r="AF31" s="105">
        <v>4.1999999999999997E-3</v>
      </c>
      <c r="AG31" s="105" t="s">
        <v>94</v>
      </c>
      <c r="AH31" s="105">
        <v>3.7000000000000002E-3</v>
      </c>
      <c r="AI31" s="105" t="s">
        <v>94</v>
      </c>
      <c r="AJ31" s="105">
        <v>0.53</v>
      </c>
      <c r="AK31" s="106">
        <v>11.8</v>
      </c>
      <c r="AL31" s="105">
        <v>6.7</v>
      </c>
      <c r="AM31" s="105">
        <v>1.8</v>
      </c>
      <c r="AN31" s="106">
        <v>25</v>
      </c>
      <c r="AO31" s="105">
        <v>23</v>
      </c>
      <c r="AP31" s="105">
        <v>1.78</v>
      </c>
      <c r="AQ31" s="105">
        <v>1.67</v>
      </c>
      <c r="AR31" s="105">
        <v>1.95</v>
      </c>
      <c r="AS31" s="105">
        <v>2.9</v>
      </c>
      <c r="AT31" s="105">
        <v>0.89</v>
      </c>
      <c r="AU31" s="105">
        <v>4.0599999999999996</v>
      </c>
      <c r="AV31" s="105">
        <v>0.20300000000000001</v>
      </c>
      <c r="AW31" s="105">
        <v>5.6000000000000001E-2</v>
      </c>
      <c r="AX31" s="105">
        <v>0.4</v>
      </c>
      <c r="AY31" s="105">
        <v>15</v>
      </c>
      <c r="AZ31" s="105">
        <v>10</v>
      </c>
      <c r="BA31" s="105">
        <v>0.01</v>
      </c>
      <c r="BB31" s="105">
        <v>2.2000000000000002</v>
      </c>
      <c r="BC31" s="105">
        <v>0.5</v>
      </c>
      <c r="BD31" s="105">
        <v>140</v>
      </c>
      <c r="BE31" s="105">
        <v>2.1</v>
      </c>
      <c r="BF31" s="105">
        <v>140</v>
      </c>
      <c r="BG31" s="105">
        <v>25</v>
      </c>
      <c r="BH31" s="105">
        <v>9</v>
      </c>
      <c r="BI31" s="105">
        <v>25</v>
      </c>
      <c r="BJ31" s="105">
        <v>0.01</v>
      </c>
      <c r="BK31" s="105">
        <v>0.41</v>
      </c>
      <c r="BL31" s="105" t="s">
        <v>93</v>
      </c>
      <c r="BM31" s="105">
        <v>0.85</v>
      </c>
      <c r="BN31" s="105" t="s">
        <v>94</v>
      </c>
      <c r="BO31" s="105">
        <v>1155</v>
      </c>
      <c r="BP31" s="105">
        <v>2.17</v>
      </c>
      <c r="BQ31" s="105" t="s">
        <v>92</v>
      </c>
      <c r="BR31" s="105" t="s">
        <v>183</v>
      </c>
      <c r="BS31" s="105" t="s">
        <v>94</v>
      </c>
      <c r="BT31" s="105">
        <v>2</v>
      </c>
      <c r="BU31" s="105">
        <v>2.0499999999999998</v>
      </c>
      <c r="BV31" s="105">
        <v>27</v>
      </c>
      <c r="BW31" s="105">
        <v>2.4</v>
      </c>
      <c r="BX31" s="105">
        <v>3.5</v>
      </c>
      <c r="BY31" s="105" t="s">
        <v>94</v>
      </c>
      <c r="BZ31" s="105" t="s">
        <v>114</v>
      </c>
      <c r="CA31" s="105" t="s">
        <v>94</v>
      </c>
      <c r="CB31" s="105" t="s">
        <v>94</v>
      </c>
      <c r="CC31" s="105">
        <v>40777</v>
      </c>
      <c r="CD31" s="105">
        <v>42577</v>
      </c>
      <c r="CE31" s="105">
        <v>2501</v>
      </c>
      <c r="CF31" s="105">
        <v>0.39</v>
      </c>
    </row>
    <row r="32" spans="1:84" x14ac:dyDescent="0.25">
      <c r="A32" s="105" t="s">
        <v>184</v>
      </c>
      <c r="B32" s="105">
        <v>146</v>
      </c>
      <c r="C32" s="105" t="s">
        <v>92</v>
      </c>
      <c r="D32" s="105" t="s">
        <v>92</v>
      </c>
      <c r="E32" s="105" t="s">
        <v>110</v>
      </c>
      <c r="F32" s="105" t="s">
        <v>131</v>
      </c>
      <c r="G32" s="105" t="s">
        <v>116</v>
      </c>
      <c r="H32" s="105" t="s">
        <v>93</v>
      </c>
      <c r="I32" s="105">
        <v>1</v>
      </c>
      <c r="J32" s="105">
        <v>0</v>
      </c>
      <c r="K32" s="105">
        <v>1</v>
      </c>
      <c r="L32" s="105">
        <v>30</v>
      </c>
      <c r="M32" s="105">
        <v>10</v>
      </c>
      <c r="N32" s="105">
        <v>73</v>
      </c>
      <c r="O32" s="105">
        <v>92</v>
      </c>
      <c r="P32" s="105">
        <v>150</v>
      </c>
      <c r="Q32" s="105">
        <v>3.125</v>
      </c>
      <c r="R32" s="105">
        <v>50</v>
      </c>
      <c r="S32" s="105">
        <v>1.9</v>
      </c>
      <c r="T32" s="105">
        <v>0.9</v>
      </c>
      <c r="U32" s="105">
        <v>1.8</v>
      </c>
      <c r="V32" s="105">
        <v>2.34</v>
      </c>
      <c r="W32" s="105">
        <v>1</v>
      </c>
      <c r="X32" s="105">
        <v>16</v>
      </c>
      <c r="Y32" s="105">
        <v>11</v>
      </c>
      <c r="Z32" s="105">
        <v>300</v>
      </c>
      <c r="AA32" s="105">
        <v>66</v>
      </c>
      <c r="AB32" s="105">
        <v>0.9</v>
      </c>
      <c r="AC32" s="105" t="s">
        <v>94</v>
      </c>
      <c r="AD32" s="105" t="s">
        <v>94</v>
      </c>
      <c r="AE32" s="105">
        <v>1.7299999999999999E-2</v>
      </c>
      <c r="AF32" s="105">
        <v>1.21E-2</v>
      </c>
      <c r="AG32" s="105" t="s">
        <v>94</v>
      </c>
      <c r="AH32" s="105">
        <v>1.0500000000000001E-2</v>
      </c>
      <c r="AI32" s="105" t="s">
        <v>94</v>
      </c>
      <c r="AJ32" s="105">
        <v>0.56999999999999995</v>
      </c>
      <c r="AK32" s="106">
        <v>4</v>
      </c>
      <c r="AL32" s="105">
        <v>2.2999999999999998</v>
      </c>
      <c r="AM32" s="105">
        <v>0.65</v>
      </c>
      <c r="AN32" s="106">
        <v>8.25</v>
      </c>
      <c r="AO32" s="105">
        <v>7.3</v>
      </c>
      <c r="AP32" s="105">
        <v>0.57699999999999996</v>
      </c>
      <c r="AQ32" s="105">
        <v>0.53500000000000003</v>
      </c>
      <c r="AR32" s="105">
        <v>0.63800000000000001</v>
      </c>
      <c r="AS32" s="105">
        <v>0.89</v>
      </c>
      <c r="AT32" s="105">
        <v>0.28999999999999998</v>
      </c>
      <c r="AU32" s="105">
        <v>1.25</v>
      </c>
      <c r="AV32" s="105">
        <v>7.8299999999999995E-2</v>
      </c>
      <c r="AW32" s="105">
        <v>2.8000000000000001E-2</v>
      </c>
      <c r="AX32" s="105">
        <v>0.14599999999999999</v>
      </c>
      <c r="AY32" s="105">
        <v>15</v>
      </c>
      <c r="AZ32" s="105">
        <v>10</v>
      </c>
      <c r="BA32" s="105">
        <v>0.01</v>
      </c>
      <c r="BB32" s="105">
        <v>0.9</v>
      </c>
      <c r="BC32" s="105">
        <v>0.7</v>
      </c>
      <c r="BD32" s="105">
        <v>8</v>
      </c>
      <c r="BE32" s="105">
        <v>0.8</v>
      </c>
      <c r="BF32" s="105">
        <v>80</v>
      </c>
      <c r="BG32" s="105">
        <v>25</v>
      </c>
      <c r="BH32" s="105">
        <v>2</v>
      </c>
      <c r="BI32" s="105">
        <v>25</v>
      </c>
      <c r="BJ32" s="105">
        <v>0.01</v>
      </c>
      <c r="BK32" s="105">
        <v>1.27</v>
      </c>
      <c r="BL32" s="105" t="s">
        <v>93</v>
      </c>
      <c r="BM32" s="105">
        <v>0.85</v>
      </c>
      <c r="BN32" s="105" t="s">
        <v>94</v>
      </c>
      <c r="BO32" s="105">
        <v>1155</v>
      </c>
      <c r="BP32" s="105">
        <v>0.7</v>
      </c>
      <c r="BQ32" s="105" t="s">
        <v>92</v>
      </c>
      <c r="BR32" s="105" t="s">
        <v>185</v>
      </c>
      <c r="BS32" s="105" t="s">
        <v>94</v>
      </c>
      <c r="BT32" s="105">
        <v>1.8</v>
      </c>
      <c r="BU32" s="105">
        <v>2.2999999999999998</v>
      </c>
      <c r="BV32" s="105">
        <v>13</v>
      </c>
      <c r="BW32" s="105">
        <v>1</v>
      </c>
      <c r="BX32" s="105">
        <v>1.3</v>
      </c>
      <c r="BY32" s="105" t="s">
        <v>94</v>
      </c>
      <c r="BZ32" s="105" t="s">
        <v>114</v>
      </c>
      <c r="CA32" s="105" t="s">
        <v>94</v>
      </c>
      <c r="CB32" s="105" t="s">
        <v>94</v>
      </c>
      <c r="CC32" s="105">
        <v>40777</v>
      </c>
      <c r="CD32" s="105">
        <v>42577</v>
      </c>
      <c r="CE32" s="105">
        <v>2502</v>
      </c>
      <c r="CF32" s="105">
        <v>0.2</v>
      </c>
    </row>
    <row r="33" spans="1:84" x14ac:dyDescent="0.25">
      <c r="A33" s="105" t="s">
        <v>186</v>
      </c>
      <c r="B33" s="105">
        <v>146</v>
      </c>
      <c r="C33" s="105" t="s">
        <v>92</v>
      </c>
      <c r="D33" s="105" t="s">
        <v>92</v>
      </c>
      <c r="E33" s="105" t="s">
        <v>110</v>
      </c>
      <c r="F33" s="105" t="s">
        <v>119</v>
      </c>
      <c r="G33" s="105" t="s">
        <v>128</v>
      </c>
      <c r="H33" s="105" t="s">
        <v>93</v>
      </c>
      <c r="I33" s="105">
        <v>1</v>
      </c>
      <c r="J33" s="105">
        <v>0</v>
      </c>
      <c r="K33" s="105">
        <v>1</v>
      </c>
      <c r="L33" s="105">
        <v>30</v>
      </c>
      <c r="M33" s="105">
        <v>10</v>
      </c>
      <c r="N33" s="105">
        <v>50</v>
      </c>
      <c r="O33" s="105">
        <v>167</v>
      </c>
      <c r="P33" s="105">
        <v>150</v>
      </c>
      <c r="Q33" s="105">
        <v>2.7776999999999998</v>
      </c>
      <c r="R33" s="105">
        <v>55</v>
      </c>
      <c r="S33" s="105">
        <v>4.5</v>
      </c>
      <c r="T33" s="105">
        <v>0.9</v>
      </c>
      <c r="U33" s="105">
        <v>1.8</v>
      </c>
      <c r="V33" s="105">
        <v>2.35</v>
      </c>
      <c r="W33" s="105">
        <v>1</v>
      </c>
      <c r="X33" s="105">
        <v>14.3</v>
      </c>
      <c r="Y33" s="105">
        <v>10</v>
      </c>
      <c r="Z33" s="105">
        <v>300</v>
      </c>
      <c r="AA33" s="105">
        <v>37</v>
      </c>
      <c r="AB33" s="105">
        <v>0.9</v>
      </c>
      <c r="AC33" s="105" t="s">
        <v>94</v>
      </c>
      <c r="AD33" s="105" t="s">
        <v>94</v>
      </c>
      <c r="AE33" s="105">
        <v>1.6500000000000001E-2</v>
      </c>
      <c r="AF33" s="105">
        <v>1.18E-2</v>
      </c>
      <c r="AG33" s="105" t="s">
        <v>94</v>
      </c>
      <c r="AH33" s="105">
        <v>1.03E-2</v>
      </c>
      <c r="AI33" s="105" t="s">
        <v>94</v>
      </c>
      <c r="AJ33" s="105">
        <v>0.41</v>
      </c>
      <c r="AK33" s="106">
        <v>3.9</v>
      </c>
      <c r="AL33" s="105">
        <v>2.25</v>
      </c>
      <c r="AM33" s="105">
        <v>0.7</v>
      </c>
      <c r="AN33" s="106">
        <v>8.18</v>
      </c>
      <c r="AO33" s="105">
        <v>7.4</v>
      </c>
      <c r="AP33" s="105">
        <v>0.59</v>
      </c>
      <c r="AQ33" s="105">
        <v>0.54</v>
      </c>
      <c r="AR33" s="105">
        <v>0.63400000000000001</v>
      </c>
      <c r="AS33" s="105">
        <v>0.92400000000000004</v>
      </c>
      <c r="AT33" s="105">
        <v>0.28000000000000003</v>
      </c>
      <c r="AU33" s="105">
        <v>1.28</v>
      </c>
      <c r="AV33" s="105">
        <v>7.4800000000000005E-2</v>
      </c>
      <c r="AW33" s="105">
        <v>2.7E-2</v>
      </c>
      <c r="AX33" s="105">
        <v>0.13500000000000001</v>
      </c>
      <c r="AY33" s="105">
        <v>15</v>
      </c>
      <c r="AZ33" s="105">
        <v>10</v>
      </c>
      <c r="BA33" s="105">
        <v>0.1</v>
      </c>
      <c r="BB33" s="105">
        <v>6.85</v>
      </c>
      <c r="BC33" s="105">
        <v>0.81</v>
      </c>
      <c r="BD33" s="105">
        <v>55.8</v>
      </c>
      <c r="BE33" s="105">
        <v>2.04</v>
      </c>
      <c r="BF33" s="105">
        <v>55.8</v>
      </c>
      <c r="BG33" s="105">
        <v>30</v>
      </c>
      <c r="BH33" s="105">
        <v>1.3</v>
      </c>
      <c r="BI33" s="105">
        <v>30</v>
      </c>
      <c r="BJ33" s="105">
        <v>0.1</v>
      </c>
      <c r="BK33" s="105">
        <v>1.3</v>
      </c>
      <c r="BL33" s="105" t="s">
        <v>93</v>
      </c>
      <c r="BM33" s="105">
        <v>0.85</v>
      </c>
      <c r="BN33" s="105" t="s">
        <v>94</v>
      </c>
      <c r="BO33" s="105">
        <v>1154</v>
      </c>
      <c r="BP33" s="105">
        <v>0.7</v>
      </c>
      <c r="BQ33" s="105" t="s">
        <v>92</v>
      </c>
      <c r="BR33" s="105" t="s">
        <v>187</v>
      </c>
      <c r="BS33" s="105" t="s">
        <v>94</v>
      </c>
      <c r="BT33" s="105">
        <v>1.8</v>
      </c>
      <c r="BU33" s="105">
        <v>2.2999999999999998</v>
      </c>
      <c r="BV33" s="105">
        <v>9.3000000000000007</v>
      </c>
      <c r="BW33" s="105">
        <v>0.8</v>
      </c>
      <c r="BX33" s="105">
        <v>1.3</v>
      </c>
      <c r="BY33" s="105" t="s">
        <v>94</v>
      </c>
      <c r="BZ33" s="105" t="s">
        <v>121</v>
      </c>
      <c r="CA33" s="105" t="s">
        <v>94</v>
      </c>
      <c r="CB33" s="105" t="s">
        <v>94</v>
      </c>
      <c r="CC33" s="105">
        <v>40777</v>
      </c>
      <c r="CD33" s="105">
        <v>42599</v>
      </c>
      <c r="CE33" s="105">
        <v>2017</v>
      </c>
      <c r="CF33" s="105">
        <v>0.22</v>
      </c>
    </row>
    <row r="34" spans="1:84" x14ac:dyDescent="0.25">
      <c r="A34" s="105" t="s">
        <v>188</v>
      </c>
      <c r="B34" s="105">
        <v>146</v>
      </c>
      <c r="C34" s="105" t="s">
        <v>92</v>
      </c>
      <c r="D34" s="105" t="s">
        <v>92</v>
      </c>
      <c r="E34" s="105" t="s">
        <v>110</v>
      </c>
      <c r="F34" s="105" t="s">
        <v>119</v>
      </c>
      <c r="G34" s="105" t="s">
        <v>120</v>
      </c>
      <c r="H34" s="105" t="s">
        <v>93</v>
      </c>
      <c r="I34" s="105">
        <v>1</v>
      </c>
      <c r="J34" s="105">
        <v>0</v>
      </c>
      <c r="K34" s="105">
        <v>1</v>
      </c>
      <c r="L34" s="105">
        <v>30</v>
      </c>
      <c r="M34" s="105">
        <v>10</v>
      </c>
      <c r="N34" s="105">
        <v>60</v>
      </c>
      <c r="O34" s="105">
        <v>112</v>
      </c>
      <c r="P34" s="105">
        <v>150</v>
      </c>
      <c r="Q34" s="105">
        <v>2.7776999999999998</v>
      </c>
      <c r="R34" s="105">
        <v>55</v>
      </c>
      <c r="S34" s="105">
        <v>2</v>
      </c>
      <c r="T34" s="105">
        <v>0.9</v>
      </c>
      <c r="U34" s="105">
        <v>1.7</v>
      </c>
      <c r="V34" s="105">
        <v>2.4700000000000002</v>
      </c>
      <c r="W34" s="105">
        <v>1</v>
      </c>
      <c r="X34" s="105">
        <v>23</v>
      </c>
      <c r="Y34" s="105">
        <v>18</v>
      </c>
      <c r="Z34" s="105">
        <v>300</v>
      </c>
      <c r="AA34" s="105">
        <v>67</v>
      </c>
      <c r="AB34" s="105">
        <v>1.2</v>
      </c>
      <c r="AC34" s="105" t="s">
        <v>94</v>
      </c>
      <c r="AD34" s="105" t="s">
        <v>94</v>
      </c>
      <c r="AE34" s="105">
        <v>8.5000000000000006E-3</v>
      </c>
      <c r="AF34" s="105">
        <v>6.3E-3</v>
      </c>
      <c r="AG34" s="105" t="s">
        <v>94</v>
      </c>
      <c r="AH34" s="105">
        <v>5.4000000000000003E-3</v>
      </c>
      <c r="AI34" s="105" t="s">
        <v>94</v>
      </c>
      <c r="AJ34" s="105">
        <v>0.39</v>
      </c>
      <c r="AK34" s="106">
        <v>7.5</v>
      </c>
      <c r="AL34" s="105">
        <v>4.5</v>
      </c>
      <c r="AM34" s="105">
        <v>1.3</v>
      </c>
      <c r="AN34" s="106">
        <v>16.399999999999999</v>
      </c>
      <c r="AO34" s="105">
        <v>15</v>
      </c>
      <c r="AP34" s="105">
        <v>1.19</v>
      </c>
      <c r="AQ34" s="105">
        <v>1.1499999999999999</v>
      </c>
      <c r="AR34" s="105">
        <v>1.3</v>
      </c>
      <c r="AS34" s="105">
        <v>1.95</v>
      </c>
      <c r="AT34" s="105">
        <v>0.57999999999999996</v>
      </c>
      <c r="AU34" s="105">
        <v>2.71</v>
      </c>
      <c r="AV34" s="105">
        <v>0.14299999999999999</v>
      </c>
      <c r="AW34" s="105">
        <v>4.2999999999999997E-2</v>
      </c>
      <c r="AX34" s="105">
        <v>0.27800000000000002</v>
      </c>
      <c r="AY34" s="105">
        <v>15</v>
      </c>
      <c r="AZ34" s="105">
        <v>10</v>
      </c>
      <c r="BA34" s="105">
        <v>0.01</v>
      </c>
      <c r="BB34" s="105">
        <v>1.7</v>
      </c>
      <c r="BC34" s="105">
        <v>0.5</v>
      </c>
      <c r="BD34" s="105">
        <v>100</v>
      </c>
      <c r="BE34" s="105">
        <v>0.9</v>
      </c>
      <c r="BF34" s="105">
        <v>100</v>
      </c>
      <c r="BG34" s="105">
        <v>30</v>
      </c>
      <c r="BH34" s="105">
        <v>2.7</v>
      </c>
      <c r="BI34" s="105">
        <v>30</v>
      </c>
      <c r="BJ34" s="105">
        <v>0.01</v>
      </c>
      <c r="BK34" s="105">
        <v>0.625</v>
      </c>
      <c r="BL34" s="105" t="s">
        <v>93</v>
      </c>
      <c r="BM34" s="105">
        <v>0.85</v>
      </c>
      <c r="BN34" s="105" t="s">
        <v>94</v>
      </c>
      <c r="BO34" s="105">
        <v>1154</v>
      </c>
      <c r="BP34" s="105">
        <v>1.44</v>
      </c>
      <c r="BQ34" s="105" t="s">
        <v>92</v>
      </c>
      <c r="BR34" s="105" t="s">
        <v>189</v>
      </c>
      <c r="BS34" s="105" t="s">
        <v>94</v>
      </c>
      <c r="BT34" s="105">
        <v>2.4</v>
      </c>
      <c r="BU34" s="105">
        <v>2.2000000000000002</v>
      </c>
      <c r="BV34" s="105">
        <v>30</v>
      </c>
      <c r="BW34" s="105">
        <v>1.7</v>
      </c>
      <c r="BX34" s="105">
        <v>2.5</v>
      </c>
      <c r="BY34" s="105" t="s">
        <v>94</v>
      </c>
      <c r="BZ34" s="105" t="s">
        <v>121</v>
      </c>
      <c r="CA34" s="105" t="s">
        <v>94</v>
      </c>
      <c r="CB34" s="105" t="s">
        <v>94</v>
      </c>
      <c r="CC34" s="105">
        <v>40743</v>
      </c>
      <c r="CD34" s="105">
        <v>42599</v>
      </c>
      <c r="CE34" s="105">
        <v>2018</v>
      </c>
      <c r="CF34" s="105">
        <v>0.33</v>
      </c>
    </row>
    <row r="35" spans="1:84" x14ac:dyDescent="0.25">
      <c r="A35" s="105" t="s">
        <v>190</v>
      </c>
      <c r="B35" s="105">
        <v>146</v>
      </c>
      <c r="C35" s="105" t="s">
        <v>92</v>
      </c>
      <c r="D35" s="105" t="s">
        <v>92</v>
      </c>
      <c r="E35" s="105" t="s">
        <v>110</v>
      </c>
      <c r="F35" s="105" t="s">
        <v>131</v>
      </c>
      <c r="G35" s="105" t="s">
        <v>112</v>
      </c>
      <c r="H35" s="105" t="s">
        <v>93</v>
      </c>
      <c r="I35" s="105">
        <v>1</v>
      </c>
      <c r="J35" s="105">
        <v>0</v>
      </c>
      <c r="K35" s="105">
        <v>1</v>
      </c>
      <c r="L35" s="105">
        <v>30</v>
      </c>
      <c r="M35" s="105">
        <v>10</v>
      </c>
      <c r="N35" s="105">
        <v>100</v>
      </c>
      <c r="O35" s="105">
        <v>134</v>
      </c>
      <c r="P35" s="105">
        <v>150</v>
      </c>
      <c r="Q35" s="105">
        <v>3.125</v>
      </c>
      <c r="R35" s="105">
        <v>50</v>
      </c>
      <c r="S35" s="105">
        <v>1.9</v>
      </c>
      <c r="T35" s="105">
        <v>0.9</v>
      </c>
      <c r="U35" s="105">
        <v>1.8</v>
      </c>
      <c r="V35" s="105">
        <v>2.23</v>
      </c>
      <c r="W35" s="105">
        <v>1</v>
      </c>
      <c r="X35" s="105">
        <v>22</v>
      </c>
      <c r="Y35" s="105">
        <v>20</v>
      </c>
      <c r="Z35" s="105">
        <v>300</v>
      </c>
      <c r="AA35" s="105">
        <v>85</v>
      </c>
      <c r="AB35" s="105">
        <v>0.9</v>
      </c>
      <c r="AC35" s="105" t="s">
        <v>94</v>
      </c>
      <c r="AD35" s="105" t="s">
        <v>94</v>
      </c>
      <c r="AE35" s="105">
        <v>7.7999999999999996E-3</v>
      </c>
      <c r="AF35" s="105">
        <v>5.8999999999999999E-3</v>
      </c>
      <c r="AG35" s="105" t="s">
        <v>94</v>
      </c>
      <c r="AH35" s="105">
        <v>5.1000000000000004E-3</v>
      </c>
      <c r="AI35" s="105" t="s">
        <v>94</v>
      </c>
      <c r="AJ35" s="105">
        <v>0.4</v>
      </c>
      <c r="AK35" s="106">
        <v>8.9</v>
      </c>
      <c r="AL35" s="105">
        <v>5.25</v>
      </c>
      <c r="AM35" s="105">
        <v>1.4</v>
      </c>
      <c r="AN35" s="106">
        <v>19.600000000000001</v>
      </c>
      <c r="AO35" s="105">
        <v>15.9</v>
      </c>
      <c r="AP35" s="105">
        <v>1.32</v>
      </c>
      <c r="AQ35" s="105">
        <v>1.2</v>
      </c>
      <c r="AR35" s="105">
        <v>1.46</v>
      </c>
      <c r="AS35" s="105">
        <v>1.98</v>
      </c>
      <c r="AT35" s="105">
        <v>0.63</v>
      </c>
      <c r="AU35" s="105">
        <v>2.81</v>
      </c>
      <c r="AV35" s="105">
        <v>0.17100000000000001</v>
      </c>
      <c r="AW35" s="105">
        <v>5.8999999999999997E-2</v>
      </c>
      <c r="AX35" s="105">
        <v>0.33900000000000002</v>
      </c>
      <c r="AY35" s="105">
        <v>15</v>
      </c>
      <c r="AZ35" s="105">
        <v>10</v>
      </c>
      <c r="BA35" s="105">
        <v>0.01</v>
      </c>
      <c r="BB35" s="105">
        <v>1.9</v>
      </c>
      <c r="BC35" s="105">
        <v>0.6</v>
      </c>
      <c r="BD35" s="105">
        <v>105</v>
      </c>
      <c r="BE35" s="105">
        <v>0.9</v>
      </c>
      <c r="BF35" s="105">
        <v>105</v>
      </c>
      <c r="BG35" s="105">
        <v>25</v>
      </c>
      <c r="BH35" s="105">
        <v>3</v>
      </c>
      <c r="BI35" s="105">
        <v>25</v>
      </c>
      <c r="BJ35" s="105">
        <v>0.01</v>
      </c>
      <c r="BK35" s="105">
        <v>0.52</v>
      </c>
      <c r="BL35" s="105" t="s">
        <v>93</v>
      </c>
      <c r="BM35" s="105">
        <v>0.85</v>
      </c>
      <c r="BN35" s="105" t="s">
        <v>94</v>
      </c>
      <c r="BO35" s="105">
        <v>1155</v>
      </c>
      <c r="BP35" s="105">
        <v>1.53</v>
      </c>
      <c r="BQ35" s="105" t="s">
        <v>92</v>
      </c>
      <c r="BR35" s="105" t="s">
        <v>191</v>
      </c>
      <c r="BS35" s="105" t="s">
        <v>94</v>
      </c>
      <c r="BT35" s="105">
        <v>1.8</v>
      </c>
      <c r="BU35" s="105">
        <v>2.1</v>
      </c>
      <c r="BV35" s="105">
        <v>21</v>
      </c>
      <c r="BW35" s="105">
        <v>2.1</v>
      </c>
      <c r="BX35" s="105">
        <v>2.7</v>
      </c>
      <c r="BY35" s="105" t="s">
        <v>94</v>
      </c>
      <c r="BZ35" s="105" t="s">
        <v>114</v>
      </c>
      <c r="CA35" s="105" t="s">
        <v>94</v>
      </c>
      <c r="CB35" s="105" t="s">
        <v>94</v>
      </c>
      <c r="CC35" s="105">
        <v>40744</v>
      </c>
      <c r="CD35" s="105">
        <v>42577</v>
      </c>
      <c r="CE35" s="105">
        <v>2503</v>
      </c>
      <c r="CF35" s="105">
        <v>0.28000000000000003</v>
      </c>
    </row>
    <row r="36" spans="1:84" x14ac:dyDescent="0.25">
      <c r="A36" s="105" t="s">
        <v>192</v>
      </c>
      <c r="B36" s="105">
        <v>146</v>
      </c>
      <c r="C36" s="105" t="s">
        <v>92</v>
      </c>
      <c r="D36" s="105" t="s">
        <v>92</v>
      </c>
      <c r="E36" s="105" t="s">
        <v>110</v>
      </c>
      <c r="F36" s="105" t="s">
        <v>111</v>
      </c>
      <c r="G36" s="105" t="s">
        <v>176</v>
      </c>
      <c r="H36" s="105" t="s">
        <v>93</v>
      </c>
      <c r="I36" s="105">
        <v>1</v>
      </c>
      <c r="J36" s="105">
        <v>0</v>
      </c>
      <c r="K36" s="105">
        <v>1</v>
      </c>
      <c r="L36" s="105">
        <v>30</v>
      </c>
      <c r="M36" s="105">
        <v>10</v>
      </c>
      <c r="N36" s="105">
        <v>100</v>
      </c>
      <c r="O36" s="105">
        <v>200</v>
      </c>
      <c r="P36" s="105">
        <v>150</v>
      </c>
      <c r="Q36" s="105">
        <v>3.125</v>
      </c>
      <c r="R36" s="105">
        <v>50</v>
      </c>
      <c r="S36" s="105">
        <v>1</v>
      </c>
      <c r="T36" s="105">
        <v>0.9</v>
      </c>
      <c r="U36" s="105">
        <v>1.6</v>
      </c>
      <c r="V36" s="105">
        <v>2.11</v>
      </c>
      <c r="W36" s="105">
        <v>1</v>
      </c>
      <c r="X36" s="105">
        <v>39</v>
      </c>
      <c r="Y36" s="105">
        <v>30</v>
      </c>
      <c r="Z36" s="105">
        <v>300</v>
      </c>
      <c r="AA36" s="105">
        <v>200</v>
      </c>
      <c r="AB36" s="105">
        <v>1.2</v>
      </c>
      <c r="AC36" s="105" t="s">
        <v>94</v>
      </c>
      <c r="AD36" s="105" t="s">
        <v>94</v>
      </c>
      <c r="AE36" s="105">
        <v>3.0999999999999999E-3</v>
      </c>
      <c r="AF36" s="105">
        <v>2.3E-3</v>
      </c>
      <c r="AG36" s="105" t="s">
        <v>94</v>
      </c>
      <c r="AH36" s="105">
        <v>2E-3</v>
      </c>
      <c r="AI36" s="105" t="s">
        <v>94</v>
      </c>
      <c r="AJ36" s="105">
        <v>0.59899999999999998</v>
      </c>
      <c r="AK36" s="106">
        <v>24</v>
      </c>
      <c r="AL36" s="105">
        <v>14</v>
      </c>
      <c r="AM36" s="105">
        <v>3.9</v>
      </c>
      <c r="AN36" s="106">
        <v>51</v>
      </c>
      <c r="AO36" s="105">
        <v>47</v>
      </c>
      <c r="AP36" s="105">
        <v>3.5</v>
      </c>
      <c r="AQ36" s="105">
        <v>3.29</v>
      </c>
      <c r="AR36" s="105">
        <v>3.9</v>
      </c>
      <c r="AS36" s="105">
        <v>5.85</v>
      </c>
      <c r="AT36" s="105">
        <v>1.74</v>
      </c>
      <c r="AU36" s="105">
        <v>8.32</v>
      </c>
      <c r="AV36" s="105">
        <v>0.3</v>
      </c>
      <c r="AW36" s="105">
        <v>8.5000000000000006E-2</v>
      </c>
      <c r="AX36" s="105">
        <v>0.79200000000000004</v>
      </c>
      <c r="AY36" s="105">
        <v>15</v>
      </c>
      <c r="AZ36" s="105">
        <v>10</v>
      </c>
      <c r="BA36" s="105">
        <v>0.01</v>
      </c>
      <c r="BB36" s="105">
        <v>4.5</v>
      </c>
      <c r="BC36" s="105">
        <v>0.35</v>
      </c>
      <c r="BD36" s="105">
        <v>180</v>
      </c>
      <c r="BE36" s="105">
        <v>0.95</v>
      </c>
      <c r="BF36" s="105">
        <v>180</v>
      </c>
      <c r="BG36" s="105">
        <v>30</v>
      </c>
      <c r="BH36" s="105">
        <v>5.5</v>
      </c>
      <c r="BI36" s="105">
        <v>30</v>
      </c>
      <c r="BJ36" s="105">
        <v>0.01</v>
      </c>
      <c r="BK36" s="105">
        <v>0.21</v>
      </c>
      <c r="BL36" s="105" t="s">
        <v>93</v>
      </c>
      <c r="BM36" s="105">
        <v>0.85</v>
      </c>
      <c r="BN36" s="105" t="s">
        <v>94</v>
      </c>
      <c r="BO36" s="105">
        <v>1155</v>
      </c>
      <c r="BP36" s="105">
        <v>4.28</v>
      </c>
      <c r="BQ36" s="105" t="s">
        <v>92</v>
      </c>
      <c r="BR36" s="105" t="s">
        <v>193</v>
      </c>
      <c r="BS36" s="105" t="s">
        <v>94</v>
      </c>
      <c r="BT36" s="105">
        <v>2.4</v>
      </c>
      <c r="BU36" s="105">
        <v>2.1</v>
      </c>
      <c r="BV36" s="105">
        <v>74</v>
      </c>
      <c r="BW36" s="105">
        <v>5.2</v>
      </c>
      <c r="BX36" s="105">
        <v>6.6</v>
      </c>
      <c r="BY36" s="105" t="s">
        <v>94</v>
      </c>
      <c r="BZ36" s="105" t="s">
        <v>114</v>
      </c>
      <c r="CA36" s="105" t="s">
        <v>94</v>
      </c>
      <c r="CB36" s="105" t="s">
        <v>94</v>
      </c>
      <c r="CC36" s="105">
        <v>40764</v>
      </c>
      <c r="CD36" s="105">
        <v>42564</v>
      </c>
      <c r="CE36" s="105">
        <v>2020</v>
      </c>
      <c r="CF36" s="105">
        <v>0.64</v>
      </c>
    </row>
    <row r="37" spans="1:84" x14ac:dyDescent="0.25">
      <c r="A37" s="105" t="s">
        <v>194</v>
      </c>
      <c r="B37" s="105">
        <v>146</v>
      </c>
      <c r="C37" s="105" t="s">
        <v>92</v>
      </c>
      <c r="D37" s="105" t="s">
        <v>92</v>
      </c>
      <c r="E37" s="105" t="s">
        <v>110</v>
      </c>
      <c r="F37" s="105" t="s">
        <v>111</v>
      </c>
      <c r="G37" s="105" t="s">
        <v>195</v>
      </c>
      <c r="H37" s="105" t="s">
        <v>93</v>
      </c>
      <c r="I37" s="105">
        <v>1</v>
      </c>
      <c r="J37" s="105">
        <v>0</v>
      </c>
      <c r="K37" s="105">
        <v>1</v>
      </c>
      <c r="L37" s="105">
        <v>30</v>
      </c>
      <c r="M37" s="105">
        <v>10</v>
      </c>
      <c r="N37" s="105">
        <v>100</v>
      </c>
      <c r="O37" s="105">
        <v>200</v>
      </c>
      <c r="P37" s="105">
        <v>150</v>
      </c>
      <c r="Q37" s="105">
        <v>3.125</v>
      </c>
      <c r="R37" s="105">
        <v>50</v>
      </c>
      <c r="S37" s="105">
        <v>1</v>
      </c>
      <c r="T37" s="105">
        <v>0.9</v>
      </c>
      <c r="U37" s="105">
        <v>1.5</v>
      </c>
      <c r="V37" s="105">
        <v>2.25</v>
      </c>
      <c r="W37" s="105">
        <v>1</v>
      </c>
      <c r="X37" s="105">
        <v>43</v>
      </c>
      <c r="Y37" s="105">
        <v>35</v>
      </c>
      <c r="Z37" s="105">
        <v>300</v>
      </c>
      <c r="AA37" s="105">
        <v>200</v>
      </c>
      <c r="AB37" s="105">
        <v>1.1000000000000001</v>
      </c>
      <c r="AC37" s="105" t="s">
        <v>94</v>
      </c>
      <c r="AD37" s="105" t="s">
        <v>94</v>
      </c>
      <c r="AE37" s="105">
        <v>2.3999999999999998E-3</v>
      </c>
      <c r="AF37" s="105">
        <v>2.7000000000000001E-3</v>
      </c>
      <c r="AG37" s="105" t="s">
        <v>94</v>
      </c>
      <c r="AH37" s="105">
        <v>1.5E-3</v>
      </c>
      <c r="AI37" s="105" t="s">
        <v>94</v>
      </c>
      <c r="AJ37" s="105">
        <v>0.59899999999999998</v>
      </c>
      <c r="AK37" s="106">
        <v>28</v>
      </c>
      <c r="AL37" s="105">
        <v>16</v>
      </c>
      <c r="AM37" s="105">
        <v>4.4000000000000004</v>
      </c>
      <c r="AN37" s="106">
        <v>61</v>
      </c>
      <c r="AO37" s="105">
        <v>57</v>
      </c>
      <c r="AP37" s="105">
        <v>4.32</v>
      </c>
      <c r="AQ37" s="105">
        <v>4.05</v>
      </c>
      <c r="AR37" s="105">
        <v>4.7</v>
      </c>
      <c r="AS37" s="105">
        <v>7.18</v>
      </c>
      <c r="AT37" s="105">
        <v>2.2200000000000002</v>
      </c>
      <c r="AU37" s="105">
        <v>10.1</v>
      </c>
      <c r="AV37" s="105">
        <v>0.375</v>
      </c>
      <c r="AW37" s="105">
        <v>9.2999999999999999E-2</v>
      </c>
      <c r="AX37" s="105">
        <v>0.9</v>
      </c>
      <c r="AY37" s="105">
        <v>15</v>
      </c>
      <c r="AZ37" s="105">
        <v>10</v>
      </c>
      <c r="BA37" s="105">
        <v>0.01</v>
      </c>
      <c r="BB37" s="105">
        <v>5</v>
      </c>
      <c r="BC37" s="105">
        <v>0.4</v>
      </c>
      <c r="BD37" s="105">
        <v>200</v>
      </c>
      <c r="BE37" s="105">
        <v>1.1000000000000001</v>
      </c>
      <c r="BF37" s="105">
        <v>200</v>
      </c>
      <c r="BG37" s="105">
        <v>30</v>
      </c>
      <c r="BH37" s="105">
        <v>7</v>
      </c>
      <c r="BI37" s="105">
        <v>30</v>
      </c>
      <c r="BJ37" s="105">
        <v>0.01</v>
      </c>
      <c r="BK37" s="105">
        <v>0.17</v>
      </c>
      <c r="BL37" s="105" t="s">
        <v>93</v>
      </c>
      <c r="BM37" s="105">
        <v>0.8</v>
      </c>
      <c r="BN37" s="105" t="s">
        <v>94</v>
      </c>
      <c r="BO37" s="105">
        <v>1155</v>
      </c>
      <c r="BP37" s="105">
        <v>5.24</v>
      </c>
      <c r="BQ37" s="105" t="s">
        <v>92</v>
      </c>
      <c r="BR37" s="105" t="s">
        <v>196</v>
      </c>
      <c r="BS37" s="105" t="s">
        <v>94</v>
      </c>
      <c r="BT37" s="105">
        <v>2.2000000000000002</v>
      </c>
      <c r="BU37" s="105">
        <v>2.2999999999999998</v>
      </c>
      <c r="BV37" s="105">
        <v>88</v>
      </c>
      <c r="BW37" s="105">
        <v>6</v>
      </c>
      <c r="BX37" s="105">
        <v>8.4</v>
      </c>
      <c r="BY37" s="105" t="s">
        <v>94</v>
      </c>
      <c r="BZ37" s="105" t="s">
        <v>114</v>
      </c>
      <c r="CA37" s="105" t="s">
        <v>94</v>
      </c>
      <c r="CB37" s="105" t="s">
        <v>94</v>
      </c>
      <c r="CC37" s="105">
        <v>41033</v>
      </c>
      <c r="CD37" s="105">
        <v>42564</v>
      </c>
      <c r="CE37" s="105">
        <v>2021</v>
      </c>
      <c r="CF37" s="105">
        <v>0.73</v>
      </c>
    </row>
    <row r="38" spans="1:84" x14ac:dyDescent="0.25">
      <c r="A38" s="105" t="s">
        <v>197</v>
      </c>
      <c r="B38" s="105">
        <v>146</v>
      </c>
      <c r="C38" s="105" t="s">
        <v>92</v>
      </c>
      <c r="D38" s="105" t="s">
        <v>92</v>
      </c>
      <c r="E38" s="105" t="s">
        <v>96</v>
      </c>
      <c r="F38" s="105" t="s">
        <v>97</v>
      </c>
      <c r="G38" s="105" t="s">
        <v>198</v>
      </c>
      <c r="H38" s="105" t="s">
        <v>93</v>
      </c>
      <c r="I38" s="105">
        <v>1</v>
      </c>
      <c r="J38" s="105">
        <v>0</v>
      </c>
      <c r="K38" s="105">
        <v>1</v>
      </c>
      <c r="L38" s="105">
        <v>30</v>
      </c>
      <c r="M38" s="105">
        <v>10</v>
      </c>
      <c r="N38" s="105">
        <v>5</v>
      </c>
      <c r="O38" s="105">
        <v>57</v>
      </c>
      <c r="P38" s="105">
        <v>150</v>
      </c>
      <c r="Q38" s="105">
        <v>2.4</v>
      </c>
      <c r="R38" s="105">
        <v>67</v>
      </c>
      <c r="S38" s="105">
        <v>7.4</v>
      </c>
      <c r="T38" s="105">
        <v>0.9</v>
      </c>
      <c r="U38" s="105">
        <v>1.8</v>
      </c>
      <c r="V38" s="105">
        <v>2.2000000000000002</v>
      </c>
      <c r="W38" s="105">
        <v>1</v>
      </c>
      <c r="X38" s="105">
        <v>12.9</v>
      </c>
      <c r="Y38" s="105">
        <v>4</v>
      </c>
      <c r="Z38" s="105">
        <v>300</v>
      </c>
      <c r="AA38" s="105">
        <v>16</v>
      </c>
      <c r="AB38" s="105">
        <v>1.3</v>
      </c>
      <c r="AC38" s="105" t="s">
        <v>94</v>
      </c>
      <c r="AD38" s="105" t="s">
        <v>94</v>
      </c>
      <c r="AE38" s="105">
        <v>4.2000000000000003E-2</v>
      </c>
      <c r="AF38" s="105">
        <v>3.2000000000000001E-2</v>
      </c>
      <c r="AG38" s="105" t="s">
        <v>94</v>
      </c>
      <c r="AH38" s="105">
        <v>0.03</v>
      </c>
      <c r="AI38" s="105" t="s">
        <v>94</v>
      </c>
      <c r="AJ38" s="105">
        <v>0.48</v>
      </c>
      <c r="AK38" s="106">
        <v>2.1</v>
      </c>
      <c r="AL38" s="105">
        <v>1.25</v>
      </c>
      <c r="AM38" s="105">
        <v>0.3</v>
      </c>
      <c r="AN38" s="106">
        <v>3.5</v>
      </c>
      <c r="AO38" s="105">
        <v>3.8</v>
      </c>
      <c r="AP38" s="105">
        <v>0.28999999999999998</v>
      </c>
      <c r="AQ38" s="105">
        <v>0.27</v>
      </c>
      <c r="AR38" s="105">
        <v>0.31</v>
      </c>
      <c r="AS38" s="105">
        <v>0.48</v>
      </c>
      <c r="AT38" s="105">
        <v>0.14000000000000001</v>
      </c>
      <c r="AU38" s="105">
        <v>0.57999999999999996</v>
      </c>
      <c r="AV38" s="105">
        <v>4.4999999999999998E-2</v>
      </c>
      <c r="AW38" s="105">
        <v>1.35E-2</v>
      </c>
      <c r="AX38" s="105">
        <v>6.8000000000000005E-2</v>
      </c>
      <c r="AY38" s="105">
        <v>15</v>
      </c>
      <c r="AZ38" s="105">
        <v>10</v>
      </c>
      <c r="BA38" s="105">
        <v>0.1</v>
      </c>
      <c r="BB38" s="105">
        <v>2.4</v>
      </c>
      <c r="BC38" s="105">
        <v>1</v>
      </c>
      <c r="BD38" s="105">
        <v>22</v>
      </c>
      <c r="BE38" s="105">
        <v>6</v>
      </c>
      <c r="BF38" s="105">
        <v>6.5</v>
      </c>
      <c r="BG38" s="105">
        <v>10</v>
      </c>
      <c r="BH38" s="105">
        <v>3.7</v>
      </c>
      <c r="BI38" s="105">
        <v>30</v>
      </c>
      <c r="BJ38" s="105">
        <v>0.1</v>
      </c>
      <c r="BK38" s="105" t="s">
        <v>94</v>
      </c>
      <c r="BL38" s="105" t="s">
        <v>93</v>
      </c>
      <c r="BM38" s="105">
        <v>0.85</v>
      </c>
      <c r="BN38" s="105" t="s">
        <v>94</v>
      </c>
      <c r="BO38" s="105">
        <v>1156</v>
      </c>
      <c r="BP38" s="105">
        <v>0.24199999999999999</v>
      </c>
      <c r="BQ38" s="105" t="s">
        <v>92</v>
      </c>
      <c r="BR38" s="105" t="s">
        <v>199</v>
      </c>
      <c r="BS38" s="105" t="s">
        <v>94</v>
      </c>
      <c r="BT38" s="105">
        <v>2.6</v>
      </c>
      <c r="BU38" s="105">
        <v>2.1</v>
      </c>
      <c r="BV38" s="105">
        <v>6.4</v>
      </c>
      <c r="BW38" s="105">
        <v>0.4</v>
      </c>
      <c r="BX38" s="105">
        <v>0.7</v>
      </c>
      <c r="BY38" s="105" t="s">
        <v>94</v>
      </c>
      <c r="BZ38" s="105" t="s">
        <v>100</v>
      </c>
      <c r="CA38" s="105" t="s">
        <v>93</v>
      </c>
      <c r="CB38" s="105" t="s">
        <v>94</v>
      </c>
      <c r="CC38" s="105">
        <v>40742</v>
      </c>
      <c r="CD38" s="105">
        <v>42598</v>
      </c>
      <c r="CE38" s="105">
        <v>2617</v>
      </c>
      <c r="CF38" s="105">
        <v>0.13</v>
      </c>
    </row>
    <row r="39" spans="1:84" s="107" customFormat="1" x14ac:dyDescent="0.25">
      <c r="A39" s="107" t="s">
        <v>393</v>
      </c>
      <c r="B39" s="107">
        <v>146</v>
      </c>
      <c r="C39" s="107" t="s">
        <v>93</v>
      </c>
      <c r="D39" s="107" t="s">
        <v>92</v>
      </c>
      <c r="E39" s="107" t="s">
        <v>94</v>
      </c>
      <c r="F39" s="107" t="s">
        <v>97</v>
      </c>
      <c r="G39" s="107" t="s">
        <v>394</v>
      </c>
      <c r="H39" s="107" t="s">
        <v>93</v>
      </c>
      <c r="I39" s="107">
        <v>1</v>
      </c>
      <c r="J39" s="107">
        <v>0</v>
      </c>
      <c r="K39" s="107">
        <v>1</v>
      </c>
      <c r="L39" s="107">
        <v>30</v>
      </c>
      <c r="M39" s="107">
        <v>10</v>
      </c>
      <c r="N39" s="107">
        <v>21.5</v>
      </c>
      <c r="O39" s="107">
        <v>68</v>
      </c>
      <c r="P39" s="107">
        <v>150</v>
      </c>
      <c r="Q39" s="107">
        <v>2.5</v>
      </c>
      <c r="R39" s="107">
        <v>65</v>
      </c>
      <c r="S39" s="107">
        <v>7.9</v>
      </c>
      <c r="T39" s="107">
        <v>0.6</v>
      </c>
      <c r="U39" s="107">
        <v>1.2</v>
      </c>
      <c r="V39" s="107">
        <v>1.84</v>
      </c>
      <c r="W39" s="107">
        <v>1</v>
      </c>
      <c r="X39" s="107">
        <v>12</v>
      </c>
      <c r="Y39" s="107">
        <v>8</v>
      </c>
      <c r="Z39" s="107">
        <v>300</v>
      </c>
      <c r="AA39" s="107">
        <v>42</v>
      </c>
      <c r="AB39" s="107">
        <v>1</v>
      </c>
      <c r="AC39" s="105" t="s">
        <v>94</v>
      </c>
      <c r="AD39" s="107">
        <v>0.03</v>
      </c>
      <c r="AE39" s="107" t="s">
        <v>94</v>
      </c>
      <c r="AF39" s="107">
        <v>1.6899999999999998E-2</v>
      </c>
      <c r="AG39" s="107" t="s">
        <v>94</v>
      </c>
      <c r="AH39" s="107">
        <v>1.5100000000000001E-2</v>
      </c>
      <c r="AI39" s="107" t="s">
        <v>94</v>
      </c>
      <c r="AJ39" s="107">
        <v>0.65</v>
      </c>
      <c r="AK39" s="106">
        <v>6</v>
      </c>
      <c r="AL39" s="107">
        <v>3.25</v>
      </c>
      <c r="AM39" s="107">
        <v>0.7</v>
      </c>
      <c r="AN39" s="106">
        <v>10</v>
      </c>
      <c r="AO39" s="107">
        <v>2.7</v>
      </c>
      <c r="AP39" s="107">
        <v>0.74299999999999999</v>
      </c>
      <c r="AQ39" s="107">
        <v>0.64300000000000002</v>
      </c>
      <c r="AR39" s="107">
        <v>0.86199999999999999</v>
      </c>
      <c r="AS39" s="107">
        <v>0.35199999999999998</v>
      </c>
      <c r="AT39" s="107">
        <v>6.9400000000000003E-2</v>
      </c>
      <c r="AU39" s="107">
        <v>0.77</v>
      </c>
      <c r="AV39" s="107">
        <v>0.125</v>
      </c>
      <c r="AW39" s="107">
        <v>3.5700000000000003E-2</v>
      </c>
      <c r="AX39" s="107">
        <v>0.24399999999999999</v>
      </c>
      <c r="AY39" s="107">
        <v>15</v>
      </c>
      <c r="AZ39" s="107">
        <v>10</v>
      </c>
      <c r="BA39" s="107">
        <v>0.1</v>
      </c>
      <c r="BK39" s="107" t="s">
        <v>94</v>
      </c>
      <c r="BL39" s="107" t="s">
        <v>93</v>
      </c>
      <c r="BM39" s="107">
        <v>0.8</v>
      </c>
      <c r="BN39" s="107" t="s">
        <v>94</v>
      </c>
      <c r="BO39" s="107">
        <v>1156</v>
      </c>
      <c r="BP39" s="107" t="s">
        <v>94</v>
      </c>
      <c r="BQ39" s="107" t="s">
        <v>92</v>
      </c>
      <c r="BR39" s="108" t="s">
        <v>395</v>
      </c>
      <c r="BS39" s="107" t="s">
        <v>94</v>
      </c>
      <c r="BT39" s="107">
        <v>2</v>
      </c>
      <c r="BU39" s="107">
        <v>1.9</v>
      </c>
      <c r="BV39" s="107">
        <v>2.9</v>
      </c>
      <c r="BW39" s="107">
        <v>1.3</v>
      </c>
      <c r="BX39" s="107">
        <v>1.5</v>
      </c>
      <c r="BY39" s="107" t="s">
        <v>94</v>
      </c>
      <c r="BZ39" s="107" t="s">
        <v>100</v>
      </c>
      <c r="CA39" s="107" t="s">
        <v>93</v>
      </c>
      <c r="CB39" s="107" t="s">
        <v>94</v>
      </c>
      <c r="CC39" s="107">
        <v>43724</v>
      </c>
      <c r="CD39" s="107">
        <v>42598</v>
      </c>
      <c r="CE39" s="107">
        <v>2617</v>
      </c>
      <c r="CF39" s="107">
        <v>0.11</v>
      </c>
    </row>
    <row r="40" spans="1:84" x14ac:dyDescent="0.25">
      <c r="A40" s="105" t="s">
        <v>200</v>
      </c>
      <c r="B40" s="105">
        <v>146</v>
      </c>
      <c r="C40" s="105" t="s">
        <v>92</v>
      </c>
      <c r="D40" s="105" t="s">
        <v>92</v>
      </c>
      <c r="E40" s="105" t="s">
        <v>110</v>
      </c>
      <c r="F40" s="105" t="s">
        <v>131</v>
      </c>
      <c r="G40" s="105" t="s">
        <v>116</v>
      </c>
      <c r="H40" s="105" t="s">
        <v>93</v>
      </c>
      <c r="I40" s="105">
        <v>1</v>
      </c>
      <c r="J40" s="105">
        <v>0</v>
      </c>
      <c r="K40" s="105">
        <v>1</v>
      </c>
      <c r="L40" s="105">
        <v>30</v>
      </c>
      <c r="M40" s="105">
        <v>10</v>
      </c>
      <c r="N40" s="105">
        <v>87</v>
      </c>
      <c r="O40" s="105">
        <v>104</v>
      </c>
      <c r="P40" s="105">
        <v>150</v>
      </c>
      <c r="Q40" s="105">
        <v>3.125</v>
      </c>
      <c r="R40" s="105">
        <v>50</v>
      </c>
      <c r="S40" s="105">
        <v>1.8</v>
      </c>
      <c r="T40" s="105">
        <v>1.1000000000000001</v>
      </c>
      <c r="U40" s="105">
        <v>2</v>
      </c>
      <c r="V40" s="105">
        <v>3.2</v>
      </c>
      <c r="W40" s="105">
        <v>1</v>
      </c>
      <c r="X40" s="105">
        <v>17.8</v>
      </c>
      <c r="Y40" s="105">
        <v>14</v>
      </c>
      <c r="Z40" s="105">
        <v>300</v>
      </c>
      <c r="AA40" s="105">
        <v>37</v>
      </c>
      <c r="AB40" s="105">
        <v>4.7</v>
      </c>
      <c r="AC40" s="105" t="s">
        <v>94</v>
      </c>
      <c r="AD40" s="105" t="s">
        <v>94</v>
      </c>
      <c r="AE40" s="105" t="s">
        <v>94</v>
      </c>
      <c r="AF40" s="105">
        <v>1.24E-2</v>
      </c>
      <c r="AG40" s="105" t="s">
        <v>94</v>
      </c>
      <c r="AH40" s="105">
        <v>8.8000000000000005E-3</v>
      </c>
      <c r="AI40" s="105" t="s">
        <v>94</v>
      </c>
      <c r="AJ40" s="105">
        <v>0.5</v>
      </c>
      <c r="AK40" s="106">
        <v>3.6</v>
      </c>
      <c r="AL40" s="105">
        <v>1.3</v>
      </c>
      <c r="AM40" s="105">
        <v>0.9</v>
      </c>
      <c r="AN40" s="106">
        <v>7.6</v>
      </c>
      <c r="AO40" s="105">
        <v>8.6</v>
      </c>
      <c r="AP40" s="105">
        <v>0.81699999999999995</v>
      </c>
      <c r="AQ40" s="105">
        <v>0.57999999999999996</v>
      </c>
      <c r="AR40" s="105">
        <v>0.86599999999999999</v>
      </c>
      <c r="AS40" s="105">
        <v>1.2</v>
      </c>
      <c r="AT40" s="105">
        <v>0.39</v>
      </c>
      <c r="AU40" s="105">
        <v>1.64</v>
      </c>
      <c r="AV40" s="105">
        <v>0.105</v>
      </c>
      <c r="AW40" s="105">
        <v>3.5000000000000003E-2</v>
      </c>
      <c r="AX40" s="105">
        <v>0.16800000000000001</v>
      </c>
      <c r="AY40" s="105">
        <v>15</v>
      </c>
      <c r="AZ40" s="105">
        <v>10</v>
      </c>
      <c r="BA40" s="105">
        <v>0.01</v>
      </c>
      <c r="BB40" s="105">
        <v>1.2</v>
      </c>
      <c r="BC40" s="105">
        <v>0.6</v>
      </c>
      <c r="BD40" s="105">
        <v>90</v>
      </c>
      <c r="BE40" s="105">
        <v>0.9</v>
      </c>
      <c r="BF40" s="105">
        <v>90</v>
      </c>
      <c r="BG40" s="105">
        <v>30</v>
      </c>
      <c r="BH40" s="105">
        <v>2</v>
      </c>
      <c r="BI40" s="105">
        <v>30</v>
      </c>
      <c r="BJ40" s="105">
        <v>0.01</v>
      </c>
      <c r="BK40" s="105">
        <v>0.36</v>
      </c>
      <c r="BL40" s="105" t="s">
        <v>93</v>
      </c>
      <c r="BM40" s="105">
        <v>0.85</v>
      </c>
      <c r="BN40" s="105" t="s">
        <v>94</v>
      </c>
      <c r="BO40" s="105">
        <v>1155</v>
      </c>
      <c r="BP40" s="105">
        <v>0.69499999999999995</v>
      </c>
      <c r="BQ40" s="105" t="s">
        <v>92</v>
      </c>
      <c r="BR40" s="105" t="s">
        <v>201</v>
      </c>
      <c r="BS40" s="105" t="s">
        <v>94</v>
      </c>
      <c r="BT40" s="105">
        <v>4.7</v>
      </c>
      <c r="BU40" s="105">
        <v>3.1</v>
      </c>
      <c r="BV40" s="105">
        <v>19.600000000000001</v>
      </c>
      <c r="BW40" s="105">
        <v>1.1000000000000001</v>
      </c>
      <c r="BX40" s="105">
        <v>1.6</v>
      </c>
      <c r="BY40" s="105" t="s">
        <v>94</v>
      </c>
      <c r="BZ40" s="105" t="s">
        <v>114</v>
      </c>
      <c r="CA40" s="105" t="s">
        <v>94</v>
      </c>
      <c r="CB40" s="105" t="s">
        <v>94</v>
      </c>
      <c r="CC40" s="105">
        <v>40778</v>
      </c>
      <c r="CD40" s="105">
        <v>42577</v>
      </c>
      <c r="CE40" s="105">
        <v>2505</v>
      </c>
      <c r="CF40" s="105">
        <v>0.3</v>
      </c>
    </row>
    <row r="41" spans="1:84" x14ac:dyDescent="0.25">
      <c r="A41" s="105" t="s">
        <v>202</v>
      </c>
      <c r="B41" s="105">
        <v>146</v>
      </c>
      <c r="C41" s="105" t="s">
        <v>92</v>
      </c>
      <c r="D41" s="105" t="s">
        <v>92</v>
      </c>
      <c r="E41" s="105" t="s">
        <v>110</v>
      </c>
      <c r="F41" s="105" t="s">
        <v>131</v>
      </c>
      <c r="G41" s="105" t="s">
        <v>116</v>
      </c>
      <c r="H41" s="105" t="s">
        <v>93</v>
      </c>
      <c r="I41" s="105">
        <v>1</v>
      </c>
      <c r="J41" s="105">
        <v>0</v>
      </c>
      <c r="K41" s="105">
        <v>1</v>
      </c>
      <c r="L41" s="105">
        <v>30</v>
      </c>
      <c r="M41" s="105">
        <v>10</v>
      </c>
      <c r="N41" s="105">
        <v>65</v>
      </c>
      <c r="O41" s="105">
        <v>85</v>
      </c>
      <c r="P41" s="105">
        <v>150</v>
      </c>
      <c r="Q41" s="105">
        <v>3.125</v>
      </c>
      <c r="R41" s="105">
        <v>50</v>
      </c>
      <c r="S41" s="105">
        <v>1.9</v>
      </c>
      <c r="T41" s="105">
        <v>1.1000000000000001</v>
      </c>
      <c r="U41" s="105">
        <v>2</v>
      </c>
      <c r="V41" s="105">
        <v>3</v>
      </c>
      <c r="W41" s="105">
        <v>1</v>
      </c>
      <c r="X41" s="105">
        <v>14.6</v>
      </c>
      <c r="Y41" s="105">
        <v>11</v>
      </c>
      <c r="Z41" s="105">
        <v>300</v>
      </c>
      <c r="AA41" s="105">
        <v>44</v>
      </c>
      <c r="AB41" s="105">
        <v>4.7</v>
      </c>
      <c r="AC41" s="105" t="s">
        <v>94</v>
      </c>
      <c r="AD41" s="105" t="s">
        <v>94</v>
      </c>
      <c r="AE41" s="105" t="s">
        <v>94</v>
      </c>
      <c r="AF41" s="105">
        <v>1.55E-2</v>
      </c>
      <c r="AG41" s="105" t="s">
        <v>94</v>
      </c>
      <c r="AH41" s="105">
        <v>1.2200000000000001E-2</v>
      </c>
      <c r="AI41" s="105" t="s">
        <v>94</v>
      </c>
      <c r="AJ41" s="105">
        <v>0.48</v>
      </c>
      <c r="AK41" s="106">
        <v>2.8</v>
      </c>
      <c r="AL41" s="105">
        <v>1</v>
      </c>
      <c r="AM41" s="105">
        <v>0.6</v>
      </c>
      <c r="AN41" s="106">
        <v>5.7</v>
      </c>
      <c r="AO41" s="105">
        <v>6.8</v>
      </c>
      <c r="AP41" s="105">
        <v>0.43</v>
      </c>
      <c r="AQ41" s="105">
        <v>0.42199999999999999</v>
      </c>
      <c r="AR41" s="105">
        <v>0.48</v>
      </c>
      <c r="AS41" s="105">
        <v>0.9</v>
      </c>
      <c r="AT41" s="105">
        <v>0.28599999999999998</v>
      </c>
      <c r="AU41" s="105">
        <v>1.5</v>
      </c>
      <c r="AV41" s="105">
        <v>7.0000000000000007E-2</v>
      </c>
      <c r="AW41" s="105">
        <v>2.5999999999999999E-2</v>
      </c>
      <c r="AX41" s="105">
        <v>9.5000000000000001E-2</v>
      </c>
      <c r="AY41" s="105">
        <v>15</v>
      </c>
      <c r="AZ41" s="105">
        <v>10</v>
      </c>
      <c r="BA41" s="105">
        <v>0.01</v>
      </c>
      <c r="BB41" s="105">
        <v>0.8</v>
      </c>
      <c r="BC41" s="105">
        <v>0.5</v>
      </c>
      <c r="BD41" s="105">
        <v>40</v>
      </c>
      <c r="BE41" s="105">
        <v>30</v>
      </c>
      <c r="BF41" s="105">
        <v>0.7</v>
      </c>
      <c r="BG41" s="105">
        <v>30</v>
      </c>
      <c r="BH41" s="105">
        <v>0.01</v>
      </c>
      <c r="BI41" s="105">
        <v>30</v>
      </c>
      <c r="BJ41" s="105">
        <v>0.01</v>
      </c>
      <c r="BK41" s="105">
        <v>1.75</v>
      </c>
      <c r="BL41" s="105" t="s">
        <v>93</v>
      </c>
      <c r="BM41" s="105">
        <v>0.85</v>
      </c>
      <c r="BN41" s="105" t="s">
        <v>94</v>
      </c>
      <c r="BO41" s="105">
        <v>1155</v>
      </c>
      <c r="BP41" s="105">
        <v>0.50600000000000001</v>
      </c>
      <c r="BQ41" s="105" t="s">
        <v>92</v>
      </c>
      <c r="BR41" s="105" t="s">
        <v>203</v>
      </c>
      <c r="BS41" s="105" t="s">
        <v>94</v>
      </c>
      <c r="BT41" s="105">
        <v>4.7</v>
      </c>
      <c r="BU41" s="105">
        <v>3</v>
      </c>
      <c r="BV41" s="105">
        <v>10.5</v>
      </c>
      <c r="BW41" s="105">
        <v>0.8</v>
      </c>
      <c r="BX41" s="105">
        <v>1.2</v>
      </c>
      <c r="BY41" s="105" t="s">
        <v>94</v>
      </c>
      <c r="BZ41" s="105" t="s">
        <v>114</v>
      </c>
      <c r="CA41" s="105" t="s">
        <v>94</v>
      </c>
      <c r="CB41" s="105" t="s">
        <v>94</v>
      </c>
      <c r="CC41" s="105">
        <v>40778</v>
      </c>
      <c r="CD41" s="105">
        <v>42577</v>
      </c>
      <c r="CE41" s="105">
        <v>2506</v>
      </c>
      <c r="CF41" s="105">
        <v>0.28000000000000003</v>
      </c>
    </row>
    <row r="42" spans="1:84" x14ac:dyDescent="0.25">
      <c r="A42" s="107" t="s">
        <v>462</v>
      </c>
      <c r="B42" s="107">
        <v>146</v>
      </c>
      <c r="C42" s="107" t="s">
        <v>92</v>
      </c>
      <c r="D42" s="107" t="s">
        <v>92</v>
      </c>
      <c r="E42" s="107" t="s">
        <v>94</v>
      </c>
      <c r="F42" s="107" t="s">
        <v>94</v>
      </c>
      <c r="G42" s="107" t="s">
        <v>394</v>
      </c>
      <c r="H42" s="107" t="s">
        <v>93</v>
      </c>
      <c r="I42" s="107">
        <v>1</v>
      </c>
      <c r="J42" s="107">
        <v>0</v>
      </c>
      <c r="K42" s="107">
        <v>1</v>
      </c>
      <c r="L42" s="107">
        <v>30</v>
      </c>
      <c r="M42" s="107">
        <v>20</v>
      </c>
      <c r="N42" s="107">
        <v>100</v>
      </c>
      <c r="O42" s="107">
        <v>187</v>
      </c>
      <c r="P42" s="107">
        <v>150</v>
      </c>
      <c r="Q42" s="107">
        <v>3.2</v>
      </c>
      <c r="R42" s="107">
        <v>49</v>
      </c>
      <c r="S42" s="107">
        <v>1</v>
      </c>
      <c r="T42" s="107">
        <v>1</v>
      </c>
      <c r="U42" s="107">
        <v>1.8</v>
      </c>
      <c r="V42" s="107">
        <v>2.9</v>
      </c>
      <c r="W42" s="107">
        <v>1</v>
      </c>
      <c r="X42" s="107">
        <v>32</v>
      </c>
      <c r="Y42" s="107">
        <v>25</v>
      </c>
      <c r="Z42" s="107">
        <v>300</v>
      </c>
      <c r="AA42" s="107">
        <v>110</v>
      </c>
      <c r="AB42" s="107">
        <v>1.3</v>
      </c>
      <c r="AC42" s="107" t="s">
        <v>94</v>
      </c>
      <c r="AD42" s="107" t="s">
        <v>94</v>
      </c>
      <c r="AE42" s="107" t="s">
        <v>94</v>
      </c>
      <c r="AF42" s="107">
        <v>3.7000000000000002E-3</v>
      </c>
      <c r="AG42" s="107" t="s">
        <v>94</v>
      </c>
      <c r="AH42" s="107" t="s">
        <v>94</v>
      </c>
      <c r="AI42" s="107">
        <v>2.8999999999999998E-3</v>
      </c>
      <c r="AJ42" s="107">
        <v>0.45</v>
      </c>
      <c r="AK42" s="106">
        <v>13.2</v>
      </c>
      <c r="AL42" s="107">
        <v>5</v>
      </c>
      <c r="AM42" s="107">
        <v>2.9</v>
      </c>
      <c r="AN42" s="106">
        <v>28</v>
      </c>
      <c r="AO42" s="107">
        <v>35</v>
      </c>
      <c r="AP42" s="107" t="s">
        <v>94</v>
      </c>
      <c r="AQ42" s="107">
        <v>2.04</v>
      </c>
      <c r="AR42" s="107" t="s">
        <v>94</v>
      </c>
      <c r="AS42" s="107" t="s">
        <v>94</v>
      </c>
      <c r="AT42" s="107">
        <v>1.35</v>
      </c>
      <c r="AU42" s="107" t="s">
        <v>94</v>
      </c>
      <c r="AV42" s="107" t="s">
        <v>94</v>
      </c>
      <c r="AW42" s="107">
        <v>6.6000000000000003E-2</v>
      </c>
      <c r="AX42" s="107" t="s">
        <v>94</v>
      </c>
      <c r="AY42" s="107">
        <v>15</v>
      </c>
      <c r="AZ42" s="107" t="s">
        <v>94</v>
      </c>
      <c r="BA42" s="107" t="s">
        <v>94</v>
      </c>
      <c r="BB42" s="107" t="s">
        <v>94</v>
      </c>
      <c r="BC42" s="107" t="s">
        <v>94</v>
      </c>
      <c r="BD42" s="107" t="s">
        <v>94</v>
      </c>
      <c r="BE42" s="107" t="s">
        <v>94</v>
      </c>
      <c r="BF42" s="107" t="s">
        <v>94</v>
      </c>
      <c r="BG42" s="107" t="s">
        <v>94</v>
      </c>
      <c r="BH42" s="107" t="s">
        <v>94</v>
      </c>
      <c r="BI42" s="107" t="s">
        <v>94</v>
      </c>
      <c r="BJ42" s="107" t="s">
        <v>94</v>
      </c>
      <c r="BK42" s="107" t="s">
        <v>94</v>
      </c>
      <c r="BL42" s="107" t="s">
        <v>93</v>
      </c>
      <c r="BM42" s="107">
        <v>0.8</v>
      </c>
      <c r="BN42" s="107" t="s">
        <v>94</v>
      </c>
      <c r="BO42" s="107">
        <v>1155</v>
      </c>
      <c r="BP42" s="107" t="s">
        <v>94</v>
      </c>
      <c r="BQ42" s="107" t="s">
        <v>92</v>
      </c>
      <c r="BR42" s="108" t="s">
        <v>463</v>
      </c>
      <c r="BS42" s="107" t="s">
        <v>94</v>
      </c>
      <c r="BT42" s="107">
        <v>2.6</v>
      </c>
      <c r="BU42" s="107">
        <v>2.5</v>
      </c>
      <c r="BV42" s="107">
        <v>46</v>
      </c>
      <c r="BW42" s="107">
        <v>3.5</v>
      </c>
      <c r="BX42" s="107">
        <v>5.4</v>
      </c>
      <c r="BY42" s="107" t="s">
        <v>94</v>
      </c>
      <c r="BZ42" s="107" t="s">
        <v>209</v>
      </c>
      <c r="CA42" s="107" t="s">
        <v>94</v>
      </c>
      <c r="CB42" s="107" t="s">
        <v>94</v>
      </c>
      <c r="CC42" s="107" t="s">
        <v>94</v>
      </c>
      <c r="CD42" s="107" t="s">
        <v>94</v>
      </c>
      <c r="CE42" s="107" t="s">
        <v>94</v>
      </c>
      <c r="CF42" s="107">
        <v>0.6</v>
      </c>
    </row>
    <row r="43" spans="1:84" x14ac:dyDescent="0.25">
      <c r="A43" s="107" t="s">
        <v>464</v>
      </c>
      <c r="B43" s="107">
        <v>146</v>
      </c>
      <c r="C43" s="107" t="s">
        <v>92</v>
      </c>
      <c r="D43" s="107" t="s">
        <v>92</v>
      </c>
      <c r="E43" s="107" t="s">
        <v>94</v>
      </c>
      <c r="F43" s="107" t="s">
        <v>94</v>
      </c>
      <c r="G43" s="107" t="s">
        <v>394</v>
      </c>
      <c r="H43" s="107" t="s">
        <v>93</v>
      </c>
      <c r="I43" s="107">
        <v>1</v>
      </c>
      <c r="J43" s="107">
        <v>0</v>
      </c>
      <c r="K43" s="107">
        <v>1</v>
      </c>
      <c r="L43" s="107">
        <v>30</v>
      </c>
      <c r="M43" s="107">
        <v>20</v>
      </c>
      <c r="N43" s="107">
        <v>100</v>
      </c>
      <c r="O43" s="107">
        <v>153</v>
      </c>
      <c r="P43" s="107">
        <v>150</v>
      </c>
      <c r="Q43" s="107">
        <v>3.2</v>
      </c>
      <c r="R43" s="107">
        <v>50</v>
      </c>
      <c r="S43" s="107">
        <v>1.3</v>
      </c>
      <c r="T43" s="107">
        <v>1</v>
      </c>
      <c r="U43" s="107">
        <v>1.8</v>
      </c>
      <c r="V43" s="107">
        <v>2.5</v>
      </c>
      <c r="W43" s="107">
        <v>1</v>
      </c>
      <c r="X43" s="107">
        <v>28</v>
      </c>
      <c r="Y43" s="107">
        <v>20</v>
      </c>
      <c r="Z43" s="107">
        <v>300</v>
      </c>
      <c r="AA43" s="107">
        <v>82</v>
      </c>
      <c r="AB43" s="107">
        <v>1</v>
      </c>
      <c r="AC43" s="107" t="s">
        <v>94</v>
      </c>
      <c r="AD43" s="107" t="s">
        <v>94</v>
      </c>
      <c r="AE43" s="107" t="s">
        <v>94</v>
      </c>
      <c r="AF43" s="107">
        <v>4.5999999999999999E-3</v>
      </c>
      <c r="AG43" s="107" t="s">
        <v>94</v>
      </c>
      <c r="AH43" s="107" t="s">
        <v>94</v>
      </c>
      <c r="AI43" s="107">
        <v>3.5000000000000001E-3</v>
      </c>
      <c r="AJ43" s="107">
        <v>0.5</v>
      </c>
      <c r="AK43" s="106">
        <v>10</v>
      </c>
      <c r="AL43" s="107">
        <v>3</v>
      </c>
      <c r="AM43" s="107">
        <v>1.9</v>
      </c>
      <c r="AN43" s="106">
        <v>22</v>
      </c>
      <c r="AO43" s="107">
        <v>26</v>
      </c>
      <c r="AP43" s="107" t="s">
        <v>94</v>
      </c>
      <c r="AQ43" s="107">
        <v>1.56</v>
      </c>
      <c r="AR43" s="107" t="s">
        <v>94</v>
      </c>
      <c r="AS43" s="107" t="s">
        <v>94</v>
      </c>
      <c r="AT43" s="107">
        <v>1.03</v>
      </c>
      <c r="AU43" s="107" t="s">
        <v>94</v>
      </c>
      <c r="AV43" s="107" t="s">
        <v>94</v>
      </c>
      <c r="AW43" s="107">
        <v>6.5000000000000002E-2</v>
      </c>
      <c r="AX43" s="107" t="s">
        <v>94</v>
      </c>
      <c r="AY43" s="107">
        <v>15</v>
      </c>
      <c r="AZ43" s="107" t="s">
        <v>94</v>
      </c>
      <c r="BA43" s="107" t="s">
        <v>94</v>
      </c>
      <c r="BB43" s="107" t="s">
        <v>94</v>
      </c>
      <c r="BC43" s="107" t="s">
        <v>94</v>
      </c>
      <c r="BD43" s="107" t="s">
        <v>94</v>
      </c>
      <c r="BE43" s="107" t="s">
        <v>94</v>
      </c>
      <c r="BF43" s="107" t="s">
        <v>94</v>
      </c>
      <c r="BG43" s="107" t="s">
        <v>94</v>
      </c>
      <c r="BH43" s="107" t="s">
        <v>94</v>
      </c>
      <c r="BI43" s="107" t="s">
        <v>94</v>
      </c>
      <c r="BJ43" s="107" t="s">
        <v>94</v>
      </c>
      <c r="BK43" s="107" t="s">
        <v>94</v>
      </c>
      <c r="BL43" s="107" t="s">
        <v>93</v>
      </c>
      <c r="BM43" s="107">
        <v>0.8</v>
      </c>
      <c r="BN43" s="107" t="s">
        <v>94</v>
      </c>
      <c r="BO43" s="107">
        <v>1155</v>
      </c>
      <c r="BP43" s="107" t="s">
        <v>94</v>
      </c>
      <c r="BQ43" s="107" t="s">
        <v>92</v>
      </c>
      <c r="BR43" s="108" t="s">
        <v>465</v>
      </c>
      <c r="BS43" s="107" t="s">
        <v>94</v>
      </c>
      <c r="BT43" s="107">
        <v>2</v>
      </c>
      <c r="BU43" s="107">
        <v>2.5</v>
      </c>
      <c r="BV43" s="107">
        <v>30</v>
      </c>
      <c r="BW43" s="107">
        <v>2.7</v>
      </c>
      <c r="BX43" s="107">
        <v>3.5</v>
      </c>
      <c r="BY43" s="107" t="s">
        <v>94</v>
      </c>
      <c r="BZ43" s="107" t="s">
        <v>209</v>
      </c>
      <c r="CA43" s="107" t="s">
        <v>94</v>
      </c>
      <c r="CB43" s="107" t="s">
        <v>94</v>
      </c>
      <c r="CC43" s="107" t="s">
        <v>94</v>
      </c>
      <c r="CD43" s="107" t="s">
        <v>94</v>
      </c>
      <c r="CE43" s="107" t="s">
        <v>94</v>
      </c>
      <c r="CF43" s="107">
        <v>0.54</v>
      </c>
    </row>
    <row r="44" spans="1:84" x14ac:dyDescent="0.25">
      <c r="A44" s="107" t="s">
        <v>466</v>
      </c>
      <c r="B44" s="107">
        <v>146</v>
      </c>
      <c r="C44" s="107" t="s">
        <v>92</v>
      </c>
      <c r="D44" s="107" t="s">
        <v>92</v>
      </c>
      <c r="E44" s="107" t="s">
        <v>94</v>
      </c>
      <c r="F44" s="107" t="s">
        <v>94</v>
      </c>
      <c r="G44" s="107" t="s">
        <v>394</v>
      </c>
      <c r="H44" s="107" t="s">
        <v>93</v>
      </c>
      <c r="I44" s="107">
        <v>1</v>
      </c>
      <c r="J44" s="107">
        <v>0</v>
      </c>
      <c r="K44" s="107">
        <v>1</v>
      </c>
      <c r="L44" s="107">
        <v>30</v>
      </c>
      <c r="M44" s="107">
        <v>20</v>
      </c>
      <c r="N44" s="107">
        <v>100</v>
      </c>
      <c r="O44" s="107">
        <v>150</v>
      </c>
      <c r="P44" s="107">
        <v>150</v>
      </c>
      <c r="Q44" s="107">
        <v>3.2</v>
      </c>
      <c r="R44" s="107">
        <v>50</v>
      </c>
      <c r="S44" s="107">
        <v>1</v>
      </c>
      <c r="T44" s="107">
        <v>1</v>
      </c>
      <c r="U44" s="107">
        <v>1.8</v>
      </c>
      <c r="V44" s="107">
        <v>2.6</v>
      </c>
      <c r="W44" s="107">
        <v>1</v>
      </c>
      <c r="X44" s="107">
        <v>27</v>
      </c>
      <c r="Y44" s="107">
        <v>20</v>
      </c>
      <c r="Z44" s="107">
        <v>300</v>
      </c>
      <c r="AA44" s="107">
        <v>76</v>
      </c>
      <c r="AB44" s="107">
        <v>1.1000000000000001</v>
      </c>
      <c r="AC44" s="107" t="s">
        <v>94</v>
      </c>
      <c r="AD44" s="107" t="s">
        <v>94</v>
      </c>
      <c r="AE44" s="107" t="s">
        <v>94</v>
      </c>
      <c r="AF44" s="107">
        <v>5.3E-3</v>
      </c>
      <c r="AG44" s="107" t="s">
        <v>94</v>
      </c>
      <c r="AH44" s="107" t="s">
        <v>94</v>
      </c>
      <c r="AI44" s="107">
        <v>4.0000000000000001E-3</v>
      </c>
      <c r="AJ44" s="107">
        <v>0.45</v>
      </c>
      <c r="AK44" s="106">
        <v>8.3000000000000007</v>
      </c>
      <c r="AL44" s="107">
        <v>2.5</v>
      </c>
      <c r="AM44" s="107">
        <v>1.6</v>
      </c>
      <c r="AN44" s="106">
        <v>17</v>
      </c>
      <c r="AO44" s="107">
        <v>23</v>
      </c>
      <c r="AP44" s="107" t="s">
        <v>94</v>
      </c>
      <c r="AQ44" s="107">
        <v>1.27</v>
      </c>
      <c r="AR44" s="107" t="s">
        <v>94</v>
      </c>
      <c r="AS44" s="107" t="s">
        <v>94</v>
      </c>
      <c r="AT44" s="107">
        <v>0.86</v>
      </c>
      <c r="AU44" s="107" t="s">
        <v>94</v>
      </c>
      <c r="AV44" s="107" t="s">
        <v>94</v>
      </c>
      <c r="AW44" s="107">
        <v>0.05</v>
      </c>
      <c r="AX44" s="107" t="s">
        <v>94</v>
      </c>
      <c r="AY44" s="107">
        <v>15</v>
      </c>
      <c r="AZ44" s="107" t="s">
        <v>94</v>
      </c>
      <c r="BA44" s="107" t="s">
        <v>94</v>
      </c>
      <c r="BB44" s="107" t="s">
        <v>94</v>
      </c>
      <c r="BC44" s="107" t="s">
        <v>94</v>
      </c>
      <c r="BD44" s="107" t="s">
        <v>94</v>
      </c>
      <c r="BE44" s="107" t="s">
        <v>94</v>
      </c>
      <c r="BF44" s="107" t="s">
        <v>94</v>
      </c>
      <c r="BG44" s="107" t="s">
        <v>94</v>
      </c>
      <c r="BH44" s="107" t="s">
        <v>94</v>
      </c>
      <c r="BI44" s="107" t="s">
        <v>94</v>
      </c>
      <c r="BJ44" s="107" t="s">
        <v>94</v>
      </c>
      <c r="BK44" s="107" t="s">
        <v>94</v>
      </c>
      <c r="BL44" s="107" t="s">
        <v>93</v>
      </c>
      <c r="BM44" s="107">
        <v>0.8</v>
      </c>
      <c r="BN44" s="107" t="s">
        <v>94</v>
      </c>
      <c r="BO44" s="107">
        <v>1155</v>
      </c>
      <c r="BP44" s="107" t="s">
        <v>94</v>
      </c>
      <c r="BQ44" s="107" t="s">
        <v>92</v>
      </c>
      <c r="BR44" s="108" t="s">
        <v>467</v>
      </c>
      <c r="BS44" s="107" t="s">
        <v>94</v>
      </c>
      <c r="BT44" s="107">
        <v>2.2000000000000002</v>
      </c>
      <c r="BU44" s="107">
        <v>2.5</v>
      </c>
      <c r="BV44" s="107">
        <v>33</v>
      </c>
      <c r="BW44" s="107">
        <v>2.2999999999999998</v>
      </c>
      <c r="BX44" s="107">
        <v>3.1</v>
      </c>
      <c r="BY44" s="107" t="s">
        <v>94</v>
      </c>
      <c r="BZ44" s="107" t="s">
        <v>209</v>
      </c>
      <c r="CA44" s="107" t="s">
        <v>94</v>
      </c>
      <c r="CB44" s="107" t="s">
        <v>94</v>
      </c>
      <c r="CC44" s="107" t="s">
        <v>94</v>
      </c>
      <c r="CD44" s="107" t="s">
        <v>94</v>
      </c>
      <c r="CE44" s="107" t="s">
        <v>94</v>
      </c>
      <c r="CF44" s="107">
        <v>0.47</v>
      </c>
    </row>
    <row r="45" spans="1:84" x14ac:dyDescent="0.25">
      <c r="A45" s="107" t="s">
        <v>468</v>
      </c>
      <c r="B45" s="107">
        <v>146</v>
      </c>
      <c r="C45" s="107" t="s">
        <v>92</v>
      </c>
      <c r="D45" s="107" t="s">
        <v>92</v>
      </c>
      <c r="E45" s="107" t="s">
        <v>94</v>
      </c>
      <c r="F45" s="107" t="s">
        <v>94</v>
      </c>
      <c r="G45" s="107" t="s">
        <v>394</v>
      </c>
      <c r="H45" s="107" t="s">
        <v>93</v>
      </c>
      <c r="I45" s="107">
        <v>1</v>
      </c>
      <c r="J45" s="107">
        <v>0</v>
      </c>
      <c r="K45" s="107">
        <v>1</v>
      </c>
      <c r="L45" s="107">
        <v>30</v>
      </c>
      <c r="M45" s="107">
        <v>20</v>
      </c>
      <c r="N45" s="107">
        <v>61</v>
      </c>
      <c r="O45" s="107">
        <v>163</v>
      </c>
      <c r="P45" s="107">
        <v>150</v>
      </c>
      <c r="Q45" s="107">
        <v>3.1</v>
      </c>
      <c r="R45" s="107">
        <v>50</v>
      </c>
      <c r="S45" s="107">
        <v>2.1</v>
      </c>
      <c r="T45" s="107">
        <v>1.1000000000000001</v>
      </c>
      <c r="U45" s="107">
        <v>2.1</v>
      </c>
      <c r="V45" s="107">
        <v>2.8</v>
      </c>
      <c r="W45" s="107">
        <v>1</v>
      </c>
      <c r="X45" s="107">
        <v>16</v>
      </c>
      <c r="Y45" s="107">
        <v>11</v>
      </c>
      <c r="Z45" s="107">
        <v>300</v>
      </c>
      <c r="AA45" s="107">
        <v>44</v>
      </c>
      <c r="AB45" s="107">
        <v>0.7</v>
      </c>
      <c r="AC45" s="107" t="s">
        <v>94</v>
      </c>
      <c r="AD45" s="107" t="s">
        <v>94</v>
      </c>
      <c r="AE45" s="107" t="s">
        <v>94</v>
      </c>
      <c r="AF45" s="107">
        <v>1.61E-2</v>
      </c>
      <c r="AG45" s="107" t="s">
        <v>94</v>
      </c>
      <c r="AH45" s="107" t="s">
        <v>94</v>
      </c>
      <c r="AI45" s="107">
        <v>1.0800000000000001E-2</v>
      </c>
      <c r="AJ45" s="107">
        <v>0.47</v>
      </c>
      <c r="AK45" s="106">
        <v>2.8</v>
      </c>
      <c r="AL45" s="107">
        <v>1</v>
      </c>
      <c r="AM45" s="107">
        <v>0.7</v>
      </c>
      <c r="AN45" s="106">
        <v>6</v>
      </c>
      <c r="AO45" s="107">
        <v>7.2</v>
      </c>
      <c r="AP45" s="107" t="s">
        <v>94</v>
      </c>
      <c r="AQ45" s="107">
        <v>0.41</v>
      </c>
      <c r="AR45" s="107" t="s">
        <v>94</v>
      </c>
      <c r="AS45" s="107" t="s">
        <v>94</v>
      </c>
      <c r="AT45" s="107">
        <v>0.27</v>
      </c>
      <c r="AU45" s="107" t="s">
        <v>94</v>
      </c>
      <c r="AV45" s="107" t="s">
        <v>94</v>
      </c>
      <c r="AW45" s="107">
        <v>2.3E-2</v>
      </c>
      <c r="AX45" s="107" t="s">
        <v>94</v>
      </c>
      <c r="AY45" s="107">
        <v>15</v>
      </c>
      <c r="AZ45" s="107" t="s">
        <v>94</v>
      </c>
      <c r="BA45" s="107" t="s">
        <v>94</v>
      </c>
      <c r="BB45" s="107" t="s">
        <v>94</v>
      </c>
      <c r="BC45" s="107" t="s">
        <v>94</v>
      </c>
      <c r="BD45" s="107" t="s">
        <v>94</v>
      </c>
      <c r="BE45" s="107" t="s">
        <v>94</v>
      </c>
      <c r="BF45" s="107" t="s">
        <v>94</v>
      </c>
      <c r="BG45" s="107" t="s">
        <v>94</v>
      </c>
      <c r="BH45" s="107" t="s">
        <v>94</v>
      </c>
      <c r="BI45" s="107" t="s">
        <v>94</v>
      </c>
      <c r="BJ45" s="107" t="s">
        <v>94</v>
      </c>
      <c r="BK45" s="107" t="s">
        <v>94</v>
      </c>
      <c r="BL45" s="107" t="s">
        <v>93</v>
      </c>
      <c r="BM45" s="107">
        <v>0.85</v>
      </c>
      <c r="BN45" s="107" t="s">
        <v>94</v>
      </c>
      <c r="BO45" s="107">
        <v>1155</v>
      </c>
      <c r="BP45" s="107" t="s">
        <v>94</v>
      </c>
      <c r="BQ45" s="107" t="s">
        <v>92</v>
      </c>
      <c r="BR45" s="108" t="s">
        <v>469</v>
      </c>
      <c r="BS45" s="107" t="s">
        <v>94</v>
      </c>
      <c r="BT45" s="107">
        <v>1.4</v>
      </c>
      <c r="BU45" s="107">
        <v>3</v>
      </c>
      <c r="BV45" s="107">
        <v>11</v>
      </c>
      <c r="BW45" s="107">
        <v>0.7</v>
      </c>
      <c r="BX45" s="107">
        <v>1.3</v>
      </c>
      <c r="BY45" s="107" t="s">
        <v>94</v>
      </c>
      <c r="BZ45" s="107" t="s">
        <v>209</v>
      </c>
      <c r="CA45" s="107" t="s">
        <v>94</v>
      </c>
      <c r="CB45" s="107" t="s">
        <v>94</v>
      </c>
      <c r="CC45" s="107" t="s">
        <v>94</v>
      </c>
      <c r="CD45" s="107" t="s">
        <v>94</v>
      </c>
      <c r="CE45" s="107" t="s">
        <v>94</v>
      </c>
      <c r="CF45" s="107">
        <v>0.23</v>
      </c>
    </row>
    <row r="46" spans="1:84" x14ac:dyDescent="0.25">
      <c r="A46" s="107" t="s">
        <v>470</v>
      </c>
      <c r="B46" s="107">
        <v>146</v>
      </c>
      <c r="C46" s="107" t="s">
        <v>92</v>
      </c>
      <c r="D46" s="107" t="s">
        <v>92</v>
      </c>
      <c r="E46" s="107" t="s">
        <v>94</v>
      </c>
      <c r="F46" s="107" t="s">
        <v>94</v>
      </c>
      <c r="G46" s="107" t="s">
        <v>394</v>
      </c>
      <c r="H46" s="107" t="s">
        <v>93</v>
      </c>
      <c r="I46" s="107">
        <v>1</v>
      </c>
      <c r="J46" s="107">
        <v>0</v>
      </c>
      <c r="K46" s="107">
        <v>1</v>
      </c>
      <c r="L46" s="107">
        <v>30</v>
      </c>
      <c r="M46" s="107">
        <v>20</v>
      </c>
      <c r="N46" s="107">
        <v>55</v>
      </c>
      <c r="O46" s="107">
        <v>129</v>
      </c>
      <c r="P46" s="107">
        <v>150</v>
      </c>
      <c r="Q46" s="107">
        <v>3</v>
      </c>
      <c r="R46" s="107">
        <v>51</v>
      </c>
      <c r="S46" s="107">
        <v>1.6</v>
      </c>
      <c r="T46" s="107">
        <v>1</v>
      </c>
      <c r="U46" s="107">
        <v>2.1</v>
      </c>
      <c r="V46" s="107">
        <v>2.9</v>
      </c>
      <c r="W46" s="107">
        <v>1</v>
      </c>
      <c r="X46" s="107">
        <v>24</v>
      </c>
      <c r="Y46" s="107">
        <v>20</v>
      </c>
      <c r="Z46" s="107">
        <v>300</v>
      </c>
      <c r="AA46" s="107">
        <v>59</v>
      </c>
      <c r="AB46" s="107">
        <v>0.85</v>
      </c>
      <c r="AC46" s="107" t="s">
        <v>94</v>
      </c>
      <c r="AD46" s="107" t="s">
        <v>94</v>
      </c>
      <c r="AE46" s="107" t="s">
        <v>94</v>
      </c>
      <c r="AF46" s="107">
        <v>7.3000000000000001E-3</v>
      </c>
      <c r="AG46" s="107" t="s">
        <v>94</v>
      </c>
      <c r="AH46" s="107" t="s">
        <v>94</v>
      </c>
      <c r="AI46" s="107">
        <v>5.1999999999999998E-3</v>
      </c>
      <c r="AJ46" s="107">
        <v>0.47</v>
      </c>
      <c r="AK46" s="106">
        <v>6.4</v>
      </c>
      <c r="AL46" s="107">
        <v>2.5</v>
      </c>
      <c r="AM46" s="107">
        <v>1.5</v>
      </c>
      <c r="AN46" s="106">
        <v>13</v>
      </c>
      <c r="AO46" s="107">
        <v>16</v>
      </c>
      <c r="AP46" s="107" t="s">
        <v>94</v>
      </c>
      <c r="AQ46" s="107">
        <v>0.96</v>
      </c>
      <c r="AR46" s="107" t="s">
        <v>94</v>
      </c>
      <c r="AS46" s="107" t="s">
        <v>94</v>
      </c>
      <c r="AT46" s="107">
        <v>0.63</v>
      </c>
      <c r="AU46" s="107" t="s">
        <v>94</v>
      </c>
      <c r="AV46" s="107" t="s">
        <v>94</v>
      </c>
      <c r="AW46" s="107">
        <v>5.0999999999999997E-2</v>
      </c>
      <c r="AX46" s="107" t="s">
        <v>94</v>
      </c>
      <c r="AY46" s="107">
        <v>15</v>
      </c>
      <c r="AZ46" s="107" t="s">
        <v>94</v>
      </c>
      <c r="BA46" s="107" t="s">
        <v>94</v>
      </c>
      <c r="BB46" s="107" t="s">
        <v>94</v>
      </c>
      <c r="BC46" s="107" t="s">
        <v>94</v>
      </c>
      <c r="BD46" s="107" t="s">
        <v>94</v>
      </c>
      <c r="BE46" s="107" t="s">
        <v>94</v>
      </c>
      <c r="BF46" s="107" t="s">
        <v>94</v>
      </c>
      <c r="BG46" s="107" t="s">
        <v>94</v>
      </c>
      <c r="BH46" s="107" t="s">
        <v>94</v>
      </c>
      <c r="BI46" s="107" t="s">
        <v>94</v>
      </c>
      <c r="BJ46" s="107" t="s">
        <v>94</v>
      </c>
      <c r="BK46" s="107" t="s">
        <v>94</v>
      </c>
      <c r="BL46" s="107" t="s">
        <v>93</v>
      </c>
      <c r="BM46" s="107">
        <v>0.85</v>
      </c>
      <c r="BN46" s="107" t="s">
        <v>94</v>
      </c>
      <c r="BO46" s="107">
        <v>1155</v>
      </c>
      <c r="BP46" s="107" t="s">
        <v>94</v>
      </c>
      <c r="BQ46" s="107" t="s">
        <v>92</v>
      </c>
      <c r="BR46" s="108" t="s">
        <v>471</v>
      </c>
      <c r="BS46" s="107" t="s">
        <v>94</v>
      </c>
      <c r="BT46" s="107">
        <v>1.7</v>
      </c>
      <c r="BU46" s="107">
        <v>3</v>
      </c>
      <c r="BV46" s="107">
        <v>25</v>
      </c>
      <c r="BW46" s="107">
        <v>1.9</v>
      </c>
      <c r="BX46" s="107">
        <v>2.7</v>
      </c>
      <c r="BY46" s="107" t="s">
        <v>94</v>
      </c>
      <c r="BZ46" s="107" t="s">
        <v>209</v>
      </c>
      <c r="CA46" s="107" t="s">
        <v>94</v>
      </c>
      <c r="CB46" s="107" t="s">
        <v>94</v>
      </c>
      <c r="CC46" s="107" t="s">
        <v>94</v>
      </c>
      <c r="CD46" s="107" t="s">
        <v>94</v>
      </c>
      <c r="CE46" s="107" t="s">
        <v>94</v>
      </c>
      <c r="CF46" s="107">
        <v>0.34</v>
      </c>
    </row>
    <row r="47" spans="1:84" x14ac:dyDescent="0.25">
      <c r="A47" s="107" t="s">
        <v>472</v>
      </c>
      <c r="B47" s="107">
        <v>146</v>
      </c>
      <c r="C47" s="107" t="s">
        <v>92</v>
      </c>
      <c r="D47" s="107" t="s">
        <v>92</v>
      </c>
      <c r="E47" s="107" t="s">
        <v>94</v>
      </c>
      <c r="F47" s="107" t="s">
        <v>94</v>
      </c>
      <c r="G47" s="107" t="s">
        <v>394</v>
      </c>
      <c r="H47" s="107" t="s">
        <v>93</v>
      </c>
      <c r="I47" s="107">
        <v>1</v>
      </c>
      <c r="J47" s="107">
        <v>0</v>
      </c>
      <c r="K47" s="107">
        <v>1</v>
      </c>
      <c r="L47" s="107">
        <v>30</v>
      </c>
      <c r="M47" s="107">
        <v>20</v>
      </c>
      <c r="N47" s="107">
        <v>87</v>
      </c>
      <c r="O47" s="107">
        <v>104</v>
      </c>
      <c r="P47" s="107">
        <v>150</v>
      </c>
      <c r="Q47" s="107">
        <v>3</v>
      </c>
      <c r="R47" s="107">
        <v>51</v>
      </c>
      <c r="S47" s="107">
        <v>1.8</v>
      </c>
      <c r="T47" s="107">
        <v>1.1000000000000001</v>
      </c>
      <c r="U47" s="107">
        <v>2</v>
      </c>
      <c r="V47" s="107">
        <v>3.1</v>
      </c>
      <c r="W47" s="107">
        <v>1</v>
      </c>
      <c r="X47" s="107">
        <v>17.8</v>
      </c>
      <c r="Y47" s="107">
        <v>14</v>
      </c>
      <c r="Z47" s="107">
        <v>300</v>
      </c>
      <c r="AA47" s="107">
        <v>37</v>
      </c>
      <c r="AB47" s="107">
        <v>4.7</v>
      </c>
      <c r="AC47" s="107" t="s">
        <v>94</v>
      </c>
      <c r="AD47" s="107" t="s">
        <v>94</v>
      </c>
      <c r="AE47" s="107" t="s">
        <v>94</v>
      </c>
      <c r="AF47" s="107">
        <v>1.24E-2</v>
      </c>
      <c r="AG47" s="107" t="s">
        <v>94</v>
      </c>
      <c r="AH47" s="107" t="s">
        <v>94</v>
      </c>
      <c r="AI47" s="107">
        <v>8.0999999999999996E-3</v>
      </c>
      <c r="AJ47" s="107">
        <v>0.42</v>
      </c>
      <c r="AK47" s="106">
        <v>3.6</v>
      </c>
      <c r="AL47" s="107">
        <v>1</v>
      </c>
      <c r="AM47" s="107">
        <v>0.9</v>
      </c>
      <c r="AN47" s="106">
        <v>7.5</v>
      </c>
      <c r="AO47" s="107">
        <v>8.6</v>
      </c>
      <c r="AP47" s="107" t="s">
        <v>94</v>
      </c>
      <c r="AQ47" s="107">
        <v>0.57999999999999996</v>
      </c>
      <c r="AR47" s="107" t="s">
        <v>94</v>
      </c>
      <c r="AS47" s="107" t="s">
        <v>94</v>
      </c>
      <c r="AT47" s="107">
        <v>0.39</v>
      </c>
      <c r="AU47" s="107" t="s">
        <v>94</v>
      </c>
      <c r="AV47" s="107" t="s">
        <v>94</v>
      </c>
      <c r="AW47" s="107">
        <v>3.5000000000000003E-2</v>
      </c>
      <c r="AX47" s="107" t="s">
        <v>94</v>
      </c>
      <c r="AY47" s="107">
        <v>15</v>
      </c>
      <c r="AZ47" s="107" t="s">
        <v>94</v>
      </c>
      <c r="BA47" s="107" t="s">
        <v>94</v>
      </c>
      <c r="BB47" s="107" t="s">
        <v>94</v>
      </c>
      <c r="BC47" s="107" t="s">
        <v>94</v>
      </c>
      <c r="BD47" s="107" t="s">
        <v>94</v>
      </c>
      <c r="BE47" s="107" t="s">
        <v>94</v>
      </c>
      <c r="BF47" s="107" t="s">
        <v>94</v>
      </c>
      <c r="BG47" s="107" t="s">
        <v>94</v>
      </c>
      <c r="BH47" s="107" t="s">
        <v>94</v>
      </c>
      <c r="BI47" s="107" t="s">
        <v>94</v>
      </c>
      <c r="BJ47" s="107" t="s">
        <v>94</v>
      </c>
      <c r="BK47" s="107" t="s">
        <v>94</v>
      </c>
      <c r="BL47" s="107" t="s">
        <v>93</v>
      </c>
      <c r="BM47" s="107">
        <v>0.85</v>
      </c>
      <c r="BN47" s="107" t="s">
        <v>94</v>
      </c>
      <c r="BO47" s="107">
        <v>1155</v>
      </c>
      <c r="BP47" s="107" t="s">
        <v>94</v>
      </c>
      <c r="BQ47" s="107" t="s">
        <v>92</v>
      </c>
      <c r="BR47" s="108" t="s">
        <v>473</v>
      </c>
      <c r="BS47" s="107" t="s">
        <v>94</v>
      </c>
      <c r="BT47" s="107" t="s">
        <v>94</v>
      </c>
      <c r="BU47" s="107">
        <v>3</v>
      </c>
      <c r="BV47" s="107">
        <v>19.600000000000001</v>
      </c>
      <c r="BW47" s="107">
        <v>1.1000000000000001</v>
      </c>
      <c r="BX47" s="107">
        <v>1.6</v>
      </c>
      <c r="BY47" s="107" t="s">
        <v>94</v>
      </c>
      <c r="BZ47" s="107" t="s">
        <v>209</v>
      </c>
      <c r="CA47" s="107" t="s">
        <v>94</v>
      </c>
      <c r="CB47" s="107" t="s">
        <v>94</v>
      </c>
      <c r="CC47" s="107" t="s">
        <v>94</v>
      </c>
      <c r="CD47" s="107" t="s">
        <v>94</v>
      </c>
      <c r="CE47" s="107" t="s">
        <v>94</v>
      </c>
      <c r="CF47" s="107">
        <v>0.36</v>
      </c>
    </row>
    <row r="48" spans="1:84" x14ac:dyDescent="0.25">
      <c r="A48" s="107" t="s">
        <v>474</v>
      </c>
      <c r="B48" s="107">
        <v>146</v>
      </c>
      <c r="C48" s="107" t="s">
        <v>92</v>
      </c>
      <c r="D48" s="107" t="s">
        <v>92</v>
      </c>
      <c r="E48" s="107" t="s">
        <v>94</v>
      </c>
      <c r="F48" s="107" t="s">
        <v>94</v>
      </c>
      <c r="G48" s="107" t="s">
        <v>394</v>
      </c>
      <c r="H48" s="107" t="s">
        <v>93</v>
      </c>
      <c r="I48" s="107">
        <v>1</v>
      </c>
      <c r="J48" s="107">
        <v>0</v>
      </c>
      <c r="K48" s="107">
        <v>1</v>
      </c>
      <c r="L48" s="107">
        <v>30</v>
      </c>
      <c r="M48" s="107">
        <v>20</v>
      </c>
      <c r="N48" s="107">
        <v>65</v>
      </c>
      <c r="O48" s="107">
        <v>85</v>
      </c>
      <c r="P48" s="107">
        <v>150</v>
      </c>
      <c r="Q48" s="107">
        <v>3</v>
      </c>
      <c r="R48" s="107">
        <v>51</v>
      </c>
      <c r="S48" s="107">
        <v>1.9</v>
      </c>
      <c r="T48" s="107">
        <v>1.1000000000000001</v>
      </c>
      <c r="U48" s="107">
        <v>2</v>
      </c>
      <c r="V48" s="107">
        <v>3</v>
      </c>
      <c r="W48" s="107">
        <v>1</v>
      </c>
      <c r="X48" s="107">
        <v>14.6</v>
      </c>
      <c r="Y48" s="107">
        <v>11</v>
      </c>
      <c r="Z48" s="107">
        <v>300</v>
      </c>
      <c r="AA48" s="107">
        <v>44</v>
      </c>
      <c r="AB48" s="107">
        <v>4.7</v>
      </c>
      <c r="AC48" s="107" t="s">
        <v>94</v>
      </c>
      <c r="AD48" s="107" t="s">
        <v>94</v>
      </c>
      <c r="AE48" s="107" t="s">
        <v>94</v>
      </c>
      <c r="AF48" s="107">
        <v>1.55E-2</v>
      </c>
      <c r="AG48" s="107" t="s">
        <v>94</v>
      </c>
      <c r="AH48" s="107" t="s">
        <v>94</v>
      </c>
      <c r="AI48" s="107">
        <v>1.0800000000000001E-2</v>
      </c>
      <c r="AJ48" s="107">
        <v>0.5</v>
      </c>
      <c r="AK48" s="106">
        <v>2.8</v>
      </c>
      <c r="AL48" s="107">
        <v>1</v>
      </c>
      <c r="AM48" s="107">
        <v>0.6</v>
      </c>
      <c r="AN48" s="106">
        <v>6</v>
      </c>
      <c r="AO48" s="107">
        <v>6.8</v>
      </c>
      <c r="AP48" s="107" t="s">
        <v>94</v>
      </c>
      <c r="AQ48" s="107">
        <v>0.42199999999999999</v>
      </c>
      <c r="AR48" s="107" t="s">
        <v>94</v>
      </c>
      <c r="AS48" s="107" t="s">
        <v>94</v>
      </c>
      <c r="AT48" s="107">
        <v>0.28599999999999998</v>
      </c>
      <c r="AU48" s="107" t="s">
        <v>94</v>
      </c>
      <c r="AV48" s="107" t="s">
        <v>94</v>
      </c>
      <c r="AW48" s="107">
        <v>2.5999999999999999E-2</v>
      </c>
      <c r="AX48" s="107" t="s">
        <v>94</v>
      </c>
      <c r="AY48" s="107">
        <v>15</v>
      </c>
      <c r="AZ48" s="107" t="s">
        <v>94</v>
      </c>
      <c r="BA48" s="107" t="s">
        <v>94</v>
      </c>
      <c r="BB48" s="107" t="s">
        <v>94</v>
      </c>
      <c r="BC48" s="107" t="s">
        <v>94</v>
      </c>
      <c r="BD48" s="107" t="s">
        <v>94</v>
      </c>
      <c r="BE48" s="107" t="s">
        <v>94</v>
      </c>
      <c r="BF48" s="107" t="s">
        <v>94</v>
      </c>
      <c r="BG48" s="107" t="s">
        <v>94</v>
      </c>
      <c r="BH48" s="107" t="s">
        <v>94</v>
      </c>
      <c r="BI48" s="107" t="s">
        <v>94</v>
      </c>
      <c r="BJ48" s="107" t="s">
        <v>94</v>
      </c>
      <c r="BK48" s="107" t="s">
        <v>94</v>
      </c>
      <c r="BL48" s="107" t="s">
        <v>93</v>
      </c>
      <c r="BM48" s="107">
        <v>0.85</v>
      </c>
      <c r="BN48" s="107" t="s">
        <v>94</v>
      </c>
      <c r="BO48" s="107">
        <v>1155</v>
      </c>
      <c r="BP48" s="107" t="s">
        <v>94</v>
      </c>
      <c r="BQ48" s="107" t="s">
        <v>92</v>
      </c>
      <c r="BR48" s="108" t="s">
        <v>475</v>
      </c>
      <c r="BS48" s="107" t="s">
        <v>94</v>
      </c>
      <c r="BT48" s="107" t="s">
        <v>94</v>
      </c>
      <c r="BU48" s="107">
        <v>3.1</v>
      </c>
      <c r="BV48" s="107">
        <v>10.5</v>
      </c>
      <c r="BW48" s="107">
        <v>0.8</v>
      </c>
      <c r="BX48" s="107">
        <v>1.2</v>
      </c>
      <c r="BY48" s="107" t="s">
        <v>94</v>
      </c>
      <c r="BZ48" s="107" t="s">
        <v>209</v>
      </c>
      <c r="CA48" s="107" t="s">
        <v>94</v>
      </c>
      <c r="CB48" s="107" t="s">
        <v>94</v>
      </c>
      <c r="CC48" s="107" t="s">
        <v>94</v>
      </c>
      <c r="CD48" s="107" t="s">
        <v>94</v>
      </c>
      <c r="CE48" s="107" t="s">
        <v>94</v>
      </c>
      <c r="CF48" s="107">
        <v>0.33</v>
      </c>
    </row>
    <row r="49" spans="1:84" x14ac:dyDescent="0.25">
      <c r="A49" s="107" t="s">
        <v>476</v>
      </c>
      <c r="B49" s="107">
        <v>146</v>
      </c>
      <c r="C49" s="107" t="s">
        <v>92</v>
      </c>
      <c r="D49" s="107" t="s">
        <v>92</v>
      </c>
      <c r="E49" s="107" t="s">
        <v>94</v>
      </c>
      <c r="F49" s="107" t="s">
        <v>94</v>
      </c>
      <c r="G49" s="107" t="s">
        <v>394</v>
      </c>
      <c r="H49" s="107" t="s">
        <v>93</v>
      </c>
      <c r="I49" s="107">
        <v>1</v>
      </c>
      <c r="J49" s="107">
        <v>0</v>
      </c>
      <c r="K49" s="107">
        <v>1</v>
      </c>
      <c r="L49" s="107">
        <v>30</v>
      </c>
      <c r="M49" s="107">
        <v>20</v>
      </c>
      <c r="N49" s="107">
        <v>48</v>
      </c>
      <c r="O49" s="107">
        <v>71</v>
      </c>
      <c r="P49" s="107">
        <v>150</v>
      </c>
      <c r="Q49" s="107">
        <v>2.6</v>
      </c>
      <c r="R49" s="107">
        <v>60</v>
      </c>
      <c r="S49" s="107">
        <v>3.9</v>
      </c>
      <c r="T49" s="107">
        <v>1.1000000000000001</v>
      </c>
      <c r="U49" s="107">
        <v>2.1</v>
      </c>
      <c r="V49" s="107">
        <v>2.9</v>
      </c>
      <c r="W49" s="107">
        <v>1</v>
      </c>
      <c r="X49" s="107">
        <v>14</v>
      </c>
      <c r="Y49" s="107">
        <v>11</v>
      </c>
      <c r="Z49" s="107">
        <v>300</v>
      </c>
      <c r="AA49" s="107">
        <v>101</v>
      </c>
      <c r="AB49" s="107">
        <v>1.5</v>
      </c>
      <c r="AC49" s="107" t="s">
        <v>94</v>
      </c>
      <c r="AD49" s="107" t="s">
        <v>94</v>
      </c>
      <c r="AE49" s="107" t="s">
        <v>94</v>
      </c>
      <c r="AF49" s="107">
        <v>1.18E-2</v>
      </c>
      <c r="AG49" s="107" t="s">
        <v>94</v>
      </c>
      <c r="AH49" s="107" t="s">
        <v>94</v>
      </c>
      <c r="AI49" s="107">
        <v>8.9999999999999993E-3</v>
      </c>
      <c r="AJ49" s="107">
        <v>0.7</v>
      </c>
      <c r="AK49" s="106">
        <v>6</v>
      </c>
      <c r="AL49" s="107">
        <v>3</v>
      </c>
      <c r="AM49" s="107">
        <v>1.4</v>
      </c>
      <c r="AN49" s="106">
        <v>13</v>
      </c>
      <c r="AO49" s="107">
        <v>7.4</v>
      </c>
      <c r="AP49" s="107" t="s">
        <v>94</v>
      </c>
      <c r="AQ49" s="107">
        <v>1.05</v>
      </c>
      <c r="AR49" s="107" t="s">
        <v>94</v>
      </c>
      <c r="AS49" s="107" t="s">
        <v>94</v>
      </c>
      <c r="AT49" s="107">
        <v>0.24399999999999999</v>
      </c>
      <c r="AU49" s="107" t="s">
        <v>94</v>
      </c>
      <c r="AV49" s="107" t="s">
        <v>94</v>
      </c>
      <c r="AW49" s="107">
        <v>2.4E-2</v>
      </c>
      <c r="AX49" s="107" t="s">
        <v>94</v>
      </c>
      <c r="AY49" s="107">
        <v>15</v>
      </c>
      <c r="AZ49" s="107" t="s">
        <v>94</v>
      </c>
      <c r="BA49" s="107" t="s">
        <v>94</v>
      </c>
      <c r="BB49" s="107" t="s">
        <v>94</v>
      </c>
      <c r="BC49" s="107" t="s">
        <v>94</v>
      </c>
      <c r="BD49" s="107" t="s">
        <v>94</v>
      </c>
      <c r="BE49" s="107" t="s">
        <v>94</v>
      </c>
      <c r="BF49" s="107" t="s">
        <v>94</v>
      </c>
      <c r="BG49" s="107" t="s">
        <v>94</v>
      </c>
      <c r="BH49" s="107" t="s">
        <v>94</v>
      </c>
      <c r="BI49" s="107" t="s">
        <v>94</v>
      </c>
      <c r="BJ49" s="107" t="s">
        <v>94</v>
      </c>
      <c r="BK49" s="107" t="s">
        <v>94</v>
      </c>
      <c r="BL49" s="107" t="s">
        <v>93</v>
      </c>
      <c r="BM49" s="107">
        <v>0.8</v>
      </c>
      <c r="BN49" s="107" t="s">
        <v>94</v>
      </c>
      <c r="BO49" s="107">
        <v>1155</v>
      </c>
      <c r="BP49" s="107" t="s">
        <v>94</v>
      </c>
      <c r="BQ49" s="107" t="s">
        <v>92</v>
      </c>
      <c r="BR49" s="108" t="s">
        <v>477</v>
      </c>
      <c r="BS49" s="107" t="s">
        <v>94</v>
      </c>
      <c r="BT49" s="107">
        <v>3</v>
      </c>
      <c r="BU49" s="107">
        <v>2.8</v>
      </c>
      <c r="BV49" s="107">
        <v>13</v>
      </c>
      <c r="BW49" s="107">
        <v>1.5</v>
      </c>
      <c r="BX49" s="107">
        <v>2.2999999999999998</v>
      </c>
      <c r="BY49" s="107" t="s">
        <v>94</v>
      </c>
      <c r="BZ49" s="107" t="s">
        <v>121</v>
      </c>
      <c r="CA49" s="107" t="s">
        <v>94</v>
      </c>
      <c r="CB49" s="107" t="s">
        <v>94</v>
      </c>
      <c r="CC49" s="107" t="s">
        <v>94</v>
      </c>
      <c r="CD49" s="107" t="s">
        <v>94</v>
      </c>
      <c r="CE49" s="107" t="s">
        <v>94</v>
      </c>
      <c r="CF49" s="107">
        <v>0.23</v>
      </c>
    </row>
    <row r="50" spans="1:84" x14ac:dyDescent="0.25">
      <c r="A50" s="107" t="s">
        <v>478</v>
      </c>
      <c r="B50" s="107">
        <v>146</v>
      </c>
      <c r="C50" s="107" t="s">
        <v>92</v>
      </c>
      <c r="D50" s="107" t="s">
        <v>92</v>
      </c>
      <c r="E50" s="107" t="s">
        <v>94</v>
      </c>
      <c r="F50" s="107" t="s">
        <v>94</v>
      </c>
      <c r="G50" s="107" t="s">
        <v>394</v>
      </c>
      <c r="H50" s="107" t="s">
        <v>93</v>
      </c>
      <c r="I50" s="107">
        <v>1</v>
      </c>
      <c r="J50" s="107">
        <v>0</v>
      </c>
      <c r="K50" s="107">
        <v>1</v>
      </c>
      <c r="L50" s="107">
        <v>30</v>
      </c>
      <c r="M50" s="107">
        <v>20</v>
      </c>
      <c r="N50" s="107">
        <v>48</v>
      </c>
      <c r="O50" s="107">
        <v>85</v>
      </c>
      <c r="P50" s="107">
        <v>150</v>
      </c>
      <c r="Q50" s="107">
        <v>3</v>
      </c>
      <c r="R50" s="107">
        <v>52.3</v>
      </c>
      <c r="S50" s="107">
        <v>4.2</v>
      </c>
      <c r="T50" s="107">
        <v>1.2</v>
      </c>
      <c r="U50" s="107">
        <v>2.2000000000000002</v>
      </c>
      <c r="V50" s="107">
        <v>2.9</v>
      </c>
      <c r="W50" s="107">
        <v>1</v>
      </c>
      <c r="X50" s="107">
        <v>13.5</v>
      </c>
      <c r="Y50" s="107">
        <v>11</v>
      </c>
      <c r="Z50" s="107">
        <v>300</v>
      </c>
      <c r="AA50" s="107">
        <v>107</v>
      </c>
      <c r="AB50" s="107">
        <v>1.4</v>
      </c>
      <c r="AC50" s="107" t="s">
        <v>94</v>
      </c>
      <c r="AD50" s="107" t="s">
        <v>94</v>
      </c>
      <c r="AE50" s="107" t="s">
        <v>94</v>
      </c>
      <c r="AF50" s="107">
        <v>1.0999999999999999E-2</v>
      </c>
      <c r="AG50" s="107" t="s">
        <v>94</v>
      </c>
      <c r="AH50" s="107" t="s">
        <v>94</v>
      </c>
      <c r="AI50" s="107">
        <v>8.8000000000000005E-3</v>
      </c>
      <c r="AJ50" s="107">
        <v>0.75</v>
      </c>
      <c r="AK50" s="106">
        <v>6</v>
      </c>
      <c r="AL50" s="107">
        <v>3</v>
      </c>
      <c r="AM50" s="107">
        <v>1.4</v>
      </c>
      <c r="AN50" s="106">
        <v>13</v>
      </c>
      <c r="AO50" s="107">
        <v>7.2</v>
      </c>
      <c r="AP50" s="107" t="s">
        <v>94</v>
      </c>
      <c r="AQ50" s="107">
        <v>1.06</v>
      </c>
      <c r="AR50" s="107" t="s">
        <v>94</v>
      </c>
      <c r="AS50" s="107" t="s">
        <v>94</v>
      </c>
      <c r="AT50" s="107">
        <v>0.247</v>
      </c>
      <c r="AU50" s="107" t="s">
        <v>94</v>
      </c>
      <c r="AV50" s="107" t="s">
        <v>94</v>
      </c>
      <c r="AW50" s="107">
        <v>1.9E-2</v>
      </c>
      <c r="AX50" s="107" t="s">
        <v>94</v>
      </c>
      <c r="AY50" s="107">
        <v>15</v>
      </c>
      <c r="AZ50" s="107" t="s">
        <v>94</v>
      </c>
      <c r="BA50" s="107" t="s">
        <v>94</v>
      </c>
      <c r="BB50" s="107" t="s">
        <v>94</v>
      </c>
      <c r="BC50" s="107" t="s">
        <v>94</v>
      </c>
      <c r="BD50" s="107" t="s">
        <v>94</v>
      </c>
      <c r="BE50" s="107" t="s">
        <v>94</v>
      </c>
      <c r="BF50" s="107" t="s">
        <v>94</v>
      </c>
      <c r="BG50" s="107" t="s">
        <v>94</v>
      </c>
      <c r="BH50" s="107" t="s">
        <v>94</v>
      </c>
      <c r="BI50" s="107" t="s">
        <v>94</v>
      </c>
      <c r="BJ50" s="107" t="s">
        <v>94</v>
      </c>
      <c r="BK50" s="107" t="s">
        <v>94</v>
      </c>
      <c r="BL50" s="107" t="s">
        <v>93</v>
      </c>
      <c r="BM50" s="107">
        <v>0.8</v>
      </c>
      <c r="BN50" s="107" t="s">
        <v>94</v>
      </c>
      <c r="BO50" s="107">
        <v>1155</v>
      </c>
      <c r="BP50" s="107" t="s">
        <v>94</v>
      </c>
      <c r="BQ50" s="107" t="s">
        <v>92</v>
      </c>
      <c r="BR50" s="108" t="s">
        <v>479</v>
      </c>
      <c r="BS50" s="107" t="s">
        <v>94</v>
      </c>
      <c r="BT50" s="107">
        <v>1.9</v>
      </c>
      <c r="BU50" s="107">
        <v>2.8</v>
      </c>
      <c r="BV50" s="107">
        <v>8.6999999999999993</v>
      </c>
      <c r="BW50" s="107">
        <v>1.4</v>
      </c>
      <c r="BX50" s="107">
        <v>2.8</v>
      </c>
      <c r="BY50" s="107" t="s">
        <v>94</v>
      </c>
      <c r="BZ50" s="107" t="s">
        <v>114</v>
      </c>
      <c r="CA50" s="107" t="s">
        <v>94</v>
      </c>
      <c r="CB50" s="107" t="s">
        <v>94</v>
      </c>
      <c r="CC50" s="107" t="s">
        <v>94</v>
      </c>
      <c r="CD50" s="107" t="s">
        <v>94</v>
      </c>
      <c r="CE50" s="107" t="s">
        <v>94</v>
      </c>
      <c r="CF50" s="107">
        <v>0.28999999999999998</v>
      </c>
    </row>
    <row r="51" spans="1:84" x14ac:dyDescent="0.25">
      <c r="A51" s="107" t="s">
        <v>480</v>
      </c>
      <c r="B51" s="107">
        <v>146</v>
      </c>
      <c r="C51" s="107" t="s">
        <v>92</v>
      </c>
      <c r="D51" s="107" t="s">
        <v>92</v>
      </c>
      <c r="E51" s="107" t="s">
        <v>94</v>
      </c>
      <c r="F51" s="107" t="s">
        <v>94</v>
      </c>
      <c r="G51" s="107" t="s">
        <v>394</v>
      </c>
      <c r="H51" s="107" t="s">
        <v>93</v>
      </c>
      <c r="I51" s="107">
        <v>1</v>
      </c>
      <c r="J51" s="107">
        <v>0</v>
      </c>
      <c r="K51" s="107">
        <v>1</v>
      </c>
      <c r="L51" s="107">
        <v>30</v>
      </c>
      <c r="M51" s="107">
        <v>20</v>
      </c>
      <c r="N51" s="107">
        <v>60</v>
      </c>
      <c r="O51" s="107">
        <v>84</v>
      </c>
      <c r="P51" s="107">
        <v>150</v>
      </c>
      <c r="Q51" s="107">
        <v>2.6</v>
      </c>
      <c r="R51" s="107">
        <v>60</v>
      </c>
      <c r="S51" s="107">
        <v>2.2999999999999998</v>
      </c>
      <c r="T51" s="107">
        <v>1.1000000000000001</v>
      </c>
      <c r="U51" s="107">
        <v>1.9</v>
      </c>
      <c r="V51" s="107">
        <v>2.6</v>
      </c>
      <c r="W51" s="107">
        <v>1</v>
      </c>
      <c r="X51" s="107">
        <v>15</v>
      </c>
      <c r="Y51" s="107">
        <v>11</v>
      </c>
      <c r="Z51" s="107">
        <v>300</v>
      </c>
      <c r="AA51" s="107">
        <v>106</v>
      </c>
      <c r="AB51" s="107">
        <v>0.9</v>
      </c>
      <c r="AC51" s="107" t="s">
        <v>94</v>
      </c>
      <c r="AD51" s="107" t="s">
        <v>94</v>
      </c>
      <c r="AE51" s="107" t="s">
        <v>94</v>
      </c>
      <c r="AF51" s="107">
        <v>8.0999999999999996E-3</v>
      </c>
      <c r="AG51" s="107" t="s">
        <v>94</v>
      </c>
      <c r="AH51" s="107" t="s">
        <v>94</v>
      </c>
      <c r="AI51" s="107">
        <v>6.0000000000000001E-3</v>
      </c>
      <c r="AJ51" s="107">
        <v>0.7</v>
      </c>
      <c r="AK51" s="106">
        <v>9</v>
      </c>
      <c r="AL51" s="107">
        <v>5</v>
      </c>
      <c r="AM51" s="107">
        <v>1.8</v>
      </c>
      <c r="AN51" s="106">
        <v>18</v>
      </c>
      <c r="AO51" s="107">
        <v>11</v>
      </c>
      <c r="AP51" s="107" t="s">
        <v>94</v>
      </c>
      <c r="AQ51" s="107">
        <v>1.58</v>
      </c>
      <c r="AR51" s="107" t="s">
        <v>94</v>
      </c>
      <c r="AS51" s="107" t="s">
        <v>94</v>
      </c>
      <c r="AT51" s="107">
        <v>0.38500000000000001</v>
      </c>
      <c r="AU51" s="107" t="s">
        <v>94</v>
      </c>
      <c r="AV51" s="107" t="s">
        <v>94</v>
      </c>
      <c r="AW51" s="107">
        <v>2.8000000000000001E-2</v>
      </c>
      <c r="AX51" s="107" t="s">
        <v>94</v>
      </c>
      <c r="AY51" s="107">
        <v>15</v>
      </c>
      <c r="AZ51" s="107" t="s">
        <v>94</v>
      </c>
      <c r="BA51" s="107" t="s">
        <v>94</v>
      </c>
      <c r="BB51" s="107" t="s">
        <v>94</v>
      </c>
      <c r="BC51" s="107" t="s">
        <v>94</v>
      </c>
      <c r="BD51" s="107" t="s">
        <v>94</v>
      </c>
      <c r="BE51" s="107" t="s">
        <v>94</v>
      </c>
      <c r="BF51" s="107" t="s">
        <v>94</v>
      </c>
      <c r="BG51" s="107" t="s">
        <v>94</v>
      </c>
      <c r="BH51" s="107" t="s">
        <v>94</v>
      </c>
      <c r="BI51" s="107" t="s">
        <v>94</v>
      </c>
      <c r="BJ51" s="107" t="s">
        <v>94</v>
      </c>
      <c r="BK51" s="107" t="s">
        <v>94</v>
      </c>
      <c r="BL51" s="107" t="s">
        <v>93</v>
      </c>
      <c r="BM51" s="107">
        <v>0.8</v>
      </c>
      <c r="BN51" s="107" t="s">
        <v>94</v>
      </c>
      <c r="BO51" s="107">
        <v>1155</v>
      </c>
      <c r="BP51" s="107" t="s">
        <v>94</v>
      </c>
      <c r="BQ51" s="107" t="s">
        <v>92</v>
      </c>
      <c r="BR51" s="108" t="s">
        <v>481</v>
      </c>
      <c r="BS51" s="107" t="s">
        <v>94</v>
      </c>
      <c r="BT51" s="107">
        <v>1.8</v>
      </c>
      <c r="BU51" s="107">
        <v>2.8</v>
      </c>
      <c r="BV51" s="107">
        <v>17</v>
      </c>
      <c r="BW51" s="107">
        <v>2.2999999999999998</v>
      </c>
      <c r="BX51" s="107">
        <v>3.6</v>
      </c>
      <c r="BY51" s="107" t="s">
        <v>94</v>
      </c>
      <c r="BZ51" s="107" t="s">
        <v>121</v>
      </c>
      <c r="CA51" s="107" t="s">
        <v>94</v>
      </c>
      <c r="CB51" s="107" t="s">
        <v>94</v>
      </c>
      <c r="CC51" s="107" t="s">
        <v>94</v>
      </c>
      <c r="CD51" s="107" t="s">
        <v>94</v>
      </c>
      <c r="CE51" s="107" t="s">
        <v>94</v>
      </c>
      <c r="CF51" s="107">
        <v>0.28000000000000003</v>
      </c>
    </row>
    <row r="52" spans="1:84" x14ac:dyDescent="0.25">
      <c r="A52" s="107" t="s">
        <v>482</v>
      </c>
      <c r="B52" s="107">
        <v>146</v>
      </c>
      <c r="C52" s="107" t="s">
        <v>92</v>
      </c>
      <c r="D52" s="107" t="s">
        <v>92</v>
      </c>
      <c r="E52" s="107" t="s">
        <v>94</v>
      </c>
      <c r="F52" s="107" t="s">
        <v>94</v>
      </c>
      <c r="G52" s="107" t="s">
        <v>394</v>
      </c>
      <c r="H52" s="107" t="s">
        <v>93</v>
      </c>
      <c r="I52" s="107">
        <v>1</v>
      </c>
      <c r="J52" s="107">
        <v>0</v>
      </c>
      <c r="K52" s="107">
        <v>1</v>
      </c>
      <c r="L52" s="107">
        <v>30</v>
      </c>
      <c r="M52" s="107">
        <v>20</v>
      </c>
      <c r="N52" s="107">
        <v>88</v>
      </c>
      <c r="O52" s="107">
        <v>106</v>
      </c>
      <c r="P52" s="107">
        <v>150</v>
      </c>
      <c r="Q52" s="107">
        <v>3</v>
      </c>
      <c r="R52" s="107">
        <v>50</v>
      </c>
      <c r="S52" s="107">
        <v>1.8</v>
      </c>
      <c r="T52" s="107">
        <v>1.1000000000000001</v>
      </c>
      <c r="U52" s="107">
        <v>1.9</v>
      </c>
      <c r="V52" s="107">
        <v>2.6</v>
      </c>
      <c r="W52" s="107">
        <v>1</v>
      </c>
      <c r="X52" s="107">
        <v>18</v>
      </c>
      <c r="Y52" s="107">
        <v>15</v>
      </c>
      <c r="Z52" s="107">
        <v>300</v>
      </c>
      <c r="AA52" s="107">
        <v>77</v>
      </c>
      <c r="AB52" s="107">
        <v>0.9</v>
      </c>
      <c r="AC52" s="107" t="s">
        <v>94</v>
      </c>
      <c r="AD52" s="107" t="s">
        <v>94</v>
      </c>
      <c r="AE52" s="107" t="s">
        <v>94</v>
      </c>
      <c r="AF52" s="107">
        <v>7.4999999999999997E-3</v>
      </c>
      <c r="AG52" s="107" t="s">
        <v>94</v>
      </c>
      <c r="AH52" s="107" t="s">
        <v>94</v>
      </c>
      <c r="AI52" s="107">
        <v>6.1999999999999998E-3</v>
      </c>
      <c r="AJ52" s="107">
        <v>0.75</v>
      </c>
      <c r="AK52" s="106">
        <v>9</v>
      </c>
      <c r="AL52" s="107">
        <v>4</v>
      </c>
      <c r="AM52" s="107">
        <v>2.1</v>
      </c>
      <c r="AN52" s="106">
        <v>18</v>
      </c>
      <c r="AO52" s="107">
        <v>11</v>
      </c>
      <c r="AP52" s="107" t="s">
        <v>94</v>
      </c>
      <c r="AQ52" s="107">
        <v>1.58</v>
      </c>
      <c r="AR52" s="107" t="s">
        <v>94</v>
      </c>
      <c r="AS52" s="107" t="s">
        <v>94</v>
      </c>
      <c r="AT52" s="107">
        <v>0.38500000000000001</v>
      </c>
      <c r="AU52" s="107" t="s">
        <v>94</v>
      </c>
      <c r="AV52" s="107" t="s">
        <v>94</v>
      </c>
      <c r="AW52" s="107">
        <v>2.8000000000000001E-2</v>
      </c>
      <c r="AX52" s="107" t="s">
        <v>94</v>
      </c>
      <c r="AY52" s="107">
        <v>15</v>
      </c>
      <c r="AZ52" s="107" t="s">
        <v>94</v>
      </c>
      <c r="BA52" s="107" t="s">
        <v>94</v>
      </c>
      <c r="BB52" s="107" t="s">
        <v>94</v>
      </c>
      <c r="BC52" s="107" t="s">
        <v>94</v>
      </c>
      <c r="BD52" s="107" t="s">
        <v>94</v>
      </c>
      <c r="BE52" s="107" t="s">
        <v>94</v>
      </c>
      <c r="BF52" s="107" t="s">
        <v>94</v>
      </c>
      <c r="BG52" s="107" t="s">
        <v>94</v>
      </c>
      <c r="BH52" s="107" t="s">
        <v>94</v>
      </c>
      <c r="BI52" s="107" t="s">
        <v>94</v>
      </c>
      <c r="BJ52" s="107" t="s">
        <v>94</v>
      </c>
      <c r="BK52" s="107" t="s">
        <v>94</v>
      </c>
      <c r="BL52" s="107" t="s">
        <v>93</v>
      </c>
      <c r="BM52" s="107">
        <v>0.8</v>
      </c>
      <c r="BN52" s="107" t="s">
        <v>94</v>
      </c>
      <c r="BO52" s="107">
        <v>1155</v>
      </c>
      <c r="BP52" s="107" t="s">
        <v>94</v>
      </c>
      <c r="BQ52" s="107" t="s">
        <v>92</v>
      </c>
      <c r="BR52" s="108" t="s">
        <v>483</v>
      </c>
      <c r="BS52" s="107" t="s">
        <v>94</v>
      </c>
      <c r="BT52" s="107">
        <v>1.8</v>
      </c>
      <c r="BU52" s="107">
        <v>2.8</v>
      </c>
      <c r="BV52" s="107">
        <v>20</v>
      </c>
      <c r="BW52" s="107">
        <v>2</v>
      </c>
      <c r="BX52" s="107">
        <v>3.6</v>
      </c>
      <c r="BY52" s="107" t="s">
        <v>94</v>
      </c>
      <c r="BZ52" s="107" t="s">
        <v>114</v>
      </c>
      <c r="CA52" s="107" t="s">
        <v>94</v>
      </c>
      <c r="CB52" s="107" t="s">
        <v>94</v>
      </c>
      <c r="CC52" s="107" t="s">
        <v>94</v>
      </c>
      <c r="CD52" s="107" t="s">
        <v>94</v>
      </c>
      <c r="CE52" s="107" t="s">
        <v>94</v>
      </c>
      <c r="CF52" s="107">
        <v>0.3</v>
      </c>
    </row>
    <row r="53" spans="1:84" x14ac:dyDescent="0.25">
      <c r="A53" s="107" t="s">
        <v>484</v>
      </c>
      <c r="B53" s="107">
        <v>146</v>
      </c>
      <c r="C53" s="107" t="s">
        <v>92</v>
      </c>
      <c r="D53" s="107" t="s">
        <v>92</v>
      </c>
      <c r="E53" s="107" t="s">
        <v>94</v>
      </c>
      <c r="F53" s="107" t="s">
        <v>94</v>
      </c>
      <c r="G53" s="107" t="s">
        <v>394</v>
      </c>
      <c r="H53" s="107" t="s">
        <v>93</v>
      </c>
      <c r="I53" s="107">
        <v>1</v>
      </c>
      <c r="J53" s="107">
        <v>0</v>
      </c>
      <c r="K53" s="107">
        <v>1</v>
      </c>
      <c r="L53" s="107">
        <v>30</v>
      </c>
      <c r="M53" s="107">
        <v>20</v>
      </c>
      <c r="N53" s="107">
        <v>100</v>
      </c>
      <c r="O53" s="107">
        <v>151</v>
      </c>
      <c r="P53" s="107">
        <v>150</v>
      </c>
      <c r="Q53" s="107">
        <v>3.1</v>
      </c>
      <c r="R53" s="107">
        <v>50.6</v>
      </c>
      <c r="S53" s="107">
        <v>1.3</v>
      </c>
      <c r="T53" s="107">
        <v>1</v>
      </c>
      <c r="U53" s="107">
        <v>1.9</v>
      </c>
      <c r="V53" s="107">
        <v>2.2000000000000002</v>
      </c>
      <c r="W53" s="107">
        <v>1</v>
      </c>
      <c r="X53" s="107">
        <v>23.1</v>
      </c>
      <c r="Y53" s="107">
        <v>20</v>
      </c>
      <c r="Z53" s="107">
        <v>300</v>
      </c>
      <c r="AA53" s="107">
        <v>106</v>
      </c>
      <c r="AB53" s="107">
        <v>0.7</v>
      </c>
      <c r="AC53" s="107" t="s">
        <v>94</v>
      </c>
      <c r="AD53" s="107" t="s">
        <v>94</v>
      </c>
      <c r="AE53" s="107" t="s">
        <v>94</v>
      </c>
      <c r="AF53" s="107">
        <v>4.0000000000000001E-3</v>
      </c>
      <c r="AG53" s="107" t="s">
        <v>94</v>
      </c>
      <c r="AH53" s="107" t="s">
        <v>94</v>
      </c>
      <c r="AI53" s="107">
        <v>3.0999999999999999E-3</v>
      </c>
      <c r="AJ53" s="107">
        <v>0.7</v>
      </c>
      <c r="AK53" s="106">
        <v>17.5</v>
      </c>
      <c r="AL53" s="107">
        <v>12</v>
      </c>
      <c r="AM53" s="107">
        <v>4.0999999999999996</v>
      </c>
      <c r="AN53" s="106">
        <v>37</v>
      </c>
      <c r="AO53" s="107">
        <v>19.600000000000001</v>
      </c>
      <c r="AP53" s="107" t="s">
        <v>94</v>
      </c>
      <c r="AQ53" s="107">
        <v>2.71</v>
      </c>
      <c r="AR53" s="107" t="s">
        <v>94</v>
      </c>
      <c r="AS53" s="107" t="s">
        <v>94</v>
      </c>
      <c r="AT53" s="107">
        <v>0.63500000000000001</v>
      </c>
      <c r="AU53" s="107" t="s">
        <v>94</v>
      </c>
      <c r="AV53" s="107" t="s">
        <v>94</v>
      </c>
      <c r="AW53" s="107">
        <v>4.8000000000000001E-2</v>
      </c>
      <c r="AX53" s="107" t="s">
        <v>94</v>
      </c>
      <c r="AY53" s="107">
        <v>15</v>
      </c>
      <c r="AZ53" s="107" t="s">
        <v>94</v>
      </c>
      <c r="BA53" s="107" t="s">
        <v>94</v>
      </c>
      <c r="BB53" s="107" t="s">
        <v>94</v>
      </c>
      <c r="BC53" s="107" t="s">
        <v>94</v>
      </c>
      <c r="BD53" s="107" t="s">
        <v>94</v>
      </c>
      <c r="BE53" s="107" t="s">
        <v>94</v>
      </c>
      <c r="BF53" s="107" t="s">
        <v>94</v>
      </c>
      <c r="BG53" s="107" t="s">
        <v>94</v>
      </c>
      <c r="BH53" s="107" t="s">
        <v>94</v>
      </c>
      <c r="BI53" s="107" t="s">
        <v>94</v>
      </c>
      <c r="BJ53" s="107" t="s">
        <v>94</v>
      </c>
      <c r="BK53" s="107" t="s">
        <v>94</v>
      </c>
      <c r="BL53" s="107" t="s">
        <v>93</v>
      </c>
      <c r="BM53" s="107">
        <v>0.8</v>
      </c>
      <c r="BN53" s="107" t="s">
        <v>94</v>
      </c>
      <c r="BO53" s="107">
        <v>1155</v>
      </c>
      <c r="BP53" s="107" t="s">
        <v>94</v>
      </c>
      <c r="BQ53" s="107" t="s">
        <v>92</v>
      </c>
      <c r="BR53" s="108" t="s">
        <v>485</v>
      </c>
      <c r="BS53" s="107" t="s">
        <v>94</v>
      </c>
      <c r="BT53" s="107">
        <v>0.9</v>
      </c>
      <c r="BU53" s="107">
        <v>2.8</v>
      </c>
      <c r="BV53" s="107">
        <v>23.8</v>
      </c>
      <c r="BW53" s="107">
        <v>4.7</v>
      </c>
      <c r="BX53" s="107">
        <v>5.8</v>
      </c>
      <c r="BY53" s="107" t="s">
        <v>94</v>
      </c>
      <c r="BZ53" s="107" t="s">
        <v>114</v>
      </c>
      <c r="CA53" s="107" t="s">
        <v>94</v>
      </c>
      <c r="CB53" s="107" t="s">
        <v>94</v>
      </c>
      <c r="CC53" s="107" t="s">
        <v>94</v>
      </c>
      <c r="CD53" s="107" t="s">
        <v>94</v>
      </c>
      <c r="CE53" s="107" t="s">
        <v>94</v>
      </c>
      <c r="CF53" s="107">
        <v>0.42</v>
      </c>
    </row>
    <row r="54" spans="1:84" x14ac:dyDescent="0.25">
      <c r="A54" s="109" t="s">
        <v>486</v>
      </c>
      <c r="B54" s="107">
        <v>146</v>
      </c>
      <c r="C54" s="107" t="s">
        <v>92</v>
      </c>
      <c r="D54" s="107" t="s">
        <v>92</v>
      </c>
      <c r="E54" s="107" t="s">
        <v>94</v>
      </c>
      <c r="F54" s="107" t="s">
        <v>94</v>
      </c>
      <c r="G54" s="107" t="s">
        <v>394</v>
      </c>
      <c r="H54" s="107" t="s">
        <v>93</v>
      </c>
      <c r="I54" s="107">
        <v>1</v>
      </c>
      <c r="J54" s="107">
        <v>0</v>
      </c>
      <c r="K54" s="107">
        <v>1</v>
      </c>
      <c r="L54" s="107">
        <v>30</v>
      </c>
      <c r="M54" s="107">
        <v>20</v>
      </c>
      <c r="N54" s="107">
        <v>115</v>
      </c>
      <c r="O54" s="107">
        <v>153</v>
      </c>
      <c r="P54" s="107">
        <v>150</v>
      </c>
      <c r="Q54" s="107">
        <v>3</v>
      </c>
      <c r="R54" s="107">
        <v>52</v>
      </c>
      <c r="S54" s="107">
        <v>2.2000000000000002</v>
      </c>
      <c r="T54" s="107">
        <v>1</v>
      </c>
      <c r="U54" s="107">
        <v>1.9</v>
      </c>
      <c r="V54" s="107">
        <v>2.2000000000000002</v>
      </c>
      <c r="W54" s="107">
        <v>1</v>
      </c>
      <c r="X54" s="107">
        <v>25</v>
      </c>
      <c r="Y54" s="107">
        <v>25</v>
      </c>
      <c r="Z54" s="107">
        <v>300</v>
      </c>
      <c r="AA54" s="107">
        <v>109</v>
      </c>
      <c r="AB54" s="107">
        <v>0.8</v>
      </c>
      <c r="AC54" s="107" t="s">
        <v>94</v>
      </c>
      <c r="AD54" s="107" t="s">
        <v>94</v>
      </c>
      <c r="AE54" s="107" t="s">
        <v>94</v>
      </c>
      <c r="AF54" s="107">
        <v>3.3999999999999998E-3</v>
      </c>
      <c r="AG54" s="107" t="s">
        <v>94</v>
      </c>
      <c r="AH54" s="107" t="s">
        <v>94</v>
      </c>
      <c r="AI54" s="107">
        <v>2.7000000000000001E-3</v>
      </c>
      <c r="AJ54" s="107">
        <v>0.7</v>
      </c>
      <c r="AK54" s="106">
        <v>23</v>
      </c>
      <c r="AL54" s="107">
        <v>10</v>
      </c>
      <c r="AM54" s="107">
        <v>5</v>
      </c>
      <c r="AN54" s="106">
        <v>50</v>
      </c>
      <c r="AO54" s="107">
        <v>25</v>
      </c>
      <c r="AP54" s="107" t="s">
        <v>94</v>
      </c>
      <c r="AQ54" s="107">
        <v>3.875</v>
      </c>
      <c r="AR54" s="107" t="s">
        <v>94</v>
      </c>
      <c r="AS54" s="107" t="s">
        <v>94</v>
      </c>
      <c r="AT54" s="107">
        <v>0.94899999999999995</v>
      </c>
      <c r="AU54" s="107" t="s">
        <v>94</v>
      </c>
      <c r="AV54" s="107" t="s">
        <v>94</v>
      </c>
      <c r="AW54" s="107">
        <v>7.0000000000000007E-2</v>
      </c>
      <c r="AX54" s="107" t="s">
        <v>94</v>
      </c>
      <c r="AY54" s="107">
        <v>15</v>
      </c>
      <c r="AZ54" s="107" t="s">
        <v>94</v>
      </c>
      <c r="BA54" s="107" t="s">
        <v>94</v>
      </c>
      <c r="BB54" s="107" t="s">
        <v>94</v>
      </c>
      <c r="BC54" s="107" t="s">
        <v>94</v>
      </c>
      <c r="BD54" s="107" t="s">
        <v>94</v>
      </c>
      <c r="BE54" s="107" t="s">
        <v>94</v>
      </c>
      <c r="BF54" s="107" t="s">
        <v>94</v>
      </c>
      <c r="BG54" s="107" t="s">
        <v>94</v>
      </c>
      <c r="BH54" s="107" t="s">
        <v>94</v>
      </c>
      <c r="BI54" s="107" t="s">
        <v>94</v>
      </c>
      <c r="BJ54" s="107" t="s">
        <v>94</v>
      </c>
      <c r="BK54" s="107" t="s">
        <v>94</v>
      </c>
      <c r="BL54" s="107" t="s">
        <v>93</v>
      </c>
      <c r="BM54" s="107">
        <v>0.8</v>
      </c>
      <c r="BN54" s="107" t="s">
        <v>94</v>
      </c>
      <c r="BO54" s="107">
        <v>1155</v>
      </c>
      <c r="BP54" s="107" t="s">
        <v>94</v>
      </c>
      <c r="BQ54" s="107" t="s">
        <v>92</v>
      </c>
      <c r="BR54" s="108" t="s">
        <v>487</v>
      </c>
      <c r="BS54" s="107" t="s">
        <v>94</v>
      </c>
      <c r="BT54" s="107">
        <v>1.6</v>
      </c>
      <c r="BU54" s="107">
        <v>2.8</v>
      </c>
      <c r="BV54" s="107">
        <v>31</v>
      </c>
      <c r="BW54" s="107">
        <v>5</v>
      </c>
      <c r="BX54" s="107">
        <v>7.5</v>
      </c>
      <c r="BY54" s="107" t="s">
        <v>94</v>
      </c>
      <c r="BZ54" s="107" t="s">
        <v>114</v>
      </c>
      <c r="CA54" s="107" t="s">
        <v>94</v>
      </c>
      <c r="CB54" s="107" t="s">
        <v>94</v>
      </c>
      <c r="CC54" s="107" t="s">
        <v>94</v>
      </c>
      <c r="CD54" s="107" t="s">
        <v>94</v>
      </c>
      <c r="CE54" s="107" t="s">
        <v>94</v>
      </c>
      <c r="CF54" s="107">
        <v>0.54</v>
      </c>
    </row>
    <row r="55" spans="1:84" x14ac:dyDescent="0.25">
      <c r="A55" s="105" t="s">
        <v>206</v>
      </c>
      <c r="B55" s="105">
        <v>146</v>
      </c>
      <c r="C55" s="105" t="s">
        <v>92</v>
      </c>
      <c r="D55" s="105" t="s">
        <v>92</v>
      </c>
      <c r="E55" s="105" t="s">
        <v>110</v>
      </c>
      <c r="F55" s="105" t="s">
        <v>168</v>
      </c>
      <c r="G55" s="105" t="s">
        <v>207</v>
      </c>
      <c r="H55" s="105" t="s">
        <v>93</v>
      </c>
      <c r="I55" s="105">
        <v>1</v>
      </c>
      <c r="J55" s="105">
        <v>0</v>
      </c>
      <c r="K55" s="105">
        <v>1</v>
      </c>
      <c r="L55" s="105">
        <v>30</v>
      </c>
      <c r="M55" s="105">
        <v>20</v>
      </c>
      <c r="N55" s="105">
        <v>100</v>
      </c>
      <c r="O55" s="105">
        <v>400</v>
      </c>
      <c r="P55" s="105">
        <v>150</v>
      </c>
      <c r="Q55" s="105">
        <v>3.125</v>
      </c>
      <c r="R55" s="105">
        <v>50</v>
      </c>
      <c r="S55" s="105">
        <v>1.3</v>
      </c>
      <c r="T55" s="105">
        <v>1.1499999999999999</v>
      </c>
      <c r="U55" s="105">
        <v>1.65</v>
      </c>
      <c r="V55" s="105">
        <v>2.4</v>
      </c>
      <c r="W55" s="105">
        <v>1</v>
      </c>
      <c r="X55" s="105">
        <v>36</v>
      </c>
      <c r="Y55" s="105">
        <v>40</v>
      </c>
      <c r="Z55" s="105">
        <v>300</v>
      </c>
      <c r="AA55" s="105">
        <v>197</v>
      </c>
      <c r="AB55" s="105">
        <v>0.7</v>
      </c>
      <c r="AC55" s="105" t="s">
        <v>94</v>
      </c>
      <c r="AD55" s="105" t="s">
        <v>94</v>
      </c>
      <c r="AE55" s="105" t="s">
        <v>94</v>
      </c>
      <c r="AF55" s="105">
        <v>1.8E-3</v>
      </c>
      <c r="AG55" s="105" t="s">
        <v>94</v>
      </c>
      <c r="AH55" s="105" t="s">
        <v>94</v>
      </c>
      <c r="AI55" s="105">
        <v>1.4E-3</v>
      </c>
      <c r="AJ55" s="105">
        <v>0.75</v>
      </c>
      <c r="AK55" s="106">
        <v>30</v>
      </c>
      <c r="AL55" s="105">
        <v>14.5</v>
      </c>
      <c r="AM55" s="105">
        <v>6.1</v>
      </c>
      <c r="AN55" s="106">
        <v>63</v>
      </c>
      <c r="AO55" s="105">
        <v>48</v>
      </c>
      <c r="AP55" s="105">
        <v>5.75</v>
      </c>
      <c r="AQ55" s="105">
        <v>5.4</v>
      </c>
      <c r="AR55" s="105">
        <v>5.95</v>
      </c>
      <c r="AS55" s="105">
        <v>7.11</v>
      </c>
      <c r="AT55" s="105">
        <v>1.77</v>
      </c>
      <c r="AU55" s="105">
        <v>8.9</v>
      </c>
      <c r="AV55" s="105">
        <v>0.379</v>
      </c>
      <c r="AW55" s="105">
        <v>6.8000000000000005E-2</v>
      </c>
      <c r="AX55" s="105">
        <v>0.47399999999999998</v>
      </c>
      <c r="AY55" s="105">
        <v>15</v>
      </c>
      <c r="AZ55" s="105">
        <v>10</v>
      </c>
      <c r="BA55" s="105">
        <v>0.1</v>
      </c>
      <c r="BB55" s="105">
        <v>40</v>
      </c>
      <c r="BC55" s="105">
        <v>0.7</v>
      </c>
      <c r="BD55" s="105">
        <v>283</v>
      </c>
      <c r="BE55" s="105">
        <v>1.7</v>
      </c>
      <c r="BF55" s="105">
        <v>283</v>
      </c>
      <c r="BG55" s="105">
        <v>30</v>
      </c>
      <c r="BH55" s="105">
        <v>3.43</v>
      </c>
      <c r="BI55" s="105">
        <v>30</v>
      </c>
      <c r="BJ55" s="105">
        <v>0.1</v>
      </c>
      <c r="BK55" s="105">
        <v>0.16</v>
      </c>
      <c r="BL55" s="105" t="s">
        <v>93</v>
      </c>
      <c r="BM55" s="105">
        <v>0.8</v>
      </c>
      <c r="BN55" s="105" t="s">
        <v>94</v>
      </c>
      <c r="BO55" s="105">
        <v>1155</v>
      </c>
      <c r="BP55" s="105">
        <v>5.5</v>
      </c>
      <c r="BQ55" s="105" t="s">
        <v>92</v>
      </c>
      <c r="BR55" s="105" t="s">
        <v>208</v>
      </c>
      <c r="BS55" s="105" t="s">
        <v>94</v>
      </c>
      <c r="BT55" s="105">
        <v>1.4</v>
      </c>
      <c r="BU55" s="105">
        <v>2.5</v>
      </c>
      <c r="BV55" s="105">
        <v>68</v>
      </c>
      <c r="BW55" s="105">
        <v>7.5</v>
      </c>
      <c r="BX55" s="105">
        <v>11</v>
      </c>
      <c r="BY55" s="105" t="s">
        <v>94</v>
      </c>
      <c r="BZ55" s="105" t="s">
        <v>209</v>
      </c>
      <c r="CA55" s="105" t="s">
        <v>94</v>
      </c>
      <c r="CB55" s="105" t="s">
        <v>94</v>
      </c>
      <c r="CC55" s="105">
        <v>42173</v>
      </c>
      <c r="CD55" s="105">
        <v>42577</v>
      </c>
      <c r="CE55" s="105">
        <v>2523</v>
      </c>
      <c r="CF55" s="105">
        <v>0.77</v>
      </c>
    </row>
    <row r="56" spans="1:84" x14ac:dyDescent="0.25">
      <c r="A56" s="105" t="s">
        <v>210</v>
      </c>
      <c r="B56" s="105">
        <v>146</v>
      </c>
      <c r="C56" s="105" t="s">
        <v>92</v>
      </c>
      <c r="D56" s="105" t="s">
        <v>92</v>
      </c>
      <c r="E56" s="105" t="s">
        <v>110</v>
      </c>
      <c r="F56" s="105" t="s">
        <v>111</v>
      </c>
      <c r="G56" s="105" t="s">
        <v>211</v>
      </c>
      <c r="H56" s="105" t="s">
        <v>93</v>
      </c>
      <c r="I56" s="105">
        <v>1</v>
      </c>
      <c r="J56" s="105">
        <v>0</v>
      </c>
      <c r="K56" s="105">
        <v>1</v>
      </c>
      <c r="L56" s="105">
        <v>30</v>
      </c>
      <c r="M56" s="105">
        <v>20</v>
      </c>
      <c r="N56" s="105">
        <v>100</v>
      </c>
      <c r="O56" s="105">
        <v>400</v>
      </c>
      <c r="P56" s="105">
        <v>150</v>
      </c>
      <c r="Q56" s="105">
        <v>3.125</v>
      </c>
      <c r="R56" s="105">
        <v>50</v>
      </c>
      <c r="S56" s="105">
        <v>1.2</v>
      </c>
      <c r="T56" s="105">
        <v>1.2</v>
      </c>
      <c r="U56" s="105">
        <v>1.7</v>
      </c>
      <c r="V56" s="105">
        <v>2.2999999999999998</v>
      </c>
      <c r="W56" s="105">
        <v>1</v>
      </c>
      <c r="X56" s="105">
        <v>37</v>
      </c>
      <c r="Y56" s="105">
        <v>40</v>
      </c>
      <c r="Z56" s="105">
        <v>300</v>
      </c>
      <c r="AA56" s="105">
        <v>235</v>
      </c>
      <c r="AB56" s="105">
        <v>1.2</v>
      </c>
      <c r="AC56" s="105" t="s">
        <v>94</v>
      </c>
      <c r="AD56" s="105" t="s">
        <v>94</v>
      </c>
      <c r="AE56" s="105" t="s">
        <v>94</v>
      </c>
      <c r="AF56" s="105">
        <v>1.5E-3</v>
      </c>
      <c r="AG56" s="105" t="s">
        <v>94</v>
      </c>
      <c r="AH56" s="105" t="s">
        <v>94</v>
      </c>
      <c r="AI56" s="105">
        <v>1.1000000000000001E-3</v>
      </c>
      <c r="AJ56" s="105">
        <v>0.7</v>
      </c>
      <c r="AK56" s="106">
        <v>39</v>
      </c>
      <c r="AL56" s="105">
        <v>15.3</v>
      </c>
      <c r="AM56" s="105">
        <v>8.3000000000000007</v>
      </c>
      <c r="AN56" s="106">
        <v>85</v>
      </c>
      <c r="AO56" s="105">
        <v>50</v>
      </c>
      <c r="AP56" s="105">
        <v>7.72</v>
      </c>
      <c r="AQ56" s="105">
        <v>7.07</v>
      </c>
      <c r="AR56" s="105">
        <v>8</v>
      </c>
      <c r="AS56" s="105">
        <v>7.87</v>
      </c>
      <c r="AT56" s="105">
        <v>1.78</v>
      </c>
      <c r="AU56" s="105">
        <v>10.050000000000001</v>
      </c>
      <c r="AV56" s="105">
        <v>0.57499999999999996</v>
      </c>
      <c r="AW56" s="105">
        <v>0.09</v>
      </c>
      <c r="AX56" s="105">
        <v>0.8</v>
      </c>
      <c r="AY56" s="105">
        <v>15</v>
      </c>
      <c r="AZ56" s="105">
        <v>10</v>
      </c>
      <c r="BA56" s="105">
        <v>0.1</v>
      </c>
      <c r="BB56" s="105">
        <v>43.7</v>
      </c>
      <c r="BC56" s="105">
        <v>0.55000000000000004</v>
      </c>
      <c r="BD56" s="105">
        <v>240</v>
      </c>
      <c r="BE56" s="105">
        <v>2.15</v>
      </c>
      <c r="BF56" s="105">
        <v>240</v>
      </c>
      <c r="BG56" s="105">
        <v>30</v>
      </c>
      <c r="BH56" s="105">
        <v>4.0199999999999996</v>
      </c>
      <c r="BI56" s="105">
        <v>30</v>
      </c>
      <c r="BJ56" s="105">
        <v>0.1</v>
      </c>
      <c r="BK56" s="105">
        <v>0.11600000000000001</v>
      </c>
      <c r="BL56" s="105" t="s">
        <v>93</v>
      </c>
      <c r="BM56" s="105">
        <v>0.8</v>
      </c>
      <c r="BN56" s="105" t="s">
        <v>94</v>
      </c>
      <c r="BO56" s="105">
        <v>1346</v>
      </c>
      <c r="BP56" s="105">
        <v>7.2</v>
      </c>
      <c r="BQ56" s="105" t="s">
        <v>92</v>
      </c>
      <c r="BR56" s="105" t="s">
        <v>212</v>
      </c>
      <c r="BS56" s="105" t="s">
        <v>94</v>
      </c>
      <c r="BT56" s="105">
        <v>2.4</v>
      </c>
      <c r="BU56" s="105">
        <v>2.6</v>
      </c>
      <c r="BV56" s="105">
        <v>80</v>
      </c>
      <c r="BW56" s="105">
        <v>9.3000000000000007</v>
      </c>
      <c r="BX56" s="105">
        <v>14.4</v>
      </c>
      <c r="BY56" s="105" t="s">
        <v>94</v>
      </c>
      <c r="BZ56" s="105" t="s">
        <v>114</v>
      </c>
      <c r="CA56" s="105" t="s">
        <v>94</v>
      </c>
      <c r="CB56" s="105" t="s">
        <v>94</v>
      </c>
      <c r="CC56" s="105" t="s">
        <v>94</v>
      </c>
      <c r="CD56" s="105">
        <v>42564</v>
      </c>
      <c r="CE56" s="105">
        <v>2038</v>
      </c>
      <c r="CF56" s="105">
        <v>0.86</v>
      </c>
    </row>
    <row r="57" spans="1:84" x14ac:dyDescent="0.25">
      <c r="A57" s="105" t="s">
        <v>213</v>
      </c>
      <c r="B57" s="105">
        <v>146</v>
      </c>
      <c r="C57" s="105" t="s">
        <v>92</v>
      </c>
      <c r="D57" s="105" t="s">
        <v>92</v>
      </c>
      <c r="E57" s="105" t="s">
        <v>96</v>
      </c>
      <c r="F57" s="105" t="s">
        <v>97</v>
      </c>
      <c r="G57" s="105" t="s">
        <v>214</v>
      </c>
      <c r="H57" s="105" t="s">
        <v>93</v>
      </c>
      <c r="I57" s="105">
        <v>1</v>
      </c>
      <c r="J57" s="105">
        <v>0</v>
      </c>
      <c r="K57" s="105">
        <v>1</v>
      </c>
      <c r="L57" s="105">
        <v>30</v>
      </c>
      <c r="M57" s="105">
        <v>20</v>
      </c>
      <c r="N57" s="105">
        <v>22</v>
      </c>
      <c r="O57" s="105">
        <v>39</v>
      </c>
      <c r="P57" s="105">
        <v>150</v>
      </c>
      <c r="Q57" s="105">
        <v>2.5</v>
      </c>
      <c r="R57" s="105">
        <v>65</v>
      </c>
      <c r="S57" s="105">
        <v>6.2</v>
      </c>
      <c r="T57" s="105">
        <v>1.3</v>
      </c>
      <c r="U57" s="105">
        <v>2</v>
      </c>
      <c r="V57" s="105">
        <v>2.5</v>
      </c>
      <c r="W57" s="105">
        <v>1</v>
      </c>
      <c r="X57" s="105">
        <v>11</v>
      </c>
      <c r="Y57" s="105">
        <v>5</v>
      </c>
      <c r="Z57" s="105">
        <v>300</v>
      </c>
      <c r="AA57" s="105">
        <v>43</v>
      </c>
      <c r="AB57" s="105">
        <v>3.8</v>
      </c>
      <c r="AC57" s="105" t="s">
        <v>94</v>
      </c>
      <c r="AD57" s="105" t="s">
        <v>94</v>
      </c>
      <c r="AE57" s="105" t="s">
        <v>94</v>
      </c>
      <c r="AF57" s="105">
        <v>2.9000000000000001E-2</v>
      </c>
      <c r="AG57" s="105" t="s">
        <v>94</v>
      </c>
      <c r="AH57" s="105" t="s">
        <v>94</v>
      </c>
      <c r="AI57" s="105">
        <v>2.4E-2</v>
      </c>
      <c r="AJ57" s="105">
        <v>0.78</v>
      </c>
      <c r="AK57" s="106">
        <v>2.4</v>
      </c>
      <c r="AL57" s="105">
        <v>1.3</v>
      </c>
      <c r="AM57" s="105">
        <v>0.6</v>
      </c>
      <c r="AN57" s="106">
        <v>5</v>
      </c>
      <c r="AO57" s="105">
        <v>3.4</v>
      </c>
      <c r="AP57" s="105">
        <v>0.38100000000000001</v>
      </c>
      <c r="AQ57" s="105">
        <v>0.36</v>
      </c>
      <c r="AR57" s="105">
        <v>0.39</v>
      </c>
      <c r="AS57" s="105">
        <v>0.39600000000000002</v>
      </c>
      <c r="AT57" s="105">
        <v>0.10100000000000001</v>
      </c>
      <c r="AU57" s="105">
        <v>0.48199999999999998</v>
      </c>
      <c r="AV57" s="105">
        <v>3.49E-2</v>
      </c>
      <c r="AW57" s="105">
        <v>8.9999999999999993E-3</v>
      </c>
      <c r="AX57" s="105">
        <v>4.1700000000000001E-2</v>
      </c>
      <c r="AY57" s="105">
        <v>15</v>
      </c>
      <c r="AZ57" s="105">
        <v>10</v>
      </c>
      <c r="BA57" s="105">
        <v>0.01</v>
      </c>
      <c r="BB57" s="105">
        <v>0.36</v>
      </c>
      <c r="BC57" s="105">
        <v>0.8</v>
      </c>
      <c r="BD57" s="105">
        <v>25</v>
      </c>
      <c r="BE57" s="105">
        <v>30</v>
      </c>
      <c r="BF57" s="105">
        <v>0.7</v>
      </c>
      <c r="BG57" s="105">
        <v>30</v>
      </c>
      <c r="BH57" s="105">
        <v>0.01</v>
      </c>
      <c r="BI57" s="105">
        <v>30</v>
      </c>
      <c r="BJ57" s="105">
        <v>0.01</v>
      </c>
      <c r="BK57" s="105">
        <v>2.0699999999999998</v>
      </c>
      <c r="BL57" s="105" t="s">
        <v>93</v>
      </c>
      <c r="BM57" s="105">
        <v>0.8</v>
      </c>
      <c r="BN57" s="105" t="s">
        <v>94</v>
      </c>
      <c r="BO57" s="105" t="s">
        <v>94</v>
      </c>
      <c r="BP57" s="105" t="s">
        <v>94</v>
      </c>
      <c r="BQ57" s="105" t="s">
        <v>92</v>
      </c>
      <c r="BR57" s="105" t="s">
        <v>215</v>
      </c>
      <c r="BS57" s="105" t="s">
        <v>94</v>
      </c>
      <c r="BT57" s="105">
        <v>7.6</v>
      </c>
      <c r="BU57" s="105">
        <v>2.9</v>
      </c>
      <c r="BV57" s="105">
        <v>2.2999999999999998</v>
      </c>
      <c r="BW57" s="105">
        <v>0.9</v>
      </c>
      <c r="BX57" s="105">
        <v>0.9</v>
      </c>
      <c r="BY57" s="105" t="s">
        <v>94</v>
      </c>
      <c r="BZ57" s="105" t="s">
        <v>100</v>
      </c>
      <c r="CA57" s="105" t="s">
        <v>94</v>
      </c>
      <c r="CB57" s="105" t="s">
        <v>94</v>
      </c>
      <c r="CC57" s="105">
        <v>42194</v>
      </c>
      <c r="CD57" s="105">
        <v>42598</v>
      </c>
      <c r="CE57" s="105">
        <v>2525</v>
      </c>
      <c r="CF57" s="105">
        <v>0.1</v>
      </c>
    </row>
    <row r="58" spans="1:84" x14ac:dyDescent="0.25">
      <c r="A58" s="105" t="s">
        <v>216</v>
      </c>
      <c r="B58" s="105">
        <v>146</v>
      </c>
      <c r="C58" s="105" t="s">
        <v>92</v>
      </c>
      <c r="D58" s="105" t="s">
        <v>92</v>
      </c>
      <c r="E58" s="105" t="s">
        <v>110</v>
      </c>
      <c r="F58" s="105" t="s">
        <v>170</v>
      </c>
      <c r="G58" s="105" t="s">
        <v>217</v>
      </c>
      <c r="H58" s="105" t="s">
        <v>93</v>
      </c>
      <c r="I58" s="105">
        <v>1</v>
      </c>
      <c r="J58" s="105">
        <v>0</v>
      </c>
      <c r="K58" s="105">
        <v>1</v>
      </c>
      <c r="L58" s="105">
        <v>30</v>
      </c>
      <c r="M58" s="105">
        <v>20</v>
      </c>
      <c r="N58" s="105">
        <v>100</v>
      </c>
      <c r="O58" s="105">
        <v>400</v>
      </c>
      <c r="P58" s="105">
        <v>150</v>
      </c>
      <c r="Q58" s="105">
        <v>195</v>
      </c>
      <c r="R58" s="105">
        <v>50</v>
      </c>
      <c r="S58" s="105">
        <v>0.8</v>
      </c>
      <c r="T58" s="105">
        <v>1.1000000000000001</v>
      </c>
      <c r="U58" s="105">
        <v>1.8</v>
      </c>
      <c r="V58" s="105">
        <v>2.4</v>
      </c>
      <c r="W58" s="105">
        <v>1</v>
      </c>
      <c r="X58" s="105">
        <v>21</v>
      </c>
      <c r="Y58" s="105">
        <v>35</v>
      </c>
      <c r="Z58" s="105">
        <v>300</v>
      </c>
      <c r="AA58" s="105">
        <v>181</v>
      </c>
      <c r="AB58" s="105">
        <v>0.9</v>
      </c>
      <c r="AC58" s="105" t="s">
        <v>94</v>
      </c>
      <c r="AD58" s="105" t="s">
        <v>94</v>
      </c>
      <c r="AE58" s="105" t="s">
        <v>94</v>
      </c>
      <c r="AF58" s="105">
        <v>1.4E-3</v>
      </c>
      <c r="AG58" s="105" t="s">
        <v>94</v>
      </c>
      <c r="AH58" s="105" t="s">
        <v>94</v>
      </c>
      <c r="AI58" s="105">
        <v>1E-3</v>
      </c>
      <c r="AJ58" s="105">
        <v>0.77</v>
      </c>
      <c r="AK58" s="106">
        <v>49</v>
      </c>
      <c r="AL58" s="105">
        <v>30</v>
      </c>
      <c r="AM58" s="105">
        <v>8.6</v>
      </c>
      <c r="AN58" s="106">
        <v>110</v>
      </c>
      <c r="AO58" s="105">
        <v>21</v>
      </c>
      <c r="AP58" s="105">
        <v>7.53</v>
      </c>
      <c r="AQ58" s="105">
        <v>6.92</v>
      </c>
      <c r="AR58" s="105">
        <v>7.97</v>
      </c>
      <c r="AS58" s="105">
        <v>3.51</v>
      </c>
      <c r="AT58" s="105">
        <v>0.76900000000000002</v>
      </c>
      <c r="AU58" s="105">
        <v>4.99</v>
      </c>
      <c r="AV58" s="105">
        <v>0.88700000000000001</v>
      </c>
      <c r="AW58" s="105">
        <v>0.3</v>
      </c>
      <c r="AX58" s="105">
        <v>1.29</v>
      </c>
      <c r="AY58" s="105">
        <v>15</v>
      </c>
      <c r="AZ58" s="105">
        <v>10</v>
      </c>
      <c r="BA58" s="105">
        <v>0.1</v>
      </c>
      <c r="BB58" s="105">
        <v>56.82</v>
      </c>
      <c r="BC58" s="105">
        <v>0.65</v>
      </c>
      <c r="BD58" s="105">
        <v>320</v>
      </c>
      <c r="BE58" s="105">
        <v>3.5</v>
      </c>
      <c r="BF58" s="105">
        <v>60</v>
      </c>
      <c r="BG58" s="105">
        <v>30</v>
      </c>
      <c r="BH58" s="105">
        <v>10</v>
      </c>
      <c r="BI58" s="105">
        <v>10</v>
      </c>
      <c r="BJ58" s="105">
        <v>0.1</v>
      </c>
      <c r="BK58" s="105">
        <v>0.09</v>
      </c>
      <c r="BL58" s="105" t="s">
        <v>93</v>
      </c>
      <c r="BM58" s="105">
        <v>0.8</v>
      </c>
      <c r="BN58" s="105" t="s">
        <v>93</v>
      </c>
      <c r="BO58" s="105">
        <v>1155</v>
      </c>
      <c r="BP58" s="105">
        <v>6.68</v>
      </c>
      <c r="BQ58" s="105" t="s">
        <v>92</v>
      </c>
      <c r="BR58" s="105" t="s">
        <v>218</v>
      </c>
      <c r="BS58" s="105" t="s">
        <v>94</v>
      </c>
      <c r="BT58" s="105">
        <v>1.8</v>
      </c>
      <c r="BU58" s="105">
        <v>2.8</v>
      </c>
      <c r="BV58" s="105">
        <v>29</v>
      </c>
      <c r="BW58" s="105">
        <v>11.9</v>
      </c>
      <c r="BX58" s="105">
        <v>17.100000000000001</v>
      </c>
      <c r="BY58" s="105" t="s">
        <v>94</v>
      </c>
      <c r="BZ58" s="105" t="s">
        <v>209</v>
      </c>
      <c r="CA58" s="105" t="s">
        <v>93</v>
      </c>
      <c r="CB58" s="105" t="s">
        <v>94</v>
      </c>
      <c r="CC58" s="105">
        <v>42173</v>
      </c>
      <c r="CD58" s="105">
        <v>42577</v>
      </c>
      <c r="CE58" s="105">
        <v>2526</v>
      </c>
      <c r="CF58" s="105">
        <v>0.52</v>
      </c>
    </row>
    <row r="59" spans="1:84" x14ac:dyDescent="0.25">
      <c r="A59" s="107" t="s">
        <v>219</v>
      </c>
      <c r="B59" s="107">
        <v>146</v>
      </c>
      <c r="C59" s="107" t="s">
        <v>92</v>
      </c>
      <c r="D59" s="107" t="s">
        <v>92</v>
      </c>
      <c r="E59" s="107" t="s">
        <v>110</v>
      </c>
      <c r="F59" s="107" t="s">
        <v>119</v>
      </c>
      <c r="G59" s="107" t="s">
        <v>220</v>
      </c>
      <c r="H59" s="107" t="s">
        <v>93</v>
      </c>
      <c r="I59" s="107">
        <v>1</v>
      </c>
      <c r="J59" s="107">
        <v>0</v>
      </c>
      <c r="K59" s="107">
        <v>1</v>
      </c>
      <c r="L59" s="107">
        <v>30</v>
      </c>
      <c r="M59" s="107">
        <v>20</v>
      </c>
      <c r="N59" s="107">
        <v>60</v>
      </c>
      <c r="O59" s="107">
        <v>240</v>
      </c>
      <c r="P59" s="107">
        <v>150</v>
      </c>
      <c r="Q59" s="107">
        <v>2.7776999999999998</v>
      </c>
      <c r="R59" s="107">
        <v>55</v>
      </c>
      <c r="S59" s="107">
        <v>1.5</v>
      </c>
      <c r="T59" s="107">
        <v>1.1000000000000001</v>
      </c>
      <c r="U59" s="107">
        <v>1.8</v>
      </c>
      <c r="V59" s="107">
        <v>2.5</v>
      </c>
      <c r="W59" s="107">
        <v>1</v>
      </c>
      <c r="X59" s="107">
        <v>13</v>
      </c>
      <c r="Y59" s="107">
        <v>25</v>
      </c>
      <c r="Z59" s="107">
        <v>300</v>
      </c>
      <c r="AA59" s="107">
        <v>118</v>
      </c>
      <c r="AB59" s="107">
        <v>0.9</v>
      </c>
      <c r="AC59" s="105" t="s">
        <v>94</v>
      </c>
      <c r="AD59" s="107" t="s">
        <v>94</v>
      </c>
      <c r="AE59" s="107" t="s">
        <v>94</v>
      </c>
      <c r="AF59" s="107">
        <v>3.2000000000000002E-3</v>
      </c>
      <c r="AG59" s="107" t="s">
        <v>94</v>
      </c>
      <c r="AH59" s="107" t="s">
        <v>94</v>
      </c>
      <c r="AI59" s="107">
        <v>2E-3</v>
      </c>
      <c r="AJ59" s="107">
        <v>0.75</v>
      </c>
      <c r="AK59" s="106">
        <v>23</v>
      </c>
      <c r="AL59" s="107">
        <v>11.6</v>
      </c>
      <c r="AM59" s="107">
        <v>4.5999999999999996</v>
      </c>
      <c r="AN59" s="106">
        <v>47.5</v>
      </c>
      <c r="AO59" s="107">
        <v>11.6</v>
      </c>
      <c r="AP59" s="107">
        <v>3.67</v>
      </c>
      <c r="AQ59" s="107">
        <v>3.4</v>
      </c>
      <c r="AR59" s="107">
        <v>4</v>
      </c>
      <c r="AS59" s="107">
        <v>1.76</v>
      </c>
      <c r="AT59" s="107">
        <v>0.39300000000000002</v>
      </c>
      <c r="AU59" s="107">
        <v>2.64</v>
      </c>
      <c r="AV59" s="107">
        <v>0.4</v>
      </c>
      <c r="AW59" s="107">
        <v>0.157</v>
      </c>
      <c r="AX59" s="107">
        <v>0.7</v>
      </c>
      <c r="AY59" s="107">
        <v>15</v>
      </c>
      <c r="AZ59" s="107">
        <v>10</v>
      </c>
      <c r="BA59" s="107">
        <v>0.1</v>
      </c>
      <c r="BB59" s="107">
        <v>30</v>
      </c>
      <c r="BC59" s="107">
        <v>0.6</v>
      </c>
      <c r="BD59" s="107">
        <v>180</v>
      </c>
      <c r="BE59" s="107">
        <v>0.85</v>
      </c>
      <c r="BF59" s="107">
        <v>180</v>
      </c>
      <c r="BG59" s="107">
        <v>30</v>
      </c>
      <c r="BH59" s="107">
        <v>0.5</v>
      </c>
      <c r="BI59" s="107">
        <v>30</v>
      </c>
      <c r="BJ59" s="107">
        <v>0.1</v>
      </c>
      <c r="BK59" s="107">
        <v>0.22</v>
      </c>
      <c r="BL59" s="107" t="s">
        <v>93</v>
      </c>
      <c r="BM59" s="107">
        <v>0.8</v>
      </c>
      <c r="BN59" s="107" t="s">
        <v>94</v>
      </c>
      <c r="BO59" s="107">
        <v>0</v>
      </c>
      <c r="BP59" s="107">
        <v>3.3</v>
      </c>
      <c r="BQ59" s="107" t="s">
        <v>92</v>
      </c>
      <c r="BR59" s="108" t="s">
        <v>221</v>
      </c>
      <c r="BS59" s="107" t="s">
        <v>94</v>
      </c>
      <c r="BT59" s="107">
        <v>1.8</v>
      </c>
      <c r="BU59" s="107">
        <v>2.5</v>
      </c>
      <c r="BV59" s="107">
        <v>15</v>
      </c>
      <c r="BW59" s="107">
        <v>5.4</v>
      </c>
      <c r="BX59" s="107">
        <v>8.5</v>
      </c>
      <c r="BY59" s="107" t="s">
        <v>94</v>
      </c>
      <c r="BZ59" s="107" t="s">
        <v>121</v>
      </c>
      <c r="CA59" s="107" t="s">
        <v>94</v>
      </c>
      <c r="CB59" s="107" t="s">
        <v>94</v>
      </c>
      <c r="CC59" s="107">
        <v>42576</v>
      </c>
      <c r="CD59" s="107">
        <v>43741</v>
      </c>
      <c r="CE59" s="107">
        <v>2040</v>
      </c>
      <c r="CF59" s="107">
        <v>0.31</v>
      </c>
    </row>
    <row r="60" spans="1:84" x14ac:dyDescent="0.25">
      <c r="A60" s="105" t="s">
        <v>222</v>
      </c>
      <c r="B60" s="105">
        <v>146</v>
      </c>
      <c r="C60" s="105" t="s">
        <v>92</v>
      </c>
      <c r="D60" s="105" t="s">
        <v>92</v>
      </c>
      <c r="E60" s="105" t="s">
        <v>110</v>
      </c>
      <c r="F60" s="105" t="s">
        <v>168</v>
      </c>
      <c r="G60" s="105" t="s">
        <v>207</v>
      </c>
      <c r="H60" s="105" t="s">
        <v>93</v>
      </c>
      <c r="I60" s="105">
        <v>1</v>
      </c>
      <c r="J60" s="105">
        <v>0</v>
      </c>
      <c r="K60" s="105">
        <v>1</v>
      </c>
      <c r="L60" s="105">
        <v>30</v>
      </c>
      <c r="M60" s="105">
        <v>20</v>
      </c>
      <c r="N60" s="105">
        <v>100</v>
      </c>
      <c r="O60" s="105">
        <v>400</v>
      </c>
      <c r="P60" s="105">
        <v>150</v>
      </c>
      <c r="Q60" s="105">
        <v>3.125</v>
      </c>
      <c r="R60" s="105">
        <v>50</v>
      </c>
      <c r="S60" s="105">
        <v>1.31</v>
      </c>
      <c r="T60" s="105">
        <v>1.1000000000000001</v>
      </c>
      <c r="U60" s="105">
        <v>1.8</v>
      </c>
      <c r="V60" s="105">
        <v>2.4</v>
      </c>
      <c r="W60" s="105">
        <v>1</v>
      </c>
      <c r="X60" s="105">
        <v>14</v>
      </c>
      <c r="Y60" s="105">
        <v>25</v>
      </c>
      <c r="Z60" s="105">
        <v>300</v>
      </c>
      <c r="AA60" s="105">
        <v>120</v>
      </c>
      <c r="AB60" s="105">
        <v>1</v>
      </c>
      <c r="AC60" s="105" t="s">
        <v>94</v>
      </c>
      <c r="AD60" s="105" t="s">
        <v>94</v>
      </c>
      <c r="AE60" s="105" t="s">
        <v>94</v>
      </c>
      <c r="AF60" s="105">
        <v>2.8999999999999998E-3</v>
      </c>
      <c r="AG60" s="105" t="s">
        <v>94</v>
      </c>
      <c r="AH60" s="105" t="s">
        <v>94</v>
      </c>
      <c r="AI60" s="105">
        <v>2E-3</v>
      </c>
      <c r="AJ60" s="105">
        <v>0.85</v>
      </c>
      <c r="AK60" s="106">
        <v>25</v>
      </c>
      <c r="AL60" s="105">
        <v>13.5</v>
      </c>
      <c r="AM60" s="105">
        <v>4.7</v>
      </c>
      <c r="AN60" s="106">
        <v>53</v>
      </c>
      <c r="AO60" s="105">
        <v>12.3</v>
      </c>
      <c r="AP60" s="105">
        <v>3.71</v>
      </c>
      <c r="AQ60" s="105">
        <v>3.41</v>
      </c>
      <c r="AR60" s="105">
        <v>3.99</v>
      </c>
      <c r="AS60" s="105">
        <v>1.78</v>
      </c>
      <c r="AT60" s="105">
        <v>0.38900000000000001</v>
      </c>
      <c r="AU60" s="105">
        <v>2.75</v>
      </c>
      <c r="AV60" s="105">
        <v>0.36299999999999999</v>
      </c>
      <c r="AW60" s="105">
        <v>0.151</v>
      </c>
      <c r="AX60" s="105">
        <v>0.69399999999999995</v>
      </c>
      <c r="AY60" s="105">
        <v>15</v>
      </c>
      <c r="AZ60" s="105">
        <v>10</v>
      </c>
      <c r="BA60" s="105">
        <v>0.1</v>
      </c>
      <c r="BB60" s="105">
        <v>30</v>
      </c>
      <c r="BC60" s="105">
        <v>0.9</v>
      </c>
      <c r="BD60" s="105">
        <v>230</v>
      </c>
      <c r="BE60" s="105">
        <v>1</v>
      </c>
      <c r="BF60" s="105">
        <v>230</v>
      </c>
      <c r="BG60" s="105">
        <v>30</v>
      </c>
      <c r="BH60" s="105">
        <v>1.6</v>
      </c>
      <c r="BI60" s="105">
        <v>30</v>
      </c>
      <c r="BJ60" s="105">
        <v>0.1</v>
      </c>
      <c r="BK60" s="105">
        <v>0.19800000000000001</v>
      </c>
      <c r="BL60" s="105" t="s">
        <v>93</v>
      </c>
      <c r="BM60" s="105">
        <v>0.8</v>
      </c>
      <c r="BN60" s="105" t="s">
        <v>94</v>
      </c>
      <c r="BO60" s="105">
        <v>0</v>
      </c>
      <c r="BP60" s="105">
        <v>3.3</v>
      </c>
      <c r="BQ60" s="105" t="s">
        <v>92</v>
      </c>
      <c r="BR60" s="105" t="s">
        <v>223</v>
      </c>
      <c r="BS60" s="105" t="s">
        <v>94</v>
      </c>
      <c r="BT60" s="105">
        <v>2</v>
      </c>
      <c r="BU60" s="105">
        <v>3</v>
      </c>
      <c r="BV60" s="105">
        <v>14.7</v>
      </c>
      <c r="BW60" s="105">
        <v>5.4</v>
      </c>
      <c r="BX60" s="105">
        <v>8.9</v>
      </c>
      <c r="BY60" s="105" t="s">
        <v>94</v>
      </c>
      <c r="BZ60" s="105" t="s">
        <v>114</v>
      </c>
      <c r="CA60" s="105" t="s">
        <v>94</v>
      </c>
      <c r="CB60" s="105" t="s">
        <v>94</v>
      </c>
      <c r="CC60" s="105">
        <v>42193</v>
      </c>
      <c r="CD60" s="105">
        <v>42577</v>
      </c>
      <c r="CE60" s="105">
        <v>2527</v>
      </c>
      <c r="CF60" s="105">
        <v>0.38</v>
      </c>
    </row>
    <row r="61" spans="1:84" s="107" customFormat="1" x14ac:dyDescent="0.25">
      <c r="A61" s="107" t="s">
        <v>224</v>
      </c>
      <c r="B61" s="107">
        <v>146</v>
      </c>
      <c r="C61" s="107" t="s">
        <v>92</v>
      </c>
      <c r="D61" s="107" t="s">
        <v>92</v>
      </c>
      <c r="E61" s="107" t="s">
        <v>110</v>
      </c>
      <c r="F61" s="107" t="s">
        <v>205</v>
      </c>
      <c r="G61" s="107" t="s">
        <v>225</v>
      </c>
      <c r="H61" s="107" t="s">
        <v>93</v>
      </c>
      <c r="I61" s="107">
        <v>1</v>
      </c>
      <c r="J61" s="107">
        <v>0</v>
      </c>
      <c r="K61" s="107">
        <v>1</v>
      </c>
      <c r="L61" s="107">
        <v>30</v>
      </c>
      <c r="M61" s="107">
        <v>20</v>
      </c>
      <c r="N61" s="107">
        <v>35</v>
      </c>
      <c r="O61" s="107">
        <v>239</v>
      </c>
      <c r="P61" s="107">
        <v>150</v>
      </c>
      <c r="Q61" s="107">
        <v>2.5</v>
      </c>
      <c r="R61" s="107">
        <v>55</v>
      </c>
      <c r="S61" s="107">
        <v>3</v>
      </c>
      <c r="T61" s="107">
        <v>1.1000000000000001</v>
      </c>
      <c r="U61" s="107">
        <v>1.8</v>
      </c>
      <c r="V61" s="107">
        <v>2.7</v>
      </c>
      <c r="W61" s="107">
        <v>1</v>
      </c>
      <c r="X61" s="107">
        <v>8.6</v>
      </c>
      <c r="Y61" s="107">
        <v>16</v>
      </c>
      <c r="Z61" s="107">
        <v>300</v>
      </c>
      <c r="AA61" s="107">
        <v>76</v>
      </c>
      <c r="AB61" s="107">
        <v>1.4</v>
      </c>
      <c r="AC61" s="105" t="s">
        <v>94</v>
      </c>
      <c r="AD61" s="107" t="s">
        <v>94</v>
      </c>
      <c r="AE61" s="107" t="s">
        <v>94</v>
      </c>
      <c r="AF61" s="107">
        <v>6.4000000000000003E-3</v>
      </c>
      <c r="AG61" s="107" t="s">
        <v>94</v>
      </c>
      <c r="AH61" s="107" t="s">
        <v>94</v>
      </c>
      <c r="AI61" s="107">
        <v>4.0000000000000001E-3</v>
      </c>
      <c r="AJ61" s="107">
        <v>0.6</v>
      </c>
      <c r="AK61" s="106">
        <v>13</v>
      </c>
      <c r="AL61" s="107">
        <v>5</v>
      </c>
      <c r="AM61" s="107">
        <v>2.5</v>
      </c>
      <c r="AN61" s="106">
        <v>28</v>
      </c>
      <c r="AO61" s="107">
        <v>6</v>
      </c>
      <c r="AP61" s="107">
        <v>2</v>
      </c>
      <c r="AQ61" s="107">
        <v>1.78</v>
      </c>
      <c r="AR61" s="107">
        <v>2.11</v>
      </c>
      <c r="AS61" s="107">
        <v>0.85399999999999998</v>
      </c>
      <c r="AT61" s="107">
        <v>0.2</v>
      </c>
      <c r="AU61" s="107">
        <v>1.23</v>
      </c>
      <c r="AV61" s="107">
        <v>0.21299999999999999</v>
      </c>
      <c r="AW61" s="107">
        <v>7.9000000000000001E-2</v>
      </c>
      <c r="AX61" s="107">
        <v>0.36699999999999999</v>
      </c>
      <c r="AY61" s="107">
        <v>15</v>
      </c>
      <c r="AZ61" s="107">
        <v>10</v>
      </c>
      <c r="BA61" s="107">
        <v>0.1</v>
      </c>
      <c r="BB61" s="107">
        <v>14.5</v>
      </c>
      <c r="BC61" s="107">
        <v>0.57999999999999996</v>
      </c>
      <c r="BD61" s="107">
        <v>76</v>
      </c>
      <c r="BE61" s="107">
        <v>0.91</v>
      </c>
      <c r="BF61" s="107">
        <v>76</v>
      </c>
      <c r="BG61" s="107">
        <v>30</v>
      </c>
      <c r="BH61" s="107">
        <v>0.32</v>
      </c>
      <c r="BI61" s="107">
        <v>30</v>
      </c>
      <c r="BJ61" s="107">
        <v>0.1</v>
      </c>
      <c r="BK61" s="107">
        <v>0.36</v>
      </c>
      <c r="BL61" s="107" t="s">
        <v>93</v>
      </c>
      <c r="BM61" s="107">
        <v>0.8</v>
      </c>
      <c r="BN61" s="107" t="s">
        <v>94</v>
      </c>
      <c r="BO61" s="107">
        <v>0</v>
      </c>
      <c r="BP61" s="107">
        <v>1.7430000000000001</v>
      </c>
      <c r="BQ61" s="107" t="s">
        <v>92</v>
      </c>
      <c r="BR61" s="107" t="s">
        <v>226</v>
      </c>
      <c r="BS61" s="107" t="s">
        <v>94</v>
      </c>
      <c r="BT61" s="107">
        <v>2.8</v>
      </c>
      <c r="BU61" s="107">
        <v>2.5</v>
      </c>
      <c r="BV61" s="107">
        <v>8.1999999999999993</v>
      </c>
      <c r="BW61" s="107">
        <v>2.8</v>
      </c>
      <c r="BX61" s="107">
        <v>5.0999999999999996</v>
      </c>
      <c r="BY61" s="107" t="s">
        <v>94</v>
      </c>
      <c r="BZ61" s="107" t="s">
        <v>227</v>
      </c>
      <c r="CA61" s="107" t="s">
        <v>93</v>
      </c>
      <c r="CB61" s="107" t="s">
        <v>94</v>
      </c>
      <c r="CC61" s="107">
        <v>42198</v>
      </c>
      <c r="CD61" s="107">
        <v>42599</v>
      </c>
      <c r="CE61" s="107">
        <v>2042</v>
      </c>
      <c r="CF61" s="107">
        <v>0.18</v>
      </c>
    </row>
    <row r="62" spans="1:84" x14ac:dyDescent="0.25">
      <c r="A62" s="105" t="s">
        <v>228</v>
      </c>
      <c r="B62" s="105">
        <v>146</v>
      </c>
      <c r="C62" s="105" t="s">
        <v>92</v>
      </c>
      <c r="D62" s="105" t="s">
        <v>92</v>
      </c>
      <c r="E62" s="105" t="s">
        <v>110</v>
      </c>
      <c r="F62" s="105" t="s">
        <v>131</v>
      </c>
      <c r="G62" s="105" t="s">
        <v>207</v>
      </c>
      <c r="H62" s="105" t="s">
        <v>93</v>
      </c>
      <c r="I62" s="105">
        <v>1</v>
      </c>
      <c r="J62" s="105">
        <v>0</v>
      </c>
      <c r="K62" s="105">
        <v>1</v>
      </c>
      <c r="L62" s="105">
        <v>30</v>
      </c>
      <c r="M62" s="105">
        <v>20</v>
      </c>
      <c r="N62" s="105">
        <v>60</v>
      </c>
      <c r="O62" s="105">
        <v>280</v>
      </c>
      <c r="P62" s="105">
        <v>150</v>
      </c>
      <c r="Q62" s="105">
        <v>3.125</v>
      </c>
      <c r="R62" s="105">
        <v>50</v>
      </c>
      <c r="S62" s="105">
        <v>2.8</v>
      </c>
      <c r="T62" s="105">
        <v>1.1000000000000001</v>
      </c>
      <c r="U62" s="105">
        <v>1.8</v>
      </c>
      <c r="V62" s="105">
        <v>2.7</v>
      </c>
      <c r="W62" s="105">
        <v>1</v>
      </c>
      <c r="X62" s="105">
        <v>9.3000000000000007</v>
      </c>
      <c r="Y62" s="105">
        <v>18</v>
      </c>
      <c r="Z62" s="105">
        <v>300</v>
      </c>
      <c r="AA62" s="105">
        <v>79</v>
      </c>
      <c r="AB62" s="105">
        <v>1.4</v>
      </c>
      <c r="AC62" s="105" t="s">
        <v>94</v>
      </c>
      <c r="AD62" s="105" t="s">
        <v>94</v>
      </c>
      <c r="AE62" s="105" t="s">
        <v>94</v>
      </c>
      <c r="AF62" s="105">
        <v>5.7999999999999996E-3</v>
      </c>
      <c r="AG62" s="105" t="s">
        <v>94</v>
      </c>
      <c r="AH62" s="105" t="s">
        <v>94</v>
      </c>
      <c r="AI62" s="105">
        <v>4.1999999999999997E-3</v>
      </c>
      <c r="AJ62" s="105">
        <v>0.6</v>
      </c>
      <c r="AK62" s="106">
        <v>13</v>
      </c>
      <c r="AL62" s="105">
        <v>4.95</v>
      </c>
      <c r="AM62" s="105">
        <v>2.5</v>
      </c>
      <c r="AN62" s="106">
        <v>26.4</v>
      </c>
      <c r="AO62" s="105">
        <v>6</v>
      </c>
      <c r="AP62" s="105">
        <v>1.9</v>
      </c>
      <c r="AQ62" s="105">
        <v>1.78</v>
      </c>
      <c r="AR62" s="105">
        <v>2.04</v>
      </c>
      <c r="AS62" s="105">
        <v>0.89</v>
      </c>
      <c r="AT62" s="105">
        <v>0.20799999999999999</v>
      </c>
      <c r="AU62" s="105">
        <v>1.36</v>
      </c>
      <c r="AV62" s="105">
        <v>0.17399999999999999</v>
      </c>
      <c r="AW62" s="105">
        <v>7.9000000000000001E-2</v>
      </c>
      <c r="AX62" s="105">
        <v>0.313</v>
      </c>
      <c r="AY62" s="105">
        <v>15</v>
      </c>
      <c r="AZ62" s="105">
        <v>10</v>
      </c>
      <c r="BA62" s="105">
        <v>0.1</v>
      </c>
      <c r="BB62" s="105">
        <v>17</v>
      </c>
      <c r="BC62" s="105">
        <v>0.47</v>
      </c>
      <c r="BD62" s="105">
        <v>85</v>
      </c>
      <c r="BE62" s="105">
        <v>1</v>
      </c>
      <c r="BF62" s="105">
        <v>85</v>
      </c>
      <c r="BG62" s="105">
        <v>30</v>
      </c>
      <c r="BH62" s="105">
        <v>0.47</v>
      </c>
      <c r="BI62" s="105">
        <v>30</v>
      </c>
      <c r="BJ62" s="105">
        <v>0.1</v>
      </c>
      <c r="BK62" s="105">
        <v>0.38</v>
      </c>
      <c r="BL62" s="105" t="s">
        <v>93</v>
      </c>
      <c r="BM62" s="105">
        <v>0.8</v>
      </c>
      <c r="BN62" s="105" t="s">
        <v>94</v>
      </c>
      <c r="BO62" s="105">
        <v>1155</v>
      </c>
      <c r="BP62" s="105">
        <v>1.7</v>
      </c>
      <c r="BQ62" s="105" t="s">
        <v>92</v>
      </c>
      <c r="BR62" s="105" t="s">
        <v>229</v>
      </c>
      <c r="BS62" s="105" t="s">
        <v>94</v>
      </c>
      <c r="BT62" s="105">
        <v>2.8</v>
      </c>
      <c r="BU62" s="105">
        <v>2.5</v>
      </c>
      <c r="BV62" s="105">
        <v>8.1999999999999993</v>
      </c>
      <c r="BW62" s="105">
        <v>2.8</v>
      </c>
      <c r="BX62" s="105">
        <v>5.0999999999999996</v>
      </c>
      <c r="BY62" s="105" t="s">
        <v>94</v>
      </c>
      <c r="BZ62" s="105" t="s">
        <v>209</v>
      </c>
      <c r="CA62" s="105" t="s">
        <v>94</v>
      </c>
      <c r="CB62" s="105" t="s">
        <v>94</v>
      </c>
      <c r="CC62" s="105">
        <v>42198</v>
      </c>
      <c r="CD62" s="105">
        <v>42577</v>
      </c>
      <c r="CE62" s="105">
        <v>2528</v>
      </c>
      <c r="CF62" s="105">
        <v>0.2</v>
      </c>
    </row>
    <row r="63" spans="1:84" s="107" customFormat="1" x14ac:dyDescent="0.25">
      <c r="A63" s="107" t="s">
        <v>230</v>
      </c>
      <c r="B63" s="107">
        <v>146</v>
      </c>
      <c r="C63" s="107" t="s">
        <v>92</v>
      </c>
      <c r="D63" s="107" t="s">
        <v>92</v>
      </c>
      <c r="E63" s="107" t="s">
        <v>110</v>
      </c>
      <c r="F63" s="107" t="s">
        <v>205</v>
      </c>
      <c r="G63" s="107" t="s">
        <v>225</v>
      </c>
      <c r="H63" s="107" t="s">
        <v>93</v>
      </c>
      <c r="I63" s="107">
        <v>1</v>
      </c>
      <c r="J63" s="107">
        <v>0</v>
      </c>
      <c r="K63" s="107">
        <v>1</v>
      </c>
      <c r="L63" s="107">
        <v>30</v>
      </c>
      <c r="M63" s="107">
        <v>20</v>
      </c>
      <c r="N63" s="107">
        <v>20</v>
      </c>
      <c r="O63" s="107">
        <v>142</v>
      </c>
      <c r="P63" s="107">
        <v>150</v>
      </c>
      <c r="Q63" s="107">
        <v>2.5</v>
      </c>
      <c r="R63" s="107">
        <v>60</v>
      </c>
      <c r="S63" s="107">
        <v>4.2</v>
      </c>
      <c r="T63" s="107">
        <v>1.1000000000000001</v>
      </c>
      <c r="U63" s="107">
        <v>1.9</v>
      </c>
      <c r="V63" s="107">
        <v>2.8</v>
      </c>
      <c r="W63" s="107">
        <v>1</v>
      </c>
      <c r="X63" s="107">
        <v>6</v>
      </c>
      <c r="Y63" s="107">
        <v>10</v>
      </c>
      <c r="Z63" s="107">
        <v>300</v>
      </c>
      <c r="AA63" s="107">
        <v>48</v>
      </c>
      <c r="AB63" s="107">
        <v>1.8</v>
      </c>
      <c r="AC63" s="105" t="s">
        <v>94</v>
      </c>
      <c r="AD63" s="107" t="s">
        <v>94</v>
      </c>
      <c r="AE63" s="107" t="s">
        <v>94</v>
      </c>
      <c r="AF63" s="107">
        <v>9.4000000000000004E-3</v>
      </c>
      <c r="AG63" s="107" t="s">
        <v>94</v>
      </c>
      <c r="AH63" s="107" t="s">
        <v>94</v>
      </c>
      <c r="AI63" s="107">
        <v>6.1999999999999998E-3</v>
      </c>
      <c r="AJ63" s="107">
        <v>0.7</v>
      </c>
      <c r="AK63" s="106">
        <v>7.9</v>
      </c>
      <c r="AL63" s="107">
        <v>3.15</v>
      </c>
      <c r="AM63" s="107">
        <v>1.7</v>
      </c>
      <c r="AN63" s="106">
        <v>17</v>
      </c>
      <c r="AO63" s="107">
        <v>4.2</v>
      </c>
      <c r="AP63" s="107">
        <v>1.3</v>
      </c>
      <c r="AQ63" s="107">
        <v>1.1499999999999999</v>
      </c>
      <c r="AR63" s="107">
        <v>1.4</v>
      </c>
      <c r="AS63" s="107">
        <v>0.56599999999999995</v>
      </c>
      <c r="AT63" s="107">
        <v>0.13</v>
      </c>
      <c r="AU63" s="107">
        <v>0.8</v>
      </c>
      <c r="AV63" s="107">
        <v>0.153</v>
      </c>
      <c r="AW63" s="107">
        <v>0.06</v>
      </c>
      <c r="AX63" s="107">
        <v>0.24</v>
      </c>
      <c r="AY63" s="107">
        <v>15</v>
      </c>
      <c r="AZ63" s="107">
        <v>10</v>
      </c>
      <c r="BA63" s="107">
        <v>0.1</v>
      </c>
      <c r="BB63" s="107">
        <v>8</v>
      </c>
      <c r="BC63" s="107">
        <v>0.65</v>
      </c>
      <c r="BD63" s="107">
        <v>50</v>
      </c>
      <c r="BE63" s="107">
        <v>0.9</v>
      </c>
      <c r="BF63" s="107">
        <v>50</v>
      </c>
      <c r="BG63" s="107">
        <v>30</v>
      </c>
      <c r="BH63" s="107">
        <v>0.3</v>
      </c>
      <c r="BI63" s="107">
        <v>30</v>
      </c>
      <c r="BJ63" s="107">
        <v>0.1</v>
      </c>
      <c r="BK63" s="107">
        <v>0.67</v>
      </c>
      <c r="BL63" s="107" t="s">
        <v>93</v>
      </c>
      <c r="BM63" s="107">
        <v>0.8</v>
      </c>
      <c r="BN63" s="107" t="s">
        <v>94</v>
      </c>
      <c r="BO63" s="107">
        <v>0</v>
      </c>
      <c r="BP63" s="107">
        <v>1.1599999999999999</v>
      </c>
      <c r="BQ63" s="107" t="s">
        <v>92</v>
      </c>
      <c r="BR63" s="107" t="s">
        <v>231</v>
      </c>
      <c r="BS63" s="107" t="s">
        <v>94</v>
      </c>
      <c r="BT63" s="107">
        <v>3.6</v>
      </c>
      <c r="BU63" s="107">
        <v>2.5</v>
      </c>
      <c r="BV63" s="107">
        <v>4.4000000000000004</v>
      </c>
      <c r="BW63" s="107">
        <v>1.7</v>
      </c>
      <c r="BX63" s="107">
        <v>3.3</v>
      </c>
      <c r="BY63" s="107" t="s">
        <v>94</v>
      </c>
      <c r="BZ63" s="107" t="s">
        <v>227</v>
      </c>
      <c r="CA63" s="107" t="s">
        <v>93</v>
      </c>
      <c r="CB63" s="107" t="s">
        <v>94</v>
      </c>
      <c r="CC63" s="107">
        <v>42198</v>
      </c>
      <c r="CD63" s="107">
        <v>42599</v>
      </c>
      <c r="CE63" s="107">
        <v>2044</v>
      </c>
      <c r="CF63" s="107">
        <v>0.17</v>
      </c>
    </row>
    <row r="64" spans="1:84" x14ac:dyDescent="0.25">
      <c r="A64" s="105" t="s">
        <v>232</v>
      </c>
      <c r="B64" s="105">
        <v>146</v>
      </c>
      <c r="C64" s="105" t="s">
        <v>92</v>
      </c>
      <c r="D64" s="105" t="s">
        <v>92</v>
      </c>
      <c r="E64" s="105" t="s">
        <v>110</v>
      </c>
      <c r="F64" s="105" t="s">
        <v>131</v>
      </c>
      <c r="G64" s="105" t="s">
        <v>207</v>
      </c>
      <c r="H64" s="105" t="s">
        <v>93</v>
      </c>
      <c r="I64" s="105">
        <v>1</v>
      </c>
      <c r="J64" s="105">
        <v>0</v>
      </c>
      <c r="K64" s="105">
        <v>1</v>
      </c>
      <c r="L64" s="105">
        <v>30</v>
      </c>
      <c r="M64" s="105">
        <v>20</v>
      </c>
      <c r="N64" s="105">
        <v>59</v>
      </c>
      <c r="O64" s="105">
        <v>132</v>
      </c>
      <c r="P64" s="105">
        <v>150</v>
      </c>
      <c r="Q64" s="105">
        <v>3.125</v>
      </c>
      <c r="R64" s="105">
        <v>50</v>
      </c>
      <c r="S64" s="105">
        <v>3.8</v>
      </c>
      <c r="T64" s="105">
        <v>1.1000000000000001</v>
      </c>
      <c r="U64" s="105">
        <v>1.9</v>
      </c>
      <c r="V64" s="105">
        <v>2.7</v>
      </c>
      <c r="W64" s="105">
        <v>1</v>
      </c>
      <c r="X64" s="105">
        <v>6.8</v>
      </c>
      <c r="Y64" s="105">
        <v>10</v>
      </c>
      <c r="Z64" s="105">
        <v>300</v>
      </c>
      <c r="AA64" s="105">
        <v>44</v>
      </c>
      <c r="AB64" s="105">
        <v>1.8</v>
      </c>
      <c r="AC64" s="105" t="s">
        <v>94</v>
      </c>
      <c r="AD64" s="105" t="s">
        <v>94</v>
      </c>
      <c r="AE64" s="105" t="s">
        <v>94</v>
      </c>
      <c r="AF64" s="105">
        <v>9.2999999999999992E-3</v>
      </c>
      <c r="AG64" s="105" t="s">
        <v>94</v>
      </c>
      <c r="AH64" s="105" t="s">
        <v>94</v>
      </c>
      <c r="AI64" s="105">
        <v>6.8999999999999999E-3</v>
      </c>
      <c r="AJ64" s="105">
        <v>0.75</v>
      </c>
      <c r="AK64" s="106">
        <v>7.9</v>
      </c>
      <c r="AL64" s="105">
        <v>3.02</v>
      </c>
      <c r="AM64" s="105">
        <v>1.7</v>
      </c>
      <c r="AN64" s="106">
        <v>17</v>
      </c>
      <c r="AO64" s="105">
        <v>4.2</v>
      </c>
      <c r="AP64" s="105">
        <v>1.26</v>
      </c>
      <c r="AQ64" s="105">
        <v>1.17</v>
      </c>
      <c r="AR64" s="105">
        <v>1.36</v>
      </c>
      <c r="AS64" s="105">
        <v>0.54400000000000004</v>
      </c>
      <c r="AT64" s="105">
        <v>0.13600000000000001</v>
      </c>
      <c r="AU64" s="105">
        <v>0.79600000000000004</v>
      </c>
      <c r="AV64" s="105">
        <v>0.16600000000000001</v>
      </c>
      <c r="AW64" s="105">
        <v>5.8000000000000003E-2</v>
      </c>
      <c r="AX64" s="105">
        <v>0.26300000000000001</v>
      </c>
      <c r="AY64" s="105">
        <v>15</v>
      </c>
      <c r="AZ64" s="105">
        <v>10</v>
      </c>
      <c r="BA64" s="105">
        <v>0.1</v>
      </c>
      <c r="BB64" s="105">
        <v>8.2799999999999994</v>
      </c>
      <c r="BC64" s="105">
        <v>0.72</v>
      </c>
      <c r="BD64" s="105">
        <v>60</v>
      </c>
      <c r="BE64" s="105">
        <v>1.52</v>
      </c>
      <c r="BF64" s="105">
        <v>60</v>
      </c>
      <c r="BG64" s="105">
        <v>30</v>
      </c>
      <c r="BH64" s="105">
        <v>0.49</v>
      </c>
      <c r="BI64" s="105">
        <v>30</v>
      </c>
      <c r="BJ64" s="105">
        <v>0.1</v>
      </c>
      <c r="BK64" s="105">
        <v>0.59</v>
      </c>
      <c r="BL64" s="105" t="s">
        <v>93</v>
      </c>
      <c r="BM64" s="105">
        <v>0.8</v>
      </c>
      <c r="BN64" s="105" t="s">
        <v>94</v>
      </c>
      <c r="BO64" s="105">
        <v>1155</v>
      </c>
      <c r="BP64" s="105">
        <v>1</v>
      </c>
      <c r="BQ64" s="105" t="s">
        <v>92</v>
      </c>
      <c r="BR64" s="105" t="s">
        <v>233</v>
      </c>
      <c r="BS64" s="105" t="s">
        <v>94</v>
      </c>
      <c r="BT64" s="105">
        <v>3.6</v>
      </c>
      <c r="BU64" s="105">
        <v>2.5</v>
      </c>
      <c r="BV64" s="105">
        <v>6.5</v>
      </c>
      <c r="BW64" s="105">
        <v>2</v>
      </c>
      <c r="BX64" s="105">
        <v>3.1</v>
      </c>
      <c r="BY64" s="105" t="s">
        <v>94</v>
      </c>
      <c r="BZ64" s="105" t="s">
        <v>209</v>
      </c>
      <c r="CA64" s="105" t="s">
        <v>94</v>
      </c>
      <c r="CB64" s="105" t="s">
        <v>94</v>
      </c>
      <c r="CC64" s="105">
        <v>42201</v>
      </c>
      <c r="CD64" s="105">
        <v>42577</v>
      </c>
      <c r="CE64" s="105">
        <v>2529</v>
      </c>
      <c r="CF64" s="105">
        <v>0.18</v>
      </c>
    </row>
    <row r="65" spans="1:84" s="107" customFormat="1" x14ac:dyDescent="0.25">
      <c r="A65" s="107" t="s">
        <v>234</v>
      </c>
      <c r="B65" s="107">
        <v>146</v>
      </c>
      <c r="C65" s="107" t="s">
        <v>92</v>
      </c>
      <c r="D65" s="107" t="s">
        <v>92</v>
      </c>
      <c r="E65" s="107" t="s">
        <v>110</v>
      </c>
      <c r="F65" s="107" t="s">
        <v>205</v>
      </c>
      <c r="G65" s="107" t="s">
        <v>225</v>
      </c>
      <c r="H65" s="107" t="s">
        <v>93</v>
      </c>
      <c r="I65" s="107">
        <v>1</v>
      </c>
      <c r="J65" s="107">
        <v>0</v>
      </c>
      <c r="K65" s="107">
        <v>1</v>
      </c>
      <c r="L65" s="107">
        <v>30</v>
      </c>
      <c r="M65" s="107">
        <v>20</v>
      </c>
      <c r="N65" s="107">
        <v>20</v>
      </c>
      <c r="O65" s="107">
        <v>106</v>
      </c>
      <c r="P65" s="107">
        <v>150</v>
      </c>
      <c r="Q65" s="107">
        <v>2.5</v>
      </c>
      <c r="R65" s="107">
        <v>60</v>
      </c>
      <c r="S65" s="107">
        <v>5.4</v>
      </c>
      <c r="T65" s="107">
        <v>1.1000000000000001</v>
      </c>
      <c r="U65" s="107">
        <v>1.9</v>
      </c>
      <c r="V65" s="107">
        <v>2.8</v>
      </c>
      <c r="W65" s="107">
        <v>1</v>
      </c>
      <c r="X65" s="107">
        <v>5</v>
      </c>
      <c r="Y65" s="107">
        <v>8</v>
      </c>
      <c r="Z65" s="107">
        <v>300</v>
      </c>
      <c r="AA65" s="107">
        <v>37</v>
      </c>
      <c r="AB65" s="107">
        <v>1.9</v>
      </c>
      <c r="AC65" s="105" t="s">
        <v>94</v>
      </c>
      <c r="AD65" s="107" t="s">
        <v>94</v>
      </c>
      <c r="AE65" s="107" t="s">
        <v>94</v>
      </c>
      <c r="AF65" s="107">
        <v>1.4200000000000001E-2</v>
      </c>
      <c r="AG65" s="107" t="s">
        <v>94</v>
      </c>
      <c r="AH65" s="107" t="s">
        <v>94</v>
      </c>
      <c r="AI65" s="107">
        <v>8.6999999999999994E-3</v>
      </c>
      <c r="AJ65" s="107">
        <v>0.72</v>
      </c>
      <c r="AK65" s="106">
        <v>5.3</v>
      </c>
      <c r="AL65" s="107">
        <v>2.5</v>
      </c>
      <c r="AM65" s="107">
        <v>1.1000000000000001</v>
      </c>
      <c r="AN65" s="106">
        <v>11</v>
      </c>
      <c r="AO65" s="107">
        <v>3</v>
      </c>
      <c r="AP65" s="107">
        <v>0.86899999999999999</v>
      </c>
      <c r="AQ65" s="107">
        <v>0.8</v>
      </c>
      <c r="AR65" s="107">
        <v>0.92</v>
      </c>
      <c r="AS65" s="107">
        <v>0.35199999999999998</v>
      </c>
      <c r="AT65" s="107">
        <v>0.09</v>
      </c>
      <c r="AU65" s="107">
        <v>0.5</v>
      </c>
      <c r="AV65" s="107">
        <v>9.8000000000000004E-2</v>
      </c>
      <c r="AW65" s="107">
        <v>0.04</v>
      </c>
      <c r="AX65" s="107">
        <v>0.152</v>
      </c>
      <c r="AY65" s="107">
        <v>15</v>
      </c>
      <c r="AZ65" s="107">
        <v>10</v>
      </c>
      <c r="BA65" s="107">
        <v>0.1</v>
      </c>
      <c r="BB65" s="107">
        <v>5.5</v>
      </c>
      <c r="BC65" s="107">
        <v>0.7</v>
      </c>
      <c r="BD65" s="107">
        <v>37</v>
      </c>
      <c r="BE65" s="107">
        <v>1.3</v>
      </c>
      <c r="BF65" s="107">
        <v>37</v>
      </c>
      <c r="BG65" s="107">
        <v>30</v>
      </c>
      <c r="BH65" s="107">
        <v>0.26</v>
      </c>
      <c r="BI65" s="107">
        <v>30</v>
      </c>
      <c r="BJ65" s="107">
        <v>0.1</v>
      </c>
      <c r="BK65" s="107">
        <v>0.92</v>
      </c>
      <c r="BL65" s="107" t="s">
        <v>93</v>
      </c>
      <c r="BM65" s="107">
        <v>0.8</v>
      </c>
      <c r="BN65" s="107" t="s">
        <v>94</v>
      </c>
      <c r="BO65" s="107">
        <v>0</v>
      </c>
      <c r="BP65" s="107">
        <v>0.76800000000000002</v>
      </c>
      <c r="BQ65" s="107" t="s">
        <v>92</v>
      </c>
      <c r="BR65" s="107" t="s">
        <v>235</v>
      </c>
      <c r="BS65" s="107" t="s">
        <v>94</v>
      </c>
      <c r="BT65" s="107">
        <v>3.8</v>
      </c>
      <c r="BU65" s="107">
        <v>2.5</v>
      </c>
      <c r="BV65" s="107">
        <v>3.4</v>
      </c>
      <c r="BW65" s="107">
        <v>1.2</v>
      </c>
      <c r="BX65" s="107">
        <v>2.2000000000000002</v>
      </c>
      <c r="BY65" s="107" t="s">
        <v>94</v>
      </c>
      <c r="BZ65" s="107" t="s">
        <v>227</v>
      </c>
      <c r="CA65" s="107" t="s">
        <v>93</v>
      </c>
      <c r="CB65" s="107" t="s">
        <v>94</v>
      </c>
      <c r="CC65" s="107">
        <v>42201</v>
      </c>
      <c r="CD65" s="107">
        <v>42599</v>
      </c>
      <c r="CE65" s="107">
        <v>2046</v>
      </c>
      <c r="CF65" s="107">
        <v>0.15</v>
      </c>
    </row>
    <row r="66" spans="1:84" x14ac:dyDescent="0.25">
      <c r="A66" s="105" t="s">
        <v>236</v>
      </c>
      <c r="B66" s="105">
        <v>146</v>
      </c>
      <c r="C66" s="105" t="s">
        <v>92</v>
      </c>
      <c r="D66" s="105" t="s">
        <v>92</v>
      </c>
      <c r="E66" s="105" t="s">
        <v>110</v>
      </c>
      <c r="F66" s="105" t="s">
        <v>131</v>
      </c>
      <c r="G66" s="105" t="s">
        <v>207</v>
      </c>
      <c r="H66" s="105" t="s">
        <v>93</v>
      </c>
      <c r="I66" s="105">
        <v>1</v>
      </c>
      <c r="J66" s="105">
        <v>0</v>
      </c>
      <c r="K66" s="105">
        <v>1</v>
      </c>
      <c r="L66" s="105">
        <v>30</v>
      </c>
      <c r="M66" s="105">
        <v>20</v>
      </c>
      <c r="N66" s="105">
        <v>25</v>
      </c>
      <c r="O66" s="105">
        <v>105</v>
      </c>
      <c r="P66" s="105">
        <v>150</v>
      </c>
      <c r="Q66" s="105">
        <v>3.125</v>
      </c>
      <c r="R66" s="105">
        <v>50</v>
      </c>
      <c r="S66" s="105">
        <v>4.3</v>
      </c>
      <c r="T66" s="105">
        <v>1</v>
      </c>
      <c r="U66" s="105">
        <v>2</v>
      </c>
      <c r="V66" s="105">
        <v>2.9</v>
      </c>
      <c r="W66" s="105">
        <v>1</v>
      </c>
      <c r="X66" s="105">
        <v>5.7</v>
      </c>
      <c r="Y66" s="105">
        <v>10</v>
      </c>
      <c r="Z66" s="105">
        <v>300</v>
      </c>
      <c r="AA66" s="105">
        <v>36</v>
      </c>
      <c r="AB66" s="105">
        <v>1.9</v>
      </c>
      <c r="AC66" s="105" t="s">
        <v>94</v>
      </c>
      <c r="AD66" s="105" t="s">
        <v>94</v>
      </c>
      <c r="AE66" s="105" t="s">
        <v>94</v>
      </c>
      <c r="AF66" s="105">
        <v>1.3299999999999999E-2</v>
      </c>
      <c r="AG66" s="105" t="s">
        <v>94</v>
      </c>
      <c r="AH66" s="105" t="s">
        <v>94</v>
      </c>
      <c r="AI66" s="105">
        <v>9.7000000000000003E-3</v>
      </c>
      <c r="AJ66" s="105">
        <v>0.75</v>
      </c>
      <c r="AK66" s="106">
        <v>5.4</v>
      </c>
      <c r="AL66" s="105">
        <v>2.0499999999999998</v>
      </c>
      <c r="AM66" s="105">
        <v>1.1000000000000001</v>
      </c>
      <c r="AN66" s="106">
        <v>11.2</v>
      </c>
      <c r="AO66" s="105">
        <v>2.9</v>
      </c>
      <c r="AP66" s="105">
        <v>0.85299999999999998</v>
      </c>
      <c r="AQ66" s="105">
        <v>0.79600000000000004</v>
      </c>
      <c r="AR66" s="105">
        <v>0.89300000000000002</v>
      </c>
      <c r="AS66" s="105">
        <v>0.38800000000000001</v>
      </c>
      <c r="AT66" s="105">
        <v>9.5000000000000001E-2</v>
      </c>
      <c r="AU66" s="105">
        <v>0.56000000000000005</v>
      </c>
      <c r="AV66" s="105">
        <v>0.123</v>
      </c>
      <c r="AW66" s="105">
        <v>0.04</v>
      </c>
      <c r="AX66" s="105">
        <v>0.187</v>
      </c>
      <c r="AY66" s="105">
        <v>15</v>
      </c>
      <c r="AZ66" s="105">
        <v>10</v>
      </c>
      <c r="BA66" s="105">
        <v>0.1</v>
      </c>
      <c r="BB66" s="105">
        <v>5.88</v>
      </c>
      <c r="BC66" s="105">
        <v>0.76</v>
      </c>
      <c r="BD66" s="105">
        <v>44.8</v>
      </c>
      <c r="BE66" s="105">
        <v>1.55</v>
      </c>
      <c r="BF66" s="105">
        <v>44.8</v>
      </c>
      <c r="BG66" s="105">
        <v>30</v>
      </c>
      <c r="BH66" s="105">
        <v>0.39</v>
      </c>
      <c r="BI66" s="105">
        <v>30</v>
      </c>
      <c r="BJ66" s="105">
        <v>0.1</v>
      </c>
      <c r="BK66" s="105">
        <v>0.89</v>
      </c>
      <c r="BL66" s="105" t="s">
        <v>93</v>
      </c>
      <c r="BM66" s="105">
        <v>0.8</v>
      </c>
      <c r="BN66" s="105" t="s">
        <v>94</v>
      </c>
      <c r="BO66" s="105">
        <v>1155</v>
      </c>
      <c r="BP66" s="105">
        <v>0.91</v>
      </c>
      <c r="BQ66" s="105" t="s">
        <v>92</v>
      </c>
      <c r="BR66" s="105" t="s">
        <v>237</v>
      </c>
      <c r="BS66" s="105" t="s">
        <v>94</v>
      </c>
      <c r="BT66" s="105">
        <v>3.8</v>
      </c>
      <c r="BU66" s="105">
        <v>2.5</v>
      </c>
      <c r="BV66" s="105">
        <v>4.2</v>
      </c>
      <c r="BW66" s="105">
        <v>1.2</v>
      </c>
      <c r="BX66" s="105">
        <v>2.2999999999999998</v>
      </c>
      <c r="BY66" s="105" t="s">
        <v>94</v>
      </c>
      <c r="BZ66" s="105" t="s">
        <v>209</v>
      </c>
      <c r="CA66" s="105" t="s">
        <v>94</v>
      </c>
      <c r="CB66" s="105" t="s">
        <v>94</v>
      </c>
      <c r="CC66" s="105">
        <v>42202</v>
      </c>
      <c r="CD66" s="105">
        <v>42577</v>
      </c>
      <c r="CE66" s="105">
        <v>2530</v>
      </c>
      <c r="CF66" s="105">
        <v>0.16</v>
      </c>
    </row>
    <row r="67" spans="1:84" x14ac:dyDescent="0.25">
      <c r="A67" s="105" t="s">
        <v>238</v>
      </c>
      <c r="B67" s="105">
        <v>146</v>
      </c>
      <c r="C67" s="105" t="s">
        <v>92</v>
      </c>
      <c r="D67" s="105" t="s">
        <v>101</v>
      </c>
      <c r="E67" s="105" t="s">
        <v>110</v>
      </c>
      <c r="F67" s="105" t="s">
        <v>205</v>
      </c>
      <c r="G67" s="105" t="s">
        <v>239</v>
      </c>
      <c r="H67" s="105" t="s">
        <v>93</v>
      </c>
      <c r="I67" s="105">
        <v>1</v>
      </c>
      <c r="J67" s="105">
        <v>0</v>
      </c>
      <c r="K67" s="105">
        <v>1</v>
      </c>
      <c r="L67" s="105">
        <v>30</v>
      </c>
      <c r="M67" s="105">
        <v>20</v>
      </c>
      <c r="N67" s="105">
        <v>60</v>
      </c>
      <c r="O67" s="105">
        <v>154</v>
      </c>
      <c r="P67" s="105">
        <v>150</v>
      </c>
      <c r="Q67" s="105">
        <v>3.1</v>
      </c>
      <c r="R67" s="105">
        <v>55</v>
      </c>
      <c r="S67" s="105">
        <v>2</v>
      </c>
      <c r="T67" s="105">
        <v>1</v>
      </c>
      <c r="U67" s="105">
        <v>1.7</v>
      </c>
      <c r="V67" s="105">
        <v>2.4</v>
      </c>
      <c r="W67" s="105">
        <v>1</v>
      </c>
      <c r="X67" s="105">
        <v>9.8000000000000007</v>
      </c>
      <c r="Y67" s="105">
        <v>16</v>
      </c>
      <c r="Z67" s="105">
        <v>300</v>
      </c>
      <c r="AA67" s="105">
        <v>78</v>
      </c>
      <c r="AB67" s="105">
        <v>1.8</v>
      </c>
      <c r="AC67" s="105" t="s">
        <v>94</v>
      </c>
      <c r="AD67" s="105" t="s">
        <v>94</v>
      </c>
      <c r="AE67" s="105" t="s">
        <v>94</v>
      </c>
      <c r="AF67" s="105">
        <v>4.7000000000000002E-3</v>
      </c>
      <c r="AG67" s="105" t="s">
        <v>94</v>
      </c>
      <c r="AH67" s="105" t="s">
        <v>94</v>
      </c>
      <c r="AI67" s="105">
        <v>3.8E-3</v>
      </c>
      <c r="AJ67" s="105">
        <v>0.6</v>
      </c>
      <c r="AK67" s="106">
        <v>20</v>
      </c>
      <c r="AL67" s="105">
        <v>22</v>
      </c>
      <c r="AM67" s="105">
        <v>3.6</v>
      </c>
      <c r="AN67" s="106">
        <v>42</v>
      </c>
      <c r="AO67" s="105">
        <v>11.7</v>
      </c>
      <c r="AP67" s="105">
        <v>3.55</v>
      </c>
      <c r="AQ67" s="105">
        <v>2.8</v>
      </c>
      <c r="AR67" s="105">
        <v>3.6</v>
      </c>
      <c r="AS67" s="105">
        <v>2.7</v>
      </c>
      <c r="AT67" s="105">
        <v>0.35</v>
      </c>
      <c r="AU67" s="105">
        <v>2.8</v>
      </c>
      <c r="AV67" s="105">
        <v>0.64100000000000001</v>
      </c>
      <c r="AW67" s="105">
        <v>0.15</v>
      </c>
      <c r="AX67" s="105">
        <v>0.65</v>
      </c>
      <c r="AY67" s="105">
        <v>15</v>
      </c>
      <c r="AZ67" s="105">
        <v>10</v>
      </c>
      <c r="BA67" s="105">
        <v>0.1</v>
      </c>
      <c r="BB67" s="105">
        <v>16</v>
      </c>
      <c r="BC67" s="105">
        <v>0.7</v>
      </c>
      <c r="BD67" s="105">
        <v>125</v>
      </c>
      <c r="BE67" s="105">
        <v>1</v>
      </c>
      <c r="BF67" s="105">
        <v>85</v>
      </c>
      <c r="BG67" s="105">
        <v>30</v>
      </c>
      <c r="BH67" s="105">
        <v>0.65</v>
      </c>
      <c r="BI67" s="105">
        <v>30</v>
      </c>
      <c r="BJ67" s="105">
        <v>0.1</v>
      </c>
      <c r="BK67" s="105">
        <v>1.77</v>
      </c>
      <c r="BL67" s="105" t="s">
        <v>93</v>
      </c>
      <c r="BM67" s="105">
        <v>0.8</v>
      </c>
      <c r="BN67" s="105" t="s">
        <v>94</v>
      </c>
      <c r="BO67" s="105">
        <v>1155</v>
      </c>
      <c r="BP67" s="105">
        <v>2.95</v>
      </c>
      <c r="BQ67" s="105" t="s">
        <v>92</v>
      </c>
      <c r="BR67" s="105" t="s">
        <v>240</v>
      </c>
      <c r="BS67" s="105" t="s">
        <v>94</v>
      </c>
      <c r="BT67" s="105">
        <v>3.6</v>
      </c>
      <c r="BU67" s="105">
        <v>4.5</v>
      </c>
      <c r="BV67" s="105">
        <v>10.199999999999999</v>
      </c>
      <c r="BW67" s="105">
        <v>4</v>
      </c>
      <c r="BX67" s="105">
        <v>6.9</v>
      </c>
      <c r="BY67" s="105" t="s">
        <v>94</v>
      </c>
      <c r="BZ67" s="105" t="s">
        <v>121</v>
      </c>
      <c r="CA67" s="105" t="s">
        <v>93</v>
      </c>
      <c r="CB67" s="105" t="s">
        <v>94</v>
      </c>
      <c r="CC67" s="105">
        <v>43320</v>
      </c>
      <c r="CD67" s="105">
        <v>43320</v>
      </c>
      <c r="CE67" s="105">
        <v>3485</v>
      </c>
      <c r="CF67" s="105">
        <v>0.22</v>
      </c>
    </row>
    <row r="68" spans="1:84" s="107" customFormat="1" x14ac:dyDescent="0.25">
      <c r="A68" s="107" t="s">
        <v>382</v>
      </c>
      <c r="B68" s="107">
        <v>146</v>
      </c>
      <c r="C68" s="107" t="s">
        <v>93</v>
      </c>
      <c r="D68" s="107" t="s">
        <v>101</v>
      </c>
      <c r="E68" s="107" t="s">
        <v>383</v>
      </c>
      <c r="F68" s="107" t="s">
        <v>205</v>
      </c>
      <c r="G68" s="107" t="s">
        <v>394</v>
      </c>
      <c r="H68" s="107" t="s">
        <v>93</v>
      </c>
      <c r="I68" s="107">
        <v>1</v>
      </c>
      <c r="J68" s="107">
        <v>0</v>
      </c>
      <c r="K68" s="107">
        <v>1</v>
      </c>
      <c r="L68" s="107">
        <v>30</v>
      </c>
      <c r="M68" s="107">
        <v>20</v>
      </c>
      <c r="N68" s="107">
        <v>60</v>
      </c>
      <c r="O68" s="107">
        <v>265</v>
      </c>
      <c r="P68" s="107">
        <v>150</v>
      </c>
      <c r="Q68" s="107">
        <v>3.1</v>
      </c>
      <c r="R68" s="107">
        <v>50</v>
      </c>
      <c r="S68" s="107">
        <v>1.5</v>
      </c>
      <c r="T68" s="107">
        <v>1</v>
      </c>
      <c r="U68" s="107">
        <v>1.7</v>
      </c>
      <c r="V68" s="107">
        <v>2.4</v>
      </c>
      <c r="W68" s="107">
        <v>1</v>
      </c>
      <c r="X68" s="107">
        <v>11</v>
      </c>
      <c r="Y68" s="107">
        <v>16</v>
      </c>
      <c r="Z68" s="107">
        <v>300</v>
      </c>
      <c r="AA68" s="107">
        <v>85</v>
      </c>
      <c r="AB68" s="107">
        <v>1.8</v>
      </c>
      <c r="AC68" s="105" t="s">
        <v>94</v>
      </c>
      <c r="AD68" s="107" t="s">
        <v>94</v>
      </c>
      <c r="AE68" s="105" t="s">
        <v>94</v>
      </c>
      <c r="AF68" s="107">
        <v>4.1999999999999997E-3</v>
      </c>
      <c r="AG68" s="107" t="s">
        <v>94</v>
      </c>
      <c r="AH68" s="107" t="s">
        <v>94</v>
      </c>
      <c r="AI68" s="107">
        <v>3.3999999999999998E-3</v>
      </c>
      <c r="AJ68" s="107">
        <v>0.6</v>
      </c>
      <c r="AK68" s="106">
        <v>20</v>
      </c>
      <c r="AL68" s="107">
        <v>22</v>
      </c>
      <c r="AM68" s="107">
        <v>3.6</v>
      </c>
      <c r="AN68" s="106">
        <v>41</v>
      </c>
      <c r="AO68" s="107">
        <v>11.7</v>
      </c>
      <c r="AP68" s="107">
        <v>3.55</v>
      </c>
      <c r="AQ68" s="107">
        <v>2.8</v>
      </c>
      <c r="AR68" s="107">
        <v>3.6</v>
      </c>
      <c r="AS68" s="107">
        <v>2.7</v>
      </c>
      <c r="AT68" s="107">
        <v>0.35</v>
      </c>
      <c r="AU68" s="107">
        <v>2.8</v>
      </c>
      <c r="AV68" s="107">
        <v>0.64100000000000001</v>
      </c>
      <c r="AW68" s="107">
        <v>0.15</v>
      </c>
      <c r="AX68" s="107">
        <v>0.65</v>
      </c>
      <c r="AY68" s="107">
        <v>15</v>
      </c>
      <c r="AZ68" s="107">
        <v>10</v>
      </c>
      <c r="BA68" s="107">
        <v>0.1</v>
      </c>
      <c r="BB68" s="107">
        <v>16</v>
      </c>
      <c r="BC68" s="107">
        <v>0.7</v>
      </c>
      <c r="BD68" s="107">
        <v>125</v>
      </c>
      <c r="BE68" s="107">
        <v>1</v>
      </c>
      <c r="BF68" s="107">
        <v>85</v>
      </c>
      <c r="BG68" s="107">
        <v>30</v>
      </c>
      <c r="BH68" s="107">
        <v>0.65</v>
      </c>
      <c r="BI68" s="107">
        <v>30</v>
      </c>
      <c r="BJ68" s="107">
        <v>0.1</v>
      </c>
      <c r="BK68" s="107">
        <v>1.77</v>
      </c>
      <c r="BL68" s="107" t="s">
        <v>93</v>
      </c>
      <c r="BM68" s="107">
        <v>0.8</v>
      </c>
      <c r="BN68" s="107" t="s">
        <v>94</v>
      </c>
      <c r="BO68" s="107">
        <v>1155</v>
      </c>
      <c r="BP68" s="107">
        <v>2.95</v>
      </c>
      <c r="BQ68" s="107" t="s">
        <v>92</v>
      </c>
      <c r="BR68" s="108" t="s">
        <v>396</v>
      </c>
      <c r="BS68" s="107" t="s">
        <v>94</v>
      </c>
      <c r="BT68" s="107">
        <v>3.6</v>
      </c>
      <c r="BU68" s="107">
        <v>4.5</v>
      </c>
      <c r="BV68" s="107">
        <v>13</v>
      </c>
      <c r="BW68" s="107">
        <v>4</v>
      </c>
      <c r="BX68" s="107">
        <v>6.9</v>
      </c>
      <c r="BY68" s="107" t="s">
        <v>94</v>
      </c>
      <c r="BZ68" s="107" t="s">
        <v>114</v>
      </c>
      <c r="CA68" s="107" t="s">
        <v>93</v>
      </c>
      <c r="CB68" s="107" t="s">
        <v>94</v>
      </c>
      <c r="CC68" s="107">
        <v>43724</v>
      </c>
      <c r="CD68" s="107">
        <v>43724</v>
      </c>
      <c r="CF68" s="107">
        <v>0.24</v>
      </c>
    </row>
    <row r="69" spans="1:84" x14ac:dyDescent="0.25">
      <c r="A69" s="105" t="s">
        <v>242</v>
      </c>
      <c r="B69" s="105">
        <v>146</v>
      </c>
      <c r="C69" s="105" t="s">
        <v>92</v>
      </c>
      <c r="D69" s="105" t="s">
        <v>92</v>
      </c>
      <c r="E69" s="105" t="s">
        <v>110</v>
      </c>
      <c r="F69" s="105" t="s">
        <v>131</v>
      </c>
      <c r="G69" s="105" t="s">
        <v>211</v>
      </c>
      <c r="H69" s="105" t="s">
        <v>93</v>
      </c>
      <c r="I69" s="105">
        <v>1</v>
      </c>
      <c r="J69" s="105">
        <v>0</v>
      </c>
      <c r="K69" s="105">
        <v>1</v>
      </c>
      <c r="L69" s="105">
        <v>40</v>
      </c>
      <c r="M69" s="105">
        <v>20</v>
      </c>
      <c r="N69" s="105">
        <v>100</v>
      </c>
      <c r="O69" s="105">
        <v>400</v>
      </c>
      <c r="P69" s="105">
        <v>150</v>
      </c>
      <c r="Q69" s="105">
        <v>3.125</v>
      </c>
      <c r="R69" s="105">
        <v>50</v>
      </c>
      <c r="S69" s="105">
        <v>1</v>
      </c>
      <c r="T69" s="105">
        <v>1.4</v>
      </c>
      <c r="U69" s="105">
        <v>2.2999999999999998</v>
      </c>
      <c r="V69" s="105">
        <v>2.5</v>
      </c>
      <c r="W69" s="105">
        <v>1</v>
      </c>
      <c r="X69" s="105">
        <v>40</v>
      </c>
      <c r="Y69" s="105">
        <v>25</v>
      </c>
      <c r="Z69" s="105">
        <v>300</v>
      </c>
      <c r="AA69" s="105">
        <v>118</v>
      </c>
      <c r="AB69" s="105">
        <v>1.2</v>
      </c>
      <c r="AC69" s="105" t="s">
        <v>94</v>
      </c>
      <c r="AD69" s="105" t="s">
        <v>94</v>
      </c>
      <c r="AE69" s="105" t="s">
        <v>94</v>
      </c>
      <c r="AF69" s="105">
        <v>4.3E-3</v>
      </c>
      <c r="AG69" s="105" t="s">
        <v>94</v>
      </c>
      <c r="AH69" s="105" t="s">
        <v>94</v>
      </c>
      <c r="AI69" s="105">
        <v>3.2000000000000002E-3</v>
      </c>
      <c r="AJ69" s="105">
        <v>0.84</v>
      </c>
      <c r="AK69" s="106">
        <v>20</v>
      </c>
      <c r="AL69" s="105">
        <v>10.6</v>
      </c>
      <c r="AM69" s="105">
        <v>5.7</v>
      </c>
      <c r="AN69" s="106">
        <v>42</v>
      </c>
      <c r="AO69" s="105">
        <v>48</v>
      </c>
      <c r="AP69" s="105">
        <v>3.5</v>
      </c>
      <c r="AQ69" s="105">
        <v>3.2</v>
      </c>
      <c r="AR69" s="105">
        <v>3.53</v>
      </c>
      <c r="AS69" s="105">
        <v>4.13</v>
      </c>
      <c r="AT69" s="105">
        <v>0.72499999999999998</v>
      </c>
      <c r="AU69" s="105">
        <v>5</v>
      </c>
      <c r="AV69" s="105">
        <v>0.3</v>
      </c>
      <c r="AW69" s="105">
        <v>1.9E-2</v>
      </c>
      <c r="AX69" s="105">
        <v>0.34</v>
      </c>
      <c r="AY69" s="105">
        <v>20</v>
      </c>
      <c r="AZ69" s="105">
        <v>10</v>
      </c>
      <c r="BA69" s="105">
        <v>0.1</v>
      </c>
      <c r="BB69" s="105">
        <v>18</v>
      </c>
      <c r="BC69" s="105">
        <v>1.1000000000000001</v>
      </c>
      <c r="BD69" s="105">
        <v>180</v>
      </c>
      <c r="BE69" s="105">
        <v>2</v>
      </c>
      <c r="BF69" s="105">
        <v>180</v>
      </c>
      <c r="BG69" s="105">
        <v>40</v>
      </c>
      <c r="BH69" s="105">
        <v>1.9</v>
      </c>
      <c r="BI69" s="105">
        <v>40</v>
      </c>
      <c r="BJ69" s="105">
        <v>0.1</v>
      </c>
      <c r="BK69" s="105">
        <v>0.25</v>
      </c>
      <c r="BL69" s="105" t="s">
        <v>93</v>
      </c>
      <c r="BM69" s="105">
        <v>0.8</v>
      </c>
      <c r="BN69" s="105" t="s">
        <v>94</v>
      </c>
      <c r="BO69" s="105">
        <v>1155</v>
      </c>
      <c r="BP69" s="105">
        <v>3.52</v>
      </c>
      <c r="BQ69" s="105" t="s">
        <v>92</v>
      </c>
      <c r="BR69" s="105" t="s">
        <v>243</v>
      </c>
      <c r="BS69" s="105" t="s">
        <v>94</v>
      </c>
      <c r="BT69" s="105">
        <v>2.4</v>
      </c>
      <c r="BU69" s="105">
        <v>3.1</v>
      </c>
      <c r="BV69" s="105">
        <v>70</v>
      </c>
      <c r="BW69" s="105">
        <v>5.9</v>
      </c>
      <c r="BX69" s="105">
        <v>8.1</v>
      </c>
      <c r="BY69" s="105" t="s">
        <v>94</v>
      </c>
      <c r="BZ69" s="105" t="s">
        <v>114</v>
      </c>
      <c r="CA69" s="105" t="s">
        <v>94</v>
      </c>
      <c r="CB69" s="105" t="s">
        <v>94</v>
      </c>
      <c r="CC69" s="105">
        <v>41163</v>
      </c>
      <c r="CD69" s="105">
        <v>42564</v>
      </c>
      <c r="CE69" s="105">
        <v>2048</v>
      </c>
      <c r="CF69" s="105">
        <v>0.56000000000000005</v>
      </c>
    </row>
    <row r="70" spans="1:84" x14ac:dyDescent="0.25">
      <c r="A70" s="105" t="s">
        <v>244</v>
      </c>
      <c r="B70" s="105">
        <v>146</v>
      </c>
      <c r="C70" s="105" t="s">
        <v>92</v>
      </c>
      <c r="D70" s="105" t="s">
        <v>93</v>
      </c>
      <c r="E70" s="105" t="s">
        <v>245</v>
      </c>
      <c r="F70" s="105" t="s">
        <v>246</v>
      </c>
      <c r="G70" s="105" t="s">
        <v>247</v>
      </c>
      <c r="H70" s="105" t="s">
        <v>93</v>
      </c>
      <c r="I70" s="105">
        <v>1</v>
      </c>
      <c r="J70" s="105">
        <v>0</v>
      </c>
      <c r="K70" s="105">
        <v>4</v>
      </c>
      <c r="L70" s="105">
        <v>40</v>
      </c>
      <c r="M70" s="105">
        <v>20</v>
      </c>
      <c r="N70" s="105">
        <v>100</v>
      </c>
      <c r="O70" s="105">
        <v>400</v>
      </c>
      <c r="P70" s="105">
        <v>175</v>
      </c>
      <c r="Q70" s="105">
        <v>259</v>
      </c>
      <c r="R70" s="105">
        <v>62</v>
      </c>
      <c r="S70" s="105">
        <v>0.6</v>
      </c>
      <c r="T70" s="105">
        <v>1.5</v>
      </c>
      <c r="U70" s="105">
        <v>2.1</v>
      </c>
      <c r="V70" s="105">
        <v>3.2</v>
      </c>
      <c r="W70" s="105">
        <v>1</v>
      </c>
      <c r="X70" s="105">
        <v>48</v>
      </c>
      <c r="Y70" s="105">
        <v>100</v>
      </c>
      <c r="Z70" s="105">
        <v>300</v>
      </c>
      <c r="AA70" s="105">
        <v>138</v>
      </c>
      <c r="AB70" s="105">
        <v>1.2</v>
      </c>
      <c r="AC70" s="105" t="s">
        <v>94</v>
      </c>
      <c r="AD70" s="105" t="s">
        <v>94</v>
      </c>
      <c r="AE70" s="105" t="s">
        <v>94</v>
      </c>
      <c r="AF70" s="105">
        <v>4.3E-3</v>
      </c>
      <c r="AG70" s="105" t="s">
        <v>94</v>
      </c>
      <c r="AH70" s="105" t="s">
        <v>94</v>
      </c>
      <c r="AI70" s="105">
        <v>2.8999999999999998E-3</v>
      </c>
      <c r="AJ70" s="105">
        <v>0.8</v>
      </c>
      <c r="AK70" s="106">
        <v>25</v>
      </c>
      <c r="AL70" s="105">
        <v>10</v>
      </c>
      <c r="AM70" s="105">
        <v>7.5</v>
      </c>
      <c r="AN70" s="106">
        <v>52</v>
      </c>
      <c r="AO70" s="105">
        <v>52</v>
      </c>
      <c r="AP70" s="105">
        <v>4.28</v>
      </c>
      <c r="AQ70" s="105">
        <v>3.9</v>
      </c>
      <c r="AR70" s="105">
        <v>4.37</v>
      </c>
      <c r="AS70" s="105">
        <v>5.09</v>
      </c>
      <c r="AT70" s="105">
        <v>0.9</v>
      </c>
      <c r="AU70" s="105">
        <v>5.19</v>
      </c>
      <c r="AV70" s="105">
        <v>0.245</v>
      </c>
      <c r="AW70" s="105">
        <v>2.1000000000000001E-2</v>
      </c>
      <c r="AX70" s="105">
        <v>0.245</v>
      </c>
      <c r="AY70" s="105">
        <v>20</v>
      </c>
      <c r="AZ70" s="105">
        <v>10</v>
      </c>
      <c r="BA70" s="105">
        <v>0.1</v>
      </c>
      <c r="BB70" s="105">
        <v>18</v>
      </c>
      <c r="BC70" s="105">
        <v>1.5</v>
      </c>
      <c r="BD70" s="105">
        <v>250</v>
      </c>
      <c r="BE70" s="105">
        <v>3</v>
      </c>
      <c r="BF70" s="105">
        <v>250</v>
      </c>
      <c r="BG70" s="105">
        <v>40</v>
      </c>
      <c r="BH70" s="105">
        <v>3</v>
      </c>
      <c r="BI70" s="105">
        <v>40</v>
      </c>
      <c r="BJ70" s="105">
        <v>0.1</v>
      </c>
      <c r="BK70" s="105">
        <v>0.2</v>
      </c>
      <c r="BL70" s="105" t="s">
        <v>93</v>
      </c>
      <c r="BM70" s="105">
        <v>0.8</v>
      </c>
      <c r="BN70" s="105" t="s">
        <v>94</v>
      </c>
      <c r="BO70" s="105">
        <v>42</v>
      </c>
      <c r="BP70" s="105">
        <v>4.0999999999999996</v>
      </c>
      <c r="BQ70" s="105" t="s">
        <v>92</v>
      </c>
      <c r="BR70" s="105" t="s">
        <v>248</v>
      </c>
      <c r="BS70" s="105" t="s">
        <v>94</v>
      </c>
      <c r="BT70" s="105">
        <v>2.4</v>
      </c>
      <c r="BU70" s="105">
        <v>3.5</v>
      </c>
      <c r="BV70" s="105">
        <v>105</v>
      </c>
      <c r="BW70" s="105">
        <v>8.4</v>
      </c>
      <c r="BX70" s="105">
        <v>10.3</v>
      </c>
      <c r="BY70" s="105" t="s">
        <v>94</v>
      </c>
      <c r="BZ70" s="105" t="s">
        <v>249</v>
      </c>
      <c r="CA70" s="105" t="s">
        <v>94</v>
      </c>
      <c r="CB70" s="105" t="s">
        <v>94</v>
      </c>
      <c r="CC70" s="105">
        <v>41163</v>
      </c>
      <c r="CD70" s="105">
        <v>42577</v>
      </c>
      <c r="CE70" s="105">
        <v>2531</v>
      </c>
      <c r="CF70" s="105">
        <v>0.78</v>
      </c>
    </row>
    <row r="71" spans="1:84" x14ac:dyDescent="0.25">
      <c r="A71" s="105" t="s">
        <v>250</v>
      </c>
      <c r="B71" s="105">
        <v>146</v>
      </c>
      <c r="C71" s="105" t="s">
        <v>92</v>
      </c>
      <c r="D71" s="105" t="s">
        <v>92</v>
      </c>
      <c r="E71" s="105" t="s">
        <v>110</v>
      </c>
      <c r="F71" s="105" t="s">
        <v>168</v>
      </c>
      <c r="G71" s="105" t="s">
        <v>211</v>
      </c>
      <c r="H71" s="105" t="s">
        <v>93</v>
      </c>
      <c r="I71" s="105">
        <v>1</v>
      </c>
      <c r="J71" s="105">
        <v>0</v>
      </c>
      <c r="K71" s="105">
        <v>1</v>
      </c>
      <c r="L71" s="105">
        <v>40</v>
      </c>
      <c r="M71" s="105">
        <v>20</v>
      </c>
      <c r="N71" s="105">
        <v>100</v>
      </c>
      <c r="O71" s="105">
        <v>400</v>
      </c>
      <c r="P71" s="105">
        <v>150</v>
      </c>
      <c r="Q71" s="105">
        <v>3.125</v>
      </c>
      <c r="R71" s="105">
        <v>50</v>
      </c>
      <c r="S71" s="105">
        <v>0.8</v>
      </c>
      <c r="T71" s="105">
        <v>1.5</v>
      </c>
      <c r="U71" s="105">
        <v>2.2000000000000002</v>
      </c>
      <c r="V71" s="105">
        <v>2.6</v>
      </c>
      <c r="W71" s="105">
        <v>1</v>
      </c>
      <c r="X71" s="105">
        <v>44</v>
      </c>
      <c r="Y71" s="105">
        <v>30</v>
      </c>
      <c r="Z71" s="105">
        <v>300</v>
      </c>
      <c r="AA71" s="105">
        <v>143</v>
      </c>
      <c r="AB71" s="105">
        <v>1.2</v>
      </c>
      <c r="AC71" s="105" t="s">
        <v>94</v>
      </c>
      <c r="AD71" s="105" t="s">
        <v>94</v>
      </c>
      <c r="AE71" s="105" t="s">
        <v>94</v>
      </c>
      <c r="AF71" s="105">
        <v>3.3E-3</v>
      </c>
      <c r="AG71" s="105" t="s">
        <v>94</v>
      </c>
      <c r="AH71" s="105" t="s">
        <v>94</v>
      </c>
      <c r="AI71" s="105">
        <v>2.3E-3</v>
      </c>
      <c r="AJ71" s="105">
        <v>0.9</v>
      </c>
      <c r="AK71" s="106">
        <v>25</v>
      </c>
      <c r="AL71" s="105">
        <v>12</v>
      </c>
      <c r="AM71" s="105">
        <v>6.9</v>
      </c>
      <c r="AN71" s="106">
        <v>52</v>
      </c>
      <c r="AO71" s="105">
        <v>59</v>
      </c>
      <c r="AP71" s="105">
        <v>4.2</v>
      </c>
      <c r="AQ71" s="105">
        <v>3.9</v>
      </c>
      <c r="AR71" s="105">
        <v>4.29</v>
      </c>
      <c r="AS71" s="105">
        <v>5.25</v>
      </c>
      <c r="AT71" s="105">
        <v>0.9</v>
      </c>
      <c r="AU71" s="105">
        <v>6.58</v>
      </c>
      <c r="AV71" s="105">
        <v>0.34</v>
      </c>
      <c r="AW71" s="105">
        <v>2.1999999999999999E-2</v>
      </c>
      <c r="AX71" s="105">
        <v>0.4</v>
      </c>
      <c r="AY71" s="105">
        <v>20</v>
      </c>
      <c r="AZ71" s="105">
        <v>10</v>
      </c>
      <c r="BA71" s="105">
        <v>0.01</v>
      </c>
      <c r="BB71" s="105">
        <v>2.5</v>
      </c>
      <c r="BC71" s="105">
        <v>1.2</v>
      </c>
      <c r="BD71" s="105">
        <v>260</v>
      </c>
      <c r="BE71" s="105">
        <v>2</v>
      </c>
      <c r="BF71" s="105">
        <v>260</v>
      </c>
      <c r="BG71" s="105">
        <v>40</v>
      </c>
      <c r="BH71" s="105">
        <v>2</v>
      </c>
      <c r="BI71" s="105">
        <v>40</v>
      </c>
      <c r="BJ71" s="105">
        <v>0.01</v>
      </c>
      <c r="BK71" s="105">
        <v>0.2</v>
      </c>
      <c r="BL71" s="105" t="s">
        <v>93</v>
      </c>
      <c r="BM71" s="105">
        <v>0.8</v>
      </c>
      <c r="BN71" s="105" t="s">
        <v>94</v>
      </c>
      <c r="BO71" s="105">
        <v>1345</v>
      </c>
      <c r="BP71" s="105">
        <v>4.0999999999999996</v>
      </c>
      <c r="BQ71" s="105" t="s">
        <v>92</v>
      </c>
      <c r="BR71" s="105" t="s">
        <v>251</v>
      </c>
      <c r="BS71" s="105" t="s">
        <v>94</v>
      </c>
      <c r="BT71" s="105">
        <v>2.4</v>
      </c>
      <c r="BU71" s="105">
        <v>3.3</v>
      </c>
      <c r="BV71" s="105">
        <v>88</v>
      </c>
      <c r="BW71" s="105">
        <v>8.4</v>
      </c>
      <c r="BX71" s="105">
        <v>10.3</v>
      </c>
      <c r="BY71" s="105" t="s">
        <v>94</v>
      </c>
      <c r="BZ71" s="105" t="s">
        <v>114</v>
      </c>
      <c r="CA71" s="105" t="s">
        <v>94</v>
      </c>
      <c r="CB71" s="105" t="s">
        <v>94</v>
      </c>
      <c r="CC71" s="105" t="s">
        <v>94</v>
      </c>
      <c r="CD71" s="105">
        <v>42564</v>
      </c>
      <c r="CE71" s="105">
        <v>2049</v>
      </c>
      <c r="CF71" s="105">
        <v>0.81</v>
      </c>
    </row>
    <row r="72" spans="1:84" x14ac:dyDescent="0.25">
      <c r="A72" s="105" t="s">
        <v>252</v>
      </c>
      <c r="B72" s="105">
        <v>146</v>
      </c>
      <c r="C72" s="105" t="s">
        <v>92</v>
      </c>
      <c r="D72" s="105" t="s">
        <v>93</v>
      </c>
      <c r="E72" s="105" t="s">
        <v>245</v>
      </c>
      <c r="F72" s="105" t="s">
        <v>246</v>
      </c>
      <c r="G72" s="105" t="s">
        <v>247</v>
      </c>
      <c r="H72" s="105" t="s">
        <v>93</v>
      </c>
      <c r="I72" s="105">
        <v>1</v>
      </c>
      <c r="J72" s="105">
        <v>0</v>
      </c>
      <c r="K72" s="105">
        <v>4</v>
      </c>
      <c r="L72" s="105">
        <v>40</v>
      </c>
      <c r="M72" s="105">
        <v>20</v>
      </c>
      <c r="N72" s="105">
        <v>100</v>
      </c>
      <c r="O72" s="105">
        <v>155</v>
      </c>
      <c r="P72" s="105">
        <v>150</v>
      </c>
      <c r="Q72" s="105">
        <v>143</v>
      </c>
      <c r="R72" s="105">
        <v>62</v>
      </c>
      <c r="S72" s="105">
        <v>0.9</v>
      </c>
      <c r="T72" s="105">
        <v>1.5</v>
      </c>
      <c r="U72" s="105">
        <v>2.2999999999999998</v>
      </c>
      <c r="V72" s="105">
        <v>3.4</v>
      </c>
      <c r="W72" s="105">
        <v>1</v>
      </c>
      <c r="X72" s="105">
        <v>37</v>
      </c>
      <c r="Y72" s="105">
        <v>75</v>
      </c>
      <c r="Z72" s="105">
        <v>300</v>
      </c>
      <c r="AA72" s="105">
        <v>98</v>
      </c>
      <c r="AB72" s="105">
        <v>1.4</v>
      </c>
      <c r="AC72" s="105" t="s">
        <v>94</v>
      </c>
      <c r="AD72" s="105" t="s">
        <v>94</v>
      </c>
      <c r="AE72" s="105" t="s">
        <v>94</v>
      </c>
      <c r="AF72" s="105">
        <v>6.7999999999999996E-3</v>
      </c>
      <c r="AG72" s="105" t="s">
        <v>94</v>
      </c>
      <c r="AH72" s="105" t="s">
        <v>94</v>
      </c>
      <c r="AI72" s="105">
        <v>4.4999999999999997E-3</v>
      </c>
      <c r="AJ72" s="105">
        <v>0.87</v>
      </c>
      <c r="AK72" s="106">
        <v>15</v>
      </c>
      <c r="AL72" s="105">
        <v>6.5</v>
      </c>
      <c r="AM72" s="105">
        <v>4.7</v>
      </c>
      <c r="AN72" s="106">
        <v>30</v>
      </c>
      <c r="AO72" s="105">
        <v>30</v>
      </c>
      <c r="AP72" s="105">
        <v>2.4</v>
      </c>
      <c r="AQ72" s="105">
        <v>2.2999999999999998</v>
      </c>
      <c r="AR72" s="105">
        <v>2.5</v>
      </c>
      <c r="AS72" s="105">
        <v>2.4</v>
      </c>
      <c r="AT72" s="105">
        <v>0.5</v>
      </c>
      <c r="AU72" s="105">
        <v>3.1</v>
      </c>
      <c r="AV72" s="105">
        <v>0.21</v>
      </c>
      <c r="AW72" s="105">
        <v>1.2E-2</v>
      </c>
      <c r="AX72" s="105">
        <v>0.23</v>
      </c>
      <c r="AY72" s="105">
        <v>20</v>
      </c>
      <c r="AZ72" s="105">
        <v>10</v>
      </c>
      <c r="BA72" s="105">
        <v>0.01</v>
      </c>
      <c r="BB72" s="105">
        <v>1.8</v>
      </c>
      <c r="BC72" s="105">
        <v>0.8</v>
      </c>
      <c r="BD72" s="105">
        <v>160</v>
      </c>
      <c r="BE72" s="105">
        <v>2</v>
      </c>
      <c r="BF72" s="105">
        <v>160</v>
      </c>
      <c r="BG72" s="105">
        <v>40</v>
      </c>
      <c r="BH72" s="105">
        <v>7.8</v>
      </c>
      <c r="BI72" s="105">
        <v>40</v>
      </c>
      <c r="BJ72" s="105">
        <v>0.01</v>
      </c>
      <c r="BK72" s="105">
        <v>0.38</v>
      </c>
      <c r="BL72" s="105" t="s">
        <v>93</v>
      </c>
      <c r="BM72" s="105">
        <v>0.8</v>
      </c>
      <c r="BN72" s="105" t="s">
        <v>94</v>
      </c>
      <c r="BO72" s="105">
        <v>42</v>
      </c>
      <c r="BP72" s="105">
        <v>2.27</v>
      </c>
      <c r="BQ72" s="105" t="s">
        <v>92</v>
      </c>
      <c r="BR72" s="105" t="s">
        <v>253</v>
      </c>
      <c r="BS72" s="105" t="s">
        <v>94</v>
      </c>
      <c r="BT72" s="105">
        <v>2.8</v>
      </c>
      <c r="BU72" s="105">
        <v>3.8</v>
      </c>
      <c r="BV72" s="105">
        <v>60</v>
      </c>
      <c r="BW72" s="105">
        <v>4.5999999999999996</v>
      </c>
      <c r="BX72" s="105">
        <v>7.7</v>
      </c>
      <c r="BY72" s="105" t="s">
        <v>94</v>
      </c>
      <c r="BZ72" s="105" t="s">
        <v>249</v>
      </c>
      <c r="CA72" s="105" t="s">
        <v>94</v>
      </c>
      <c r="CB72" s="105" t="s">
        <v>94</v>
      </c>
      <c r="CC72" s="105">
        <v>42577</v>
      </c>
      <c r="CD72" s="105">
        <v>42577</v>
      </c>
      <c r="CE72" s="105">
        <v>2532</v>
      </c>
      <c r="CF72" s="105">
        <v>0.55000000000000004</v>
      </c>
    </row>
    <row r="73" spans="1:84" x14ac:dyDescent="0.25">
      <c r="A73" s="105" t="s">
        <v>254</v>
      </c>
      <c r="B73" s="105">
        <v>146</v>
      </c>
      <c r="C73" s="105" t="s">
        <v>92</v>
      </c>
      <c r="D73" s="105" t="s">
        <v>92</v>
      </c>
      <c r="E73" s="105" t="s">
        <v>110</v>
      </c>
      <c r="F73" s="105" t="s">
        <v>131</v>
      </c>
      <c r="G73" s="105" t="s">
        <v>255</v>
      </c>
      <c r="H73" s="105" t="s">
        <v>93</v>
      </c>
      <c r="I73" s="105">
        <v>1</v>
      </c>
      <c r="J73" s="105">
        <v>0</v>
      </c>
      <c r="K73" s="105">
        <v>1</v>
      </c>
      <c r="L73" s="105">
        <v>40</v>
      </c>
      <c r="M73" s="105">
        <v>20</v>
      </c>
      <c r="N73" s="105">
        <v>100</v>
      </c>
      <c r="O73" s="105">
        <v>321</v>
      </c>
      <c r="P73" s="105">
        <v>150</v>
      </c>
      <c r="Q73" s="105">
        <v>3.125</v>
      </c>
      <c r="R73" s="105">
        <v>50</v>
      </c>
      <c r="S73" s="105">
        <v>1.3</v>
      </c>
      <c r="T73" s="105">
        <v>1.5</v>
      </c>
      <c r="U73" s="105">
        <v>2.2999999999999998</v>
      </c>
      <c r="V73" s="105">
        <v>2.5299999999999998</v>
      </c>
      <c r="W73" s="105">
        <v>1</v>
      </c>
      <c r="X73" s="105">
        <v>37</v>
      </c>
      <c r="Y73" s="105">
        <v>22</v>
      </c>
      <c r="Z73" s="105">
        <v>300</v>
      </c>
      <c r="AA73" s="105">
        <v>100</v>
      </c>
      <c r="AB73" s="105">
        <v>1.2</v>
      </c>
      <c r="AC73" s="105" t="s">
        <v>94</v>
      </c>
      <c r="AD73" s="105" t="s">
        <v>94</v>
      </c>
      <c r="AE73" s="105" t="s">
        <v>94</v>
      </c>
      <c r="AF73" s="105">
        <v>6.1999999999999998E-3</v>
      </c>
      <c r="AG73" s="105" t="s">
        <v>94</v>
      </c>
      <c r="AH73" s="105" t="s">
        <v>94</v>
      </c>
      <c r="AI73" s="105">
        <v>4.3E-3</v>
      </c>
      <c r="AJ73" s="105">
        <v>0.9</v>
      </c>
      <c r="AK73" s="106">
        <v>13</v>
      </c>
      <c r="AL73" s="105">
        <v>6</v>
      </c>
      <c r="AM73" s="105">
        <v>3.8</v>
      </c>
      <c r="AN73" s="106">
        <v>26.25</v>
      </c>
      <c r="AO73" s="105">
        <v>30</v>
      </c>
      <c r="AP73" s="105">
        <v>2.5</v>
      </c>
      <c r="AQ73" s="105">
        <v>2.2000000000000002</v>
      </c>
      <c r="AR73" s="105">
        <v>2.5</v>
      </c>
      <c r="AS73" s="105">
        <v>2.86</v>
      </c>
      <c r="AT73" s="105">
        <v>0.5</v>
      </c>
      <c r="AU73" s="105">
        <v>3.6</v>
      </c>
      <c r="AV73" s="105">
        <v>0.24</v>
      </c>
      <c r="AW73" s="105">
        <v>1.2999999999999999E-2</v>
      </c>
      <c r="AX73" s="105">
        <v>0.3</v>
      </c>
      <c r="AY73" s="105">
        <v>20</v>
      </c>
      <c r="AZ73" s="105">
        <v>10</v>
      </c>
      <c r="BA73" s="105">
        <v>0.1</v>
      </c>
      <c r="BB73" s="105">
        <v>12</v>
      </c>
      <c r="BC73" s="105">
        <v>1</v>
      </c>
      <c r="BD73" s="105">
        <v>110</v>
      </c>
      <c r="BE73" s="105">
        <v>2.1</v>
      </c>
      <c r="BF73" s="105">
        <v>110</v>
      </c>
      <c r="BG73" s="105">
        <v>40</v>
      </c>
      <c r="BH73" s="105">
        <v>1.7</v>
      </c>
      <c r="BI73" s="105">
        <v>40</v>
      </c>
      <c r="BJ73" s="105">
        <v>0.1</v>
      </c>
      <c r="BK73" s="105">
        <v>0.4</v>
      </c>
      <c r="BL73" s="105" t="s">
        <v>93</v>
      </c>
      <c r="BM73" s="105">
        <v>0.8</v>
      </c>
      <c r="BN73" s="105" t="s">
        <v>94</v>
      </c>
      <c r="BO73" s="105">
        <v>1155</v>
      </c>
      <c r="BP73" s="105">
        <v>2.2000000000000002</v>
      </c>
      <c r="BQ73" s="105" t="s">
        <v>256</v>
      </c>
      <c r="BR73" s="105" t="s">
        <v>257</v>
      </c>
      <c r="BS73" s="105" t="s">
        <v>94</v>
      </c>
      <c r="BT73" s="105">
        <v>2.4</v>
      </c>
      <c r="BU73" s="105">
        <v>3.5</v>
      </c>
      <c r="BV73" s="105">
        <v>52</v>
      </c>
      <c r="BW73" s="105">
        <v>4.3</v>
      </c>
      <c r="BX73" s="105">
        <v>4.5</v>
      </c>
      <c r="BY73" s="105" t="s">
        <v>94</v>
      </c>
      <c r="BZ73" s="105" t="s">
        <v>114</v>
      </c>
      <c r="CA73" s="105" t="s">
        <v>93</v>
      </c>
      <c r="CB73" s="105" t="s">
        <v>94</v>
      </c>
      <c r="CC73" s="105">
        <v>41163</v>
      </c>
      <c r="CD73" s="105">
        <v>42669</v>
      </c>
      <c r="CE73" s="105">
        <v>2050</v>
      </c>
      <c r="CF73" s="105">
        <v>0.44</v>
      </c>
    </row>
    <row r="74" spans="1:84" x14ac:dyDescent="0.25">
      <c r="A74" s="105" t="s">
        <v>258</v>
      </c>
      <c r="B74" s="105">
        <v>146</v>
      </c>
      <c r="C74" s="105" t="s">
        <v>92</v>
      </c>
      <c r="D74" s="105" t="s">
        <v>101</v>
      </c>
      <c r="E74" s="105" t="s">
        <v>245</v>
      </c>
      <c r="F74" s="105" t="s">
        <v>259</v>
      </c>
      <c r="G74" s="105" t="s">
        <v>260</v>
      </c>
      <c r="H74" s="105" t="s">
        <v>93</v>
      </c>
      <c r="I74" s="105">
        <v>1</v>
      </c>
      <c r="J74" s="105">
        <v>0</v>
      </c>
      <c r="K74" s="105">
        <v>4</v>
      </c>
      <c r="L74" s="105">
        <v>40</v>
      </c>
      <c r="M74" s="105">
        <v>20</v>
      </c>
      <c r="N74" s="105">
        <v>100</v>
      </c>
      <c r="O74" s="105">
        <v>238</v>
      </c>
      <c r="P74" s="105">
        <v>175</v>
      </c>
      <c r="Q74" s="105">
        <v>115</v>
      </c>
      <c r="R74" s="105">
        <v>62</v>
      </c>
      <c r="S74" s="105">
        <v>1.3</v>
      </c>
      <c r="T74" s="105">
        <v>1.5</v>
      </c>
      <c r="U74" s="105">
        <v>2.2999999999999998</v>
      </c>
      <c r="V74" s="105">
        <v>3.36</v>
      </c>
      <c r="W74" s="105">
        <v>1</v>
      </c>
      <c r="X74" s="105">
        <v>33</v>
      </c>
      <c r="Y74" s="105">
        <v>40</v>
      </c>
      <c r="Z74" s="105">
        <v>300</v>
      </c>
      <c r="AA74" s="105">
        <v>72</v>
      </c>
      <c r="AB74" s="105">
        <v>1.5</v>
      </c>
      <c r="AC74" s="105" t="s">
        <v>94</v>
      </c>
      <c r="AD74" s="105" t="s">
        <v>94</v>
      </c>
      <c r="AE74" s="105" t="s">
        <v>94</v>
      </c>
      <c r="AF74" s="105">
        <v>0.01</v>
      </c>
      <c r="AG74" s="105" t="s">
        <v>94</v>
      </c>
      <c r="AH74" s="105" t="s">
        <v>94</v>
      </c>
      <c r="AI74" s="105">
        <v>7.0000000000000001E-3</v>
      </c>
      <c r="AJ74" s="105">
        <v>0.88</v>
      </c>
      <c r="AK74" s="106">
        <v>9.1999999999999993</v>
      </c>
      <c r="AL74" s="105">
        <v>3.8</v>
      </c>
      <c r="AM74" s="105">
        <v>3</v>
      </c>
      <c r="AN74" s="106">
        <v>19</v>
      </c>
      <c r="AO74" s="105">
        <v>19</v>
      </c>
      <c r="AP74" s="105">
        <v>1.5</v>
      </c>
      <c r="AQ74" s="105">
        <v>1.38</v>
      </c>
      <c r="AR74" s="105">
        <v>1.53</v>
      </c>
      <c r="AS74" s="105">
        <v>1.59</v>
      </c>
      <c r="AT74" s="105">
        <v>0.32</v>
      </c>
      <c r="AU74" s="105">
        <v>1.89</v>
      </c>
      <c r="AV74" s="105">
        <v>0.151</v>
      </c>
      <c r="AW74" s="105">
        <v>8.0000000000000002E-3</v>
      </c>
      <c r="AX74" s="105">
        <v>0.17599999999999999</v>
      </c>
      <c r="AY74" s="105">
        <v>20</v>
      </c>
      <c r="AZ74" s="105">
        <v>10</v>
      </c>
      <c r="BA74" s="105">
        <v>0.1</v>
      </c>
      <c r="BB74" s="105">
        <v>7.14</v>
      </c>
      <c r="BC74" s="105">
        <v>1.2</v>
      </c>
      <c r="BD74" s="105">
        <v>100</v>
      </c>
      <c r="BE74" s="105">
        <v>2.1800000000000002</v>
      </c>
      <c r="BF74" s="105">
        <v>100</v>
      </c>
      <c r="BG74" s="105">
        <v>40</v>
      </c>
      <c r="BH74" s="105">
        <v>0.91</v>
      </c>
      <c r="BI74" s="105">
        <v>40</v>
      </c>
      <c r="BJ74" s="105">
        <v>0.1</v>
      </c>
      <c r="BK74" s="105">
        <v>0.56000000000000005</v>
      </c>
      <c r="BL74" s="105" t="s">
        <v>93</v>
      </c>
      <c r="BM74" s="105">
        <v>0.8</v>
      </c>
      <c r="BN74" s="105" t="s">
        <v>94</v>
      </c>
      <c r="BO74" s="105">
        <v>42</v>
      </c>
      <c r="BP74" s="105">
        <v>1.42</v>
      </c>
      <c r="BQ74" s="105" t="s">
        <v>92</v>
      </c>
      <c r="BR74" s="105" t="s">
        <v>261</v>
      </c>
      <c r="BS74" s="105" t="s">
        <v>94</v>
      </c>
      <c r="BT74" s="105">
        <v>3</v>
      </c>
      <c r="BU74" s="105">
        <v>3.9</v>
      </c>
      <c r="BV74" s="105">
        <v>46</v>
      </c>
      <c r="BW74" s="105">
        <v>3.5</v>
      </c>
      <c r="BX74" s="105">
        <v>4.4000000000000004</v>
      </c>
      <c r="BY74" s="105" t="s">
        <v>93</v>
      </c>
      <c r="BZ74" s="105" t="s">
        <v>249</v>
      </c>
      <c r="CA74" s="105" t="s">
        <v>93</v>
      </c>
      <c r="CB74" s="105" t="s">
        <v>94</v>
      </c>
      <c r="CC74" s="105">
        <v>42577</v>
      </c>
      <c r="CD74" s="105">
        <v>42664</v>
      </c>
      <c r="CE74" s="105">
        <v>2533</v>
      </c>
      <c r="CF74" s="105">
        <v>0.44</v>
      </c>
    </row>
    <row r="75" spans="1:84" x14ac:dyDescent="0.25">
      <c r="A75" s="105" t="s">
        <v>262</v>
      </c>
      <c r="B75" s="105">
        <v>146</v>
      </c>
      <c r="C75" s="105" t="s">
        <v>92</v>
      </c>
      <c r="D75" s="105" t="s">
        <v>92</v>
      </c>
      <c r="E75" s="105" t="s">
        <v>110</v>
      </c>
      <c r="F75" s="105" t="s">
        <v>131</v>
      </c>
      <c r="G75" s="105" t="s">
        <v>211</v>
      </c>
      <c r="H75" s="105" t="s">
        <v>93</v>
      </c>
      <c r="I75" s="105">
        <v>1</v>
      </c>
      <c r="J75" s="105">
        <v>0</v>
      </c>
      <c r="K75" s="105">
        <v>1</v>
      </c>
      <c r="L75" s="105">
        <v>40</v>
      </c>
      <c r="M75" s="105">
        <v>20</v>
      </c>
      <c r="N75" s="105">
        <v>50</v>
      </c>
      <c r="O75" s="105">
        <v>275</v>
      </c>
      <c r="P75" s="105">
        <v>150</v>
      </c>
      <c r="Q75" s="105">
        <v>3.125</v>
      </c>
      <c r="R75" s="105">
        <v>50</v>
      </c>
      <c r="S75" s="105">
        <v>2</v>
      </c>
      <c r="T75" s="105">
        <v>1.5</v>
      </c>
      <c r="U75" s="105">
        <v>2.4</v>
      </c>
      <c r="V75" s="105">
        <v>2.98</v>
      </c>
      <c r="W75" s="105">
        <v>1</v>
      </c>
      <c r="X75" s="105">
        <v>28</v>
      </c>
      <c r="Y75" s="105">
        <v>17</v>
      </c>
      <c r="Z75" s="105">
        <v>300</v>
      </c>
      <c r="AA75" s="105">
        <v>71</v>
      </c>
      <c r="AB75" s="105">
        <v>1.4</v>
      </c>
      <c r="AC75" s="105" t="s">
        <v>94</v>
      </c>
      <c r="AD75" s="105" t="s">
        <v>94</v>
      </c>
      <c r="AE75" s="105" t="s">
        <v>94</v>
      </c>
      <c r="AF75" s="105">
        <v>9.7999999999999997E-3</v>
      </c>
      <c r="AG75" s="105" t="s">
        <v>94</v>
      </c>
      <c r="AH75" s="105" t="s">
        <v>94</v>
      </c>
      <c r="AI75" s="105">
        <v>6.6E-3</v>
      </c>
      <c r="AJ75" s="105">
        <v>0.84</v>
      </c>
      <c r="AK75" s="106">
        <v>7.7</v>
      </c>
      <c r="AL75" s="105">
        <v>3.2</v>
      </c>
      <c r="AM75" s="105">
        <v>2.2000000000000002</v>
      </c>
      <c r="AN75" s="106">
        <v>16</v>
      </c>
      <c r="AO75" s="105">
        <v>21</v>
      </c>
      <c r="AP75" s="105">
        <v>1.45</v>
      </c>
      <c r="AQ75" s="105">
        <v>1.38</v>
      </c>
      <c r="AR75" s="105">
        <v>1.49</v>
      </c>
      <c r="AS75" s="105">
        <v>1.74</v>
      </c>
      <c r="AT75" s="105">
        <v>0.31</v>
      </c>
      <c r="AU75" s="105">
        <v>2.0699999999999998</v>
      </c>
      <c r="AV75" s="105">
        <v>0.14000000000000001</v>
      </c>
      <c r="AW75" s="105">
        <v>8.0000000000000002E-3</v>
      </c>
      <c r="AX75" s="105">
        <v>0.16700000000000001</v>
      </c>
      <c r="AY75" s="105">
        <v>20</v>
      </c>
      <c r="AZ75" s="105">
        <v>10</v>
      </c>
      <c r="BA75" s="105">
        <v>0.1</v>
      </c>
      <c r="BB75" s="105">
        <v>8</v>
      </c>
      <c r="BC75" s="105">
        <v>1</v>
      </c>
      <c r="BD75" s="105">
        <v>90</v>
      </c>
      <c r="BE75" s="105">
        <v>1.7</v>
      </c>
      <c r="BF75" s="105">
        <v>90</v>
      </c>
      <c r="BG75" s="105">
        <v>40</v>
      </c>
      <c r="BH75" s="105">
        <v>0.95</v>
      </c>
      <c r="BI75" s="105">
        <v>40</v>
      </c>
      <c r="BJ75" s="105">
        <v>0.1</v>
      </c>
      <c r="BK75" s="105">
        <v>1.25</v>
      </c>
      <c r="BL75" s="105" t="s">
        <v>93</v>
      </c>
      <c r="BM75" s="105">
        <v>0.8</v>
      </c>
      <c r="BN75" s="105" t="s">
        <v>94</v>
      </c>
      <c r="BO75" s="105">
        <v>1155</v>
      </c>
      <c r="BP75" s="105">
        <v>1.42</v>
      </c>
      <c r="BQ75" s="105" t="s">
        <v>92</v>
      </c>
      <c r="BR75" s="105" t="s">
        <v>263</v>
      </c>
      <c r="BS75" s="105" t="s">
        <v>94</v>
      </c>
      <c r="BT75" s="105">
        <v>2.8</v>
      </c>
      <c r="BU75" s="105">
        <v>3.5</v>
      </c>
      <c r="BV75" s="105">
        <v>39</v>
      </c>
      <c r="BW75" s="105">
        <v>2.4</v>
      </c>
      <c r="BX75" s="105">
        <v>3.2</v>
      </c>
      <c r="BY75" s="105" t="s">
        <v>94</v>
      </c>
      <c r="BZ75" s="105" t="s">
        <v>114</v>
      </c>
      <c r="CA75" s="105" t="s">
        <v>93</v>
      </c>
      <c r="CB75" s="105" t="s">
        <v>94</v>
      </c>
      <c r="CC75" s="105">
        <v>41163</v>
      </c>
      <c r="CD75" s="105">
        <v>42564</v>
      </c>
      <c r="CE75" s="105">
        <v>2051</v>
      </c>
      <c r="CF75" s="105">
        <v>0.31</v>
      </c>
    </row>
    <row r="76" spans="1:84" x14ac:dyDescent="0.25">
      <c r="A76" s="105" t="s">
        <v>264</v>
      </c>
      <c r="B76" s="105">
        <v>146</v>
      </c>
      <c r="C76" s="105" t="s">
        <v>92</v>
      </c>
      <c r="D76" s="105" t="s">
        <v>92</v>
      </c>
      <c r="E76" s="105" t="s">
        <v>110</v>
      </c>
      <c r="F76" s="105" t="s">
        <v>168</v>
      </c>
      <c r="G76" s="105" t="s">
        <v>265</v>
      </c>
      <c r="H76" s="105" t="s">
        <v>93</v>
      </c>
      <c r="I76" s="105">
        <v>1</v>
      </c>
      <c r="J76" s="105">
        <v>0</v>
      </c>
      <c r="K76" s="105">
        <v>1</v>
      </c>
      <c r="L76" s="105">
        <v>40</v>
      </c>
      <c r="M76" s="105">
        <v>20</v>
      </c>
      <c r="N76" s="105">
        <v>100</v>
      </c>
      <c r="O76" s="105">
        <v>400</v>
      </c>
      <c r="P76" s="105">
        <v>150</v>
      </c>
      <c r="Q76" s="105">
        <v>3.125</v>
      </c>
      <c r="R76" s="105">
        <v>50</v>
      </c>
      <c r="S76" s="105">
        <v>0.8</v>
      </c>
      <c r="T76" s="105">
        <v>1.5</v>
      </c>
      <c r="U76" s="105">
        <v>2.2000000000000002</v>
      </c>
      <c r="V76" s="105">
        <v>2.8</v>
      </c>
      <c r="W76" s="105">
        <v>1</v>
      </c>
      <c r="X76" s="105">
        <v>23</v>
      </c>
      <c r="Y76" s="105">
        <v>32</v>
      </c>
      <c r="Z76" s="105">
        <v>300</v>
      </c>
      <c r="AA76" s="105">
        <v>180</v>
      </c>
      <c r="AB76" s="105">
        <v>0.8</v>
      </c>
      <c r="AC76" s="105" t="s">
        <v>94</v>
      </c>
      <c r="AD76" s="105" t="s">
        <v>94</v>
      </c>
      <c r="AE76" s="105" t="s">
        <v>94</v>
      </c>
      <c r="AF76" s="105">
        <v>1.6999999999999999E-3</v>
      </c>
      <c r="AG76" s="105" t="s">
        <v>94</v>
      </c>
      <c r="AH76" s="105" t="s">
        <v>94</v>
      </c>
      <c r="AI76" s="105">
        <v>1.1999999999999999E-3</v>
      </c>
      <c r="AJ76" s="105">
        <v>0.82</v>
      </c>
      <c r="AK76" s="106">
        <v>70</v>
      </c>
      <c r="AL76" s="105">
        <v>29</v>
      </c>
      <c r="AM76" s="105">
        <v>18</v>
      </c>
      <c r="AN76" s="106">
        <v>150</v>
      </c>
      <c r="AO76" s="105">
        <v>39</v>
      </c>
      <c r="AP76" s="105">
        <v>11.5</v>
      </c>
      <c r="AQ76" s="105">
        <v>10.7</v>
      </c>
      <c r="AR76" s="105">
        <v>12.3</v>
      </c>
      <c r="AS76" s="105">
        <v>6.1</v>
      </c>
      <c r="AT76" s="105">
        <v>0.82099999999999995</v>
      </c>
      <c r="AU76" s="105">
        <v>9.01</v>
      </c>
      <c r="AV76" s="105">
        <v>0.77800000000000002</v>
      </c>
      <c r="AW76" s="105">
        <v>0.27200000000000002</v>
      </c>
      <c r="AX76" s="105">
        <v>1.68</v>
      </c>
      <c r="AY76" s="105">
        <v>20</v>
      </c>
      <c r="AZ76" s="105">
        <v>10</v>
      </c>
      <c r="BA76" s="105">
        <v>0.1</v>
      </c>
      <c r="BB76" s="105">
        <v>45.8</v>
      </c>
      <c r="BC76" s="105">
        <v>0.87</v>
      </c>
      <c r="BD76" s="105">
        <v>400</v>
      </c>
      <c r="BE76" s="105">
        <v>1.29</v>
      </c>
      <c r="BF76" s="105">
        <v>400</v>
      </c>
      <c r="BG76" s="105">
        <v>40</v>
      </c>
      <c r="BH76" s="105">
        <v>1.52</v>
      </c>
      <c r="BI76" s="105">
        <v>40</v>
      </c>
      <c r="BJ76" s="105">
        <v>0.1</v>
      </c>
      <c r="BK76" s="105">
        <v>7.0000000000000007E-2</v>
      </c>
      <c r="BL76" s="105" t="s">
        <v>93</v>
      </c>
      <c r="BM76" s="105">
        <v>0.8</v>
      </c>
      <c r="BN76" s="105" t="s">
        <v>94</v>
      </c>
      <c r="BO76" s="105">
        <v>1345</v>
      </c>
      <c r="BP76" s="105">
        <v>12</v>
      </c>
      <c r="BQ76" s="105" t="s">
        <v>92</v>
      </c>
      <c r="BR76" s="105" t="s">
        <v>266</v>
      </c>
      <c r="BS76" s="105" t="s">
        <v>94</v>
      </c>
      <c r="BT76" s="105">
        <v>1.6</v>
      </c>
      <c r="BU76" s="105">
        <v>2.7</v>
      </c>
      <c r="BV76" s="105">
        <v>40</v>
      </c>
      <c r="BW76" s="105">
        <v>17</v>
      </c>
      <c r="BX76" s="105">
        <v>29</v>
      </c>
      <c r="BY76" s="105" t="s">
        <v>94</v>
      </c>
      <c r="BZ76" s="105" t="s">
        <v>114</v>
      </c>
      <c r="CA76" s="105" t="s">
        <v>94</v>
      </c>
      <c r="CB76" s="105" t="s">
        <v>94</v>
      </c>
      <c r="CC76" s="105">
        <v>42537</v>
      </c>
      <c r="CD76" s="105">
        <v>42585</v>
      </c>
      <c r="CE76" s="105">
        <v>2534</v>
      </c>
      <c r="CF76" s="105">
        <v>0.76</v>
      </c>
    </row>
    <row r="77" spans="1:84" s="107" customFormat="1" x14ac:dyDescent="0.25">
      <c r="A77" s="107" t="s">
        <v>384</v>
      </c>
      <c r="B77" s="107">
        <v>146</v>
      </c>
      <c r="C77" s="107" t="s">
        <v>93</v>
      </c>
      <c r="D77" s="107" t="s">
        <v>92</v>
      </c>
      <c r="E77" s="107" t="s">
        <v>110</v>
      </c>
      <c r="F77" s="107" t="s">
        <v>168</v>
      </c>
      <c r="G77" s="107" t="s">
        <v>394</v>
      </c>
      <c r="H77" s="107" t="s">
        <v>93</v>
      </c>
      <c r="I77" s="107">
        <v>1</v>
      </c>
      <c r="J77" s="107">
        <v>0</v>
      </c>
      <c r="K77" s="107">
        <v>4</v>
      </c>
      <c r="L77" s="107">
        <v>40</v>
      </c>
      <c r="M77" s="107">
        <v>20</v>
      </c>
      <c r="N77" s="107">
        <v>200</v>
      </c>
      <c r="O77" s="107">
        <v>400</v>
      </c>
      <c r="P77" s="107">
        <v>175</v>
      </c>
      <c r="Q77" s="107">
        <v>250</v>
      </c>
      <c r="R77" s="107">
        <v>62</v>
      </c>
      <c r="S77" s="107">
        <v>0.6</v>
      </c>
      <c r="T77" s="107">
        <v>1.4</v>
      </c>
      <c r="U77" s="107">
        <v>2.2999999999999998</v>
      </c>
      <c r="V77" s="107">
        <v>3.2</v>
      </c>
      <c r="W77" s="107">
        <v>1</v>
      </c>
      <c r="X77" s="107">
        <v>41</v>
      </c>
      <c r="Y77" s="107">
        <v>100</v>
      </c>
      <c r="Z77" s="107">
        <v>300</v>
      </c>
      <c r="AA77" s="107">
        <v>330</v>
      </c>
      <c r="AB77" s="107">
        <v>0.9</v>
      </c>
      <c r="AC77" s="105" t="s">
        <v>94</v>
      </c>
      <c r="AD77" s="107" t="s">
        <v>94</v>
      </c>
      <c r="AE77" s="105" t="s">
        <v>94</v>
      </c>
      <c r="AF77" s="107">
        <v>2.5999999999999999E-3</v>
      </c>
      <c r="AG77" s="107" t="s">
        <v>94</v>
      </c>
      <c r="AH77" s="107" t="s">
        <v>94</v>
      </c>
      <c r="AI77" s="107">
        <v>1.4E-3</v>
      </c>
      <c r="AJ77" s="107">
        <v>0.82</v>
      </c>
      <c r="AK77" s="106">
        <v>58</v>
      </c>
      <c r="AL77" s="107">
        <v>22</v>
      </c>
      <c r="AM77" s="107">
        <v>15</v>
      </c>
      <c r="AN77" s="106">
        <v>118</v>
      </c>
      <c r="AO77" s="107">
        <v>35</v>
      </c>
      <c r="AP77" s="107">
        <v>9.48</v>
      </c>
      <c r="AQ77" s="107">
        <v>8.42</v>
      </c>
      <c r="AR77" s="107">
        <v>10.130000000000001</v>
      </c>
      <c r="AS77" s="107">
        <v>5.54</v>
      </c>
      <c r="AT77" s="107">
        <v>0.84399999999999997</v>
      </c>
      <c r="AU77" s="107">
        <v>9.4499999999999993</v>
      </c>
      <c r="AV77" s="107">
        <v>1.1499999999999999</v>
      </c>
      <c r="AW77" s="107">
        <v>0.373</v>
      </c>
      <c r="AX77" s="107">
        <v>1.91</v>
      </c>
      <c r="AY77" s="107">
        <v>20</v>
      </c>
      <c r="AZ77" s="107">
        <v>10</v>
      </c>
      <c r="BA77" s="107">
        <v>0.1</v>
      </c>
      <c r="BB77" s="107">
        <v>45.8</v>
      </c>
      <c r="BC77" s="107">
        <v>0.87</v>
      </c>
      <c r="BD77" s="107">
        <v>400</v>
      </c>
      <c r="BE77" s="107">
        <v>1.29</v>
      </c>
      <c r="BF77" s="107">
        <v>400</v>
      </c>
      <c r="BG77" s="107">
        <v>40</v>
      </c>
      <c r="BH77" s="107">
        <v>1.52</v>
      </c>
      <c r="BI77" s="107">
        <v>40</v>
      </c>
      <c r="BJ77" s="107">
        <v>0.1</v>
      </c>
      <c r="BK77" s="107">
        <v>7.0000000000000007E-2</v>
      </c>
      <c r="BL77" s="107" t="s">
        <v>93</v>
      </c>
      <c r="BM77" s="107">
        <v>0.85</v>
      </c>
      <c r="BN77" s="107" t="s">
        <v>92</v>
      </c>
      <c r="BO77" s="107">
        <v>42</v>
      </c>
      <c r="BP77" s="107">
        <v>12</v>
      </c>
      <c r="BQ77" s="107" t="s">
        <v>92</v>
      </c>
      <c r="BR77" s="108" t="s">
        <v>397</v>
      </c>
      <c r="BS77" s="107" t="s">
        <v>94</v>
      </c>
      <c r="BT77" s="107">
        <v>1.8</v>
      </c>
      <c r="BU77" s="107">
        <v>2.7</v>
      </c>
      <c r="BV77" s="107">
        <v>70</v>
      </c>
      <c r="BW77" s="107">
        <v>21</v>
      </c>
      <c r="BX77" s="107">
        <v>28</v>
      </c>
      <c r="BY77" s="107" t="s">
        <v>94</v>
      </c>
      <c r="BZ77" s="107" t="s">
        <v>249</v>
      </c>
      <c r="CA77" s="107" t="s">
        <v>94</v>
      </c>
      <c r="CB77" s="107" t="s">
        <v>94</v>
      </c>
      <c r="CC77" s="107">
        <v>43724</v>
      </c>
      <c r="CD77" s="107">
        <v>43724</v>
      </c>
      <c r="CE77" s="107">
        <v>2534</v>
      </c>
      <c r="CF77" s="107">
        <v>0.72</v>
      </c>
    </row>
    <row r="78" spans="1:84" s="107" customFormat="1" x14ac:dyDescent="0.25">
      <c r="A78" s="107" t="s">
        <v>385</v>
      </c>
      <c r="B78" s="107">
        <v>146</v>
      </c>
      <c r="C78" s="107" t="s">
        <v>93</v>
      </c>
      <c r="D78" s="107" t="s">
        <v>92</v>
      </c>
      <c r="E78" s="107" t="s">
        <v>110</v>
      </c>
      <c r="F78" s="107" t="s">
        <v>168</v>
      </c>
      <c r="G78" s="107" t="s">
        <v>394</v>
      </c>
      <c r="H78" s="107" t="s">
        <v>93</v>
      </c>
      <c r="I78" s="107">
        <v>1</v>
      </c>
      <c r="J78" s="107">
        <v>0</v>
      </c>
      <c r="K78" s="107">
        <v>1</v>
      </c>
      <c r="L78" s="107">
        <v>40</v>
      </c>
      <c r="M78" s="107">
        <v>20</v>
      </c>
      <c r="N78" s="107">
        <v>200</v>
      </c>
      <c r="O78" s="107">
        <v>274</v>
      </c>
      <c r="P78" s="107">
        <v>175</v>
      </c>
      <c r="Q78" s="107">
        <v>250</v>
      </c>
      <c r="R78" s="107">
        <v>62</v>
      </c>
      <c r="S78" s="107">
        <v>0.6</v>
      </c>
      <c r="T78" s="107">
        <v>1.4</v>
      </c>
      <c r="U78" s="107">
        <v>2.2999999999999998</v>
      </c>
      <c r="V78" s="107">
        <v>3.5</v>
      </c>
      <c r="W78" s="107">
        <v>1</v>
      </c>
      <c r="X78" s="107">
        <v>41</v>
      </c>
      <c r="Y78" s="107">
        <v>100</v>
      </c>
      <c r="Z78" s="107">
        <v>300</v>
      </c>
      <c r="AA78" s="107">
        <v>330</v>
      </c>
      <c r="AB78" s="107">
        <v>0.9</v>
      </c>
      <c r="AC78" s="105" t="s">
        <v>94</v>
      </c>
      <c r="AD78" s="107" t="s">
        <v>94</v>
      </c>
      <c r="AE78" s="105" t="s">
        <v>94</v>
      </c>
      <c r="AF78" s="107">
        <v>2.5999999999999999E-3</v>
      </c>
      <c r="AG78" s="107" t="s">
        <v>94</v>
      </c>
      <c r="AH78" s="107" t="s">
        <v>94</v>
      </c>
      <c r="AI78" s="107">
        <v>1.4E-3</v>
      </c>
      <c r="AJ78" s="107">
        <v>0.82</v>
      </c>
      <c r="AK78" s="106">
        <v>58</v>
      </c>
      <c r="AL78" s="107">
        <v>22</v>
      </c>
      <c r="AM78" s="107">
        <v>15</v>
      </c>
      <c r="AN78" s="106">
        <v>118</v>
      </c>
      <c r="AO78" s="107">
        <v>35</v>
      </c>
      <c r="AP78" s="107">
        <v>9.48</v>
      </c>
      <c r="AQ78" s="107">
        <v>8.42</v>
      </c>
      <c r="AR78" s="107">
        <v>10.130000000000001</v>
      </c>
      <c r="AS78" s="107">
        <v>5.54</v>
      </c>
      <c r="AT78" s="107">
        <v>0.84399999999999997</v>
      </c>
      <c r="AU78" s="107">
        <v>9.4499999999999993</v>
      </c>
      <c r="AV78" s="107">
        <v>1.1499999999999999</v>
      </c>
      <c r="AW78" s="107">
        <v>0.373</v>
      </c>
      <c r="AX78" s="107">
        <v>1.91</v>
      </c>
      <c r="AY78" s="107">
        <v>20</v>
      </c>
      <c r="AZ78" s="107">
        <v>10</v>
      </c>
      <c r="BA78" s="107">
        <v>0.1</v>
      </c>
      <c r="BB78" s="107">
        <v>45.8</v>
      </c>
      <c r="BC78" s="107">
        <v>0.87</v>
      </c>
      <c r="BD78" s="107">
        <v>400</v>
      </c>
      <c r="BE78" s="107">
        <v>1.29</v>
      </c>
      <c r="BF78" s="107">
        <v>400</v>
      </c>
      <c r="BG78" s="107">
        <v>40</v>
      </c>
      <c r="BH78" s="107">
        <v>1.52</v>
      </c>
      <c r="BI78" s="107">
        <v>40</v>
      </c>
      <c r="BJ78" s="107">
        <v>0.1</v>
      </c>
      <c r="BK78" s="107">
        <v>7.0000000000000007E-2</v>
      </c>
      <c r="BL78" s="107" t="s">
        <v>93</v>
      </c>
      <c r="BM78" s="107">
        <v>0.85</v>
      </c>
      <c r="BN78" s="107" t="s">
        <v>94</v>
      </c>
      <c r="BO78" s="107" t="s">
        <v>94</v>
      </c>
      <c r="BP78" s="107">
        <v>12</v>
      </c>
      <c r="BQ78" s="107" t="s">
        <v>92</v>
      </c>
      <c r="BR78" s="108" t="s">
        <v>398</v>
      </c>
      <c r="BS78" s="107" t="s">
        <v>94</v>
      </c>
      <c r="BT78" s="107">
        <v>1.8</v>
      </c>
      <c r="BU78" s="107">
        <v>2.7</v>
      </c>
      <c r="BV78" s="107">
        <v>70</v>
      </c>
      <c r="BW78" s="107">
        <v>21</v>
      </c>
      <c r="BX78" s="107">
        <v>28</v>
      </c>
      <c r="BY78" s="107" t="s">
        <v>94</v>
      </c>
      <c r="BZ78" s="107" t="s">
        <v>303</v>
      </c>
      <c r="CA78" s="107" t="s">
        <v>94</v>
      </c>
      <c r="CB78" s="107" t="s">
        <v>94</v>
      </c>
      <c r="CC78" s="107">
        <v>43724</v>
      </c>
      <c r="CD78" s="107">
        <v>43724</v>
      </c>
      <c r="CE78" s="107">
        <v>2534</v>
      </c>
      <c r="CF78" s="107">
        <v>0.77</v>
      </c>
    </row>
    <row r="79" spans="1:84" s="107" customFormat="1" x14ac:dyDescent="0.25">
      <c r="A79" s="107" t="s">
        <v>388</v>
      </c>
      <c r="B79" s="107">
        <v>146</v>
      </c>
      <c r="C79" s="107" t="s">
        <v>93</v>
      </c>
      <c r="D79" s="107" t="s">
        <v>92</v>
      </c>
      <c r="E79" s="107" t="s">
        <v>110</v>
      </c>
      <c r="F79" s="107" t="s">
        <v>168</v>
      </c>
      <c r="G79" s="107" t="s">
        <v>394</v>
      </c>
      <c r="H79" s="107" t="s">
        <v>93</v>
      </c>
      <c r="I79" s="107">
        <v>1</v>
      </c>
      <c r="J79" s="107">
        <v>0</v>
      </c>
      <c r="K79" s="107">
        <v>1</v>
      </c>
      <c r="L79" s="107">
        <v>40</v>
      </c>
      <c r="M79" s="107">
        <v>20</v>
      </c>
      <c r="N79" s="107">
        <v>100</v>
      </c>
      <c r="O79" s="107">
        <v>400</v>
      </c>
      <c r="P79" s="107">
        <v>150</v>
      </c>
      <c r="Q79" s="107">
        <v>3.1</v>
      </c>
      <c r="R79" s="107">
        <v>50</v>
      </c>
      <c r="S79" s="107">
        <v>0.8</v>
      </c>
      <c r="T79" s="107">
        <v>1.2</v>
      </c>
      <c r="U79" s="107">
        <v>2.2999999999999998</v>
      </c>
      <c r="V79" s="107">
        <v>2.9</v>
      </c>
      <c r="W79" s="107">
        <v>1</v>
      </c>
      <c r="X79" s="107">
        <v>19</v>
      </c>
      <c r="Y79" s="107">
        <v>32</v>
      </c>
      <c r="Z79" s="107">
        <v>300</v>
      </c>
      <c r="AA79" s="107">
        <v>147</v>
      </c>
      <c r="AB79" s="107">
        <v>0.9</v>
      </c>
      <c r="AC79" s="105" t="s">
        <v>94</v>
      </c>
      <c r="AD79" s="107" t="s">
        <v>94</v>
      </c>
      <c r="AE79" s="105" t="s">
        <v>94</v>
      </c>
      <c r="AF79" s="107">
        <v>1.6000000000000001E-3</v>
      </c>
      <c r="AG79" s="107" t="s">
        <v>94</v>
      </c>
      <c r="AH79" s="107" t="s">
        <v>94</v>
      </c>
      <c r="AI79" s="107">
        <v>9.6000000000000002E-4</v>
      </c>
      <c r="AJ79" s="107">
        <v>0.82</v>
      </c>
      <c r="AK79" s="106">
        <v>58</v>
      </c>
      <c r="AL79" s="107">
        <v>22</v>
      </c>
      <c r="AM79" s="107">
        <v>15</v>
      </c>
      <c r="AN79" s="106">
        <v>118</v>
      </c>
      <c r="AO79" s="107">
        <v>35</v>
      </c>
      <c r="AP79" s="107">
        <v>9.48</v>
      </c>
      <c r="AQ79" s="107">
        <v>8.42</v>
      </c>
      <c r="AR79" s="107">
        <v>10.130000000000001</v>
      </c>
      <c r="AS79" s="107">
        <v>5.54</v>
      </c>
      <c r="AT79" s="107">
        <v>0.84399999999999997</v>
      </c>
      <c r="AU79" s="107">
        <v>9.4499999999999993</v>
      </c>
      <c r="AV79" s="107">
        <v>1.1499999999999999</v>
      </c>
      <c r="AW79" s="107">
        <v>0.373</v>
      </c>
      <c r="AX79" s="107">
        <v>1.91</v>
      </c>
      <c r="AY79" s="107">
        <v>20</v>
      </c>
      <c r="AZ79" s="107">
        <v>10</v>
      </c>
      <c r="BA79" s="107">
        <v>0.1</v>
      </c>
      <c r="BB79" s="107">
        <v>45.8</v>
      </c>
      <c r="BC79" s="107">
        <v>0.87</v>
      </c>
      <c r="BD79" s="107">
        <v>400</v>
      </c>
      <c r="BE79" s="107">
        <v>1.29</v>
      </c>
      <c r="BF79" s="107">
        <v>400</v>
      </c>
      <c r="BG79" s="107">
        <v>40</v>
      </c>
      <c r="BH79" s="107">
        <v>1.52</v>
      </c>
      <c r="BI79" s="107">
        <v>40</v>
      </c>
      <c r="BJ79" s="107">
        <v>0.1</v>
      </c>
      <c r="BK79" s="107">
        <v>7.0000000000000007E-2</v>
      </c>
      <c r="BL79" s="107" t="s">
        <v>93</v>
      </c>
      <c r="BM79" s="107">
        <v>0.8</v>
      </c>
      <c r="BN79" s="107" t="s">
        <v>94</v>
      </c>
      <c r="BO79" s="107">
        <v>1145</v>
      </c>
      <c r="BP79" s="107">
        <v>12</v>
      </c>
      <c r="BQ79" s="107" t="s">
        <v>92</v>
      </c>
      <c r="BR79" s="108" t="s">
        <v>399</v>
      </c>
      <c r="BS79" s="107" t="s">
        <v>94</v>
      </c>
      <c r="BT79" s="107">
        <v>1.8</v>
      </c>
      <c r="BU79" s="107">
        <v>2.7</v>
      </c>
      <c r="BV79" s="107">
        <v>31</v>
      </c>
      <c r="BW79" s="107">
        <v>21</v>
      </c>
      <c r="BX79" s="107">
        <v>28</v>
      </c>
      <c r="BY79" s="107" t="s">
        <v>94</v>
      </c>
      <c r="BZ79" s="107" t="s">
        <v>114</v>
      </c>
      <c r="CA79" s="107" t="s">
        <v>94</v>
      </c>
      <c r="CB79" s="107" t="s">
        <v>94</v>
      </c>
      <c r="CC79" s="107">
        <v>43724</v>
      </c>
      <c r="CD79" s="107">
        <v>43724</v>
      </c>
      <c r="CE79" s="107">
        <v>2534</v>
      </c>
      <c r="CF79" s="107">
        <v>0.75</v>
      </c>
    </row>
    <row r="80" spans="1:84" s="107" customFormat="1" x14ac:dyDescent="0.25">
      <c r="A80" s="107" t="s">
        <v>386</v>
      </c>
      <c r="B80" s="107">
        <v>146</v>
      </c>
      <c r="C80" s="107" t="s">
        <v>93</v>
      </c>
      <c r="D80" s="107" t="s">
        <v>92</v>
      </c>
      <c r="E80" s="107" t="s">
        <v>110</v>
      </c>
      <c r="F80" s="107" t="s">
        <v>131</v>
      </c>
      <c r="G80" s="107" t="s">
        <v>394</v>
      </c>
      <c r="H80" s="107" t="s">
        <v>93</v>
      </c>
      <c r="I80" s="107">
        <v>1</v>
      </c>
      <c r="J80" s="107">
        <v>0</v>
      </c>
      <c r="K80" s="107">
        <v>4</v>
      </c>
      <c r="L80" s="107">
        <v>40</v>
      </c>
      <c r="M80" s="107">
        <v>20</v>
      </c>
      <c r="N80" s="107">
        <v>110</v>
      </c>
      <c r="O80" s="107">
        <v>400</v>
      </c>
      <c r="P80" s="107">
        <v>175</v>
      </c>
      <c r="Q80" s="107">
        <v>188</v>
      </c>
      <c r="R80" s="107">
        <v>62</v>
      </c>
      <c r="S80" s="107">
        <v>0.8</v>
      </c>
      <c r="T80" s="107">
        <v>1.5</v>
      </c>
      <c r="U80" s="107">
        <v>2.4</v>
      </c>
      <c r="V80" s="107">
        <v>3.6</v>
      </c>
      <c r="W80" s="107">
        <v>1</v>
      </c>
      <c r="X80" s="107">
        <v>31</v>
      </c>
      <c r="Y80" s="107">
        <v>100</v>
      </c>
      <c r="Z80" s="107">
        <v>300</v>
      </c>
      <c r="AA80" s="107">
        <v>249</v>
      </c>
      <c r="AB80" s="107">
        <v>0.9</v>
      </c>
      <c r="AC80" s="105" t="s">
        <v>94</v>
      </c>
      <c r="AD80" s="107" t="s">
        <v>94</v>
      </c>
      <c r="AE80" s="105" t="s">
        <v>94</v>
      </c>
      <c r="AF80" s="107">
        <v>4.1999999999999997E-3</v>
      </c>
      <c r="AG80" s="107" t="s">
        <v>94</v>
      </c>
      <c r="AH80" s="107" t="s">
        <v>94</v>
      </c>
      <c r="AI80" s="107">
        <v>2.5999999999999999E-3</v>
      </c>
      <c r="AJ80" s="107">
        <v>0.66</v>
      </c>
      <c r="AK80" s="106">
        <v>31</v>
      </c>
      <c r="AL80" s="107">
        <v>10</v>
      </c>
      <c r="AM80" s="107">
        <v>7.4</v>
      </c>
      <c r="AN80" s="106">
        <v>64</v>
      </c>
      <c r="AO80" s="107">
        <v>20.7</v>
      </c>
      <c r="AP80" s="107">
        <v>4.83</v>
      </c>
      <c r="AQ80" s="107">
        <v>4.3600000000000003</v>
      </c>
      <c r="AR80" s="107">
        <v>5.18</v>
      </c>
      <c r="AS80" s="107">
        <v>2.91</v>
      </c>
      <c r="AT80" s="107">
        <v>0.442</v>
      </c>
      <c r="AU80" s="107">
        <v>5.14</v>
      </c>
      <c r="AV80" s="107">
        <v>0.53200000000000003</v>
      </c>
      <c r="AW80" s="107">
        <v>0.19</v>
      </c>
      <c r="AX80" s="107">
        <v>0.95699999999999996</v>
      </c>
      <c r="AY80" s="107">
        <v>20</v>
      </c>
      <c r="AZ80" s="107">
        <v>10</v>
      </c>
      <c r="BA80" s="107">
        <v>0.1</v>
      </c>
      <c r="BB80" s="107">
        <v>25</v>
      </c>
      <c r="BC80" s="107">
        <v>0.9</v>
      </c>
      <c r="BD80" s="107">
        <v>100</v>
      </c>
      <c r="BE80" s="107">
        <v>1</v>
      </c>
      <c r="BF80" s="107">
        <v>200</v>
      </c>
      <c r="BG80" s="107">
        <v>40</v>
      </c>
      <c r="BH80" s="107">
        <v>1</v>
      </c>
      <c r="BI80" s="107">
        <v>40</v>
      </c>
      <c r="BJ80" s="107">
        <v>0.5</v>
      </c>
      <c r="BK80" s="107">
        <v>1.1200000000000001</v>
      </c>
      <c r="BL80" s="107" t="s">
        <v>93</v>
      </c>
      <c r="BM80" s="107">
        <v>0.9</v>
      </c>
      <c r="BN80" s="107" t="s">
        <v>92</v>
      </c>
      <c r="BO80" s="107">
        <v>42</v>
      </c>
      <c r="BP80" s="107">
        <v>4.5</v>
      </c>
      <c r="BQ80" s="107" t="s">
        <v>92</v>
      </c>
      <c r="BR80" s="108" t="s">
        <v>400</v>
      </c>
      <c r="BS80" s="107" t="s">
        <v>94</v>
      </c>
      <c r="BT80" s="107">
        <v>1.8</v>
      </c>
      <c r="BU80" s="107">
        <v>4.5</v>
      </c>
      <c r="BV80" s="107">
        <v>62</v>
      </c>
      <c r="BW80" s="107">
        <v>9.6999999999999993</v>
      </c>
      <c r="BX80" s="107">
        <v>17.899999999999999</v>
      </c>
      <c r="BY80" s="107" t="s">
        <v>93</v>
      </c>
      <c r="BZ80" s="107" t="s">
        <v>249</v>
      </c>
      <c r="CA80" s="107" t="s">
        <v>93</v>
      </c>
      <c r="CB80" s="107" t="s">
        <v>94</v>
      </c>
      <c r="CC80" s="107">
        <v>43724</v>
      </c>
      <c r="CD80" s="107">
        <v>43724</v>
      </c>
      <c r="CE80" s="107">
        <v>3305</v>
      </c>
      <c r="CF80" s="107">
        <v>0.51</v>
      </c>
    </row>
    <row r="81" spans="1:84" s="107" customFormat="1" x14ac:dyDescent="0.25">
      <c r="A81" s="107" t="s">
        <v>387</v>
      </c>
      <c r="B81" s="107">
        <v>146</v>
      </c>
      <c r="C81" s="107" t="s">
        <v>93</v>
      </c>
      <c r="D81" s="107" t="s">
        <v>92</v>
      </c>
      <c r="E81" s="107" t="s">
        <v>110</v>
      </c>
      <c r="F81" s="107" t="s">
        <v>131</v>
      </c>
      <c r="G81" s="107" t="s">
        <v>394</v>
      </c>
      <c r="H81" s="107" t="s">
        <v>93</v>
      </c>
      <c r="I81" s="107">
        <v>1</v>
      </c>
      <c r="J81" s="107">
        <v>0</v>
      </c>
      <c r="K81" s="107">
        <v>1</v>
      </c>
      <c r="L81" s="107">
        <v>40</v>
      </c>
      <c r="M81" s="107">
        <v>20</v>
      </c>
      <c r="N81" s="107">
        <v>110</v>
      </c>
      <c r="O81" s="107">
        <v>400</v>
      </c>
      <c r="P81" s="107">
        <v>175</v>
      </c>
      <c r="Q81" s="107">
        <v>188</v>
      </c>
      <c r="R81" s="107">
        <v>62</v>
      </c>
      <c r="S81" s="107">
        <v>0.8</v>
      </c>
      <c r="T81" s="107">
        <v>1.5</v>
      </c>
      <c r="U81" s="107">
        <v>2.4</v>
      </c>
      <c r="V81" s="107">
        <v>3.64</v>
      </c>
      <c r="W81" s="107">
        <v>1</v>
      </c>
      <c r="X81" s="107">
        <v>31</v>
      </c>
      <c r="Y81" s="107">
        <v>100</v>
      </c>
      <c r="Z81" s="107">
        <v>300</v>
      </c>
      <c r="AA81" s="107">
        <v>249</v>
      </c>
      <c r="AB81" s="107">
        <v>0.9</v>
      </c>
      <c r="AC81" s="105" t="s">
        <v>94</v>
      </c>
      <c r="AD81" s="107" t="s">
        <v>94</v>
      </c>
      <c r="AE81" s="105" t="s">
        <v>94</v>
      </c>
      <c r="AF81" s="107">
        <v>4.1999999999999997E-3</v>
      </c>
      <c r="AG81" s="107" t="s">
        <v>94</v>
      </c>
      <c r="AH81" s="107" t="s">
        <v>94</v>
      </c>
      <c r="AI81" s="107">
        <v>2.5999999999999999E-3</v>
      </c>
      <c r="AJ81" s="107">
        <v>0.66</v>
      </c>
      <c r="AK81" s="106">
        <v>31</v>
      </c>
      <c r="AL81" s="107">
        <v>10</v>
      </c>
      <c r="AM81" s="107">
        <v>7.4</v>
      </c>
      <c r="AN81" s="106">
        <v>64</v>
      </c>
      <c r="AO81" s="107">
        <v>20.7</v>
      </c>
      <c r="AP81" s="107">
        <v>4.83</v>
      </c>
      <c r="AQ81" s="107">
        <v>4.3600000000000003</v>
      </c>
      <c r="AR81" s="107">
        <v>5.18</v>
      </c>
      <c r="AS81" s="107">
        <v>2.91</v>
      </c>
      <c r="AT81" s="107">
        <v>0.442</v>
      </c>
      <c r="AU81" s="107">
        <v>5.14</v>
      </c>
      <c r="AV81" s="107">
        <v>0.53200000000000003</v>
      </c>
      <c r="AW81" s="107">
        <v>0.19</v>
      </c>
      <c r="AX81" s="107">
        <v>0.95699999999999996</v>
      </c>
      <c r="AY81" s="107">
        <v>20</v>
      </c>
      <c r="AZ81" s="107">
        <v>10</v>
      </c>
      <c r="BA81" s="107">
        <v>0.1</v>
      </c>
      <c r="BB81" s="107">
        <v>25</v>
      </c>
      <c r="BC81" s="107">
        <v>0.9</v>
      </c>
      <c r="BD81" s="107">
        <v>100</v>
      </c>
      <c r="BE81" s="107">
        <v>1</v>
      </c>
      <c r="BF81" s="107">
        <v>200</v>
      </c>
      <c r="BG81" s="107">
        <v>40</v>
      </c>
      <c r="BH81" s="107">
        <v>1</v>
      </c>
      <c r="BI81" s="107">
        <v>40</v>
      </c>
      <c r="BJ81" s="107">
        <v>0.5</v>
      </c>
      <c r="BK81" s="107">
        <v>1.1200000000000001</v>
      </c>
      <c r="BL81" s="107" t="s">
        <v>93</v>
      </c>
      <c r="BM81" s="107">
        <v>0.9</v>
      </c>
      <c r="BN81" s="107" t="s">
        <v>93</v>
      </c>
      <c r="BO81" s="107" t="s">
        <v>94</v>
      </c>
      <c r="BP81" s="107">
        <v>4.5</v>
      </c>
      <c r="BQ81" s="107" t="s">
        <v>92</v>
      </c>
      <c r="BR81" s="108" t="s">
        <v>401</v>
      </c>
      <c r="BS81" s="107" t="s">
        <v>94</v>
      </c>
      <c r="BT81" s="107">
        <v>1.8</v>
      </c>
      <c r="BU81" s="107">
        <v>4.5</v>
      </c>
      <c r="BV81" s="107">
        <v>62</v>
      </c>
      <c r="BW81" s="107">
        <v>9.6999999999999993</v>
      </c>
      <c r="BX81" s="107">
        <v>17.899999999999999</v>
      </c>
      <c r="BY81" s="107" t="s">
        <v>93</v>
      </c>
      <c r="BZ81" s="107" t="s">
        <v>303</v>
      </c>
      <c r="CA81" s="107" t="s">
        <v>93</v>
      </c>
      <c r="CB81" s="107" t="s">
        <v>94</v>
      </c>
      <c r="CC81" s="107">
        <v>43724</v>
      </c>
      <c r="CD81" s="107">
        <v>43724</v>
      </c>
      <c r="CE81" s="107">
        <v>3305</v>
      </c>
      <c r="CF81" s="107">
        <v>0.56000000000000005</v>
      </c>
    </row>
    <row r="82" spans="1:84" x14ac:dyDescent="0.25">
      <c r="A82" s="105" t="s">
        <v>268</v>
      </c>
      <c r="B82" s="105">
        <v>146</v>
      </c>
      <c r="C82" s="105" t="s">
        <v>92</v>
      </c>
      <c r="D82" s="105" t="s">
        <v>92</v>
      </c>
      <c r="E82" s="105" t="s">
        <v>110</v>
      </c>
      <c r="F82" s="105" t="s">
        <v>131</v>
      </c>
      <c r="G82" s="105" t="s">
        <v>269</v>
      </c>
      <c r="H82" s="105" t="s">
        <v>93</v>
      </c>
      <c r="I82" s="105">
        <v>1</v>
      </c>
      <c r="J82" s="105">
        <v>0</v>
      </c>
      <c r="K82" s="105">
        <v>1</v>
      </c>
      <c r="L82" s="105">
        <v>40</v>
      </c>
      <c r="M82" s="105">
        <v>20</v>
      </c>
      <c r="N82" s="105">
        <v>100</v>
      </c>
      <c r="O82" s="105">
        <v>400</v>
      </c>
      <c r="P82" s="105">
        <v>150</v>
      </c>
      <c r="Q82" s="105">
        <v>3.1</v>
      </c>
      <c r="R82" s="105">
        <v>50</v>
      </c>
      <c r="S82" s="105">
        <v>1.2</v>
      </c>
      <c r="T82" s="105">
        <v>1.5</v>
      </c>
      <c r="U82" s="105">
        <v>2.4</v>
      </c>
      <c r="V82" s="105">
        <v>3.15</v>
      </c>
      <c r="W82" s="105">
        <v>1</v>
      </c>
      <c r="X82" s="105">
        <v>14</v>
      </c>
      <c r="Y82" s="105">
        <v>24</v>
      </c>
      <c r="Z82" s="105">
        <v>300</v>
      </c>
      <c r="AA82" s="105">
        <v>5.2</v>
      </c>
      <c r="AB82" s="105">
        <v>0.7</v>
      </c>
      <c r="AC82" s="105" t="s">
        <v>94</v>
      </c>
      <c r="AD82" s="105" t="s">
        <v>94</v>
      </c>
      <c r="AE82" s="105" t="s">
        <v>94</v>
      </c>
      <c r="AF82" s="105">
        <v>3.5000000000000001E-3</v>
      </c>
      <c r="AG82" s="105" t="s">
        <v>94</v>
      </c>
      <c r="AH82" s="105" t="s">
        <v>94</v>
      </c>
      <c r="AI82" s="105">
        <v>2.3E-3</v>
      </c>
      <c r="AJ82" s="105">
        <v>0.66</v>
      </c>
      <c r="AK82" s="106">
        <v>31</v>
      </c>
      <c r="AL82" s="105">
        <v>10</v>
      </c>
      <c r="AM82" s="105">
        <v>8.1999999999999993</v>
      </c>
      <c r="AN82" s="106">
        <v>63</v>
      </c>
      <c r="AO82" s="105">
        <v>20</v>
      </c>
      <c r="AP82" s="105">
        <v>5.75</v>
      </c>
      <c r="AQ82" s="105">
        <v>4.5</v>
      </c>
      <c r="AR82" s="105">
        <v>5.85</v>
      </c>
      <c r="AS82" s="105">
        <v>5</v>
      </c>
      <c r="AT82" s="105">
        <v>0.45</v>
      </c>
      <c r="AU82" s="105">
        <v>0.58799999999999997</v>
      </c>
      <c r="AV82" s="105">
        <v>1</v>
      </c>
      <c r="AW82" s="105">
        <v>0.21</v>
      </c>
      <c r="AX82" s="105">
        <v>0.309</v>
      </c>
      <c r="AY82" s="105">
        <v>20</v>
      </c>
      <c r="AZ82" s="105">
        <v>10</v>
      </c>
      <c r="BA82" s="105">
        <v>0.1</v>
      </c>
      <c r="BB82" s="105">
        <v>25</v>
      </c>
      <c r="BC82" s="105">
        <v>0.9</v>
      </c>
      <c r="BD82" s="105">
        <v>100</v>
      </c>
      <c r="BE82" s="105">
        <v>1</v>
      </c>
      <c r="BF82" s="105">
        <v>200</v>
      </c>
      <c r="BG82" s="105">
        <v>40</v>
      </c>
      <c r="BH82" s="105">
        <v>1</v>
      </c>
      <c r="BI82" s="105">
        <v>40</v>
      </c>
      <c r="BJ82" s="105">
        <v>0.5</v>
      </c>
      <c r="BK82" s="105">
        <v>1.1200000000000001</v>
      </c>
      <c r="BL82" s="105" t="s">
        <v>93</v>
      </c>
      <c r="BM82" s="105">
        <v>0.75</v>
      </c>
      <c r="BN82" s="105" t="s">
        <v>93</v>
      </c>
      <c r="BO82" s="105">
        <v>1155</v>
      </c>
      <c r="BP82" s="105">
        <v>4.5</v>
      </c>
      <c r="BQ82" s="105" t="s">
        <v>92</v>
      </c>
      <c r="BR82" s="105" t="s">
        <v>270</v>
      </c>
      <c r="BS82" s="105" t="s">
        <v>94</v>
      </c>
      <c r="BT82" s="105">
        <v>1.4</v>
      </c>
      <c r="BU82" s="105">
        <v>4.5</v>
      </c>
      <c r="BV82" s="105">
        <v>17</v>
      </c>
      <c r="BW82" s="105">
        <v>11.2</v>
      </c>
      <c r="BX82" s="105">
        <v>13.2</v>
      </c>
      <c r="BY82" s="105" t="s">
        <v>93</v>
      </c>
      <c r="BZ82" s="105" t="s">
        <v>114</v>
      </c>
      <c r="CA82" s="105" t="s">
        <v>93</v>
      </c>
      <c r="CB82" s="105" t="s">
        <v>94</v>
      </c>
      <c r="CC82" s="105">
        <v>42781</v>
      </c>
      <c r="CD82" s="105" t="s">
        <v>94</v>
      </c>
      <c r="CE82" s="105">
        <v>3305</v>
      </c>
      <c r="CF82" s="105">
        <v>0.41</v>
      </c>
    </row>
    <row r="83" spans="1:84" x14ac:dyDescent="0.25">
      <c r="A83" s="105" t="s">
        <v>271</v>
      </c>
      <c r="B83" s="105">
        <v>146</v>
      </c>
      <c r="C83" s="105" t="s">
        <v>92</v>
      </c>
      <c r="D83" s="105" t="s">
        <v>92</v>
      </c>
      <c r="E83" s="105" t="s">
        <v>110</v>
      </c>
      <c r="F83" s="105" t="s">
        <v>168</v>
      </c>
      <c r="G83" s="105" t="s">
        <v>272</v>
      </c>
      <c r="H83" s="105" t="s">
        <v>93</v>
      </c>
      <c r="I83" s="105">
        <v>1</v>
      </c>
      <c r="J83" s="105">
        <v>0</v>
      </c>
      <c r="K83" s="105">
        <v>1</v>
      </c>
      <c r="L83" s="105">
        <v>40</v>
      </c>
      <c r="M83" s="105">
        <v>20</v>
      </c>
      <c r="N83" s="105">
        <v>100</v>
      </c>
      <c r="O83" s="105">
        <v>400</v>
      </c>
      <c r="P83" s="105">
        <v>150</v>
      </c>
      <c r="Q83" s="105">
        <v>3.1</v>
      </c>
      <c r="R83" s="105">
        <v>50</v>
      </c>
      <c r="S83" s="105">
        <v>0.9</v>
      </c>
      <c r="T83" s="105">
        <v>1.3</v>
      </c>
      <c r="U83" s="105">
        <v>2.2000000000000002</v>
      </c>
      <c r="V83" s="105">
        <v>2.9</v>
      </c>
      <c r="W83" s="105">
        <v>1</v>
      </c>
      <c r="X83" s="105">
        <v>17</v>
      </c>
      <c r="Y83" s="105">
        <v>30</v>
      </c>
      <c r="Z83" s="105">
        <v>300</v>
      </c>
      <c r="AA83" s="105">
        <v>136</v>
      </c>
      <c r="AB83" s="105">
        <v>1</v>
      </c>
      <c r="AC83" s="105" t="s">
        <v>94</v>
      </c>
      <c r="AD83" s="105" t="s">
        <v>94</v>
      </c>
      <c r="AE83" s="105" t="s">
        <v>94</v>
      </c>
      <c r="AF83" s="105">
        <v>2.3E-3</v>
      </c>
      <c r="AG83" s="105" t="s">
        <v>94</v>
      </c>
      <c r="AH83" s="105" t="s">
        <v>94</v>
      </c>
      <c r="AI83" s="105">
        <v>1.6000000000000001E-3</v>
      </c>
      <c r="AJ83" s="105">
        <v>0.73</v>
      </c>
      <c r="AK83" s="106">
        <v>37</v>
      </c>
      <c r="AL83" s="105">
        <v>6</v>
      </c>
      <c r="AM83" s="105">
        <v>8.1999999999999993</v>
      </c>
      <c r="AN83" s="106">
        <v>75</v>
      </c>
      <c r="AO83" s="105">
        <v>23</v>
      </c>
      <c r="AP83" s="105">
        <v>7</v>
      </c>
      <c r="AQ83" s="105">
        <v>6.5</v>
      </c>
      <c r="AR83" s="105">
        <v>7.12</v>
      </c>
      <c r="AS83" s="105">
        <v>6</v>
      </c>
      <c r="AT83" s="105">
        <v>0.5</v>
      </c>
      <c r="AU83" s="105">
        <v>0.69899999999999995</v>
      </c>
      <c r="AV83" s="105">
        <v>1.4</v>
      </c>
      <c r="AW83" s="105">
        <v>0.23</v>
      </c>
      <c r="AX83" s="105">
        <v>0.33300000000000002</v>
      </c>
      <c r="AY83" s="105">
        <v>20</v>
      </c>
      <c r="AZ83" s="105">
        <v>10</v>
      </c>
      <c r="BA83" s="105">
        <v>0.1</v>
      </c>
      <c r="BB83" s="105">
        <v>25</v>
      </c>
      <c r="BC83" s="105">
        <v>0.9</v>
      </c>
      <c r="BD83" s="105">
        <v>100</v>
      </c>
      <c r="BE83" s="105">
        <v>1</v>
      </c>
      <c r="BF83" s="105">
        <v>180</v>
      </c>
      <c r="BG83" s="105">
        <v>40</v>
      </c>
      <c r="BH83" s="105">
        <v>0.8</v>
      </c>
      <c r="BI83" s="105">
        <v>40</v>
      </c>
      <c r="BJ83" s="105">
        <v>0.5</v>
      </c>
      <c r="BK83" s="105">
        <v>1.05</v>
      </c>
      <c r="BL83" s="105" t="s">
        <v>93</v>
      </c>
      <c r="BM83" s="105">
        <v>1</v>
      </c>
      <c r="BN83" s="105" t="s">
        <v>93</v>
      </c>
      <c r="BO83" s="105">
        <v>1145</v>
      </c>
      <c r="BP83" s="105">
        <v>5.85</v>
      </c>
      <c r="BQ83" s="105" t="s">
        <v>92</v>
      </c>
      <c r="BR83" s="105" t="s">
        <v>273</v>
      </c>
      <c r="BS83" s="105" t="s">
        <v>94</v>
      </c>
      <c r="BT83" s="105">
        <v>2</v>
      </c>
      <c r="BU83" s="105">
        <v>4.5</v>
      </c>
      <c r="BV83" s="105">
        <v>22</v>
      </c>
      <c r="BW83" s="105">
        <v>13.3</v>
      </c>
      <c r="BX83" s="105">
        <v>15.1</v>
      </c>
      <c r="BY83" s="105" t="s">
        <v>93</v>
      </c>
      <c r="BZ83" s="105" t="s">
        <v>114</v>
      </c>
      <c r="CA83" s="105" t="s">
        <v>93</v>
      </c>
      <c r="CB83" s="105" t="s">
        <v>94</v>
      </c>
      <c r="CC83" s="105">
        <v>42782</v>
      </c>
      <c r="CD83" s="105" t="s">
        <v>94</v>
      </c>
      <c r="CE83" s="105">
        <v>3306</v>
      </c>
      <c r="CF83" s="105">
        <v>0.57999999999999996</v>
      </c>
    </row>
    <row r="84" spans="1:84" x14ac:dyDescent="0.25">
      <c r="A84" s="105" t="s">
        <v>274</v>
      </c>
      <c r="B84" s="105">
        <v>146</v>
      </c>
      <c r="C84" s="105" t="s">
        <v>92</v>
      </c>
      <c r="D84" s="105" t="s">
        <v>92</v>
      </c>
      <c r="E84" s="105" t="s">
        <v>110</v>
      </c>
      <c r="F84" s="105" t="s">
        <v>131</v>
      </c>
      <c r="G84" s="105" t="s">
        <v>269</v>
      </c>
      <c r="H84" s="105" t="s">
        <v>93</v>
      </c>
      <c r="I84" s="105">
        <v>1</v>
      </c>
      <c r="J84" s="105">
        <v>0</v>
      </c>
      <c r="K84" s="105">
        <v>1</v>
      </c>
      <c r="L84" s="105">
        <v>40</v>
      </c>
      <c r="M84" s="105">
        <v>20</v>
      </c>
      <c r="N84" s="105">
        <v>100</v>
      </c>
      <c r="O84" s="105">
        <v>400</v>
      </c>
      <c r="P84" s="105">
        <v>150</v>
      </c>
      <c r="Q84" s="105">
        <v>3.1</v>
      </c>
      <c r="R84" s="105">
        <v>50</v>
      </c>
      <c r="S84" s="105">
        <v>1.3</v>
      </c>
      <c r="T84" s="105">
        <v>1.5</v>
      </c>
      <c r="U84" s="105">
        <v>2.4</v>
      </c>
      <c r="V84" s="105">
        <v>3.18</v>
      </c>
      <c r="W84" s="105">
        <v>1</v>
      </c>
      <c r="X84" s="105">
        <v>12</v>
      </c>
      <c r="Y84" s="105">
        <v>19</v>
      </c>
      <c r="Z84" s="105">
        <v>300</v>
      </c>
      <c r="AA84" s="105">
        <v>89</v>
      </c>
      <c r="AB84" s="105">
        <v>0.9</v>
      </c>
      <c r="AC84" s="105" t="s">
        <v>94</v>
      </c>
      <c r="AD84" s="105" t="s">
        <v>94</v>
      </c>
      <c r="AE84" s="105" t="s">
        <v>94</v>
      </c>
      <c r="AF84" s="105">
        <v>5.3E-3</v>
      </c>
      <c r="AG84" s="105" t="s">
        <v>94</v>
      </c>
      <c r="AH84" s="105" t="s">
        <v>94</v>
      </c>
      <c r="AI84" s="105">
        <v>3.3999999999999998E-3</v>
      </c>
      <c r="AJ84" s="105">
        <v>0.6</v>
      </c>
      <c r="AK84" s="106">
        <v>23</v>
      </c>
      <c r="AL84" s="105">
        <v>7</v>
      </c>
      <c r="AM84" s="105">
        <v>5.8</v>
      </c>
      <c r="AN84" s="106">
        <v>45</v>
      </c>
      <c r="AO84" s="105">
        <v>15</v>
      </c>
      <c r="AP84" s="105">
        <v>4</v>
      </c>
      <c r="AQ84" s="105">
        <v>3.2</v>
      </c>
      <c r="AR84" s="105">
        <v>4.28</v>
      </c>
      <c r="AS84" s="105">
        <v>3</v>
      </c>
      <c r="AT84" s="105">
        <v>0.22</v>
      </c>
      <c r="AU84" s="105">
        <v>0.433</v>
      </c>
      <c r="AV84" s="105">
        <v>0.8</v>
      </c>
      <c r="AW84" s="105">
        <v>0.09</v>
      </c>
      <c r="AX84" s="105">
        <v>0.23100000000000001</v>
      </c>
      <c r="AY84" s="105">
        <v>20</v>
      </c>
      <c r="AZ84" s="105">
        <v>10</v>
      </c>
      <c r="BA84" s="105">
        <v>0.1</v>
      </c>
      <c r="BB84" s="105">
        <v>15</v>
      </c>
      <c r="BC84" s="105">
        <v>0.9</v>
      </c>
      <c r="BD84" s="105">
        <v>100</v>
      </c>
      <c r="BE84" s="105">
        <v>1</v>
      </c>
      <c r="BF84" s="105">
        <v>180</v>
      </c>
      <c r="BG84" s="105">
        <v>40</v>
      </c>
      <c r="BH84" s="105">
        <v>0.8</v>
      </c>
      <c r="BI84" s="105">
        <v>40</v>
      </c>
      <c r="BJ84" s="105">
        <v>0.6</v>
      </c>
      <c r="BK84" s="105">
        <v>1.08</v>
      </c>
      <c r="BL84" s="105" t="s">
        <v>93</v>
      </c>
      <c r="BM84" s="105">
        <v>1</v>
      </c>
      <c r="BN84" s="105" t="s">
        <v>93</v>
      </c>
      <c r="BO84" s="105">
        <v>1155</v>
      </c>
      <c r="BP84" s="105">
        <v>3.1</v>
      </c>
      <c r="BQ84" s="105" t="s">
        <v>92</v>
      </c>
      <c r="BR84" s="105" t="s">
        <v>275</v>
      </c>
      <c r="BS84" s="105" t="s">
        <v>94</v>
      </c>
      <c r="BT84" s="105">
        <v>1.8</v>
      </c>
      <c r="BU84" s="105">
        <v>4.5</v>
      </c>
      <c r="BV84" s="105">
        <v>14.7</v>
      </c>
      <c r="BW84" s="105">
        <v>8.8000000000000007</v>
      </c>
      <c r="BX84" s="105">
        <v>9.1</v>
      </c>
      <c r="BY84" s="105" t="s">
        <v>93</v>
      </c>
      <c r="BZ84" s="105" t="s">
        <v>114</v>
      </c>
      <c r="CA84" s="105" t="s">
        <v>93</v>
      </c>
      <c r="CB84" s="105" t="s">
        <v>94</v>
      </c>
      <c r="CC84" s="105">
        <v>42781</v>
      </c>
      <c r="CD84" s="105" t="s">
        <v>94</v>
      </c>
      <c r="CE84" s="105">
        <v>3237</v>
      </c>
      <c r="CF84" s="105">
        <v>0.34</v>
      </c>
    </row>
    <row r="85" spans="1:84" x14ac:dyDescent="0.25">
      <c r="A85" s="105" t="s">
        <v>276</v>
      </c>
      <c r="B85" s="105">
        <v>146</v>
      </c>
      <c r="C85" s="105" t="s">
        <v>92</v>
      </c>
      <c r="D85" s="105" t="s">
        <v>92</v>
      </c>
      <c r="E85" s="105" t="s">
        <v>110</v>
      </c>
      <c r="F85" s="105" t="s">
        <v>131</v>
      </c>
      <c r="G85" s="105" t="s">
        <v>269</v>
      </c>
      <c r="H85" s="105" t="s">
        <v>93</v>
      </c>
      <c r="I85" s="105">
        <v>1</v>
      </c>
      <c r="J85" s="105">
        <v>0</v>
      </c>
      <c r="K85" s="105">
        <v>1</v>
      </c>
      <c r="L85" s="105">
        <v>40</v>
      </c>
      <c r="M85" s="105">
        <v>20</v>
      </c>
      <c r="N85" s="105">
        <v>50</v>
      </c>
      <c r="O85" s="105">
        <v>237</v>
      </c>
      <c r="P85" s="105">
        <v>150</v>
      </c>
      <c r="Q85" s="105">
        <v>3.1</v>
      </c>
      <c r="R85" s="105">
        <v>50</v>
      </c>
      <c r="S85" s="105">
        <v>1.7</v>
      </c>
      <c r="T85" s="105">
        <v>1.5</v>
      </c>
      <c r="U85" s="105">
        <v>2.4</v>
      </c>
      <c r="V85" s="105">
        <v>3.3</v>
      </c>
      <c r="W85" s="105">
        <v>1</v>
      </c>
      <c r="X85" s="105">
        <v>9</v>
      </c>
      <c r="Y85" s="105">
        <v>14</v>
      </c>
      <c r="Z85" s="105">
        <v>300</v>
      </c>
      <c r="AA85" s="105">
        <v>59</v>
      </c>
      <c r="AB85" s="105">
        <v>1.3</v>
      </c>
      <c r="AC85" s="105" t="s">
        <v>94</v>
      </c>
      <c r="AD85" s="105" t="s">
        <v>94</v>
      </c>
      <c r="AE85" s="105" t="s">
        <v>94</v>
      </c>
      <c r="AF85" s="105">
        <v>7.9000000000000008E-3</v>
      </c>
      <c r="AG85" s="105" t="s">
        <v>94</v>
      </c>
      <c r="AH85" s="105" t="s">
        <v>94</v>
      </c>
      <c r="AI85" s="105">
        <v>4.8999999999999998E-3</v>
      </c>
      <c r="AJ85" s="105">
        <v>0.62</v>
      </c>
      <c r="AK85" s="106">
        <v>14</v>
      </c>
      <c r="AL85" s="105">
        <v>5</v>
      </c>
      <c r="AM85" s="105">
        <v>3.4</v>
      </c>
      <c r="AN85" s="106">
        <v>29</v>
      </c>
      <c r="AO85" s="105">
        <v>9.1999999999999993</v>
      </c>
      <c r="AP85" s="105">
        <v>2.4</v>
      </c>
      <c r="AQ85" s="105">
        <v>2</v>
      </c>
      <c r="AR85" s="105">
        <v>2.68</v>
      </c>
      <c r="AS85" s="105">
        <v>1.9</v>
      </c>
      <c r="AT85" s="105">
        <v>0.2</v>
      </c>
      <c r="AU85" s="105">
        <v>0.26800000000000002</v>
      </c>
      <c r="AV85" s="105">
        <v>0.4</v>
      </c>
      <c r="AW85" s="105">
        <v>0.1</v>
      </c>
      <c r="AX85" s="105">
        <v>0.13800000000000001</v>
      </c>
      <c r="AY85" s="105">
        <v>20</v>
      </c>
      <c r="AZ85" s="105">
        <v>10</v>
      </c>
      <c r="BA85" s="105">
        <v>0.1</v>
      </c>
      <c r="BB85" s="105">
        <v>10</v>
      </c>
      <c r="BC85" s="105">
        <v>0.9</v>
      </c>
      <c r="BD85" s="105">
        <v>100</v>
      </c>
      <c r="BE85" s="105">
        <v>1</v>
      </c>
      <c r="BF85" s="105">
        <v>180</v>
      </c>
      <c r="BG85" s="105">
        <v>40</v>
      </c>
      <c r="BH85" s="105">
        <v>0.6</v>
      </c>
      <c r="BI85" s="105">
        <v>40</v>
      </c>
      <c r="BJ85" s="105">
        <v>0.6</v>
      </c>
      <c r="BK85" s="105">
        <v>1.05</v>
      </c>
      <c r="BL85" s="105" t="s">
        <v>93</v>
      </c>
      <c r="BM85" s="105">
        <v>1</v>
      </c>
      <c r="BN85" s="105" t="s">
        <v>93</v>
      </c>
      <c r="BO85" s="105">
        <v>1155</v>
      </c>
      <c r="BP85" s="105">
        <v>1.8</v>
      </c>
      <c r="BQ85" s="105" t="s">
        <v>92</v>
      </c>
      <c r="BR85" s="105" t="s">
        <v>277</v>
      </c>
      <c r="BS85" s="105" t="s">
        <v>94</v>
      </c>
      <c r="BT85" s="105">
        <v>2.6</v>
      </c>
      <c r="BU85" s="105">
        <v>4.5</v>
      </c>
      <c r="BV85" s="105">
        <v>8.5</v>
      </c>
      <c r="BW85" s="105">
        <v>5</v>
      </c>
      <c r="BX85" s="105">
        <v>6</v>
      </c>
      <c r="BY85" s="105" t="s">
        <v>93</v>
      </c>
      <c r="BZ85" s="105" t="s">
        <v>114</v>
      </c>
      <c r="CA85" s="105" t="s">
        <v>93</v>
      </c>
      <c r="CB85" s="105" t="s">
        <v>94</v>
      </c>
      <c r="CC85" s="105">
        <v>42781</v>
      </c>
      <c r="CD85" s="105" t="s">
        <v>94</v>
      </c>
      <c r="CE85" s="105">
        <v>3307</v>
      </c>
      <c r="CF85" s="105">
        <v>0.24</v>
      </c>
    </row>
    <row r="86" spans="1:84" x14ac:dyDescent="0.25">
      <c r="A86" s="105" t="s">
        <v>278</v>
      </c>
      <c r="B86" s="105">
        <v>146</v>
      </c>
      <c r="C86" s="105" t="s">
        <v>92</v>
      </c>
      <c r="D86" s="105" t="s">
        <v>92</v>
      </c>
      <c r="E86" s="105" t="s">
        <v>110</v>
      </c>
      <c r="F86" s="105" t="s">
        <v>131</v>
      </c>
      <c r="G86" s="105" t="s">
        <v>255</v>
      </c>
      <c r="H86" s="105" t="s">
        <v>93</v>
      </c>
      <c r="I86" s="105">
        <v>1</v>
      </c>
      <c r="J86" s="105">
        <v>0</v>
      </c>
      <c r="K86" s="105">
        <v>1</v>
      </c>
      <c r="L86" s="105">
        <v>60</v>
      </c>
      <c r="M86" s="105">
        <v>20</v>
      </c>
      <c r="N86" s="105">
        <v>100</v>
      </c>
      <c r="O86" s="105">
        <v>370</v>
      </c>
      <c r="P86" s="105">
        <v>150</v>
      </c>
      <c r="Q86" s="105">
        <v>3.125</v>
      </c>
      <c r="R86" s="105">
        <v>50</v>
      </c>
      <c r="S86" s="105">
        <v>1</v>
      </c>
      <c r="T86" s="105">
        <v>1.5</v>
      </c>
      <c r="U86" s="105">
        <v>2.2999999999999998</v>
      </c>
      <c r="V86" s="105">
        <v>2.9</v>
      </c>
      <c r="W86" s="105">
        <v>1</v>
      </c>
      <c r="X86" s="105">
        <v>40</v>
      </c>
      <c r="Y86" s="105">
        <v>22</v>
      </c>
      <c r="Z86" s="105">
        <v>300</v>
      </c>
      <c r="AA86" s="105">
        <v>128</v>
      </c>
      <c r="AB86" s="105">
        <v>1.2</v>
      </c>
      <c r="AC86" s="105" t="s">
        <v>94</v>
      </c>
      <c r="AD86" s="105" t="s">
        <v>94</v>
      </c>
      <c r="AE86" s="105" t="s">
        <v>94</v>
      </c>
      <c r="AF86" s="105">
        <v>5.7999999999999996E-3</v>
      </c>
      <c r="AG86" s="105" t="s">
        <v>94</v>
      </c>
      <c r="AH86" s="105" t="s">
        <v>94</v>
      </c>
      <c r="AI86" s="105">
        <v>4.5999999999999999E-3</v>
      </c>
      <c r="AJ86" s="105">
        <v>0.95</v>
      </c>
      <c r="AK86" s="106">
        <v>18</v>
      </c>
      <c r="AL86" s="105">
        <v>7</v>
      </c>
      <c r="AM86" s="105">
        <v>5.2</v>
      </c>
      <c r="AN86" s="106">
        <v>36</v>
      </c>
      <c r="AO86" s="105">
        <v>32</v>
      </c>
      <c r="AP86" s="105">
        <v>3.48</v>
      </c>
      <c r="AQ86" s="105">
        <v>3.2</v>
      </c>
      <c r="AR86" s="105">
        <v>3.54</v>
      </c>
      <c r="AS86" s="105">
        <v>3.51</v>
      </c>
      <c r="AT86" s="105">
        <v>0.4</v>
      </c>
      <c r="AU86" s="105">
        <v>4.26</v>
      </c>
      <c r="AV86" s="105">
        <v>0.2</v>
      </c>
      <c r="AW86" s="105">
        <v>1.0999999999999999E-2</v>
      </c>
      <c r="AX86" s="105">
        <v>0.215</v>
      </c>
      <c r="AY86" s="105">
        <v>30</v>
      </c>
      <c r="AZ86" s="105">
        <v>10</v>
      </c>
      <c r="BA86" s="105">
        <v>0.1</v>
      </c>
      <c r="BB86" s="105">
        <v>12</v>
      </c>
      <c r="BC86" s="105">
        <v>1.4</v>
      </c>
      <c r="BD86" s="105">
        <v>160</v>
      </c>
      <c r="BE86" s="105">
        <v>2.6</v>
      </c>
      <c r="BF86" s="105">
        <v>160</v>
      </c>
      <c r="BG86" s="105">
        <v>60</v>
      </c>
      <c r="BH86" s="105">
        <v>1.5</v>
      </c>
      <c r="BI86" s="105">
        <v>60</v>
      </c>
      <c r="BJ86" s="105">
        <v>0.1</v>
      </c>
      <c r="BK86" s="105">
        <v>0.28999999999999998</v>
      </c>
      <c r="BL86" s="105" t="s">
        <v>93</v>
      </c>
      <c r="BM86" s="105">
        <v>0.8</v>
      </c>
      <c r="BN86" s="105" t="s">
        <v>94</v>
      </c>
      <c r="BO86" s="105">
        <v>1155</v>
      </c>
      <c r="BP86" s="105">
        <v>3.39</v>
      </c>
      <c r="BQ86" s="105" t="s">
        <v>256</v>
      </c>
      <c r="BR86" s="105" t="s">
        <v>279</v>
      </c>
      <c r="BS86" s="105" t="s">
        <v>94</v>
      </c>
      <c r="BT86" s="105">
        <v>2.4</v>
      </c>
      <c r="BU86" s="105">
        <v>3.4</v>
      </c>
      <c r="BV86" s="105">
        <v>100</v>
      </c>
      <c r="BW86" s="105">
        <v>5.9</v>
      </c>
      <c r="BX86" s="105">
        <v>6.9</v>
      </c>
      <c r="BY86" s="105" t="s">
        <v>94</v>
      </c>
      <c r="BZ86" s="105" t="s">
        <v>114</v>
      </c>
      <c r="CA86" s="105" t="s">
        <v>93</v>
      </c>
      <c r="CB86" s="105" t="s">
        <v>94</v>
      </c>
      <c r="CC86" s="105">
        <v>41163</v>
      </c>
      <c r="CD86" s="105">
        <v>42669</v>
      </c>
      <c r="CE86" s="105">
        <v>2052</v>
      </c>
      <c r="CF86" s="105">
        <v>0.56000000000000005</v>
      </c>
    </row>
    <row r="87" spans="1:84" x14ac:dyDescent="0.25">
      <c r="A87" s="105" t="s">
        <v>280</v>
      </c>
      <c r="B87" s="105">
        <v>146</v>
      </c>
      <c r="C87" s="105" t="s">
        <v>92</v>
      </c>
      <c r="D87" s="105" t="s">
        <v>101</v>
      </c>
      <c r="E87" s="105" t="s">
        <v>245</v>
      </c>
      <c r="F87" s="105" t="s">
        <v>259</v>
      </c>
      <c r="G87" s="105" t="s">
        <v>281</v>
      </c>
      <c r="H87" s="105" t="s">
        <v>93</v>
      </c>
      <c r="I87" s="105">
        <v>1</v>
      </c>
      <c r="J87" s="105">
        <v>0</v>
      </c>
      <c r="K87" s="105">
        <v>4</v>
      </c>
      <c r="L87" s="105">
        <v>60</v>
      </c>
      <c r="M87" s="105">
        <v>20</v>
      </c>
      <c r="N87" s="105">
        <v>100</v>
      </c>
      <c r="O87" s="105">
        <v>400</v>
      </c>
      <c r="P87" s="105">
        <v>175</v>
      </c>
      <c r="Q87" s="105">
        <v>2.5</v>
      </c>
      <c r="R87" s="105">
        <v>62</v>
      </c>
      <c r="S87" s="105">
        <v>0.6</v>
      </c>
      <c r="T87" s="105">
        <v>1.5</v>
      </c>
      <c r="U87" s="105">
        <v>2.2000000000000002</v>
      </c>
      <c r="V87" s="105">
        <v>3.44</v>
      </c>
      <c r="W87" s="105">
        <v>1</v>
      </c>
      <c r="X87" s="105">
        <v>57</v>
      </c>
      <c r="Y87" s="105">
        <v>100</v>
      </c>
      <c r="Z87" s="105">
        <v>300</v>
      </c>
      <c r="AA87" s="105">
        <v>187</v>
      </c>
      <c r="AB87" s="105">
        <v>1.3</v>
      </c>
      <c r="AC87" s="105" t="s">
        <v>94</v>
      </c>
      <c r="AD87" s="105" t="s">
        <v>94</v>
      </c>
      <c r="AE87" s="105" t="s">
        <v>94</v>
      </c>
      <c r="AF87" s="105">
        <v>5.3E-3</v>
      </c>
      <c r="AG87" s="105" t="s">
        <v>94</v>
      </c>
      <c r="AH87" s="105" t="s">
        <v>94</v>
      </c>
      <c r="AI87" s="105">
        <v>4.1999999999999997E-3</v>
      </c>
      <c r="AJ87" s="105">
        <v>0.97</v>
      </c>
      <c r="AK87" s="106">
        <v>21</v>
      </c>
      <c r="AL87" s="105">
        <v>10</v>
      </c>
      <c r="AM87" s="105">
        <v>7.3</v>
      </c>
      <c r="AN87" s="106">
        <v>44</v>
      </c>
      <c r="AO87" s="105">
        <v>52</v>
      </c>
      <c r="AP87" s="105">
        <v>4.24</v>
      </c>
      <c r="AQ87" s="105">
        <v>3.9</v>
      </c>
      <c r="AR87" s="105">
        <v>4.3</v>
      </c>
      <c r="AS87" s="105">
        <v>4.55</v>
      </c>
      <c r="AT87" s="105">
        <v>0.47</v>
      </c>
      <c r="AU87" s="105">
        <v>5.55</v>
      </c>
      <c r="AV87" s="105">
        <v>0.30399999999999999</v>
      </c>
      <c r="AW87" s="105">
        <v>1.0999999999999999E-2</v>
      </c>
      <c r="AX87" s="105">
        <v>0.35</v>
      </c>
      <c r="AY87" s="105">
        <v>30</v>
      </c>
      <c r="AZ87" s="105">
        <v>10</v>
      </c>
      <c r="BA87" s="105">
        <v>0.1</v>
      </c>
      <c r="BB87" s="105">
        <v>9.5500000000000007</v>
      </c>
      <c r="BC87" s="105">
        <v>3.11</v>
      </c>
      <c r="BD87" s="105">
        <v>300</v>
      </c>
      <c r="BE87" s="105">
        <v>4.63</v>
      </c>
      <c r="BF87" s="105">
        <v>200</v>
      </c>
      <c r="BG87" s="105">
        <v>60</v>
      </c>
      <c r="BH87" s="105">
        <v>1.9</v>
      </c>
      <c r="BI87" s="105">
        <v>60</v>
      </c>
      <c r="BJ87" s="105">
        <v>0.1</v>
      </c>
      <c r="BK87" s="105">
        <v>0.2</v>
      </c>
      <c r="BL87" s="105" t="s">
        <v>93</v>
      </c>
      <c r="BM87" s="105">
        <v>0.8</v>
      </c>
      <c r="BN87" s="105" t="s">
        <v>94</v>
      </c>
      <c r="BO87" s="105">
        <v>42</v>
      </c>
      <c r="BP87" s="105">
        <v>3.85</v>
      </c>
      <c r="BQ87" s="105" t="s">
        <v>92</v>
      </c>
      <c r="BR87" s="105" t="s">
        <v>282</v>
      </c>
      <c r="BS87" s="105" t="s">
        <v>94</v>
      </c>
      <c r="BT87" s="105">
        <v>2.6</v>
      </c>
      <c r="BU87" s="105">
        <v>3.6</v>
      </c>
      <c r="BV87" s="105">
        <v>127</v>
      </c>
      <c r="BW87" s="105">
        <v>6.9</v>
      </c>
      <c r="BX87" s="105">
        <v>10</v>
      </c>
      <c r="BY87" s="105" t="s">
        <v>93</v>
      </c>
      <c r="BZ87" s="105" t="s">
        <v>249</v>
      </c>
      <c r="CA87" s="105" t="s">
        <v>93</v>
      </c>
      <c r="CB87" s="105" t="s">
        <v>94</v>
      </c>
      <c r="CC87" s="105">
        <v>41163</v>
      </c>
      <c r="CD87" s="105">
        <v>42664</v>
      </c>
      <c r="CE87" s="105">
        <v>2535</v>
      </c>
      <c r="CF87" s="105">
        <v>0.78</v>
      </c>
    </row>
    <row r="88" spans="1:84" x14ac:dyDescent="0.25">
      <c r="A88" s="105" t="s">
        <v>283</v>
      </c>
      <c r="B88" s="105">
        <v>146</v>
      </c>
      <c r="C88" s="105" t="s">
        <v>92</v>
      </c>
      <c r="D88" s="105" t="s">
        <v>92</v>
      </c>
      <c r="E88" s="105" t="s">
        <v>110</v>
      </c>
      <c r="F88" s="105" t="s">
        <v>170</v>
      </c>
      <c r="G88" s="105" t="s">
        <v>284</v>
      </c>
      <c r="H88" s="105" t="s">
        <v>93</v>
      </c>
      <c r="I88" s="105">
        <v>1</v>
      </c>
      <c r="J88" s="105">
        <v>0</v>
      </c>
      <c r="K88" s="105">
        <v>1</v>
      </c>
      <c r="L88" s="105">
        <v>60</v>
      </c>
      <c r="M88" s="105">
        <v>20</v>
      </c>
      <c r="N88" s="105">
        <v>100</v>
      </c>
      <c r="O88" s="105">
        <v>400</v>
      </c>
      <c r="P88" s="105">
        <v>150</v>
      </c>
      <c r="Q88" s="105">
        <v>3.1</v>
      </c>
      <c r="R88" s="105">
        <v>50</v>
      </c>
      <c r="S88" s="105">
        <v>0.8</v>
      </c>
      <c r="T88" s="105">
        <v>2.4</v>
      </c>
      <c r="U88" s="105">
        <v>3.4</v>
      </c>
      <c r="V88" s="105">
        <v>4.5</v>
      </c>
      <c r="W88" s="105">
        <v>1</v>
      </c>
      <c r="X88" s="105">
        <v>64</v>
      </c>
      <c r="Y88" s="105">
        <v>25</v>
      </c>
      <c r="Z88" s="105">
        <v>300</v>
      </c>
      <c r="AA88" s="105">
        <v>140</v>
      </c>
      <c r="AB88" s="105">
        <v>1.2</v>
      </c>
      <c r="AC88" s="105" t="s">
        <v>94</v>
      </c>
      <c r="AD88" s="105" t="s">
        <v>94</v>
      </c>
      <c r="AE88" s="105" t="s">
        <v>94</v>
      </c>
      <c r="AF88" s="105" t="s">
        <v>94</v>
      </c>
      <c r="AG88" s="105">
        <v>4.4000000000000003E-3</v>
      </c>
      <c r="AH88" s="105" t="s">
        <v>94</v>
      </c>
      <c r="AI88" s="105">
        <v>3.3999999999999998E-3</v>
      </c>
      <c r="AJ88" s="105">
        <v>0.85</v>
      </c>
      <c r="AK88" s="106">
        <v>22</v>
      </c>
      <c r="AL88" s="105">
        <v>9.1999999999999993</v>
      </c>
      <c r="AM88" s="105">
        <v>11</v>
      </c>
      <c r="AN88" s="106">
        <v>49</v>
      </c>
      <c r="AO88" s="105">
        <v>69</v>
      </c>
      <c r="AP88" s="105">
        <v>4.3499999999999996</v>
      </c>
      <c r="AQ88" s="105">
        <v>4.0999999999999996</v>
      </c>
      <c r="AR88" s="105">
        <v>4.3899999999999997</v>
      </c>
      <c r="AS88" s="105">
        <v>4.8600000000000003</v>
      </c>
      <c r="AT88" s="105">
        <v>0.495</v>
      </c>
      <c r="AU88" s="105">
        <v>5.9</v>
      </c>
      <c r="AV88" s="105">
        <v>0.248</v>
      </c>
      <c r="AW88" s="105">
        <v>1.6E-2</v>
      </c>
      <c r="AX88" s="105">
        <v>0.26400000000000001</v>
      </c>
      <c r="AY88" s="105">
        <v>30</v>
      </c>
      <c r="AZ88" s="105">
        <v>10</v>
      </c>
      <c r="BA88" s="105">
        <v>0.1</v>
      </c>
      <c r="BB88" s="105">
        <v>9</v>
      </c>
      <c r="BC88" s="105">
        <v>1.89</v>
      </c>
      <c r="BD88" s="105">
        <v>170</v>
      </c>
      <c r="BE88" s="105">
        <v>3.08</v>
      </c>
      <c r="BF88" s="105">
        <v>170</v>
      </c>
      <c r="BG88" s="105">
        <v>60</v>
      </c>
      <c r="BH88" s="105">
        <v>0.86</v>
      </c>
      <c r="BI88" s="105">
        <v>60</v>
      </c>
      <c r="BJ88" s="105">
        <v>0.1</v>
      </c>
      <c r="BK88" s="105">
        <v>0.21</v>
      </c>
      <c r="BL88" s="105" t="s">
        <v>93</v>
      </c>
      <c r="BM88" s="105">
        <v>0.8</v>
      </c>
      <c r="BN88" s="105" t="s">
        <v>94</v>
      </c>
      <c r="BO88" s="105" t="s">
        <v>94</v>
      </c>
      <c r="BP88" s="105" t="s">
        <v>94</v>
      </c>
      <c r="BQ88" s="105" t="s">
        <v>92</v>
      </c>
      <c r="BR88" s="105" t="s">
        <v>285</v>
      </c>
      <c r="BS88" s="105" t="s">
        <v>94</v>
      </c>
      <c r="BT88" s="105">
        <v>2.4</v>
      </c>
      <c r="BU88" s="105">
        <v>4.3</v>
      </c>
      <c r="BV88" s="105">
        <v>139</v>
      </c>
      <c r="BW88" s="105">
        <v>7.9</v>
      </c>
      <c r="BX88" s="105">
        <v>16</v>
      </c>
      <c r="BY88" s="105" t="s">
        <v>93</v>
      </c>
      <c r="BZ88" s="105" t="s">
        <v>114</v>
      </c>
      <c r="CA88" s="105" t="s">
        <v>93</v>
      </c>
      <c r="CB88" s="105" t="s">
        <v>94</v>
      </c>
      <c r="CC88" s="105">
        <v>42577</v>
      </c>
      <c r="CD88" s="105">
        <v>42664</v>
      </c>
      <c r="CE88" s="105">
        <v>2536</v>
      </c>
      <c r="CF88" s="105">
        <v>0.81</v>
      </c>
    </row>
    <row r="89" spans="1:84" x14ac:dyDescent="0.25">
      <c r="A89" s="105" t="s">
        <v>286</v>
      </c>
      <c r="B89" s="105">
        <v>146</v>
      </c>
      <c r="C89" s="105" t="s">
        <v>92</v>
      </c>
      <c r="D89" s="105" t="s">
        <v>92</v>
      </c>
      <c r="E89" s="105" t="s">
        <v>110</v>
      </c>
      <c r="F89" s="105" t="s">
        <v>168</v>
      </c>
      <c r="G89" s="105" t="s">
        <v>211</v>
      </c>
      <c r="H89" s="105" t="s">
        <v>93</v>
      </c>
      <c r="I89" s="105">
        <v>1</v>
      </c>
      <c r="J89" s="105">
        <v>0</v>
      </c>
      <c r="K89" s="105">
        <v>1</v>
      </c>
      <c r="L89" s="105">
        <v>60</v>
      </c>
      <c r="M89" s="105">
        <v>20</v>
      </c>
      <c r="N89" s="105">
        <v>100</v>
      </c>
      <c r="O89" s="105">
        <v>400</v>
      </c>
      <c r="P89" s="105">
        <v>150</v>
      </c>
      <c r="Q89" s="105">
        <v>3.125</v>
      </c>
      <c r="R89" s="105">
        <v>50</v>
      </c>
      <c r="S89" s="105">
        <v>0.8</v>
      </c>
      <c r="T89" s="105">
        <v>1.5</v>
      </c>
      <c r="U89" s="105">
        <v>2.2000000000000002</v>
      </c>
      <c r="V89" s="105">
        <v>3.1</v>
      </c>
      <c r="W89" s="105">
        <v>1</v>
      </c>
      <c r="X89" s="105">
        <v>49</v>
      </c>
      <c r="Y89" s="105">
        <v>25</v>
      </c>
      <c r="Z89" s="105">
        <v>300</v>
      </c>
      <c r="AA89" s="105">
        <v>143</v>
      </c>
      <c r="AB89" s="105">
        <v>1.2</v>
      </c>
      <c r="AC89" s="105" t="s">
        <v>94</v>
      </c>
      <c r="AD89" s="105" t="s">
        <v>94</v>
      </c>
      <c r="AE89" s="105" t="s">
        <v>94</v>
      </c>
      <c r="AF89" s="105">
        <v>4.3E-3</v>
      </c>
      <c r="AG89" s="105" t="s">
        <v>94</v>
      </c>
      <c r="AH89" s="105" t="s">
        <v>94</v>
      </c>
      <c r="AI89" s="105">
        <v>3.2000000000000002E-3</v>
      </c>
      <c r="AJ89" s="105">
        <v>1.04</v>
      </c>
      <c r="AK89" s="106">
        <v>20</v>
      </c>
      <c r="AL89" s="105">
        <v>8.75</v>
      </c>
      <c r="AM89" s="105">
        <v>6.3</v>
      </c>
      <c r="AN89" s="106">
        <v>44</v>
      </c>
      <c r="AO89" s="105">
        <v>52</v>
      </c>
      <c r="AP89" s="105">
        <v>4.2</v>
      </c>
      <c r="AQ89" s="105">
        <v>4</v>
      </c>
      <c r="AR89" s="105">
        <v>4.3</v>
      </c>
      <c r="AS89" s="105">
        <v>4.3600000000000003</v>
      </c>
      <c r="AT89" s="105">
        <v>0.48</v>
      </c>
      <c r="AU89" s="105">
        <v>5.22</v>
      </c>
      <c r="AV89" s="105">
        <v>0.25600000000000001</v>
      </c>
      <c r="AW89" s="105">
        <v>1.4E-2</v>
      </c>
      <c r="AX89" s="105">
        <v>0.26</v>
      </c>
      <c r="AY89" s="105">
        <v>30</v>
      </c>
      <c r="AZ89" s="105">
        <v>10</v>
      </c>
      <c r="BA89" s="105">
        <v>0.1</v>
      </c>
      <c r="BB89" s="105">
        <v>17</v>
      </c>
      <c r="BC89" s="105">
        <v>1.4</v>
      </c>
      <c r="BD89" s="105">
        <v>200</v>
      </c>
      <c r="BE89" s="105">
        <v>2.6</v>
      </c>
      <c r="BF89" s="105">
        <v>200</v>
      </c>
      <c r="BG89" s="105">
        <v>60</v>
      </c>
      <c r="BH89" s="105">
        <v>0.9</v>
      </c>
      <c r="BI89" s="105">
        <v>60</v>
      </c>
      <c r="BJ89" s="105">
        <v>0.1</v>
      </c>
      <c r="BK89" s="105">
        <v>0.23</v>
      </c>
      <c r="BL89" s="105" t="s">
        <v>93</v>
      </c>
      <c r="BM89" s="105">
        <v>0.8</v>
      </c>
      <c r="BN89" s="105" t="s">
        <v>94</v>
      </c>
      <c r="BO89" s="105">
        <v>1345</v>
      </c>
      <c r="BP89" s="105">
        <v>4.03</v>
      </c>
      <c r="BQ89" s="105" t="s">
        <v>92</v>
      </c>
      <c r="BR89" s="105" t="s">
        <v>287</v>
      </c>
      <c r="BS89" s="105" t="s">
        <v>94</v>
      </c>
      <c r="BT89" s="105">
        <v>2.4</v>
      </c>
      <c r="BU89" s="105">
        <v>3.2</v>
      </c>
      <c r="BV89" s="105">
        <v>111</v>
      </c>
      <c r="BW89" s="105">
        <v>6.9</v>
      </c>
      <c r="BX89" s="105">
        <v>10</v>
      </c>
      <c r="BY89" s="105" t="s">
        <v>94</v>
      </c>
      <c r="BZ89" s="105" t="s">
        <v>114</v>
      </c>
      <c r="CA89" s="105" t="s">
        <v>94</v>
      </c>
      <c r="CB89" s="105" t="s">
        <v>94</v>
      </c>
      <c r="CC89" s="105" t="s">
        <v>94</v>
      </c>
      <c r="CD89" s="105">
        <v>42564</v>
      </c>
      <c r="CE89" s="105">
        <v>2053</v>
      </c>
      <c r="CF89" s="105">
        <v>0.81</v>
      </c>
    </row>
    <row r="90" spans="1:84" x14ac:dyDescent="0.25">
      <c r="A90" s="105" t="s">
        <v>288</v>
      </c>
      <c r="B90" s="105">
        <v>146</v>
      </c>
      <c r="C90" s="105" t="s">
        <v>92</v>
      </c>
      <c r="D90" s="105" t="s">
        <v>93</v>
      </c>
      <c r="E90" s="105" t="s">
        <v>245</v>
      </c>
      <c r="F90" s="105" t="s">
        <v>246</v>
      </c>
      <c r="G90" s="105" t="s">
        <v>247</v>
      </c>
      <c r="H90" s="105" t="s">
        <v>93</v>
      </c>
      <c r="I90" s="105">
        <v>1</v>
      </c>
      <c r="J90" s="105">
        <v>0</v>
      </c>
      <c r="K90" s="105">
        <v>4</v>
      </c>
      <c r="L90" s="105">
        <v>60</v>
      </c>
      <c r="M90" s="105">
        <v>20</v>
      </c>
      <c r="N90" s="105">
        <v>100</v>
      </c>
      <c r="O90" s="105">
        <v>294</v>
      </c>
      <c r="P90" s="105">
        <v>175</v>
      </c>
      <c r="Q90" s="105">
        <v>192</v>
      </c>
      <c r="R90" s="105">
        <v>62</v>
      </c>
      <c r="S90" s="105">
        <v>0.8</v>
      </c>
      <c r="T90" s="105">
        <v>1.5</v>
      </c>
      <c r="U90" s="105">
        <v>2.2999999999999998</v>
      </c>
      <c r="V90" s="105">
        <v>3.79</v>
      </c>
      <c r="W90" s="105">
        <v>1</v>
      </c>
      <c r="X90" s="105">
        <v>49</v>
      </c>
      <c r="Y90" s="105">
        <v>75</v>
      </c>
      <c r="Z90" s="105">
        <v>300</v>
      </c>
      <c r="AA90" s="105">
        <v>150</v>
      </c>
      <c r="AB90" s="105">
        <v>1.4</v>
      </c>
      <c r="AC90" s="105" t="s">
        <v>94</v>
      </c>
      <c r="AD90" s="105" t="s">
        <v>94</v>
      </c>
      <c r="AE90" s="105" t="s">
        <v>94</v>
      </c>
      <c r="AF90" s="105">
        <v>8.9999999999999993E-3</v>
      </c>
      <c r="AG90" s="105" t="s">
        <v>94</v>
      </c>
      <c r="AH90" s="105" t="s">
        <v>94</v>
      </c>
      <c r="AI90" s="105">
        <v>6.3E-3</v>
      </c>
      <c r="AJ90" s="105">
        <v>0.96</v>
      </c>
      <c r="AK90" s="106">
        <v>14</v>
      </c>
      <c r="AL90" s="105">
        <v>6</v>
      </c>
      <c r="AM90" s="105">
        <v>4.5999999999999996</v>
      </c>
      <c r="AN90" s="106">
        <v>28</v>
      </c>
      <c r="AO90" s="105">
        <v>31</v>
      </c>
      <c r="AP90" s="105">
        <v>2.4500000000000002</v>
      </c>
      <c r="AQ90" s="105">
        <v>2.42</v>
      </c>
      <c r="AR90" s="105">
        <v>2.5</v>
      </c>
      <c r="AS90" s="105">
        <v>2.29</v>
      </c>
      <c r="AT90" s="105">
        <v>0.3</v>
      </c>
      <c r="AU90" s="105">
        <v>2.8</v>
      </c>
      <c r="AV90" s="105">
        <v>0.23200000000000001</v>
      </c>
      <c r="AW90" s="105">
        <v>7.0000000000000001E-3</v>
      </c>
      <c r="AX90" s="105">
        <v>0.28000000000000003</v>
      </c>
      <c r="AY90" s="105">
        <v>30</v>
      </c>
      <c r="AZ90" s="105">
        <v>10</v>
      </c>
      <c r="BA90" s="105">
        <v>0.1</v>
      </c>
      <c r="BB90" s="105">
        <v>7.23</v>
      </c>
      <c r="BC90" s="105">
        <v>1.74</v>
      </c>
      <c r="BD90" s="105">
        <v>125</v>
      </c>
      <c r="BE90" s="105">
        <v>2.79</v>
      </c>
      <c r="BF90" s="105">
        <v>125</v>
      </c>
      <c r="BG90" s="105">
        <v>60</v>
      </c>
      <c r="BH90" s="105">
        <v>0.68</v>
      </c>
      <c r="BI90" s="105">
        <v>60</v>
      </c>
      <c r="BJ90" s="105">
        <v>0.1</v>
      </c>
      <c r="BK90" s="105">
        <v>0.36</v>
      </c>
      <c r="BL90" s="105" t="s">
        <v>93</v>
      </c>
      <c r="BM90" s="105">
        <v>0.8</v>
      </c>
      <c r="BN90" s="105" t="s">
        <v>94</v>
      </c>
      <c r="BO90" s="105">
        <v>42</v>
      </c>
      <c r="BP90" s="105">
        <v>2.2200000000000002</v>
      </c>
      <c r="BQ90" s="105" t="s">
        <v>92</v>
      </c>
      <c r="BR90" s="105" t="s">
        <v>289</v>
      </c>
      <c r="BS90" s="105" t="s">
        <v>94</v>
      </c>
      <c r="BT90" s="105">
        <v>2.8</v>
      </c>
      <c r="BU90" s="105">
        <v>4</v>
      </c>
      <c r="BV90" s="105">
        <v>97</v>
      </c>
      <c r="BW90" s="105">
        <v>3.9</v>
      </c>
      <c r="BX90" s="105">
        <v>9.4</v>
      </c>
      <c r="BY90" s="105" t="s">
        <v>94</v>
      </c>
      <c r="BZ90" s="105" t="s">
        <v>249</v>
      </c>
      <c r="CA90" s="105" t="s">
        <v>94</v>
      </c>
      <c r="CB90" s="105" t="s">
        <v>94</v>
      </c>
      <c r="CC90" s="105">
        <v>42577</v>
      </c>
      <c r="CD90" s="105">
        <v>42577</v>
      </c>
      <c r="CE90" s="105">
        <v>2537</v>
      </c>
      <c r="CF90" s="105">
        <v>0.55000000000000004</v>
      </c>
    </row>
    <row r="91" spans="1:84" x14ac:dyDescent="0.25">
      <c r="A91" s="105" t="s">
        <v>290</v>
      </c>
      <c r="B91" s="105">
        <v>146</v>
      </c>
      <c r="C91" s="105" t="s">
        <v>92</v>
      </c>
      <c r="D91" s="105" t="s">
        <v>92</v>
      </c>
      <c r="E91" s="105" t="s">
        <v>110</v>
      </c>
      <c r="F91" s="105" t="s">
        <v>241</v>
      </c>
      <c r="G91" s="105" t="s">
        <v>291</v>
      </c>
      <c r="H91" s="105" t="s">
        <v>93</v>
      </c>
      <c r="I91" s="105">
        <v>1</v>
      </c>
      <c r="J91" s="105">
        <v>0</v>
      </c>
      <c r="K91" s="105">
        <v>1</v>
      </c>
      <c r="L91" s="105">
        <v>60</v>
      </c>
      <c r="M91" s="105">
        <v>20</v>
      </c>
      <c r="N91" s="105">
        <v>100</v>
      </c>
      <c r="O91" s="105">
        <v>267</v>
      </c>
      <c r="P91" s="105">
        <v>150</v>
      </c>
      <c r="Q91" s="105">
        <v>3.2</v>
      </c>
      <c r="R91" s="105">
        <v>50</v>
      </c>
      <c r="S91" s="105">
        <v>1.3</v>
      </c>
      <c r="T91" s="105">
        <v>1.5</v>
      </c>
      <c r="U91" s="105">
        <v>2.2999999999999998</v>
      </c>
      <c r="V91" s="105">
        <v>3.24</v>
      </c>
      <c r="W91" s="105">
        <v>1</v>
      </c>
      <c r="X91" s="105">
        <v>40</v>
      </c>
      <c r="Y91" s="105">
        <v>18</v>
      </c>
      <c r="Z91" s="105">
        <v>300</v>
      </c>
      <c r="AA91" s="105">
        <v>122</v>
      </c>
      <c r="AB91" s="105">
        <v>1.3</v>
      </c>
      <c r="AC91" s="105" t="s">
        <v>94</v>
      </c>
      <c r="AD91" s="105" t="s">
        <v>94</v>
      </c>
      <c r="AE91" s="105" t="s">
        <v>94</v>
      </c>
      <c r="AF91" s="105">
        <v>8.5000000000000006E-3</v>
      </c>
      <c r="AG91" s="105" t="s">
        <v>94</v>
      </c>
      <c r="AH91" s="105" t="s">
        <v>94</v>
      </c>
      <c r="AI91" s="105">
        <v>5.8999999999999999E-3</v>
      </c>
      <c r="AJ91" s="105">
        <v>1</v>
      </c>
      <c r="AK91" s="106">
        <v>14</v>
      </c>
      <c r="AL91" s="105">
        <v>5</v>
      </c>
      <c r="AM91" s="105">
        <v>4.7</v>
      </c>
      <c r="AN91" s="106">
        <v>29</v>
      </c>
      <c r="AO91" s="105">
        <v>31</v>
      </c>
      <c r="AP91" s="105">
        <v>2.44</v>
      </c>
      <c r="AQ91" s="105">
        <v>2.2000000000000002</v>
      </c>
      <c r="AR91" s="105">
        <v>2.48</v>
      </c>
      <c r="AS91" s="105">
        <v>2.25</v>
      </c>
      <c r="AT91" s="105">
        <v>0.29199999999999998</v>
      </c>
      <c r="AU91" s="105">
        <v>2.65</v>
      </c>
      <c r="AV91" s="105">
        <v>0.23400000000000001</v>
      </c>
      <c r="AW91" s="105">
        <v>7.0000000000000001E-3</v>
      </c>
      <c r="AX91" s="105">
        <v>0.28000000000000003</v>
      </c>
      <c r="AY91" s="105">
        <v>30</v>
      </c>
      <c r="AZ91" s="105">
        <v>10</v>
      </c>
      <c r="BA91" s="105">
        <v>0.1</v>
      </c>
      <c r="BB91" s="105">
        <v>8.5</v>
      </c>
      <c r="BC91" s="105">
        <v>1.18</v>
      </c>
      <c r="BD91" s="105">
        <v>100</v>
      </c>
      <c r="BE91" s="105">
        <v>2.4900000000000002</v>
      </c>
      <c r="BF91" s="105">
        <v>100</v>
      </c>
      <c r="BG91" s="105">
        <v>60</v>
      </c>
      <c r="BH91" s="105">
        <v>0.69</v>
      </c>
      <c r="BI91" s="105">
        <v>60</v>
      </c>
      <c r="BJ91" s="105">
        <v>0.1</v>
      </c>
      <c r="BK91" s="105">
        <v>0.4</v>
      </c>
      <c r="BL91" s="105" t="s">
        <v>93</v>
      </c>
      <c r="BM91" s="105">
        <v>0.8</v>
      </c>
      <c r="BN91" s="105" t="s">
        <v>94</v>
      </c>
      <c r="BO91" s="105">
        <v>1155</v>
      </c>
      <c r="BP91" s="105">
        <v>2.2000000000000002</v>
      </c>
      <c r="BQ91" s="105" t="s">
        <v>92</v>
      </c>
      <c r="BR91" s="105" t="s">
        <v>292</v>
      </c>
      <c r="BS91" s="105" t="s">
        <v>94</v>
      </c>
      <c r="BT91" s="105">
        <v>2.6</v>
      </c>
      <c r="BU91" s="105">
        <v>3.7</v>
      </c>
      <c r="BV91" s="105">
        <v>68</v>
      </c>
      <c r="BW91" s="105">
        <v>5.4</v>
      </c>
      <c r="BX91" s="105">
        <v>6.6</v>
      </c>
      <c r="BY91" s="105" t="s">
        <v>93</v>
      </c>
      <c r="BZ91" s="105" t="s">
        <v>114</v>
      </c>
      <c r="CA91" s="105" t="s">
        <v>93</v>
      </c>
      <c r="CB91" s="105" t="s">
        <v>94</v>
      </c>
      <c r="CC91" s="105">
        <v>42577</v>
      </c>
      <c r="CD91" s="105">
        <v>42664</v>
      </c>
      <c r="CE91" s="105">
        <v>2538</v>
      </c>
      <c r="CF91" s="105">
        <v>0.44</v>
      </c>
    </row>
    <row r="92" spans="1:84" x14ac:dyDescent="0.25">
      <c r="A92" s="105" t="s">
        <v>293</v>
      </c>
      <c r="B92" s="105">
        <v>146</v>
      </c>
      <c r="C92" s="105" t="s">
        <v>92</v>
      </c>
      <c r="D92" s="105" t="s">
        <v>101</v>
      </c>
      <c r="E92" s="105" t="s">
        <v>245</v>
      </c>
      <c r="F92" s="105" t="s">
        <v>259</v>
      </c>
      <c r="G92" s="105" t="s">
        <v>294</v>
      </c>
      <c r="H92" s="105" t="s">
        <v>93</v>
      </c>
      <c r="I92" s="105">
        <v>1</v>
      </c>
      <c r="J92" s="105">
        <v>0</v>
      </c>
      <c r="K92" s="105">
        <v>4</v>
      </c>
      <c r="L92" s="105">
        <v>60</v>
      </c>
      <c r="M92" s="105">
        <v>20</v>
      </c>
      <c r="N92" s="105">
        <v>100</v>
      </c>
      <c r="O92" s="105">
        <v>164</v>
      </c>
      <c r="P92" s="105">
        <v>175</v>
      </c>
      <c r="Q92" s="105">
        <v>107</v>
      </c>
      <c r="R92" s="105">
        <v>62</v>
      </c>
      <c r="S92" s="105">
        <v>1.3</v>
      </c>
      <c r="T92" s="105">
        <v>1.5</v>
      </c>
      <c r="U92" s="105">
        <v>2.2999999999999998</v>
      </c>
      <c r="V92" s="105">
        <v>3.29</v>
      </c>
      <c r="W92" s="105">
        <v>1</v>
      </c>
      <c r="X92" s="105">
        <v>49</v>
      </c>
      <c r="Y92" s="105">
        <v>40</v>
      </c>
      <c r="Z92" s="105">
        <v>300</v>
      </c>
      <c r="AA92" s="105">
        <v>100</v>
      </c>
      <c r="AB92" s="105">
        <v>1.5</v>
      </c>
      <c r="AC92" s="105" t="s">
        <v>94</v>
      </c>
      <c r="AD92" s="105" t="s">
        <v>94</v>
      </c>
      <c r="AE92" s="105" t="s">
        <v>94</v>
      </c>
      <c r="AF92" s="105">
        <v>1.3299999999999999E-2</v>
      </c>
      <c r="AG92" s="105" t="s">
        <v>94</v>
      </c>
      <c r="AH92" s="105" t="s">
        <v>94</v>
      </c>
      <c r="AI92" s="105">
        <v>9.4999999999999998E-3</v>
      </c>
      <c r="AJ92" s="105">
        <v>1.05</v>
      </c>
      <c r="AK92" s="106">
        <v>9.3000000000000007</v>
      </c>
      <c r="AL92" s="105">
        <v>4</v>
      </c>
      <c r="AM92" s="105">
        <v>3.3</v>
      </c>
      <c r="AN92" s="106">
        <v>19</v>
      </c>
      <c r="AO92" s="105">
        <v>18</v>
      </c>
      <c r="AP92" s="105">
        <v>1.45</v>
      </c>
      <c r="AQ92" s="105">
        <v>1.4</v>
      </c>
      <c r="AR92" s="105">
        <v>1.5</v>
      </c>
      <c r="AS92" s="105">
        <v>1.45</v>
      </c>
      <c r="AT92" s="105">
        <v>0.16400000000000001</v>
      </c>
      <c r="AU92" s="105">
        <v>1.7</v>
      </c>
      <c r="AV92" s="105">
        <v>0.14000000000000001</v>
      </c>
      <c r="AW92" s="105">
        <v>5.0000000000000001E-3</v>
      </c>
      <c r="AX92" s="105">
        <v>0.16</v>
      </c>
      <c r="AY92" s="105">
        <v>30</v>
      </c>
      <c r="AZ92" s="105">
        <v>10</v>
      </c>
      <c r="BA92" s="105">
        <v>0.4</v>
      </c>
      <c r="BB92" s="105">
        <v>4.55</v>
      </c>
      <c r="BC92" s="105">
        <v>1.7</v>
      </c>
      <c r="BD92" s="105">
        <v>82</v>
      </c>
      <c r="BE92" s="105">
        <v>2.5299999999999998</v>
      </c>
      <c r="BF92" s="105">
        <v>82</v>
      </c>
      <c r="BG92" s="105">
        <v>60</v>
      </c>
      <c r="BH92" s="105">
        <v>0.88</v>
      </c>
      <c r="BI92" s="105">
        <v>60</v>
      </c>
      <c r="BJ92" s="105">
        <v>0.1</v>
      </c>
      <c r="BK92" s="105">
        <v>0.59</v>
      </c>
      <c r="BL92" s="105" t="s">
        <v>93</v>
      </c>
      <c r="BM92" s="105">
        <v>0.8</v>
      </c>
      <c r="BN92" s="105" t="s">
        <v>94</v>
      </c>
      <c r="BO92" s="105">
        <v>42</v>
      </c>
      <c r="BP92" s="105">
        <v>1.34</v>
      </c>
      <c r="BQ92" s="105" t="s">
        <v>92</v>
      </c>
      <c r="BR92" s="105" t="s">
        <v>295</v>
      </c>
      <c r="BS92" s="105" t="s">
        <v>94</v>
      </c>
      <c r="BT92" s="105">
        <v>3</v>
      </c>
      <c r="BU92" s="105">
        <v>3.5</v>
      </c>
      <c r="BV92" s="105">
        <v>68</v>
      </c>
      <c r="BW92" s="105">
        <v>3.1</v>
      </c>
      <c r="BX92" s="105">
        <v>4.8</v>
      </c>
      <c r="BY92" s="105" t="s">
        <v>93</v>
      </c>
      <c r="BZ92" s="105" t="s">
        <v>249</v>
      </c>
      <c r="CA92" s="105" t="s">
        <v>93</v>
      </c>
      <c r="CB92" s="105" t="s">
        <v>94</v>
      </c>
      <c r="CC92" s="105">
        <v>42577</v>
      </c>
      <c r="CD92" s="105">
        <v>42664</v>
      </c>
      <c r="CE92" s="105">
        <v>2539</v>
      </c>
      <c r="CF92" s="105">
        <v>0.44</v>
      </c>
    </row>
    <row r="93" spans="1:84" x14ac:dyDescent="0.25">
      <c r="A93" s="105" t="s">
        <v>296</v>
      </c>
      <c r="B93" s="105">
        <v>146</v>
      </c>
      <c r="C93" s="105" t="s">
        <v>92</v>
      </c>
      <c r="D93" s="105" t="s">
        <v>92</v>
      </c>
      <c r="E93" s="105" t="s">
        <v>110</v>
      </c>
      <c r="F93" s="105" t="s">
        <v>241</v>
      </c>
      <c r="G93" s="105" t="s">
        <v>247</v>
      </c>
      <c r="H93" s="105" t="s">
        <v>93</v>
      </c>
      <c r="I93" s="105">
        <v>1</v>
      </c>
      <c r="J93" s="105">
        <v>0</v>
      </c>
      <c r="K93" s="105">
        <v>1</v>
      </c>
      <c r="L93" s="105">
        <v>60</v>
      </c>
      <c r="M93" s="105">
        <v>20</v>
      </c>
      <c r="N93" s="105">
        <v>50</v>
      </c>
      <c r="O93" s="105">
        <v>229</v>
      </c>
      <c r="P93" s="105">
        <v>150</v>
      </c>
      <c r="Q93" s="105">
        <v>3.1</v>
      </c>
      <c r="R93" s="105">
        <v>50</v>
      </c>
      <c r="S93" s="105">
        <v>2</v>
      </c>
      <c r="T93" s="105">
        <v>1.5</v>
      </c>
      <c r="U93" s="105">
        <v>2.2999999999999998</v>
      </c>
      <c r="V93" s="105">
        <v>2.81</v>
      </c>
      <c r="W93" s="105">
        <v>1</v>
      </c>
      <c r="X93" s="105">
        <v>40</v>
      </c>
      <c r="Y93" s="105">
        <v>14</v>
      </c>
      <c r="Z93" s="105">
        <v>300</v>
      </c>
      <c r="AA93" s="105">
        <v>72</v>
      </c>
      <c r="AB93" s="105">
        <v>1.5</v>
      </c>
      <c r="AC93" s="105" t="s">
        <v>94</v>
      </c>
      <c r="AD93" s="105" t="s">
        <v>94</v>
      </c>
      <c r="AE93" s="105" t="s">
        <v>94</v>
      </c>
      <c r="AF93" s="105">
        <v>1.24E-2</v>
      </c>
      <c r="AG93" s="105" t="s">
        <v>94</v>
      </c>
      <c r="AH93" s="105" t="s">
        <v>94</v>
      </c>
      <c r="AI93" s="105">
        <v>9.7999999999999997E-3</v>
      </c>
      <c r="AJ93" s="105">
        <v>0.94</v>
      </c>
      <c r="AK93" s="106">
        <v>8.5</v>
      </c>
      <c r="AL93" s="105">
        <v>4.0999999999999996</v>
      </c>
      <c r="AM93" s="105">
        <v>2.6</v>
      </c>
      <c r="AN93" s="106">
        <v>17</v>
      </c>
      <c r="AO93" s="105">
        <v>19</v>
      </c>
      <c r="AP93" s="105">
        <v>1.46</v>
      </c>
      <c r="AQ93" s="105">
        <v>1.36</v>
      </c>
      <c r="AR93" s="105">
        <v>1.48</v>
      </c>
      <c r="AS93" s="105">
        <v>1.55</v>
      </c>
      <c r="AT93" s="105">
        <v>0.16700000000000001</v>
      </c>
      <c r="AU93" s="105">
        <v>1.89</v>
      </c>
      <c r="AV93" s="105">
        <v>0.14000000000000001</v>
      </c>
      <c r="AW93" s="105">
        <v>5.0000000000000001E-3</v>
      </c>
      <c r="AX93" s="105">
        <v>0.158</v>
      </c>
      <c r="AY93" s="105">
        <v>30</v>
      </c>
      <c r="AZ93" s="105">
        <v>10</v>
      </c>
      <c r="BA93" s="105">
        <v>0.1</v>
      </c>
      <c r="BB93" s="105">
        <v>5.3</v>
      </c>
      <c r="BC93" s="105">
        <v>1.08</v>
      </c>
      <c r="BD93" s="105">
        <v>56.6</v>
      </c>
      <c r="BE93" s="105">
        <v>3.1</v>
      </c>
      <c r="BF93" s="105">
        <v>56.6</v>
      </c>
      <c r="BG93" s="105">
        <v>60</v>
      </c>
      <c r="BH93" s="105">
        <v>0.77</v>
      </c>
      <c r="BI93" s="105">
        <v>60</v>
      </c>
      <c r="BJ93" s="105">
        <v>0.1</v>
      </c>
      <c r="BK93" s="105">
        <v>0.63</v>
      </c>
      <c r="BL93" s="105" t="s">
        <v>93</v>
      </c>
      <c r="BM93" s="105">
        <v>0.8</v>
      </c>
      <c r="BN93" s="105" t="s">
        <v>94</v>
      </c>
      <c r="BO93" s="105">
        <v>1155</v>
      </c>
      <c r="BP93" s="105">
        <v>1.34</v>
      </c>
      <c r="BQ93" s="105" t="s">
        <v>92</v>
      </c>
      <c r="BR93" s="105" t="s">
        <v>297</v>
      </c>
      <c r="BS93" s="105" t="s">
        <v>94</v>
      </c>
      <c r="BT93" s="105">
        <v>3</v>
      </c>
      <c r="BU93" s="105">
        <v>3.5</v>
      </c>
      <c r="BV93" s="105">
        <v>54</v>
      </c>
      <c r="BW93" s="105">
        <v>3.5</v>
      </c>
      <c r="BX93" s="105">
        <v>3.2</v>
      </c>
      <c r="BY93" s="105" t="s">
        <v>94</v>
      </c>
      <c r="BZ93" s="105" t="s">
        <v>114</v>
      </c>
      <c r="CA93" s="105" t="s">
        <v>94</v>
      </c>
      <c r="CB93" s="105" t="s">
        <v>94</v>
      </c>
      <c r="CC93" s="105">
        <v>42577</v>
      </c>
      <c r="CD93" s="105">
        <v>42577</v>
      </c>
      <c r="CE93" s="105">
        <v>2540</v>
      </c>
      <c r="CF93" s="105">
        <v>0.31</v>
      </c>
    </row>
    <row r="94" spans="1:84" x14ac:dyDescent="0.25">
      <c r="A94" s="105" t="s">
        <v>298</v>
      </c>
      <c r="B94" s="105">
        <v>146</v>
      </c>
      <c r="C94" s="105" t="s">
        <v>92</v>
      </c>
      <c r="D94" s="105" t="s">
        <v>101</v>
      </c>
      <c r="E94" s="105" t="s">
        <v>245</v>
      </c>
      <c r="F94" s="105" t="s">
        <v>259</v>
      </c>
      <c r="G94" s="105" t="s">
        <v>299</v>
      </c>
      <c r="H94" s="105" t="s">
        <v>93</v>
      </c>
      <c r="I94" s="105">
        <v>1</v>
      </c>
      <c r="J94" s="105">
        <v>0</v>
      </c>
      <c r="K94" s="105">
        <v>4</v>
      </c>
      <c r="L94" s="105">
        <v>60</v>
      </c>
      <c r="M94" s="105">
        <v>20</v>
      </c>
      <c r="N94" s="105">
        <v>200</v>
      </c>
      <c r="O94" s="105">
        <v>400</v>
      </c>
      <c r="P94" s="105">
        <v>175</v>
      </c>
      <c r="Q94" s="105">
        <v>300</v>
      </c>
      <c r="R94" s="105">
        <v>62</v>
      </c>
      <c r="S94" s="105">
        <v>0.5</v>
      </c>
      <c r="T94" s="105">
        <v>1.4</v>
      </c>
      <c r="U94" s="105">
        <v>2.4</v>
      </c>
      <c r="V94" s="105">
        <v>3.4</v>
      </c>
      <c r="W94" s="105">
        <v>1</v>
      </c>
      <c r="X94" s="105">
        <v>63</v>
      </c>
      <c r="Y94" s="105">
        <v>100</v>
      </c>
      <c r="Z94" s="105">
        <v>300</v>
      </c>
      <c r="AA94" s="105">
        <v>263</v>
      </c>
      <c r="AB94" s="105">
        <v>0.8</v>
      </c>
      <c r="AC94" s="105" t="s">
        <v>94</v>
      </c>
      <c r="AD94" s="105" t="s">
        <v>94</v>
      </c>
      <c r="AE94" s="105" t="s">
        <v>94</v>
      </c>
      <c r="AF94" s="105">
        <v>2.8999999999999998E-3</v>
      </c>
      <c r="AG94" s="105" t="s">
        <v>94</v>
      </c>
      <c r="AH94" s="105" t="s">
        <v>94</v>
      </c>
      <c r="AI94" s="105">
        <v>2E-3</v>
      </c>
      <c r="AJ94" s="105">
        <v>0.75</v>
      </c>
      <c r="AK94" s="106">
        <v>30</v>
      </c>
      <c r="AL94" s="105">
        <v>13</v>
      </c>
      <c r="AM94" s="105">
        <v>9.4</v>
      </c>
      <c r="AN94" s="106">
        <v>63</v>
      </c>
      <c r="AO94" s="105">
        <v>140</v>
      </c>
      <c r="AP94" s="105">
        <v>5.5</v>
      </c>
      <c r="AQ94" s="105">
        <v>5.09</v>
      </c>
      <c r="AR94" s="105">
        <v>5.59</v>
      </c>
      <c r="AS94" s="105">
        <v>9.9499999999999993</v>
      </c>
      <c r="AT94" s="105">
        <v>0.89</v>
      </c>
      <c r="AU94" s="105">
        <v>11.6</v>
      </c>
      <c r="AV94" s="105">
        <v>0.55700000000000005</v>
      </c>
      <c r="AW94" s="105">
        <v>2.4E-2</v>
      </c>
      <c r="AX94" s="105">
        <v>0.66200000000000003</v>
      </c>
      <c r="AY94" s="105">
        <v>30</v>
      </c>
      <c r="AZ94" s="105">
        <v>10</v>
      </c>
      <c r="BA94" s="105">
        <v>0.1</v>
      </c>
      <c r="BB94" s="105">
        <v>26</v>
      </c>
      <c r="BC94" s="105">
        <v>1.54</v>
      </c>
      <c r="BD94" s="105">
        <v>400</v>
      </c>
      <c r="BE94" s="105">
        <v>3.69</v>
      </c>
      <c r="BF94" s="105">
        <v>255</v>
      </c>
      <c r="BG94" s="105">
        <v>100</v>
      </c>
      <c r="BH94" s="105">
        <v>0.85</v>
      </c>
      <c r="BI94" s="105">
        <v>100</v>
      </c>
      <c r="BJ94" s="105">
        <v>0.1</v>
      </c>
      <c r="BK94" s="105">
        <v>0.17</v>
      </c>
      <c r="BL94" s="105" t="s">
        <v>93</v>
      </c>
      <c r="BM94" s="105">
        <v>0.9</v>
      </c>
      <c r="BN94" s="105" t="s">
        <v>94</v>
      </c>
      <c r="BO94" s="105" t="s">
        <v>94</v>
      </c>
      <c r="BP94" s="105" t="s">
        <v>94</v>
      </c>
      <c r="BQ94" s="105" t="s">
        <v>92</v>
      </c>
      <c r="BR94" s="105" t="s">
        <v>300</v>
      </c>
      <c r="BS94" s="105" t="s">
        <v>94</v>
      </c>
      <c r="BT94" s="105">
        <v>1.6</v>
      </c>
      <c r="BU94" s="105">
        <v>3.9</v>
      </c>
      <c r="BV94" s="105">
        <v>214</v>
      </c>
      <c r="BW94" s="105">
        <v>10.4</v>
      </c>
      <c r="BX94" s="105">
        <v>15.7</v>
      </c>
      <c r="BY94" s="105" t="s">
        <v>93</v>
      </c>
      <c r="BZ94" s="105" t="s">
        <v>249</v>
      </c>
      <c r="CA94" s="105" t="s">
        <v>93</v>
      </c>
      <c r="CB94" s="105" t="s">
        <v>94</v>
      </c>
      <c r="CC94" s="105">
        <v>42577</v>
      </c>
      <c r="CD94" s="105">
        <v>42664</v>
      </c>
      <c r="CE94" s="105">
        <v>2541</v>
      </c>
      <c r="CF94" s="105">
        <v>1.1599999999999999</v>
      </c>
    </row>
    <row r="95" spans="1:84" x14ac:dyDescent="0.25">
      <c r="A95" s="105" t="s">
        <v>301</v>
      </c>
      <c r="B95" s="105">
        <v>146</v>
      </c>
      <c r="C95" s="105" t="s">
        <v>92</v>
      </c>
      <c r="D95" s="105" t="s">
        <v>93</v>
      </c>
      <c r="E95" s="105" t="s">
        <v>245</v>
      </c>
      <c r="F95" s="105" t="s">
        <v>267</v>
      </c>
      <c r="G95" s="105" t="s">
        <v>102</v>
      </c>
      <c r="H95" s="105" t="s">
        <v>93</v>
      </c>
      <c r="I95" s="105">
        <v>1</v>
      </c>
      <c r="J95" s="105">
        <v>0</v>
      </c>
      <c r="K95" s="105">
        <v>1</v>
      </c>
      <c r="L95" s="105">
        <v>60</v>
      </c>
      <c r="M95" s="105">
        <v>20</v>
      </c>
      <c r="N95" s="105">
        <v>200</v>
      </c>
      <c r="O95" s="105">
        <v>400</v>
      </c>
      <c r="P95" s="105">
        <v>175</v>
      </c>
      <c r="Q95" s="105">
        <v>300</v>
      </c>
      <c r="R95" s="105">
        <v>62</v>
      </c>
      <c r="S95" s="105">
        <v>0.5</v>
      </c>
      <c r="T95" s="105">
        <v>1.4</v>
      </c>
      <c r="U95" s="105">
        <v>2.4</v>
      </c>
      <c r="V95" s="105">
        <v>3.76</v>
      </c>
      <c r="W95" s="105">
        <v>1</v>
      </c>
      <c r="X95" s="105">
        <v>63</v>
      </c>
      <c r="Y95" s="105">
        <v>100</v>
      </c>
      <c r="Z95" s="105">
        <v>300</v>
      </c>
      <c r="AA95" s="105">
        <v>263</v>
      </c>
      <c r="AB95" s="105">
        <v>0.8</v>
      </c>
      <c r="AC95" s="105" t="s">
        <v>94</v>
      </c>
      <c r="AD95" s="105" t="s">
        <v>94</v>
      </c>
      <c r="AE95" s="105" t="s">
        <v>94</v>
      </c>
      <c r="AF95" s="105">
        <v>2.8999999999999998E-3</v>
      </c>
      <c r="AG95" s="105" t="s">
        <v>94</v>
      </c>
      <c r="AH95" s="105" t="s">
        <v>94</v>
      </c>
      <c r="AI95" s="105">
        <v>2E-3</v>
      </c>
      <c r="AJ95" s="105">
        <v>0.93</v>
      </c>
      <c r="AK95" s="106">
        <v>30</v>
      </c>
      <c r="AL95" s="105">
        <v>13</v>
      </c>
      <c r="AM95" s="105">
        <v>9.4</v>
      </c>
      <c r="AN95" s="106">
        <v>63</v>
      </c>
      <c r="AO95" s="105">
        <v>140</v>
      </c>
      <c r="AP95" s="105">
        <v>5.5</v>
      </c>
      <c r="AQ95" s="105">
        <v>5.09</v>
      </c>
      <c r="AR95" s="105">
        <v>5.59</v>
      </c>
      <c r="AS95" s="105">
        <v>9.9499999999999993</v>
      </c>
      <c r="AT95" s="105">
        <v>0.89</v>
      </c>
      <c r="AU95" s="105">
        <v>11.6</v>
      </c>
      <c r="AV95" s="105">
        <v>0.55700000000000005</v>
      </c>
      <c r="AW95" s="105">
        <v>2.4E-2</v>
      </c>
      <c r="AX95" s="105">
        <v>0.66200000000000003</v>
      </c>
      <c r="AY95" s="105">
        <v>30</v>
      </c>
      <c r="AZ95" s="105">
        <v>10</v>
      </c>
      <c r="BA95" s="105">
        <v>0.1</v>
      </c>
      <c r="BB95" s="105">
        <v>27</v>
      </c>
      <c r="BC95" s="105">
        <v>1.5</v>
      </c>
      <c r="BD95" s="105">
        <v>400</v>
      </c>
      <c r="BE95" s="105">
        <v>6</v>
      </c>
      <c r="BF95" s="105">
        <v>100</v>
      </c>
      <c r="BG95" s="105">
        <v>60</v>
      </c>
      <c r="BH95" s="105">
        <v>2</v>
      </c>
      <c r="BI95" s="105">
        <v>60</v>
      </c>
      <c r="BJ95" s="105">
        <v>0.1</v>
      </c>
      <c r="BK95" s="105">
        <v>0.17</v>
      </c>
      <c r="BL95" s="105" t="s">
        <v>93</v>
      </c>
      <c r="BM95" s="105">
        <v>0.9</v>
      </c>
      <c r="BN95" s="105" t="s">
        <v>94</v>
      </c>
      <c r="BO95" s="105" t="s">
        <v>94</v>
      </c>
      <c r="BP95" s="105" t="s">
        <v>94</v>
      </c>
      <c r="BQ95" s="105" t="s">
        <v>92</v>
      </c>
      <c r="BR95" s="105" t="s">
        <v>302</v>
      </c>
      <c r="BS95" s="105" t="s">
        <v>94</v>
      </c>
      <c r="BT95" s="105">
        <v>1.6</v>
      </c>
      <c r="BU95" s="105">
        <v>3.9</v>
      </c>
      <c r="BV95" s="105">
        <v>214</v>
      </c>
      <c r="BW95" s="105">
        <v>10.4</v>
      </c>
      <c r="BX95" s="105">
        <v>15.7</v>
      </c>
      <c r="BY95" s="105" t="s">
        <v>94</v>
      </c>
      <c r="BZ95" s="105" t="s">
        <v>303</v>
      </c>
      <c r="CA95" s="105" t="s">
        <v>93</v>
      </c>
      <c r="CB95" s="105" t="s">
        <v>94</v>
      </c>
      <c r="CC95" s="105">
        <v>42577</v>
      </c>
      <c r="CD95" s="105" t="s">
        <v>94</v>
      </c>
      <c r="CE95" s="105">
        <v>2592</v>
      </c>
      <c r="CF95" s="105">
        <v>1.21</v>
      </c>
    </row>
    <row r="96" spans="1:84" x14ac:dyDescent="0.25">
      <c r="A96" s="105" t="s">
        <v>304</v>
      </c>
      <c r="B96" s="105">
        <v>146</v>
      </c>
      <c r="C96" s="105" t="s">
        <v>92</v>
      </c>
      <c r="D96" s="105" t="s">
        <v>101</v>
      </c>
      <c r="E96" s="105" t="s">
        <v>245</v>
      </c>
      <c r="F96" s="105" t="s">
        <v>259</v>
      </c>
      <c r="G96" s="105" t="s">
        <v>305</v>
      </c>
      <c r="H96" s="105" t="s">
        <v>93</v>
      </c>
      <c r="I96" s="105">
        <v>1</v>
      </c>
      <c r="J96" s="105">
        <v>0</v>
      </c>
      <c r="K96" s="105">
        <v>4</v>
      </c>
      <c r="L96" s="105">
        <v>60</v>
      </c>
      <c r="M96" s="105">
        <v>20</v>
      </c>
      <c r="N96" s="105">
        <v>200</v>
      </c>
      <c r="O96" s="105">
        <v>400</v>
      </c>
      <c r="P96" s="105">
        <v>175</v>
      </c>
      <c r="Q96" s="105">
        <v>375</v>
      </c>
      <c r="R96" s="105">
        <v>62</v>
      </c>
      <c r="S96" s="105">
        <v>0.4</v>
      </c>
      <c r="T96" s="105">
        <v>1.4</v>
      </c>
      <c r="U96" s="105">
        <v>2.2000000000000002</v>
      </c>
      <c r="V96" s="105">
        <v>3.2</v>
      </c>
      <c r="W96" s="105">
        <v>1</v>
      </c>
      <c r="X96" s="105">
        <v>86</v>
      </c>
      <c r="Y96" s="105">
        <v>100</v>
      </c>
      <c r="Z96" s="105">
        <v>300</v>
      </c>
      <c r="AA96" s="105">
        <v>312</v>
      </c>
      <c r="AB96" s="105">
        <v>0.7</v>
      </c>
      <c r="AC96" s="105" t="s">
        <v>94</v>
      </c>
      <c r="AD96" s="105" t="s">
        <v>94</v>
      </c>
      <c r="AE96" s="105" t="s">
        <v>94</v>
      </c>
      <c r="AF96" s="105">
        <v>2.2000000000000001E-3</v>
      </c>
      <c r="AG96" s="105" t="s">
        <v>94</v>
      </c>
      <c r="AH96" s="105" t="s">
        <v>94</v>
      </c>
      <c r="AI96" s="105">
        <v>1.6000000000000001E-3</v>
      </c>
      <c r="AJ96" s="105">
        <v>0.72</v>
      </c>
      <c r="AK96" s="106">
        <v>54</v>
      </c>
      <c r="AL96" s="105">
        <v>20.5</v>
      </c>
      <c r="AM96" s="105">
        <v>17</v>
      </c>
      <c r="AN96" s="106">
        <v>108</v>
      </c>
      <c r="AO96" s="105">
        <v>230</v>
      </c>
      <c r="AP96" s="105">
        <v>9.5500000000000007</v>
      </c>
      <c r="AQ96" s="105">
        <v>8.7899999999999991</v>
      </c>
      <c r="AR96" s="105">
        <v>9.69</v>
      </c>
      <c r="AS96" s="105">
        <v>16.899999999999999</v>
      </c>
      <c r="AT96" s="105">
        <v>1.7</v>
      </c>
      <c r="AU96" s="105">
        <v>18.7</v>
      </c>
      <c r="AV96" s="105">
        <v>1.01</v>
      </c>
      <c r="AW96" s="105">
        <v>3.9E-2</v>
      </c>
      <c r="AX96" s="105">
        <v>1.1399999999999999</v>
      </c>
      <c r="AY96" s="105">
        <v>30</v>
      </c>
      <c r="AZ96" s="105">
        <v>10</v>
      </c>
      <c r="BA96" s="105">
        <v>0.1</v>
      </c>
      <c r="BB96" s="105">
        <v>32.5</v>
      </c>
      <c r="BC96" s="105">
        <v>1.2</v>
      </c>
      <c r="BD96" s="105">
        <v>400</v>
      </c>
      <c r="BE96" s="105">
        <v>2.33</v>
      </c>
      <c r="BF96" s="105">
        <v>400</v>
      </c>
      <c r="BG96" s="105">
        <v>100</v>
      </c>
      <c r="BH96" s="105">
        <v>0.79</v>
      </c>
      <c r="BI96" s="105">
        <v>100</v>
      </c>
      <c r="BJ96" s="105">
        <v>0.1</v>
      </c>
      <c r="BK96" s="105">
        <v>0.11</v>
      </c>
      <c r="BL96" s="105" t="s">
        <v>93</v>
      </c>
      <c r="BM96" s="105">
        <v>0.9</v>
      </c>
      <c r="BN96" s="105" t="s">
        <v>94</v>
      </c>
      <c r="BO96" s="105" t="s">
        <v>94</v>
      </c>
      <c r="BP96" s="105" t="s">
        <v>94</v>
      </c>
      <c r="BQ96" s="105" t="s">
        <v>256</v>
      </c>
      <c r="BR96" s="105" t="s">
        <v>306</v>
      </c>
      <c r="BS96" s="105" t="s">
        <v>94</v>
      </c>
      <c r="BT96" s="105">
        <v>1.4</v>
      </c>
      <c r="BU96" s="105">
        <v>3.5</v>
      </c>
      <c r="BV96" s="105">
        <v>323</v>
      </c>
      <c r="BW96" s="105">
        <v>14</v>
      </c>
      <c r="BX96" s="105">
        <v>18</v>
      </c>
      <c r="BY96" s="105" t="s">
        <v>93</v>
      </c>
      <c r="BZ96" s="105" t="s">
        <v>249</v>
      </c>
      <c r="CA96" s="105" t="s">
        <v>93</v>
      </c>
      <c r="CB96" s="105" t="s">
        <v>94</v>
      </c>
      <c r="CC96" s="105">
        <v>42577</v>
      </c>
      <c r="CD96" s="105">
        <v>42664</v>
      </c>
      <c r="CE96" s="105">
        <v>2542</v>
      </c>
      <c r="CF96" s="105">
        <v>1.76</v>
      </c>
    </row>
    <row r="97" spans="1:84" x14ac:dyDescent="0.25">
      <c r="A97" s="105" t="s">
        <v>307</v>
      </c>
      <c r="B97" s="105">
        <v>146</v>
      </c>
      <c r="C97" s="105" t="s">
        <v>92</v>
      </c>
      <c r="D97" s="105" t="s">
        <v>93</v>
      </c>
      <c r="E97" s="105" t="s">
        <v>94</v>
      </c>
      <c r="F97" s="105" t="s">
        <v>94</v>
      </c>
      <c r="G97" s="105" t="s">
        <v>102</v>
      </c>
      <c r="H97" s="105" t="s">
        <v>93</v>
      </c>
      <c r="I97" s="105">
        <v>1</v>
      </c>
      <c r="J97" s="105">
        <v>0</v>
      </c>
      <c r="K97" s="105" t="s">
        <v>94</v>
      </c>
      <c r="L97" s="105">
        <v>60</v>
      </c>
      <c r="M97" s="105">
        <v>20</v>
      </c>
      <c r="N97" s="105">
        <v>200</v>
      </c>
      <c r="O97" s="105">
        <v>400</v>
      </c>
      <c r="P97" s="105">
        <v>175</v>
      </c>
      <c r="Q97" s="105">
        <v>375</v>
      </c>
      <c r="R97" s="105">
        <v>62</v>
      </c>
      <c r="S97" s="105">
        <v>0.4</v>
      </c>
      <c r="T97" s="105">
        <v>1.4</v>
      </c>
      <c r="U97" s="105">
        <v>2.2000000000000002</v>
      </c>
      <c r="V97" s="105">
        <v>3.4</v>
      </c>
      <c r="W97" s="105">
        <v>1</v>
      </c>
      <c r="X97" s="105">
        <v>86</v>
      </c>
      <c r="Y97" s="105">
        <v>100</v>
      </c>
      <c r="Z97" s="105">
        <v>300</v>
      </c>
      <c r="AA97" s="105">
        <v>312</v>
      </c>
      <c r="AB97" s="105">
        <v>0.7</v>
      </c>
      <c r="AC97" s="105" t="s">
        <v>94</v>
      </c>
      <c r="AD97" s="105" t="s">
        <v>94</v>
      </c>
      <c r="AE97" s="105" t="s">
        <v>94</v>
      </c>
      <c r="AF97" s="105">
        <v>2.2000000000000001E-3</v>
      </c>
      <c r="AG97" s="105" t="s">
        <v>94</v>
      </c>
      <c r="AH97" s="105" t="s">
        <v>94</v>
      </c>
      <c r="AI97" s="105">
        <v>1.6000000000000001E-3</v>
      </c>
      <c r="AJ97" s="105">
        <v>0.88</v>
      </c>
      <c r="AK97" s="106">
        <v>54</v>
      </c>
      <c r="AL97" s="105">
        <v>20.5</v>
      </c>
      <c r="AM97" s="105">
        <v>17</v>
      </c>
      <c r="AN97" s="106">
        <v>108</v>
      </c>
      <c r="AO97" s="105">
        <v>230</v>
      </c>
      <c r="AP97" s="105">
        <v>9.5500000000000007</v>
      </c>
      <c r="AQ97" s="105">
        <v>8.7899999999999991</v>
      </c>
      <c r="AR97" s="105">
        <v>9.69</v>
      </c>
      <c r="AS97" s="105">
        <v>16.899999999999999</v>
      </c>
      <c r="AT97" s="105">
        <v>1.41</v>
      </c>
      <c r="AU97" s="105">
        <v>18.7</v>
      </c>
      <c r="AV97" s="105">
        <v>1.01</v>
      </c>
      <c r="AW97" s="105">
        <v>3.9E-2</v>
      </c>
      <c r="AX97" s="105">
        <v>1.1399999999999999</v>
      </c>
      <c r="AY97" s="105">
        <v>30</v>
      </c>
      <c r="AZ97" s="105">
        <v>10</v>
      </c>
      <c r="BA97" s="105">
        <v>0.1</v>
      </c>
      <c r="BB97" s="105">
        <v>32</v>
      </c>
      <c r="BC97" s="105">
        <v>1.2</v>
      </c>
      <c r="BD97" s="105">
        <v>400</v>
      </c>
      <c r="BE97" s="105">
        <v>2.1</v>
      </c>
      <c r="BF97" s="105">
        <v>400</v>
      </c>
      <c r="BG97" s="105">
        <v>60</v>
      </c>
      <c r="BH97" s="105">
        <v>3</v>
      </c>
      <c r="BI97" s="105">
        <v>60</v>
      </c>
      <c r="BJ97" s="105">
        <v>0.1</v>
      </c>
      <c r="BK97" s="105">
        <v>0.11</v>
      </c>
      <c r="BL97" s="105" t="s">
        <v>93</v>
      </c>
      <c r="BM97" s="105">
        <v>0.9</v>
      </c>
      <c r="BN97" s="105" t="s">
        <v>94</v>
      </c>
      <c r="BO97" s="105" t="s">
        <v>94</v>
      </c>
      <c r="BP97" s="105" t="s">
        <v>94</v>
      </c>
      <c r="BQ97" s="105" t="s">
        <v>92</v>
      </c>
      <c r="BR97" s="105" t="s">
        <v>308</v>
      </c>
      <c r="BS97" s="105" t="s">
        <v>94</v>
      </c>
      <c r="BT97" s="105">
        <v>1.4</v>
      </c>
      <c r="BU97" s="105">
        <v>3.9</v>
      </c>
      <c r="BV97" s="105">
        <v>323</v>
      </c>
      <c r="BW97" s="105">
        <v>14</v>
      </c>
      <c r="BX97" s="105">
        <v>18</v>
      </c>
      <c r="BY97" s="105" t="s">
        <v>94</v>
      </c>
      <c r="BZ97" s="105" t="s">
        <v>303</v>
      </c>
      <c r="CA97" s="105" t="s">
        <v>94</v>
      </c>
      <c r="CB97" s="105" t="s">
        <v>94</v>
      </c>
      <c r="CC97" s="105">
        <v>42577</v>
      </c>
      <c r="CD97" s="105" t="s">
        <v>94</v>
      </c>
      <c r="CE97" s="105">
        <v>2593</v>
      </c>
      <c r="CF97" s="105">
        <v>1.8</v>
      </c>
    </row>
    <row r="98" spans="1:84" x14ac:dyDescent="0.25">
      <c r="A98" s="105" t="s">
        <v>309</v>
      </c>
      <c r="B98" s="105">
        <v>146</v>
      </c>
      <c r="C98" s="105" t="s">
        <v>92</v>
      </c>
      <c r="D98" s="105" t="s">
        <v>93</v>
      </c>
      <c r="E98" s="105" t="s">
        <v>245</v>
      </c>
      <c r="F98" s="105" t="s">
        <v>246</v>
      </c>
      <c r="G98" s="105" t="s">
        <v>310</v>
      </c>
      <c r="H98" s="105" t="s">
        <v>93</v>
      </c>
      <c r="I98" s="105">
        <v>1</v>
      </c>
      <c r="J98" s="105">
        <v>0</v>
      </c>
      <c r="K98" s="105">
        <v>4</v>
      </c>
      <c r="L98" s="105">
        <v>60</v>
      </c>
      <c r="M98" s="105">
        <v>20</v>
      </c>
      <c r="N98" s="105">
        <v>50</v>
      </c>
      <c r="O98" s="105">
        <v>127</v>
      </c>
      <c r="P98" s="105">
        <v>175</v>
      </c>
      <c r="Q98" s="105">
        <v>94</v>
      </c>
      <c r="R98" s="105">
        <v>62</v>
      </c>
      <c r="S98" s="105">
        <v>1.6</v>
      </c>
      <c r="T98" s="105">
        <v>2.6</v>
      </c>
      <c r="U98" s="105">
        <v>3.5</v>
      </c>
      <c r="V98" s="105">
        <v>5</v>
      </c>
      <c r="W98" s="105">
        <v>1</v>
      </c>
      <c r="X98" s="105">
        <v>50</v>
      </c>
      <c r="Y98" s="105">
        <v>25</v>
      </c>
      <c r="Z98" s="105">
        <v>300</v>
      </c>
      <c r="AA98" s="105">
        <v>100</v>
      </c>
      <c r="AB98" s="105">
        <v>5.5</v>
      </c>
      <c r="AC98" s="105" t="s">
        <v>94</v>
      </c>
      <c r="AD98" s="105" t="s">
        <v>94</v>
      </c>
      <c r="AE98" s="105" t="s">
        <v>94</v>
      </c>
      <c r="AF98" s="105" t="s">
        <v>94</v>
      </c>
      <c r="AG98" s="105">
        <v>1.7999999999999999E-2</v>
      </c>
      <c r="AH98" s="105" t="s">
        <v>94</v>
      </c>
      <c r="AI98" s="105">
        <v>1.4E-2</v>
      </c>
      <c r="AJ98" s="105">
        <v>0.94</v>
      </c>
      <c r="AK98" s="106">
        <v>7</v>
      </c>
      <c r="AL98" s="105">
        <v>2.5</v>
      </c>
      <c r="AM98" s="105">
        <v>3.3</v>
      </c>
      <c r="AN98" s="106">
        <v>14</v>
      </c>
      <c r="AO98" s="105">
        <v>25</v>
      </c>
      <c r="AP98" s="105">
        <v>1.2</v>
      </c>
      <c r="AQ98" s="105">
        <v>1.1399999999999999</v>
      </c>
      <c r="AR98" s="105">
        <v>1.21</v>
      </c>
      <c r="AS98" s="105">
        <v>1.28</v>
      </c>
      <c r="AT98" s="105">
        <v>0.13600000000000001</v>
      </c>
      <c r="AU98" s="105">
        <v>1.56</v>
      </c>
      <c r="AV98" s="105">
        <v>0.106</v>
      </c>
      <c r="AW98" s="105">
        <v>4.0000000000000001E-3</v>
      </c>
      <c r="AX98" s="105">
        <v>0.11899999999999999</v>
      </c>
      <c r="AY98" s="105">
        <v>30</v>
      </c>
      <c r="AZ98" s="105">
        <v>10</v>
      </c>
      <c r="BA98" s="105">
        <v>0.1</v>
      </c>
      <c r="BB98" s="105">
        <v>3.3</v>
      </c>
      <c r="BC98" s="105">
        <v>1.7</v>
      </c>
      <c r="BD98" s="105">
        <v>61.25</v>
      </c>
      <c r="BE98" s="105">
        <v>2.98</v>
      </c>
      <c r="BF98" s="105">
        <v>61.25</v>
      </c>
      <c r="BG98" s="105">
        <v>60</v>
      </c>
      <c r="BH98" s="105">
        <v>0.66</v>
      </c>
      <c r="BI98" s="105">
        <v>60</v>
      </c>
      <c r="BJ98" s="105">
        <v>0.1</v>
      </c>
      <c r="BK98" s="105">
        <v>0.72</v>
      </c>
      <c r="BL98" s="105" t="s">
        <v>93</v>
      </c>
      <c r="BM98" s="105">
        <v>0.9</v>
      </c>
      <c r="BN98" s="105" t="s">
        <v>94</v>
      </c>
      <c r="BO98" s="105">
        <v>42</v>
      </c>
      <c r="BP98" s="105">
        <v>1.0840000000000001</v>
      </c>
      <c r="BQ98" s="105" t="s">
        <v>92</v>
      </c>
      <c r="BR98" s="105" t="s">
        <v>311</v>
      </c>
      <c r="BS98" s="105" t="s">
        <v>94</v>
      </c>
      <c r="BT98" s="105">
        <v>11</v>
      </c>
      <c r="BU98" s="105">
        <v>4.75</v>
      </c>
      <c r="BV98" s="105">
        <v>77</v>
      </c>
      <c r="BW98" s="105">
        <v>2.2999999999999998</v>
      </c>
      <c r="BX98" s="105">
        <v>5.2</v>
      </c>
      <c r="BY98" s="105" t="s">
        <v>94</v>
      </c>
      <c r="BZ98" s="105" t="s">
        <v>249</v>
      </c>
      <c r="CA98" s="105" t="s">
        <v>94</v>
      </c>
      <c r="CB98" s="105" t="s">
        <v>94</v>
      </c>
      <c r="CC98" s="105">
        <v>41554</v>
      </c>
      <c r="CD98" s="105">
        <v>42577</v>
      </c>
      <c r="CE98" s="105">
        <v>2543</v>
      </c>
      <c r="CF98" s="105">
        <v>0.39</v>
      </c>
    </row>
    <row r="99" spans="1:84" x14ac:dyDescent="0.25">
      <c r="A99" s="105" t="s">
        <v>312</v>
      </c>
      <c r="B99" s="105">
        <v>146</v>
      </c>
      <c r="C99" s="105" t="s">
        <v>92</v>
      </c>
      <c r="D99" s="105" t="s">
        <v>92</v>
      </c>
      <c r="E99" s="110" t="s">
        <v>110</v>
      </c>
      <c r="F99" s="110" t="s">
        <v>131</v>
      </c>
      <c r="G99" s="105" t="s">
        <v>313</v>
      </c>
      <c r="H99" s="105" t="s">
        <v>93</v>
      </c>
      <c r="I99" s="105">
        <v>1</v>
      </c>
      <c r="J99" s="105">
        <v>0</v>
      </c>
      <c r="K99" s="110">
        <v>1</v>
      </c>
      <c r="L99" s="105">
        <v>60</v>
      </c>
      <c r="M99" s="105">
        <v>20</v>
      </c>
      <c r="N99" s="105">
        <v>50</v>
      </c>
      <c r="O99" s="105">
        <v>151</v>
      </c>
      <c r="P99" s="105">
        <v>150</v>
      </c>
      <c r="Q99" s="105">
        <v>3.125</v>
      </c>
      <c r="R99" s="105">
        <v>50</v>
      </c>
      <c r="S99" s="105">
        <v>2.1</v>
      </c>
      <c r="T99" s="105">
        <v>2.6</v>
      </c>
      <c r="U99" s="105">
        <v>3.5</v>
      </c>
      <c r="V99" s="105">
        <v>4.5</v>
      </c>
      <c r="W99" s="105">
        <v>1</v>
      </c>
      <c r="X99" s="105">
        <v>40</v>
      </c>
      <c r="Y99" s="105">
        <v>12</v>
      </c>
      <c r="Z99" s="105">
        <v>300</v>
      </c>
      <c r="AA99" s="105">
        <v>62</v>
      </c>
      <c r="AB99" s="105">
        <v>5.5</v>
      </c>
      <c r="AC99" s="105" t="s">
        <v>94</v>
      </c>
      <c r="AD99" s="105" t="s">
        <v>94</v>
      </c>
      <c r="AE99" s="105" t="s">
        <v>94</v>
      </c>
      <c r="AF99" s="105" t="s">
        <v>94</v>
      </c>
      <c r="AG99" s="105">
        <v>1.7000000000000001E-2</v>
      </c>
      <c r="AH99" s="105" t="s">
        <v>94</v>
      </c>
      <c r="AI99" s="105">
        <v>1.2999999999999999E-2</v>
      </c>
      <c r="AJ99" s="105">
        <v>0.95</v>
      </c>
      <c r="AK99" s="106">
        <v>7</v>
      </c>
      <c r="AL99" s="105">
        <v>2.5</v>
      </c>
      <c r="AM99" s="105">
        <v>3.3</v>
      </c>
      <c r="AN99" s="106">
        <v>14</v>
      </c>
      <c r="AO99" s="105">
        <v>25</v>
      </c>
      <c r="AP99" s="105">
        <v>1.2</v>
      </c>
      <c r="AQ99" s="105">
        <v>1.1399999999999999</v>
      </c>
      <c r="AR99" s="105">
        <v>1.24</v>
      </c>
      <c r="AS99" s="105">
        <v>1.31</v>
      </c>
      <c r="AT99" s="105">
        <v>0.13600000000000001</v>
      </c>
      <c r="AU99" s="105">
        <v>1.6</v>
      </c>
      <c r="AV99" s="105">
        <v>0.1</v>
      </c>
      <c r="AW99" s="105">
        <v>4.0000000000000001E-3</v>
      </c>
      <c r="AX99" s="105">
        <v>0.12</v>
      </c>
      <c r="AY99" s="105">
        <v>30</v>
      </c>
      <c r="AZ99" s="105">
        <v>10</v>
      </c>
      <c r="BA99" s="105">
        <v>0.1</v>
      </c>
      <c r="BB99" s="105">
        <v>4</v>
      </c>
      <c r="BC99" s="105">
        <v>1.3</v>
      </c>
      <c r="BD99" s="105">
        <v>50</v>
      </c>
      <c r="BE99" s="105">
        <v>2.2999999999999998</v>
      </c>
      <c r="BF99" s="105">
        <v>50</v>
      </c>
      <c r="BG99" s="105">
        <v>60</v>
      </c>
      <c r="BH99" s="105">
        <v>0.45</v>
      </c>
      <c r="BI99" s="105">
        <v>60</v>
      </c>
      <c r="BJ99" s="105">
        <v>0.1</v>
      </c>
      <c r="BK99" s="105">
        <v>0.78</v>
      </c>
      <c r="BL99" s="105" t="s">
        <v>93</v>
      </c>
      <c r="BM99" s="105">
        <v>0.8</v>
      </c>
      <c r="BN99" s="105" t="s">
        <v>94</v>
      </c>
      <c r="BO99" s="105">
        <v>1155</v>
      </c>
      <c r="BP99" s="105">
        <v>1.1200000000000001</v>
      </c>
      <c r="BQ99" s="105" t="s">
        <v>92</v>
      </c>
      <c r="BR99" s="105" t="s">
        <v>314</v>
      </c>
      <c r="BS99" s="105" t="s">
        <v>94</v>
      </c>
      <c r="BT99" s="105">
        <v>11</v>
      </c>
      <c r="BU99" s="105">
        <v>4.75</v>
      </c>
      <c r="BV99" s="105">
        <v>54</v>
      </c>
      <c r="BW99" s="105">
        <v>2.2999999999999998</v>
      </c>
      <c r="BX99" s="105">
        <v>4.7</v>
      </c>
      <c r="BY99" s="105" t="s">
        <v>94</v>
      </c>
      <c r="BZ99" s="110" t="s">
        <v>114</v>
      </c>
      <c r="CA99" s="105" t="s">
        <v>94</v>
      </c>
      <c r="CB99" s="105" t="s">
        <v>94</v>
      </c>
      <c r="CC99" s="105">
        <v>41554</v>
      </c>
      <c r="CD99" s="105">
        <v>42564</v>
      </c>
      <c r="CE99" s="105">
        <v>2054</v>
      </c>
      <c r="CF99" s="105">
        <v>0.26</v>
      </c>
    </row>
    <row r="100" spans="1:84" x14ac:dyDescent="0.25">
      <c r="A100" s="111" t="s">
        <v>315</v>
      </c>
      <c r="B100" s="112">
        <v>146</v>
      </c>
      <c r="C100" s="112" t="s">
        <v>92</v>
      </c>
      <c r="D100" s="112" t="s">
        <v>92</v>
      </c>
      <c r="E100" s="112" t="s">
        <v>110</v>
      </c>
      <c r="F100" s="112" t="s">
        <v>170</v>
      </c>
      <c r="G100" s="112" t="s">
        <v>316</v>
      </c>
      <c r="H100" s="112" t="s">
        <v>93</v>
      </c>
      <c r="I100" s="112">
        <v>1</v>
      </c>
      <c r="J100" s="112">
        <v>0</v>
      </c>
      <c r="K100" s="112">
        <v>1</v>
      </c>
      <c r="L100" s="112">
        <v>60</v>
      </c>
      <c r="M100" s="112">
        <v>20</v>
      </c>
      <c r="N100" s="112">
        <v>100</v>
      </c>
      <c r="O100" s="112">
        <v>400</v>
      </c>
      <c r="P100" s="112">
        <v>175</v>
      </c>
      <c r="Q100" s="112">
        <v>3.8</v>
      </c>
      <c r="R100" s="112">
        <v>50</v>
      </c>
      <c r="S100" s="112">
        <v>0.8</v>
      </c>
      <c r="T100" s="112">
        <v>1.5</v>
      </c>
      <c r="U100" s="112">
        <v>2.2999999999999998</v>
      </c>
      <c r="V100" s="112">
        <v>3.1</v>
      </c>
      <c r="W100" s="112">
        <v>1</v>
      </c>
      <c r="X100" s="112">
        <v>82</v>
      </c>
      <c r="Y100" s="112">
        <v>28</v>
      </c>
      <c r="Z100" s="112">
        <v>300</v>
      </c>
      <c r="AA100" s="112">
        <v>116</v>
      </c>
      <c r="AB100" s="112">
        <v>0.8</v>
      </c>
      <c r="AC100" s="112" t="s">
        <v>94</v>
      </c>
      <c r="AD100" s="112" t="s">
        <v>94</v>
      </c>
      <c r="AE100" s="112" t="s">
        <v>94</v>
      </c>
      <c r="AF100" s="112">
        <v>3.3E-3</v>
      </c>
      <c r="AG100" s="112" t="s">
        <v>94</v>
      </c>
      <c r="AH100" s="112" t="s">
        <v>94</v>
      </c>
      <c r="AI100" s="112">
        <v>2.2000000000000001E-3</v>
      </c>
      <c r="AJ100" s="112">
        <v>0.82</v>
      </c>
      <c r="AK100" s="113">
        <v>20</v>
      </c>
      <c r="AL100" s="112">
        <v>8.3000000000000007</v>
      </c>
      <c r="AM100" s="112">
        <v>6.3</v>
      </c>
      <c r="AN100" s="113">
        <v>41</v>
      </c>
      <c r="AO100" s="112">
        <v>83</v>
      </c>
      <c r="AP100" s="112">
        <v>3.43</v>
      </c>
      <c r="AQ100" s="112">
        <v>3.25</v>
      </c>
      <c r="AR100" s="112">
        <v>3.49</v>
      </c>
      <c r="AS100" s="112">
        <v>5.24</v>
      </c>
      <c r="AT100" s="112">
        <v>0.622</v>
      </c>
      <c r="AU100" s="112">
        <v>6.21</v>
      </c>
      <c r="AV100" s="112">
        <v>0.24399999999999999</v>
      </c>
      <c r="AW100" s="112">
        <v>1.4999999999999999E-2</v>
      </c>
      <c r="AX100" s="112">
        <v>0.29399999999999998</v>
      </c>
      <c r="AY100" s="112">
        <v>30</v>
      </c>
      <c r="AZ100" s="112">
        <v>10</v>
      </c>
      <c r="BA100" s="112">
        <v>0.1</v>
      </c>
      <c r="BB100" s="112">
        <v>22.5</v>
      </c>
      <c r="BC100" s="112">
        <v>1.5</v>
      </c>
      <c r="BD100" s="112">
        <v>278</v>
      </c>
      <c r="BE100" s="112">
        <v>1.69</v>
      </c>
      <c r="BF100" s="112">
        <v>278</v>
      </c>
      <c r="BG100" s="112">
        <v>60</v>
      </c>
      <c r="BH100" s="112">
        <v>1.53</v>
      </c>
      <c r="BI100" s="112">
        <v>60</v>
      </c>
      <c r="BJ100" s="112">
        <v>0.1</v>
      </c>
      <c r="BK100" s="112">
        <v>0.25</v>
      </c>
      <c r="BL100" s="112" t="s">
        <v>93</v>
      </c>
      <c r="BM100" s="112">
        <v>0.8</v>
      </c>
      <c r="BN100" s="112" t="s">
        <v>94</v>
      </c>
      <c r="BO100" s="112" t="s">
        <v>94</v>
      </c>
      <c r="BP100" s="112">
        <v>3.1960000000000002</v>
      </c>
      <c r="BQ100" s="112" t="s">
        <v>92</v>
      </c>
      <c r="BR100" s="105" t="s">
        <v>317</v>
      </c>
      <c r="BS100" s="112" t="s">
        <v>94</v>
      </c>
      <c r="BT100" s="112">
        <v>1.6</v>
      </c>
      <c r="BU100" s="112">
        <v>3.3</v>
      </c>
      <c r="BV100" s="112">
        <v>145</v>
      </c>
      <c r="BW100" s="112">
        <v>6.7</v>
      </c>
      <c r="BX100" s="112">
        <v>8.6</v>
      </c>
      <c r="BY100" s="112" t="s">
        <v>93</v>
      </c>
      <c r="BZ100" s="112" t="s">
        <v>114</v>
      </c>
      <c r="CA100" s="112" t="s">
        <v>93</v>
      </c>
      <c r="CB100" s="112" t="s">
        <v>94</v>
      </c>
      <c r="CC100" s="112">
        <v>42577</v>
      </c>
      <c r="CD100" s="112">
        <v>42664</v>
      </c>
      <c r="CE100" s="112">
        <v>2544</v>
      </c>
      <c r="CF100" s="112">
        <v>0.83</v>
      </c>
    </row>
    <row r="101" spans="1:84" x14ac:dyDescent="0.25">
      <c r="A101" s="111" t="s">
        <v>319</v>
      </c>
      <c r="B101" s="112">
        <v>146</v>
      </c>
      <c r="C101" s="112" t="s">
        <v>92</v>
      </c>
      <c r="D101" s="112" t="s">
        <v>93</v>
      </c>
      <c r="E101" s="112" t="s">
        <v>94</v>
      </c>
      <c r="F101" s="112" t="s">
        <v>94</v>
      </c>
      <c r="G101" s="112" t="s">
        <v>204</v>
      </c>
      <c r="H101" s="112" t="s">
        <v>93</v>
      </c>
      <c r="I101" s="112">
        <v>1</v>
      </c>
      <c r="J101" s="112">
        <v>0</v>
      </c>
      <c r="K101" s="112" t="s">
        <v>94</v>
      </c>
      <c r="L101" s="112">
        <v>60</v>
      </c>
      <c r="M101" s="112">
        <v>20</v>
      </c>
      <c r="N101" s="112">
        <v>200</v>
      </c>
      <c r="O101" s="112">
        <v>400</v>
      </c>
      <c r="P101" s="112">
        <v>175</v>
      </c>
      <c r="Q101" s="112">
        <v>200</v>
      </c>
      <c r="R101" s="112">
        <v>62</v>
      </c>
      <c r="S101" s="112">
        <v>0.6</v>
      </c>
      <c r="T101" s="112">
        <v>1.5</v>
      </c>
      <c r="U101" s="112">
        <v>2.2000000000000002</v>
      </c>
      <c r="V101" s="112">
        <v>3.3</v>
      </c>
      <c r="W101" s="112">
        <v>1</v>
      </c>
      <c r="X101" s="112">
        <v>53</v>
      </c>
      <c r="Y101" s="112">
        <v>100</v>
      </c>
      <c r="Z101" s="112">
        <v>300</v>
      </c>
      <c r="AA101" s="112">
        <v>198</v>
      </c>
      <c r="AB101" s="112">
        <v>1.3</v>
      </c>
      <c r="AC101" s="112" t="s">
        <v>94</v>
      </c>
      <c r="AD101" s="112" t="s">
        <v>94</v>
      </c>
      <c r="AE101" s="112" t="s">
        <v>94</v>
      </c>
      <c r="AF101" s="112">
        <v>5.1000000000000004E-3</v>
      </c>
      <c r="AG101" s="112" t="s">
        <v>94</v>
      </c>
      <c r="AH101" s="112" t="s">
        <v>94</v>
      </c>
      <c r="AI101" s="112">
        <v>4.0000000000000001E-3</v>
      </c>
      <c r="AJ101" s="112">
        <v>0.94</v>
      </c>
      <c r="AK101" s="113">
        <v>21</v>
      </c>
      <c r="AL101" s="112">
        <v>10.5</v>
      </c>
      <c r="AM101" s="112">
        <v>7.3</v>
      </c>
      <c r="AN101" s="113">
        <v>44</v>
      </c>
      <c r="AO101" s="112">
        <v>63</v>
      </c>
      <c r="AP101" s="112">
        <v>4.21</v>
      </c>
      <c r="AQ101" s="112">
        <v>3.9</v>
      </c>
      <c r="AR101" s="112">
        <v>4.26</v>
      </c>
      <c r="AS101" s="112">
        <v>4.84</v>
      </c>
      <c r="AT101" s="112">
        <v>0.56999999999999995</v>
      </c>
      <c r="AU101" s="112">
        <v>5.47</v>
      </c>
      <c r="AV101" s="112">
        <v>0.33</v>
      </c>
      <c r="AW101" s="112">
        <v>1.0999999999999999E-2</v>
      </c>
      <c r="AX101" s="112">
        <v>0.36199999999999999</v>
      </c>
      <c r="AY101" s="112">
        <v>30</v>
      </c>
      <c r="AZ101" s="112">
        <v>10</v>
      </c>
      <c r="BA101" s="112">
        <v>0.1</v>
      </c>
      <c r="BB101" s="112">
        <v>11.55</v>
      </c>
      <c r="BC101" s="112">
        <v>1.6</v>
      </c>
      <c r="BD101" s="112">
        <v>196.93</v>
      </c>
      <c r="BE101" s="112">
        <v>2.4700000000000002</v>
      </c>
      <c r="BF101" s="112">
        <v>196.93</v>
      </c>
      <c r="BG101" s="112">
        <v>60</v>
      </c>
      <c r="BH101" s="112">
        <v>1.27</v>
      </c>
      <c r="BI101" s="112">
        <v>60</v>
      </c>
      <c r="BJ101" s="112">
        <v>0.1</v>
      </c>
      <c r="BK101" s="112">
        <v>0.23</v>
      </c>
      <c r="BL101" s="112" t="s">
        <v>93</v>
      </c>
      <c r="BM101" s="112">
        <v>0.9</v>
      </c>
      <c r="BN101" s="112" t="s">
        <v>94</v>
      </c>
      <c r="BO101" s="112" t="s">
        <v>94</v>
      </c>
      <c r="BP101" s="112" t="s">
        <v>94</v>
      </c>
      <c r="BQ101" s="112" t="s">
        <v>92</v>
      </c>
      <c r="BR101" s="112" t="s">
        <v>320</v>
      </c>
      <c r="BS101" s="112" t="s">
        <v>94</v>
      </c>
      <c r="BT101" s="112">
        <v>2.6</v>
      </c>
      <c r="BU101" s="112">
        <v>3.1</v>
      </c>
      <c r="BV101" s="112">
        <v>148</v>
      </c>
      <c r="BW101" s="112">
        <v>6.9</v>
      </c>
      <c r="BX101" s="112">
        <v>10</v>
      </c>
      <c r="BY101" s="112" t="s">
        <v>94</v>
      </c>
      <c r="BZ101" s="112" t="s">
        <v>249</v>
      </c>
      <c r="CA101" s="112" t="s">
        <v>94</v>
      </c>
      <c r="CB101" s="112" t="s">
        <v>94</v>
      </c>
      <c r="CC101" s="112">
        <v>42577</v>
      </c>
      <c r="CD101" s="112">
        <v>42577</v>
      </c>
      <c r="CE101" s="112">
        <v>2545</v>
      </c>
      <c r="CF101" s="112">
        <v>0.78</v>
      </c>
    </row>
    <row r="102" spans="1:84" x14ac:dyDescent="0.25">
      <c r="A102" s="111" t="s">
        <v>321</v>
      </c>
      <c r="B102" s="112">
        <v>146</v>
      </c>
      <c r="C102" s="112" t="s">
        <v>92</v>
      </c>
      <c r="D102" s="112" t="s">
        <v>101</v>
      </c>
      <c r="E102" s="112" t="s">
        <v>245</v>
      </c>
      <c r="F102" s="112" t="s">
        <v>267</v>
      </c>
      <c r="G102" s="112" t="s">
        <v>318</v>
      </c>
      <c r="H102" s="112" t="s">
        <v>93</v>
      </c>
      <c r="I102" s="112">
        <v>1</v>
      </c>
      <c r="J102" s="112">
        <v>0</v>
      </c>
      <c r="K102" s="112">
        <v>1</v>
      </c>
      <c r="L102" s="112">
        <v>60</v>
      </c>
      <c r="M102" s="112">
        <v>20</v>
      </c>
      <c r="N102" s="112">
        <v>200</v>
      </c>
      <c r="O102" s="112">
        <v>400</v>
      </c>
      <c r="P102" s="112">
        <v>175</v>
      </c>
      <c r="Q102" s="112">
        <v>250</v>
      </c>
      <c r="R102" s="112">
        <v>62</v>
      </c>
      <c r="S102" s="112">
        <v>0.6</v>
      </c>
      <c r="T102" s="112">
        <v>1.5</v>
      </c>
      <c r="U102" s="112">
        <v>2.2000000000000002</v>
      </c>
      <c r="V102" s="112">
        <v>3.71</v>
      </c>
      <c r="W102" s="112">
        <v>1</v>
      </c>
      <c r="X102" s="112">
        <v>73</v>
      </c>
      <c r="Y102" s="112">
        <v>100</v>
      </c>
      <c r="Z102" s="112">
        <v>300</v>
      </c>
      <c r="AA102" s="112">
        <v>198</v>
      </c>
      <c r="AB102" s="112">
        <v>1.3</v>
      </c>
      <c r="AC102" s="112" t="s">
        <v>94</v>
      </c>
      <c r="AD102" s="112" t="s">
        <v>94</v>
      </c>
      <c r="AE102" s="112" t="s">
        <v>94</v>
      </c>
      <c r="AF102" s="112">
        <v>5.1000000000000004E-3</v>
      </c>
      <c r="AG102" s="112" t="s">
        <v>94</v>
      </c>
      <c r="AH102" s="112" t="s">
        <v>94</v>
      </c>
      <c r="AI102" s="112">
        <v>4.0000000000000001E-3</v>
      </c>
      <c r="AJ102" s="112">
        <v>0.94</v>
      </c>
      <c r="AK102" s="113">
        <v>21</v>
      </c>
      <c r="AL102" s="112">
        <v>10.5</v>
      </c>
      <c r="AM102" s="112">
        <v>7.3</v>
      </c>
      <c r="AN102" s="113">
        <v>45</v>
      </c>
      <c r="AO102" s="112">
        <v>63</v>
      </c>
      <c r="AP102" s="112">
        <v>4.21</v>
      </c>
      <c r="AQ102" s="112">
        <v>3.9</v>
      </c>
      <c r="AR102" s="112">
        <v>4.26</v>
      </c>
      <c r="AS102" s="112">
        <v>4.84</v>
      </c>
      <c r="AT102" s="112">
        <v>0.5</v>
      </c>
      <c r="AU102" s="112">
        <v>5.47</v>
      </c>
      <c r="AV102" s="112">
        <v>0.33</v>
      </c>
      <c r="AW102" s="112">
        <v>1.0999999999999999E-2</v>
      </c>
      <c r="AX102" s="112">
        <v>0.36199999999999999</v>
      </c>
      <c r="AY102" s="112">
        <v>30</v>
      </c>
      <c r="AZ102" s="112">
        <v>10</v>
      </c>
      <c r="BA102" s="112">
        <v>0.1</v>
      </c>
      <c r="BB102" s="112">
        <v>12</v>
      </c>
      <c r="BC102" s="112">
        <v>1.7</v>
      </c>
      <c r="BD102" s="112">
        <v>200</v>
      </c>
      <c r="BE102" s="112">
        <v>2.9</v>
      </c>
      <c r="BF102" s="112">
        <v>200</v>
      </c>
      <c r="BG102" s="112">
        <v>60</v>
      </c>
      <c r="BH102" s="112">
        <v>1</v>
      </c>
      <c r="BI102" s="112">
        <v>60</v>
      </c>
      <c r="BJ102" s="112">
        <v>0.1</v>
      </c>
      <c r="BK102" s="112">
        <v>0.24</v>
      </c>
      <c r="BL102" s="112" t="s">
        <v>93</v>
      </c>
      <c r="BM102" s="112">
        <v>0.9</v>
      </c>
      <c r="BN102" s="112" t="s">
        <v>94</v>
      </c>
      <c r="BO102" s="112" t="s">
        <v>94</v>
      </c>
      <c r="BP102" s="112" t="s">
        <v>94</v>
      </c>
      <c r="BQ102" s="112" t="s">
        <v>92</v>
      </c>
      <c r="BR102" s="112" t="s">
        <v>322</v>
      </c>
      <c r="BS102" s="112" t="s">
        <v>94</v>
      </c>
      <c r="BT102" s="112">
        <v>2.6</v>
      </c>
      <c r="BU102" s="112">
        <v>3.8</v>
      </c>
      <c r="BV102" s="112">
        <v>132</v>
      </c>
      <c r="BW102" s="112">
        <v>6.9</v>
      </c>
      <c r="BX102" s="112">
        <v>13</v>
      </c>
      <c r="BY102" s="112" t="s">
        <v>94</v>
      </c>
      <c r="BZ102" s="112" t="s">
        <v>303</v>
      </c>
      <c r="CA102" s="112" t="s">
        <v>93</v>
      </c>
      <c r="CB102" s="112" t="s">
        <v>94</v>
      </c>
      <c r="CC102" s="112">
        <v>42577</v>
      </c>
      <c r="CD102" s="112">
        <v>42664</v>
      </c>
      <c r="CE102" s="112">
        <v>2595</v>
      </c>
      <c r="CF102" s="112">
        <v>0.82</v>
      </c>
    </row>
    <row r="103" spans="1:84" s="107" customFormat="1" x14ac:dyDescent="0.25">
      <c r="A103" s="114" t="s">
        <v>389</v>
      </c>
      <c r="B103" s="115">
        <v>146</v>
      </c>
      <c r="C103" s="115" t="s">
        <v>93</v>
      </c>
      <c r="D103" s="115" t="s">
        <v>92</v>
      </c>
      <c r="E103" s="115" t="s">
        <v>110</v>
      </c>
      <c r="F103" s="115" t="s">
        <v>131</v>
      </c>
      <c r="G103" s="115" t="s">
        <v>394</v>
      </c>
      <c r="H103" s="115" t="s">
        <v>93</v>
      </c>
      <c r="I103" s="115">
        <v>1</v>
      </c>
      <c r="J103" s="115">
        <v>0</v>
      </c>
      <c r="K103" s="115">
        <v>1</v>
      </c>
      <c r="L103" s="115">
        <v>60</v>
      </c>
      <c r="M103" s="115">
        <v>20</v>
      </c>
      <c r="N103" s="115">
        <v>35</v>
      </c>
      <c r="O103" s="115">
        <v>156</v>
      </c>
      <c r="P103" s="115">
        <v>150</v>
      </c>
      <c r="Q103" s="115">
        <v>2.8</v>
      </c>
      <c r="R103" s="115">
        <v>55</v>
      </c>
      <c r="S103" s="115">
        <v>1.9</v>
      </c>
      <c r="T103" s="115">
        <v>1.5</v>
      </c>
      <c r="U103" s="115">
        <v>2.7</v>
      </c>
      <c r="V103" s="115">
        <v>3.6</v>
      </c>
      <c r="W103" s="115">
        <v>1</v>
      </c>
      <c r="X103" s="115">
        <v>27</v>
      </c>
      <c r="Y103" s="115">
        <v>12</v>
      </c>
      <c r="Z103" s="115">
        <v>300</v>
      </c>
      <c r="AA103" s="115">
        <v>40</v>
      </c>
      <c r="AB103" s="115">
        <v>0.5</v>
      </c>
      <c r="AC103" s="112" t="s">
        <v>94</v>
      </c>
      <c r="AD103" s="115" t="s">
        <v>94</v>
      </c>
      <c r="AE103" s="112" t="s">
        <v>94</v>
      </c>
      <c r="AF103" s="115">
        <v>1.5599999999999999E-2</v>
      </c>
      <c r="AG103" s="115" t="s">
        <v>94</v>
      </c>
      <c r="AH103" s="115" t="s">
        <v>94</v>
      </c>
      <c r="AI103" s="115">
        <v>9.9000000000000008E-3</v>
      </c>
      <c r="AJ103" s="115">
        <v>0.95</v>
      </c>
      <c r="AK103" s="113">
        <v>5.6</v>
      </c>
      <c r="AL103" s="115">
        <v>2</v>
      </c>
      <c r="AM103" s="115">
        <v>2</v>
      </c>
      <c r="AN103" s="113">
        <v>11.1</v>
      </c>
      <c r="AO103" s="115">
        <v>24</v>
      </c>
      <c r="AP103" s="115">
        <v>0.95299999999999996</v>
      </c>
      <c r="AQ103" s="115">
        <v>0.88800000000000001</v>
      </c>
      <c r="AR103" s="115">
        <v>0.97299999999999998</v>
      </c>
      <c r="AS103" s="115">
        <v>1.45</v>
      </c>
      <c r="AT103" s="115">
        <v>0.16900000000000001</v>
      </c>
      <c r="AU103" s="115">
        <v>1.71</v>
      </c>
      <c r="AV103" s="115">
        <v>0.11700000000000001</v>
      </c>
      <c r="AW103" s="115">
        <v>1.34E-2</v>
      </c>
      <c r="AX103" s="115">
        <v>0.14399999999999999</v>
      </c>
      <c r="AY103" s="115">
        <v>30</v>
      </c>
      <c r="AZ103" s="115">
        <v>10</v>
      </c>
      <c r="BA103" s="115">
        <v>0.1</v>
      </c>
      <c r="BB103" s="115">
        <v>7</v>
      </c>
      <c r="BC103" s="115">
        <v>1.4</v>
      </c>
      <c r="BD103" s="115">
        <v>95</v>
      </c>
      <c r="BE103" s="115">
        <v>7</v>
      </c>
      <c r="BF103" s="115">
        <v>20</v>
      </c>
      <c r="BG103" s="115">
        <v>30</v>
      </c>
      <c r="BH103" s="115">
        <v>3</v>
      </c>
      <c r="BI103" s="115">
        <v>60</v>
      </c>
      <c r="BJ103" s="115">
        <v>0.1</v>
      </c>
      <c r="BK103" s="115">
        <v>0.7</v>
      </c>
      <c r="BL103" s="115" t="s">
        <v>93</v>
      </c>
      <c r="BM103" s="115">
        <v>0.8</v>
      </c>
      <c r="BN103" s="115" t="s">
        <v>94</v>
      </c>
      <c r="BO103" s="115">
        <v>1155</v>
      </c>
      <c r="BP103" s="115">
        <v>1.125</v>
      </c>
      <c r="BQ103" s="115" t="s">
        <v>92</v>
      </c>
      <c r="BR103" s="116" t="s">
        <v>402</v>
      </c>
      <c r="BS103" s="115" t="s">
        <v>94</v>
      </c>
      <c r="BT103" s="115">
        <v>1</v>
      </c>
      <c r="BU103" s="115">
        <v>3.75</v>
      </c>
      <c r="BV103" s="115">
        <v>37</v>
      </c>
      <c r="BW103" s="115">
        <v>1.7</v>
      </c>
      <c r="BX103" s="115">
        <v>3.1</v>
      </c>
      <c r="BY103" s="115" t="s">
        <v>94</v>
      </c>
      <c r="BZ103" s="115" t="s">
        <v>121</v>
      </c>
      <c r="CA103" s="115" t="s">
        <v>93</v>
      </c>
      <c r="CB103" s="115" t="s">
        <v>94</v>
      </c>
      <c r="CC103" s="115">
        <v>43724</v>
      </c>
      <c r="CD103" s="115">
        <v>43724</v>
      </c>
      <c r="CE103" s="115">
        <v>2055</v>
      </c>
      <c r="CF103" s="115">
        <v>0.25</v>
      </c>
    </row>
    <row r="104" spans="1:84" x14ac:dyDescent="0.25">
      <c r="A104" s="111" t="s">
        <v>323</v>
      </c>
      <c r="B104" s="112">
        <v>146</v>
      </c>
      <c r="C104" s="112" t="s">
        <v>92</v>
      </c>
      <c r="D104" s="112" t="s">
        <v>92</v>
      </c>
      <c r="E104" s="112" t="s">
        <v>110</v>
      </c>
      <c r="F104" s="112" t="s">
        <v>131</v>
      </c>
      <c r="G104" s="112" t="s">
        <v>313</v>
      </c>
      <c r="H104" s="112" t="s">
        <v>93</v>
      </c>
      <c r="I104" s="112">
        <v>1</v>
      </c>
      <c r="J104" s="112">
        <v>0</v>
      </c>
      <c r="K104" s="112">
        <v>1</v>
      </c>
      <c r="L104" s="112">
        <v>60</v>
      </c>
      <c r="M104" s="112">
        <v>20</v>
      </c>
      <c r="N104" s="112">
        <v>100</v>
      </c>
      <c r="O104" s="112">
        <v>251</v>
      </c>
      <c r="P104" s="112">
        <v>150</v>
      </c>
      <c r="Q104" s="112">
        <v>3.2</v>
      </c>
      <c r="R104" s="112">
        <v>50</v>
      </c>
      <c r="S104" s="112">
        <v>1.3</v>
      </c>
      <c r="T104" s="112">
        <v>1.7</v>
      </c>
      <c r="U104" s="112">
        <v>2.4</v>
      </c>
      <c r="V104" s="112">
        <v>3.3</v>
      </c>
      <c r="W104" s="112">
        <v>1</v>
      </c>
      <c r="X104" s="112">
        <v>49</v>
      </c>
      <c r="Y104" s="112">
        <v>18</v>
      </c>
      <c r="Z104" s="112">
        <v>300</v>
      </c>
      <c r="AA104" s="112">
        <v>60</v>
      </c>
      <c r="AB104" s="112">
        <v>1.5</v>
      </c>
      <c r="AC104" s="112" t="s">
        <v>94</v>
      </c>
      <c r="AD104" s="112" t="s">
        <v>94</v>
      </c>
      <c r="AE104" s="112" t="s">
        <v>94</v>
      </c>
      <c r="AF104" s="112">
        <v>1.0800000000000001E-2</v>
      </c>
      <c r="AG104" s="112" t="s">
        <v>94</v>
      </c>
      <c r="AH104" s="112" t="s">
        <v>94</v>
      </c>
      <c r="AI104" s="112">
        <v>6.7999999999999996E-3</v>
      </c>
      <c r="AJ104" s="112">
        <v>0.95</v>
      </c>
      <c r="AK104" s="113">
        <v>7.3</v>
      </c>
      <c r="AL104" s="112">
        <v>3</v>
      </c>
      <c r="AM104" s="112">
        <v>2.2999999999999998</v>
      </c>
      <c r="AN104" s="113">
        <v>15</v>
      </c>
      <c r="AO104" s="112">
        <v>36</v>
      </c>
      <c r="AP104" s="112">
        <v>1.25</v>
      </c>
      <c r="AQ104" s="112">
        <v>1.1499999999999999</v>
      </c>
      <c r="AR104" s="112">
        <v>1.27</v>
      </c>
      <c r="AS104" s="112">
        <v>2.6</v>
      </c>
      <c r="AT104" s="112">
        <v>0.28000000000000003</v>
      </c>
      <c r="AU104" s="112">
        <v>3.2</v>
      </c>
      <c r="AV104" s="112">
        <v>0.12</v>
      </c>
      <c r="AW104" s="112">
        <v>0.01</v>
      </c>
      <c r="AX104" s="112">
        <v>0.14499999999999999</v>
      </c>
      <c r="AY104" s="112">
        <v>30</v>
      </c>
      <c r="AZ104" s="112">
        <v>10</v>
      </c>
      <c r="BA104" s="112">
        <v>0.1</v>
      </c>
      <c r="BB104" s="112">
        <v>7</v>
      </c>
      <c r="BC104" s="112">
        <v>1.4</v>
      </c>
      <c r="BD104" s="112">
        <v>95</v>
      </c>
      <c r="BE104" s="112">
        <v>7</v>
      </c>
      <c r="BF104" s="112">
        <v>20</v>
      </c>
      <c r="BG104" s="112">
        <v>30</v>
      </c>
      <c r="BH104" s="112">
        <v>3</v>
      </c>
      <c r="BI104" s="112">
        <v>60</v>
      </c>
      <c r="BJ104" s="112">
        <v>0.1</v>
      </c>
      <c r="BK104" s="112">
        <v>0.7</v>
      </c>
      <c r="BL104" s="112" t="s">
        <v>93</v>
      </c>
      <c r="BM104" s="112">
        <v>0.8</v>
      </c>
      <c r="BN104" s="112" t="s">
        <v>94</v>
      </c>
      <c r="BO104" s="112">
        <v>1155</v>
      </c>
      <c r="BP104" s="112">
        <v>1.125</v>
      </c>
      <c r="BQ104" s="112" t="s">
        <v>92</v>
      </c>
      <c r="BR104" s="112" t="s">
        <v>324</v>
      </c>
      <c r="BS104" s="112" t="s">
        <v>94</v>
      </c>
      <c r="BT104" s="112">
        <v>3</v>
      </c>
      <c r="BU104" s="112">
        <v>3.75</v>
      </c>
      <c r="BV104" s="112">
        <v>63</v>
      </c>
      <c r="BW104" s="112">
        <v>2.9</v>
      </c>
      <c r="BX104" s="112">
        <v>3.3</v>
      </c>
      <c r="BY104" s="112" t="s">
        <v>94</v>
      </c>
      <c r="BZ104" s="112" t="s">
        <v>114</v>
      </c>
      <c r="CA104" s="112" t="s">
        <v>93</v>
      </c>
      <c r="CB104" s="112" t="s">
        <v>94</v>
      </c>
      <c r="CC104" s="112">
        <v>41554</v>
      </c>
      <c r="CD104" s="112">
        <v>42564</v>
      </c>
      <c r="CE104" s="112">
        <v>2055</v>
      </c>
      <c r="CF104" s="112">
        <v>0.45</v>
      </c>
    </row>
    <row r="105" spans="1:84" x14ac:dyDescent="0.25">
      <c r="A105" s="111" t="s">
        <v>325</v>
      </c>
      <c r="B105" s="112">
        <v>146</v>
      </c>
      <c r="C105" s="112" t="s">
        <v>92</v>
      </c>
      <c r="D105" s="112" t="s">
        <v>101</v>
      </c>
      <c r="E105" s="112" t="s">
        <v>245</v>
      </c>
      <c r="F105" s="112" t="s">
        <v>259</v>
      </c>
      <c r="G105" s="112" t="s">
        <v>326</v>
      </c>
      <c r="H105" s="112" t="s">
        <v>93</v>
      </c>
      <c r="I105" s="112">
        <v>1</v>
      </c>
      <c r="J105" s="112">
        <v>0</v>
      </c>
      <c r="K105" s="112">
        <v>4</v>
      </c>
      <c r="L105" s="112">
        <v>80</v>
      </c>
      <c r="M105" s="112">
        <v>20</v>
      </c>
      <c r="N105" s="112">
        <v>100</v>
      </c>
      <c r="O105" s="112">
        <v>305</v>
      </c>
      <c r="P105" s="112">
        <v>175</v>
      </c>
      <c r="Q105" s="112">
        <v>217</v>
      </c>
      <c r="R105" s="112">
        <v>62</v>
      </c>
      <c r="S105" s="112">
        <v>0.7</v>
      </c>
      <c r="T105" s="112">
        <v>2.2000000000000002</v>
      </c>
      <c r="U105" s="112">
        <v>2.2999999999999998</v>
      </c>
      <c r="V105" s="112">
        <v>4.41</v>
      </c>
      <c r="W105" s="112">
        <v>1.1000000000000001</v>
      </c>
      <c r="X105" s="112">
        <v>74</v>
      </c>
      <c r="Y105" s="112">
        <v>60</v>
      </c>
      <c r="Z105" s="112">
        <v>300</v>
      </c>
      <c r="AA105" s="112">
        <v>137</v>
      </c>
      <c r="AB105" s="112">
        <v>1.3</v>
      </c>
      <c r="AC105" s="112" t="s">
        <v>94</v>
      </c>
      <c r="AD105" s="112" t="s">
        <v>94</v>
      </c>
      <c r="AE105" s="112" t="s">
        <v>94</v>
      </c>
      <c r="AF105" s="112" t="s">
        <v>94</v>
      </c>
      <c r="AG105" s="112">
        <v>7.9000000000000008E-3</v>
      </c>
      <c r="AH105" s="112" t="s">
        <v>94</v>
      </c>
      <c r="AI105" s="112">
        <v>6.6E-3</v>
      </c>
      <c r="AJ105" s="112">
        <v>0.94</v>
      </c>
      <c r="AK105" s="113">
        <v>23</v>
      </c>
      <c r="AL105" s="112">
        <v>7</v>
      </c>
      <c r="AM105" s="112">
        <v>7.5</v>
      </c>
      <c r="AN105" s="113">
        <v>38</v>
      </c>
      <c r="AO105" s="112">
        <v>98</v>
      </c>
      <c r="AP105" s="112">
        <v>3.28</v>
      </c>
      <c r="AQ105" s="112">
        <v>3.06</v>
      </c>
      <c r="AR105" s="112">
        <v>3.35</v>
      </c>
      <c r="AS105" s="112">
        <v>4.16</v>
      </c>
      <c r="AT105" s="112">
        <v>0.78400000000000003</v>
      </c>
      <c r="AU105" s="112">
        <v>4.99</v>
      </c>
      <c r="AV105" s="112">
        <v>0.245</v>
      </c>
      <c r="AW105" s="112">
        <v>1.24E-2</v>
      </c>
      <c r="AX105" s="112">
        <v>0.307</v>
      </c>
      <c r="AY105" s="112">
        <v>40</v>
      </c>
      <c r="AZ105" s="112">
        <v>10</v>
      </c>
      <c r="BA105" s="112">
        <v>0.1</v>
      </c>
      <c r="BB105" s="112">
        <v>6.5</v>
      </c>
      <c r="BC105" s="112">
        <v>2.2000000000000002</v>
      </c>
      <c r="BD105" s="112">
        <v>120</v>
      </c>
      <c r="BE105" s="112">
        <v>80</v>
      </c>
      <c r="BF105" s="112">
        <v>0.5</v>
      </c>
      <c r="BG105" s="112">
        <v>80</v>
      </c>
      <c r="BH105" s="112">
        <v>0.1</v>
      </c>
      <c r="BI105" s="112">
        <v>80</v>
      </c>
      <c r="BJ105" s="112">
        <v>0.1</v>
      </c>
      <c r="BK105" s="112">
        <v>0.27</v>
      </c>
      <c r="BL105" s="112" t="s">
        <v>93</v>
      </c>
      <c r="BM105" s="112">
        <v>0.9</v>
      </c>
      <c r="BN105" s="112" t="s">
        <v>94</v>
      </c>
      <c r="BO105" s="112" t="s">
        <v>94</v>
      </c>
      <c r="BP105" s="112" t="s">
        <v>94</v>
      </c>
      <c r="BQ105" s="112" t="s">
        <v>92</v>
      </c>
      <c r="BR105" s="112" t="s">
        <v>327</v>
      </c>
      <c r="BS105" s="112" t="s">
        <v>94</v>
      </c>
      <c r="BT105" s="112">
        <v>1.3</v>
      </c>
      <c r="BU105" s="112">
        <v>4.2</v>
      </c>
      <c r="BV105" s="112">
        <v>230</v>
      </c>
      <c r="BW105" s="112">
        <v>5.8</v>
      </c>
      <c r="BX105" s="112">
        <v>12.4</v>
      </c>
      <c r="BY105" s="112" t="s">
        <v>94</v>
      </c>
      <c r="BZ105" s="112" t="s">
        <v>249</v>
      </c>
      <c r="CA105" s="112" t="s">
        <v>93</v>
      </c>
      <c r="CB105" s="112" t="s">
        <v>94</v>
      </c>
      <c r="CC105" s="112">
        <v>42577</v>
      </c>
      <c r="CD105" s="112">
        <v>42664</v>
      </c>
      <c r="CE105" s="112">
        <v>2546</v>
      </c>
      <c r="CF105" s="112">
        <v>0.69</v>
      </c>
    </row>
    <row r="106" spans="1:84" x14ac:dyDescent="0.25">
      <c r="A106" s="111" t="s">
        <v>328</v>
      </c>
      <c r="B106" s="112">
        <v>146</v>
      </c>
      <c r="C106" s="112" t="s">
        <v>92</v>
      </c>
      <c r="D106" s="112" t="s">
        <v>92</v>
      </c>
      <c r="E106" s="112" t="s">
        <v>96</v>
      </c>
      <c r="F106" s="112" t="s">
        <v>97</v>
      </c>
      <c r="G106" s="112" t="s">
        <v>329</v>
      </c>
      <c r="H106" s="112" t="s">
        <v>93</v>
      </c>
      <c r="I106" s="112">
        <v>1</v>
      </c>
      <c r="J106" s="112">
        <v>0</v>
      </c>
      <c r="K106" s="112">
        <v>1</v>
      </c>
      <c r="L106" s="112">
        <v>80</v>
      </c>
      <c r="M106" s="112">
        <v>20</v>
      </c>
      <c r="N106" s="112">
        <v>100</v>
      </c>
      <c r="O106" s="112">
        <v>400</v>
      </c>
      <c r="P106" s="112">
        <v>150</v>
      </c>
      <c r="Q106" s="112">
        <v>3.1</v>
      </c>
      <c r="R106" s="112">
        <v>50</v>
      </c>
      <c r="S106" s="112">
        <v>0.8</v>
      </c>
      <c r="T106" s="112">
        <v>2.2000000000000002</v>
      </c>
      <c r="U106" s="112">
        <v>3.3</v>
      </c>
      <c r="V106" s="112">
        <v>4</v>
      </c>
      <c r="W106" s="112">
        <v>1</v>
      </c>
      <c r="X106" s="112">
        <v>72</v>
      </c>
      <c r="Y106" s="112">
        <v>19</v>
      </c>
      <c r="Z106" s="112">
        <v>300</v>
      </c>
      <c r="AA106" s="112">
        <v>88</v>
      </c>
      <c r="AB106" s="112">
        <v>1.2</v>
      </c>
      <c r="AC106" s="112" t="s">
        <v>94</v>
      </c>
      <c r="AD106" s="112" t="s">
        <v>94</v>
      </c>
      <c r="AE106" s="112" t="s">
        <v>94</v>
      </c>
      <c r="AF106" s="112" t="s">
        <v>94</v>
      </c>
      <c r="AG106" s="112">
        <v>4.7999999999999996E-3</v>
      </c>
      <c r="AH106" s="112" t="s">
        <v>94</v>
      </c>
      <c r="AI106" s="112">
        <v>4.1000000000000003E-3</v>
      </c>
      <c r="AJ106" s="112">
        <v>0.93</v>
      </c>
      <c r="AK106" s="113">
        <v>30</v>
      </c>
      <c r="AL106" s="112">
        <v>9</v>
      </c>
      <c r="AM106" s="112">
        <v>10</v>
      </c>
      <c r="AN106" s="113">
        <v>48</v>
      </c>
      <c r="AO106" s="112">
        <v>130</v>
      </c>
      <c r="AP106" s="112">
        <v>4.08</v>
      </c>
      <c r="AQ106" s="112">
        <v>3.75</v>
      </c>
      <c r="AR106" s="112">
        <v>4.2</v>
      </c>
      <c r="AS106" s="112">
        <v>5.17</v>
      </c>
      <c r="AT106" s="112">
        <v>0.92500000000000004</v>
      </c>
      <c r="AU106" s="112">
        <v>6.6</v>
      </c>
      <c r="AV106" s="112">
        <v>0.39200000000000002</v>
      </c>
      <c r="AW106" s="112">
        <v>1.7000000000000001E-2</v>
      </c>
      <c r="AX106" s="112">
        <v>0.52</v>
      </c>
      <c r="AY106" s="112">
        <v>40</v>
      </c>
      <c r="AZ106" s="112">
        <v>10</v>
      </c>
      <c r="BA106" s="112">
        <v>0.1</v>
      </c>
      <c r="BB106" s="112">
        <v>12.67</v>
      </c>
      <c r="BC106" s="112">
        <v>1.5</v>
      </c>
      <c r="BD106" s="112">
        <v>190</v>
      </c>
      <c r="BE106" s="112">
        <v>2.48</v>
      </c>
      <c r="BF106" s="112">
        <v>190</v>
      </c>
      <c r="BG106" s="112">
        <v>80</v>
      </c>
      <c r="BH106" s="112">
        <v>0.69</v>
      </c>
      <c r="BI106" s="112">
        <v>80</v>
      </c>
      <c r="BJ106" s="112">
        <v>0.1</v>
      </c>
      <c r="BK106" s="112">
        <v>0.21</v>
      </c>
      <c r="BL106" s="112" t="s">
        <v>93</v>
      </c>
      <c r="BM106" s="112">
        <v>0.8</v>
      </c>
      <c r="BN106" s="112" t="s">
        <v>94</v>
      </c>
      <c r="BO106" s="112" t="s">
        <v>94</v>
      </c>
      <c r="BP106" s="112">
        <v>3.68</v>
      </c>
      <c r="BQ106" s="112" t="s">
        <v>93</v>
      </c>
      <c r="BR106" s="112" t="s">
        <v>330</v>
      </c>
      <c r="BS106" s="112" t="s">
        <v>94</v>
      </c>
      <c r="BT106" s="112">
        <v>2.4</v>
      </c>
      <c r="BU106" s="112">
        <v>3.9</v>
      </c>
      <c r="BV106" s="112">
        <v>275</v>
      </c>
      <c r="BW106" s="112">
        <v>8.6</v>
      </c>
      <c r="BX106" s="112">
        <v>14</v>
      </c>
      <c r="BY106" s="112" t="s">
        <v>94</v>
      </c>
      <c r="BZ106" s="112" t="s">
        <v>114</v>
      </c>
      <c r="CA106" s="112" t="s">
        <v>93</v>
      </c>
      <c r="CB106" s="112" t="s">
        <v>94</v>
      </c>
      <c r="CC106" s="112">
        <v>42422</v>
      </c>
      <c r="CD106" s="112">
        <v>42585</v>
      </c>
      <c r="CE106" s="112">
        <v>2547</v>
      </c>
      <c r="CF106" s="112">
        <v>0.85</v>
      </c>
    </row>
    <row r="107" spans="1:84" x14ac:dyDescent="0.25">
      <c r="A107" s="111" t="s">
        <v>331</v>
      </c>
      <c r="B107" s="112">
        <v>146</v>
      </c>
      <c r="C107" s="112" t="s">
        <v>92</v>
      </c>
      <c r="D107" s="112" t="s">
        <v>101</v>
      </c>
      <c r="E107" s="112" t="s">
        <v>245</v>
      </c>
      <c r="F107" s="112" t="s">
        <v>259</v>
      </c>
      <c r="G107" s="112" t="s">
        <v>299</v>
      </c>
      <c r="H107" s="112" t="s">
        <v>93</v>
      </c>
      <c r="I107" s="112">
        <v>1</v>
      </c>
      <c r="J107" s="112">
        <v>0</v>
      </c>
      <c r="K107" s="112">
        <v>4</v>
      </c>
      <c r="L107" s="112">
        <v>80</v>
      </c>
      <c r="M107" s="112">
        <v>20</v>
      </c>
      <c r="N107" s="112">
        <v>100</v>
      </c>
      <c r="O107" s="112">
        <v>247</v>
      </c>
      <c r="P107" s="112">
        <v>175</v>
      </c>
      <c r="Q107" s="112">
        <v>188</v>
      </c>
      <c r="R107" s="112">
        <v>62</v>
      </c>
      <c r="S107" s="112">
        <v>0.8</v>
      </c>
      <c r="T107" s="112">
        <v>2.2000000000000002</v>
      </c>
      <c r="U107" s="112">
        <v>3.4</v>
      </c>
      <c r="V107" s="112">
        <v>4.84</v>
      </c>
      <c r="W107" s="112">
        <v>1.1000000000000001</v>
      </c>
      <c r="X107" s="112">
        <v>72</v>
      </c>
      <c r="Y107" s="112">
        <v>60</v>
      </c>
      <c r="Z107" s="112">
        <v>300</v>
      </c>
      <c r="AA107" s="112">
        <v>110</v>
      </c>
      <c r="AB107" s="112">
        <v>1.2</v>
      </c>
      <c r="AC107" s="112" t="s">
        <v>94</v>
      </c>
      <c r="AD107" s="112" t="s">
        <v>94</v>
      </c>
      <c r="AE107" s="112" t="s">
        <v>94</v>
      </c>
      <c r="AF107" s="112" t="s">
        <v>94</v>
      </c>
      <c r="AG107" s="112">
        <v>1.09E-2</v>
      </c>
      <c r="AH107" s="112" t="s">
        <v>94</v>
      </c>
      <c r="AI107" s="112">
        <v>9.1999999999999998E-3</v>
      </c>
      <c r="AJ107" s="112">
        <v>0.77</v>
      </c>
      <c r="AK107" s="113">
        <v>18</v>
      </c>
      <c r="AL107" s="112">
        <v>5.55</v>
      </c>
      <c r="AM107" s="112">
        <v>6.1</v>
      </c>
      <c r="AN107" s="113">
        <v>28</v>
      </c>
      <c r="AO107" s="112">
        <v>71</v>
      </c>
      <c r="AP107" s="112">
        <v>2.2599999999999998</v>
      </c>
      <c r="AQ107" s="112">
        <v>2.1</v>
      </c>
      <c r="AR107" s="112">
        <v>2.31</v>
      </c>
      <c r="AS107" s="112">
        <v>2.91</v>
      </c>
      <c r="AT107" s="112">
        <v>0.55500000000000005</v>
      </c>
      <c r="AU107" s="112">
        <v>3.47</v>
      </c>
      <c r="AV107" s="112">
        <v>0.215</v>
      </c>
      <c r="AW107" s="112">
        <v>8.5000000000000006E-3</v>
      </c>
      <c r="AX107" s="112">
        <v>0.26600000000000001</v>
      </c>
      <c r="AY107" s="112">
        <v>40</v>
      </c>
      <c r="AZ107" s="112">
        <v>10</v>
      </c>
      <c r="BA107" s="112">
        <v>0.1</v>
      </c>
      <c r="BB107" s="112">
        <v>5.66</v>
      </c>
      <c r="BC107" s="112">
        <v>1.79</v>
      </c>
      <c r="BD107" s="112">
        <v>101.52</v>
      </c>
      <c r="BE107" s="112">
        <v>80</v>
      </c>
      <c r="BF107" s="112">
        <v>0.42</v>
      </c>
      <c r="BG107" s="112">
        <v>80</v>
      </c>
      <c r="BH107" s="112">
        <v>0.1</v>
      </c>
      <c r="BI107" s="112">
        <v>80</v>
      </c>
      <c r="BJ107" s="112">
        <v>0.1</v>
      </c>
      <c r="BK107" s="112">
        <v>0.38</v>
      </c>
      <c r="BL107" s="112" t="s">
        <v>93</v>
      </c>
      <c r="BM107" s="112">
        <v>0.9</v>
      </c>
      <c r="BN107" s="112" t="s">
        <v>94</v>
      </c>
      <c r="BO107" s="112" t="s">
        <v>94</v>
      </c>
      <c r="BP107" s="112" t="s">
        <v>94</v>
      </c>
      <c r="BQ107" s="112" t="s">
        <v>92</v>
      </c>
      <c r="BR107" s="112" t="s">
        <v>332</v>
      </c>
      <c r="BS107" s="112" t="s">
        <v>94</v>
      </c>
      <c r="BT107" s="112">
        <v>2.4</v>
      </c>
      <c r="BU107" s="112">
        <v>5</v>
      </c>
      <c r="BV107" s="112">
        <v>119</v>
      </c>
      <c r="BW107" s="112">
        <v>5.4</v>
      </c>
      <c r="BX107" s="112">
        <v>9.8000000000000007</v>
      </c>
      <c r="BY107" s="112" t="s">
        <v>94</v>
      </c>
      <c r="BZ107" s="112" t="s">
        <v>249</v>
      </c>
      <c r="CA107" s="112" t="s">
        <v>93</v>
      </c>
      <c r="CB107" s="112" t="s">
        <v>94</v>
      </c>
      <c r="CC107" s="112">
        <v>42577</v>
      </c>
      <c r="CD107" s="112">
        <v>42577</v>
      </c>
      <c r="CE107" s="112">
        <v>2548</v>
      </c>
      <c r="CF107" s="112">
        <v>0.56000000000000005</v>
      </c>
    </row>
    <row r="108" spans="1:84" x14ac:dyDescent="0.25">
      <c r="A108" s="111" t="s">
        <v>333</v>
      </c>
      <c r="B108" s="112">
        <v>146</v>
      </c>
      <c r="C108" s="112" t="s">
        <v>92</v>
      </c>
      <c r="D108" s="112" t="s">
        <v>93</v>
      </c>
      <c r="E108" s="112" t="s">
        <v>94</v>
      </c>
      <c r="F108" s="112" t="s">
        <v>94</v>
      </c>
      <c r="G108" s="112" t="s">
        <v>204</v>
      </c>
      <c r="H108" s="112" t="s">
        <v>93</v>
      </c>
      <c r="I108" s="112">
        <v>1</v>
      </c>
      <c r="J108" s="112">
        <v>0</v>
      </c>
      <c r="K108" s="112" t="s">
        <v>94</v>
      </c>
      <c r="L108" s="112">
        <v>80</v>
      </c>
      <c r="M108" s="112">
        <v>20</v>
      </c>
      <c r="N108" s="112">
        <v>150</v>
      </c>
      <c r="O108" s="112">
        <v>400</v>
      </c>
      <c r="P108" s="112">
        <v>175</v>
      </c>
      <c r="Q108" s="112">
        <v>300</v>
      </c>
      <c r="R108" s="112">
        <v>62</v>
      </c>
      <c r="S108" s="112">
        <v>0.5</v>
      </c>
      <c r="T108" s="112">
        <v>2.2000000000000002</v>
      </c>
      <c r="U108" s="112">
        <v>3.2</v>
      </c>
      <c r="V108" s="112">
        <v>4.46</v>
      </c>
      <c r="W108" s="112">
        <v>1.1000000000000001</v>
      </c>
      <c r="X108" s="112">
        <v>88</v>
      </c>
      <c r="Y108" s="112">
        <v>100</v>
      </c>
      <c r="Z108" s="112">
        <v>300</v>
      </c>
      <c r="AA108" s="112">
        <v>262</v>
      </c>
      <c r="AB108" s="112">
        <v>1.4</v>
      </c>
      <c r="AC108" s="112" t="s">
        <v>94</v>
      </c>
      <c r="AD108" s="112" t="s">
        <v>94</v>
      </c>
      <c r="AE108" s="112" t="s">
        <v>94</v>
      </c>
      <c r="AF108" s="112" t="s">
        <v>94</v>
      </c>
      <c r="AG108" s="112">
        <v>3.8E-3</v>
      </c>
      <c r="AH108" s="112" t="s">
        <v>94</v>
      </c>
      <c r="AI108" s="112">
        <v>3.0999999999999999E-3</v>
      </c>
      <c r="AJ108" s="112">
        <v>0.92</v>
      </c>
      <c r="AK108" s="113">
        <v>46</v>
      </c>
      <c r="AL108" s="112">
        <v>15</v>
      </c>
      <c r="AM108" s="112">
        <v>15</v>
      </c>
      <c r="AN108" s="113">
        <v>76</v>
      </c>
      <c r="AO108" s="112">
        <v>214</v>
      </c>
      <c r="AP108" s="112">
        <v>6.55</v>
      </c>
      <c r="AQ108" s="112">
        <v>6.09</v>
      </c>
      <c r="AR108" s="112">
        <v>6.7</v>
      </c>
      <c r="AS108" s="112">
        <v>8.85</v>
      </c>
      <c r="AT108" s="112">
        <v>1.6</v>
      </c>
      <c r="AU108" s="112">
        <v>10.3</v>
      </c>
      <c r="AV108" s="112">
        <v>0.439</v>
      </c>
      <c r="AW108" s="112">
        <v>2.5999999999999999E-2</v>
      </c>
      <c r="AX108" s="112">
        <v>0.44</v>
      </c>
      <c r="AY108" s="112">
        <v>40</v>
      </c>
      <c r="AZ108" s="112">
        <v>10</v>
      </c>
      <c r="BA108" s="112">
        <v>0.1</v>
      </c>
      <c r="BB108" s="112">
        <v>15</v>
      </c>
      <c r="BC108" s="112">
        <v>2.4700000000000002</v>
      </c>
      <c r="BD108" s="112">
        <v>332</v>
      </c>
      <c r="BE108" s="112">
        <v>3.16</v>
      </c>
      <c r="BF108" s="112">
        <v>260</v>
      </c>
      <c r="BG108" s="112">
        <v>80</v>
      </c>
      <c r="BH108" s="112">
        <v>1.21</v>
      </c>
      <c r="BI108" s="112">
        <v>80</v>
      </c>
      <c r="BJ108" s="112">
        <v>0.1</v>
      </c>
      <c r="BK108" s="112">
        <v>0.13</v>
      </c>
      <c r="BL108" s="112" t="s">
        <v>93</v>
      </c>
      <c r="BM108" s="112">
        <v>0.9</v>
      </c>
      <c r="BN108" s="112" t="s">
        <v>94</v>
      </c>
      <c r="BO108" s="112" t="s">
        <v>94</v>
      </c>
      <c r="BP108" s="112" t="s">
        <v>94</v>
      </c>
      <c r="BQ108" s="112" t="s">
        <v>92</v>
      </c>
      <c r="BR108" s="112" t="s">
        <v>334</v>
      </c>
      <c r="BS108" s="112" t="s">
        <v>94</v>
      </c>
      <c r="BT108" s="112">
        <v>2.8</v>
      </c>
      <c r="BU108" s="112">
        <v>4.3</v>
      </c>
      <c r="BV108" s="112">
        <v>400</v>
      </c>
      <c r="BW108" s="112">
        <v>11</v>
      </c>
      <c r="BX108" s="112">
        <v>25</v>
      </c>
      <c r="BY108" s="112" t="s">
        <v>94</v>
      </c>
      <c r="BZ108" s="112" t="s">
        <v>249</v>
      </c>
      <c r="CA108" s="112" t="s">
        <v>94</v>
      </c>
      <c r="CB108" s="112" t="s">
        <v>94</v>
      </c>
      <c r="CC108" s="112">
        <v>42577</v>
      </c>
      <c r="CD108" s="112">
        <v>42577</v>
      </c>
      <c r="CE108" s="112">
        <v>2549</v>
      </c>
      <c r="CF108" s="112">
        <v>1.21</v>
      </c>
    </row>
    <row r="109" spans="1:84" x14ac:dyDescent="0.25">
      <c r="A109" s="111" t="s">
        <v>335</v>
      </c>
      <c r="B109" s="112">
        <v>146</v>
      </c>
      <c r="C109" s="112" t="s">
        <v>92</v>
      </c>
      <c r="D109" s="112" t="s">
        <v>93</v>
      </c>
      <c r="E109" s="112" t="s">
        <v>94</v>
      </c>
      <c r="F109" s="112" t="s">
        <v>94</v>
      </c>
      <c r="G109" s="112" t="s">
        <v>102</v>
      </c>
      <c r="H109" s="112" t="s">
        <v>93</v>
      </c>
      <c r="I109" s="112">
        <v>1</v>
      </c>
      <c r="J109" s="112">
        <v>0</v>
      </c>
      <c r="K109" s="112" t="s">
        <v>94</v>
      </c>
      <c r="L109" s="112">
        <v>80</v>
      </c>
      <c r="M109" s="112">
        <v>20</v>
      </c>
      <c r="N109" s="112">
        <v>200</v>
      </c>
      <c r="O109" s="112">
        <v>400</v>
      </c>
      <c r="P109" s="112">
        <v>175</v>
      </c>
      <c r="Q109" s="112">
        <v>300</v>
      </c>
      <c r="R109" s="112">
        <v>62</v>
      </c>
      <c r="S109" s="112">
        <v>0.5</v>
      </c>
      <c r="T109" s="112">
        <v>2.2000000000000002</v>
      </c>
      <c r="U109" s="112">
        <v>3.2</v>
      </c>
      <c r="V109" s="112">
        <v>4.5999999999999996</v>
      </c>
      <c r="W109" s="112">
        <v>1.1000000000000001</v>
      </c>
      <c r="X109" s="112">
        <v>88</v>
      </c>
      <c r="Y109" s="112">
        <v>100</v>
      </c>
      <c r="Z109" s="112">
        <v>300</v>
      </c>
      <c r="AA109" s="112">
        <v>262</v>
      </c>
      <c r="AB109" s="112">
        <v>1.4</v>
      </c>
      <c r="AC109" s="112" t="s">
        <v>94</v>
      </c>
      <c r="AD109" s="112" t="s">
        <v>94</v>
      </c>
      <c r="AE109" s="112" t="s">
        <v>94</v>
      </c>
      <c r="AF109" s="112" t="s">
        <v>94</v>
      </c>
      <c r="AG109" s="112">
        <v>3.8E-3</v>
      </c>
      <c r="AH109" s="112" t="s">
        <v>94</v>
      </c>
      <c r="AI109" s="112">
        <v>3.0999999999999999E-3</v>
      </c>
      <c r="AJ109" s="112">
        <v>0.92</v>
      </c>
      <c r="AK109" s="113">
        <v>46</v>
      </c>
      <c r="AL109" s="112">
        <v>15</v>
      </c>
      <c r="AM109" s="112">
        <v>15</v>
      </c>
      <c r="AN109" s="113">
        <v>76</v>
      </c>
      <c r="AO109" s="112">
        <v>214</v>
      </c>
      <c r="AP109" s="112">
        <v>6.55</v>
      </c>
      <c r="AQ109" s="112">
        <v>6.09</v>
      </c>
      <c r="AR109" s="112">
        <v>6.7</v>
      </c>
      <c r="AS109" s="112">
        <v>8.85</v>
      </c>
      <c r="AT109" s="112">
        <v>1.6</v>
      </c>
      <c r="AU109" s="112">
        <v>10.3</v>
      </c>
      <c r="AV109" s="112">
        <v>0.439</v>
      </c>
      <c r="AW109" s="112">
        <v>2.5999999999999999E-2</v>
      </c>
      <c r="AX109" s="112">
        <v>0.44</v>
      </c>
      <c r="AY109" s="112">
        <v>40</v>
      </c>
      <c r="AZ109" s="112">
        <v>10</v>
      </c>
      <c r="BA109" s="112">
        <v>0.1</v>
      </c>
      <c r="BB109" s="112">
        <v>15</v>
      </c>
      <c r="BC109" s="112">
        <v>2.4700000000000002</v>
      </c>
      <c r="BD109" s="112">
        <v>332</v>
      </c>
      <c r="BE109" s="112">
        <v>3.16</v>
      </c>
      <c r="BF109" s="112">
        <v>260</v>
      </c>
      <c r="BG109" s="112">
        <v>80</v>
      </c>
      <c r="BH109" s="112">
        <v>1.21</v>
      </c>
      <c r="BI109" s="112">
        <v>80</v>
      </c>
      <c r="BJ109" s="112">
        <v>0.1</v>
      </c>
      <c r="BK109" s="112">
        <v>0.14000000000000001</v>
      </c>
      <c r="BL109" s="112" t="s">
        <v>93</v>
      </c>
      <c r="BM109" s="112">
        <v>0.9</v>
      </c>
      <c r="BN109" s="112" t="s">
        <v>94</v>
      </c>
      <c r="BO109" s="112" t="s">
        <v>94</v>
      </c>
      <c r="BP109" s="112" t="s">
        <v>94</v>
      </c>
      <c r="BQ109" s="112" t="s">
        <v>92</v>
      </c>
      <c r="BR109" s="112" t="s">
        <v>336</v>
      </c>
      <c r="BS109" s="112" t="s">
        <v>94</v>
      </c>
      <c r="BT109" s="112">
        <v>2.8</v>
      </c>
      <c r="BU109" s="112">
        <v>4.3</v>
      </c>
      <c r="BV109" s="112">
        <v>400</v>
      </c>
      <c r="BW109" s="112">
        <v>11</v>
      </c>
      <c r="BX109" s="112">
        <v>25</v>
      </c>
      <c r="BY109" s="112" t="s">
        <v>94</v>
      </c>
      <c r="BZ109" s="112" t="s">
        <v>303</v>
      </c>
      <c r="CA109" s="112" t="s">
        <v>94</v>
      </c>
      <c r="CB109" s="112" t="s">
        <v>94</v>
      </c>
      <c r="CC109" s="112">
        <v>42577</v>
      </c>
      <c r="CD109" s="112" t="s">
        <v>94</v>
      </c>
      <c r="CE109" s="112">
        <v>2596</v>
      </c>
      <c r="CF109" s="112">
        <v>1.25</v>
      </c>
    </row>
    <row r="110" spans="1:84" x14ac:dyDescent="0.25">
      <c r="A110" s="111" t="s">
        <v>337</v>
      </c>
      <c r="B110" s="112">
        <v>146</v>
      </c>
      <c r="C110" s="112" t="s">
        <v>92</v>
      </c>
      <c r="D110" s="112" t="s">
        <v>93</v>
      </c>
      <c r="E110" s="112" t="s">
        <v>94</v>
      </c>
      <c r="F110" s="112" t="s">
        <v>94</v>
      </c>
      <c r="G110" s="112" t="s">
        <v>204</v>
      </c>
      <c r="H110" s="112" t="s">
        <v>93</v>
      </c>
      <c r="I110" s="112">
        <v>1</v>
      </c>
      <c r="J110" s="112">
        <v>0</v>
      </c>
      <c r="K110" s="112" t="s">
        <v>94</v>
      </c>
      <c r="L110" s="112">
        <v>80</v>
      </c>
      <c r="M110" s="112">
        <v>20</v>
      </c>
      <c r="N110" s="112">
        <v>150</v>
      </c>
      <c r="O110" s="112">
        <v>400</v>
      </c>
      <c r="P110" s="112">
        <v>175</v>
      </c>
      <c r="Q110" s="112">
        <v>375</v>
      </c>
      <c r="R110" s="112">
        <v>62</v>
      </c>
      <c r="S110" s="112">
        <v>0.4</v>
      </c>
      <c r="T110" s="112">
        <v>2.1</v>
      </c>
      <c r="U110" s="112">
        <v>3.2</v>
      </c>
      <c r="V110" s="112">
        <v>4.2699999999999996</v>
      </c>
      <c r="W110" s="112">
        <v>1.1000000000000001</v>
      </c>
      <c r="X110" s="112">
        <v>107</v>
      </c>
      <c r="Y110" s="112">
        <v>100</v>
      </c>
      <c r="Z110" s="112">
        <v>300</v>
      </c>
      <c r="AA110" s="112">
        <v>297</v>
      </c>
      <c r="AB110" s="112">
        <v>1.3</v>
      </c>
      <c r="AC110" s="112" t="s">
        <v>94</v>
      </c>
      <c r="AD110" s="112" t="s">
        <v>94</v>
      </c>
      <c r="AE110" s="112" t="s">
        <v>94</v>
      </c>
      <c r="AF110" s="112" t="s">
        <v>94</v>
      </c>
      <c r="AG110" s="112">
        <v>2.8E-3</v>
      </c>
      <c r="AH110" s="112" t="s">
        <v>94</v>
      </c>
      <c r="AI110" s="112">
        <v>2.3E-3</v>
      </c>
      <c r="AJ110" s="112">
        <v>0.82</v>
      </c>
      <c r="AK110" s="113">
        <v>72</v>
      </c>
      <c r="AL110" s="112">
        <v>25</v>
      </c>
      <c r="AM110" s="112">
        <v>25</v>
      </c>
      <c r="AN110" s="113">
        <v>120</v>
      </c>
      <c r="AO110" s="112">
        <v>345</v>
      </c>
      <c r="AP110" s="112">
        <v>10.4</v>
      </c>
      <c r="AQ110" s="112">
        <v>9.3800000000000008</v>
      </c>
      <c r="AR110" s="112">
        <v>10.6</v>
      </c>
      <c r="AS110" s="112">
        <v>15.3</v>
      </c>
      <c r="AT110" s="112">
        <v>2.2599999999999998</v>
      </c>
      <c r="AU110" s="112">
        <v>17.600000000000001</v>
      </c>
      <c r="AV110" s="112">
        <v>0.89800000000000002</v>
      </c>
      <c r="AW110" s="112">
        <v>4.2000000000000003E-2</v>
      </c>
      <c r="AX110" s="112">
        <v>1.1100000000000001</v>
      </c>
      <c r="AY110" s="112">
        <v>40</v>
      </c>
      <c r="AZ110" s="112">
        <v>10</v>
      </c>
      <c r="BA110" s="112">
        <v>0.1</v>
      </c>
      <c r="BB110" s="112">
        <v>21.6</v>
      </c>
      <c r="BC110" s="112">
        <v>1.85</v>
      </c>
      <c r="BD110" s="112">
        <v>400</v>
      </c>
      <c r="BE110" s="112">
        <v>80</v>
      </c>
      <c r="BF110" s="112">
        <v>1.66</v>
      </c>
      <c r="BG110" s="112">
        <v>80</v>
      </c>
      <c r="BH110" s="112">
        <v>0.1</v>
      </c>
      <c r="BI110" s="112">
        <v>80</v>
      </c>
      <c r="BJ110" s="112">
        <v>0.1</v>
      </c>
      <c r="BK110" s="112">
        <v>0.08</v>
      </c>
      <c r="BL110" s="112" t="s">
        <v>93</v>
      </c>
      <c r="BM110" s="112">
        <v>0.9</v>
      </c>
      <c r="BN110" s="112" t="s">
        <v>94</v>
      </c>
      <c r="BO110" s="112" t="s">
        <v>94</v>
      </c>
      <c r="BP110" s="112" t="s">
        <v>94</v>
      </c>
      <c r="BQ110" s="112" t="s">
        <v>92</v>
      </c>
      <c r="BR110" s="112" t="s">
        <v>338</v>
      </c>
      <c r="BS110" s="112" t="s">
        <v>94</v>
      </c>
      <c r="BT110" s="112">
        <v>2.6</v>
      </c>
      <c r="BU110" s="112">
        <v>4</v>
      </c>
      <c r="BV110" s="112">
        <v>525</v>
      </c>
      <c r="BW110" s="112">
        <v>20</v>
      </c>
      <c r="BX110" s="112">
        <v>37</v>
      </c>
      <c r="BY110" s="112" t="s">
        <v>94</v>
      </c>
      <c r="BZ110" s="112" t="s">
        <v>249</v>
      </c>
      <c r="CA110" s="112" t="s">
        <v>94</v>
      </c>
      <c r="CB110" s="112" t="s">
        <v>94</v>
      </c>
      <c r="CC110" s="112">
        <v>42577</v>
      </c>
      <c r="CD110" s="112">
        <v>42577</v>
      </c>
      <c r="CE110" s="112">
        <v>2550</v>
      </c>
      <c r="CF110" s="112">
        <v>1.83</v>
      </c>
    </row>
    <row r="111" spans="1:84" x14ac:dyDescent="0.25">
      <c r="A111" s="111" t="s">
        <v>339</v>
      </c>
      <c r="B111" s="112">
        <v>146</v>
      </c>
      <c r="C111" s="112" t="s">
        <v>92</v>
      </c>
      <c r="D111" s="112" t="s">
        <v>101</v>
      </c>
      <c r="E111" s="112" t="s">
        <v>245</v>
      </c>
      <c r="F111" s="112" t="s">
        <v>267</v>
      </c>
      <c r="G111" s="112" t="s">
        <v>340</v>
      </c>
      <c r="H111" s="112" t="s">
        <v>93</v>
      </c>
      <c r="I111" s="112">
        <v>1</v>
      </c>
      <c r="J111" s="112">
        <v>0</v>
      </c>
      <c r="K111" s="112">
        <v>1</v>
      </c>
      <c r="L111" s="112">
        <v>80</v>
      </c>
      <c r="M111" s="112">
        <v>20</v>
      </c>
      <c r="N111" s="112">
        <v>200</v>
      </c>
      <c r="O111" s="112">
        <v>400</v>
      </c>
      <c r="P111" s="112">
        <v>175</v>
      </c>
      <c r="Q111" s="112">
        <v>375</v>
      </c>
      <c r="R111" s="112">
        <v>62</v>
      </c>
      <c r="S111" s="112">
        <v>0.4</v>
      </c>
      <c r="T111" s="112">
        <v>2.1</v>
      </c>
      <c r="U111" s="112">
        <v>3.2</v>
      </c>
      <c r="V111" s="112">
        <v>4.5999999999999996</v>
      </c>
      <c r="W111" s="112">
        <v>1.1000000000000001</v>
      </c>
      <c r="X111" s="112">
        <v>107</v>
      </c>
      <c r="Y111" s="112">
        <v>100</v>
      </c>
      <c r="Z111" s="112">
        <v>300</v>
      </c>
      <c r="AA111" s="112">
        <v>297</v>
      </c>
      <c r="AB111" s="112">
        <v>1.3</v>
      </c>
      <c r="AC111" s="112" t="s">
        <v>94</v>
      </c>
      <c r="AD111" s="112" t="s">
        <v>94</v>
      </c>
      <c r="AE111" s="112" t="s">
        <v>94</v>
      </c>
      <c r="AF111" s="112" t="s">
        <v>94</v>
      </c>
      <c r="AG111" s="112">
        <v>2.8E-3</v>
      </c>
      <c r="AH111" s="112" t="s">
        <v>94</v>
      </c>
      <c r="AI111" s="112">
        <v>2.3E-3</v>
      </c>
      <c r="AJ111" s="112">
        <v>0.82</v>
      </c>
      <c r="AK111" s="113">
        <v>72</v>
      </c>
      <c r="AL111" s="112">
        <v>25</v>
      </c>
      <c r="AM111" s="112">
        <v>25</v>
      </c>
      <c r="AN111" s="113">
        <v>120</v>
      </c>
      <c r="AO111" s="112">
        <v>345</v>
      </c>
      <c r="AP111" s="112">
        <v>10.4</v>
      </c>
      <c r="AQ111" s="112">
        <v>9.3800000000000008</v>
      </c>
      <c r="AR111" s="112">
        <v>10.6</v>
      </c>
      <c r="AS111" s="112">
        <v>15.3</v>
      </c>
      <c r="AT111" s="112">
        <v>2.2599999999999998</v>
      </c>
      <c r="AU111" s="112">
        <v>17.8</v>
      </c>
      <c r="AV111" s="112">
        <v>0.89800000000000002</v>
      </c>
      <c r="AW111" s="112">
        <v>4.2000000000000003E-2</v>
      </c>
      <c r="AX111" s="112">
        <v>1.1100000000000001</v>
      </c>
      <c r="AY111" s="112">
        <v>40</v>
      </c>
      <c r="AZ111" s="112">
        <v>10</v>
      </c>
      <c r="BA111" s="112">
        <v>0.1</v>
      </c>
      <c r="BB111" s="112">
        <v>25</v>
      </c>
      <c r="BC111" s="112">
        <v>1.8</v>
      </c>
      <c r="BD111" s="112">
        <v>400</v>
      </c>
      <c r="BE111" s="112">
        <v>2.1</v>
      </c>
      <c r="BF111" s="112">
        <v>400</v>
      </c>
      <c r="BG111" s="112">
        <v>80</v>
      </c>
      <c r="BH111" s="112">
        <v>2.5</v>
      </c>
      <c r="BI111" s="112">
        <v>80</v>
      </c>
      <c r="BJ111" s="112">
        <v>0.1</v>
      </c>
      <c r="BK111" s="112">
        <v>0.08</v>
      </c>
      <c r="BL111" s="112" t="s">
        <v>93</v>
      </c>
      <c r="BM111" s="112">
        <v>0.9</v>
      </c>
      <c r="BN111" s="112" t="s">
        <v>94</v>
      </c>
      <c r="BO111" s="112" t="s">
        <v>94</v>
      </c>
      <c r="BP111" s="112" t="s">
        <v>94</v>
      </c>
      <c r="BQ111" s="112" t="s">
        <v>92</v>
      </c>
      <c r="BR111" s="112" t="s">
        <v>341</v>
      </c>
      <c r="BS111" s="112" t="s">
        <v>94</v>
      </c>
      <c r="BT111" s="112">
        <v>2.6</v>
      </c>
      <c r="BU111" s="112">
        <v>4.2</v>
      </c>
      <c r="BV111" s="112">
        <v>525</v>
      </c>
      <c r="BW111" s="112">
        <v>20</v>
      </c>
      <c r="BX111" s="112">
        <v>37</v>
      </c>
      <c r="BY111" s="112" t="s">
        <v>94</v>
      </c>
      <c r="BZ111" s="112" t="s">
        <v>303</v>
      </c>
      <c r="CA111" s="112" t="s">
        <v>93</v>
      </c>
      <c r="CB111" s="112" t="s">
        <v>94</v>
      </c>
      <c r="CC111" s="112">
        <v>42577</v>
      </c>
      <c r="CD111" s="112" t="s">
        <v>94</v>
      </c>
      <c r="CE111" s="112">
        <v>2597</v>
      </c>
      <c r="CF111" s="112">
        <v>1.88</v>
      </c>
    </row>
    <row r="112" spans="1:84" x14ac:dyDescent="0.25">
      <c r="A112" s="111" t="s">
        <v>342</v>
      </c>
      <c r="B112" s="112">
        <v>146</v>
      </c>
      <c r="C112" s="112" t="s">
        <v>92</v>
      </c>
      <c r="D112" s="112" t="s">
        <v>93</v>
      </c>
      <c r="E112" s="112" t="s">
        <v>245</v>
      </c>
      <c r="F112" s="112" t="s">
        <v>246</v>
      </c>
      <c r="G112" s="112" t="s">
        <v>310</v>
      </c>
      <c r="H112" s="112" t="s">
        <v>93</v>
      </c>
      <c r="I112" s="112">
        <v>1</v>
      </c>
      <c r="J112" s="112">
        <v>0</v>
      </c>
      <c r="K112" s="112">
        <v>4</v>
      </c>
      <c r="L112" s="112">
        <v>100</v>
      </c>
      <c r="M112" s="112">
        <v>20</v>
      </c>
      <c r="N112" s="112">
        <v>100</v>
      </c>
      <c r="O112" s="112">
        <v>285</v>
      </c>
      <c r="P112" s="112">
        <v>175</v>
      </c>
      <c r="Q112" s="112">
        <v>214</v>
      </c>
      <c r="R112" s="112">
        <v>62</v>
      </c>
      <c r="S112" s="112">
        <v>0.7</v>
      </c>
      <c r="T112" s="112">
        <v>2.2000000000000002</v>
      </c>
      <c r="U112" s="112">
        <v>3.3</v>
      </c>
      <c r="V112" s="112">
        <v>4.5999999999999996</v>
      </c>
      <c r="W112" s="112">
        <v>1</v>
      </c>
      <c r="X112" s="112">
        <v>83</v>
      </c>
      <c r="Y112" s="112">
        <v>60</v>
      </c>
      <c r="Z112" s="112">
        <v>300</v>
      </c>
      <c r="AA112" s="112">
        <v>137</v>
      </c>
      <c r="AB112" s="112">
        <v>1.3</v>
      </c>
      <c r="AC112" s="112" t="s">
        <v>94</v>
      </c>
      <c r="AD112" s="112" t="s">
        <v>94</v>
      </c>
      <c r="AE112" s="112" t="s">
        <v>94</v>
      </c>
      <c r="AF112" s="112" t="s">
        <v>94</v>
      </c>
      <c r="AG112" s="112">
        <v>8.8000000000000005E-3</v>
      </c>
      <c r="AH112" s="112" t="s">
        <v>94</v>
      </c>
      <c r="AI112" s="112">
        <v>7.7000000000000002E-3</v>
      </c>
      <c r="AJ112" s="112">
        <v>1</v>
      </c>
      <c r="AK112" s="113">
        <v>23</v>
      </c>
      <c r="AL112" s="112">
        <v>7.2</v>
      </c>
      <c r="AM112" s="112">
        <v>7.3</v>
      </c>
      <c r="AN112" s="113">
        <v>38</v>
      </c>
      <c r="AO112" s="112">
        <v>98</v>
      </c>
      <c r="AP112" s="112">
        <v>3.32</v>
      </c>
      <c r="AQ112" s="112">
        <v>2.98</v>
      </c>
      <c r="AR112" s="112">
        <v>3.41</v>
      </c>
      <c r="AS112" s="112">
        <v>3.75</v>
      </c>
      <c r="AT112" s="112">
        <v>0.56000000000000005</v>
      </c>
      <c r="AU112" s="112">
        <v>4.38</v>
      </c>
      <c r="AV112" s="112">
        <v>0.26800000000000002</v>
      </c>
      <c r="AW112" s="112">
        <v>1.2999999999999999E-2</v>
      </c>
      <c r="AX112" s="112">
        <v>0.318</v>
      </c>
      <c r="AY112" s="112">
        <v>50</v>
      </c>
      <c r="AZ112" s="112">
        <v>10</v>
      </c>
      <c r="BA112" s="112">
        <v>0.1</v>
      </c>
      <c r="BB112" s="112">
        <v>6.1</v>
      </c>
      <c r="BC112" s="112">
        <v>2</v>
      </c>
      <c r="BD112" s="112">
        <v>122</v>
      </c>
      <c r="BE112" s="112">
        <v>4</v>
      </c>
      <c r="BF112" s="112">
        <v>100</v>
      </c>
      <c r="BG112" s="112">
        <v>100</v>
      </c>
      <c r="BH112" s="112">
        <v>0.66</v>
      </c>
      <c r="BI112" s="112">
        <v>100</v>
      </c>
      <c r="BJ112" s="112">
        <v>0.1</v>
      </c>
      <c r="BK112" s="112">
        <v>0.28999999999999998</v>
      </c>
      <c r="BL112" s="112" t="s">
        <v>93</v>
      </c>
      <c r="BM112" s="112">
        <v>0.9</v>
      </c>
      <c r="BN112" s="112" t="s">
        <v>94</v>
      </c>
      <c r="BO112" s="112">
        <v>42</v>
      </c>
      <c r="BP112" s="112">
        <v>3.05</v>
      </c>
      <c r="BQ112" s="112" t="s">
        <v>92</v>
      </c>
      <c r="BR112" s="112" t="s">
        <v>343</v>
      </c>
      <c r="BS112" s="112" t="s">
        <v>94</v>
      </c>
      <c r="BT112" s="112">
        <v>2.6</v>
      </c>
      <c r="BU112" s="112">
        <v>4.5</v>
      </c>
      <c r="BV112" s="112">
        <v>270</v>
      </c>
      <c r="BW112" s="112">
        <v>7.5</v>
      </c>
      <c r="BX112" s="112">
        <v>11.9</v>
      </c>
      <c r="BY112" s="112" t="s">
        <v>94</v>
      </c>
      <c r="BZ112" s="112" t="s">
        <v>249</v>
      </c>
      <c r="CA112" s="112" t="s">
        <v>94</v>
      </c>
      <c r="CB112" s="112" t="s">
        <v>94</v>
      </c>
      <c r="CC112" s="112">
        <v>41572</v>
      </c>
      <c r="CD112" s="112">
        <v>42577</v>
      </c>
      <c r="CE112" s="112">
        <v>2551</v>
      </c>
      <c r="CF112" s="112">
        <v>0.69</v>
      </c>
    </row>
    <row r="113" spans="1:84" x14ac:dyDescent="0.25">
      <c r="A113" s="117" t="s">
        <v>344</v>
      </c>
      <c r="B113" s="110">
        <v>146</v>
      </c>
      <c r="C113" s="110" t="s">
        <v>92</v>
      </c>
      <c r="D113" s="110" t="s">
        <v>92</v>
      </c>
      <c r="E113" s="110" t="s">
        <v>110</v>
      </c>
      <c r="F113" s="110" t="s">
        <v>131</v>
      </c>
      <c r="G113" s="110" t="s">
        <v>345</v>
      </c>
      <c r="H113" s="110" t="s">
        <v>93</v>
      </c>
      <c r="I113" s="110">
        <v>1</v>
      </c>
      <c r="J113" s="110">
        <v>0</v>
      </c>
      <c r="K113" s="110">
        <v>1</v>
      </c>
      <c r="L113" s="110">
        <v>100</v>
      </c>
      <c r="M113" s="110">
        <v>20</v>
      </c>
      <c r="N113" s="110">
        <v>100</v>
      </c>
      <c r="O113" s="110">
        <v>337</v>
      </c>
      <c r="P113" s="110">
        <v>150</v>
      </c>
      <c r="Q113" s="110">
        <v>3.125</v>
      </c>
      <c r="R113" s="110">
        <v>50</v>
      </c>
      <c r="S113" s="110">
        <v>1</v>
      </c>
      <c r="T113" s="110">
        <v>2.2000000000000002</v>
      </c>
      <c r="U113" s="110">
        <v>3.3</v>
      </c>
      <c r="V113" s="110">
        <v>4</v>
      </c>
      <c r="W113" s="110">
        <v>1</v>
      </c>
      <c r="X113" s="110">
        <v>148</v>
      </c>
      <c r="Y113" s="110">
        <v>16</v>
      </c>
      <c r="Z113" s="110">
        <v>300</v>
      </c>
      <c r="AA113" s="110">
        <v>82</v>
      </c>
      <c r="AB113" s="110">
        <v>1.3</v>
      </c>
      <c r="AC113" s="110" t="s">
        <v>94</v>
      </c>
      <c r="AD113" s="110" t="s">
        <v>94</v>
      </c>
      <c r="AE113" s="110" t="s">
        <v>94</v>
      </c>
      <c r="AF113" s="110" t="s">
        <v>94</v>
      </c>
      <c r="AG113" s="110">
        <v>7.7999999999999996E-3</v>
      </c>
      <c r="AH113" s="110" t="s">
        <v>94</v>
      </c>
      <c r="AI113" s="110">
        <v>6.4000000000000003E-3</v>
      </c>
      <c r="AJ113" s="110">
        <v>0.98</v>
      </c>
      <c r="AK113" s="118">
        <v>23</v>
      </c>
      <c r="AL113" s="110">
        <v>7.3</v>
      </c>
      <c r="AM113" s="110">
        <v>7.3</v>
      </c>
      <c r="AN113" s="118">
        <v>38</v>
      </c>
      <c r="AO113" s="110">
        <v>97</v>
      </c>
      <c r="AP113" s="110">
        <v>3.2</v>
      </c>
      <c r="AQ113" s="110">
        <v>2.98</v>
      </c>
      <c r="AR113" s="110">
        <v>3.2</v>
      </c>
      <c r="AS113" s="110">
        <v>3.76</v>
      </c>
      <c r="AT113" s="110">
        <v>0.6</v>
      </c>
      <c r="AU113" s="110">
        <v>4.4000000000000004</v>
      </c>
      <c r="AV113" s="110">
        <v>0.25</v>
      </c>
      <c r="AW113" s="110">
        <v>1.2E-2</v>
      </c>
      <c r="AX113" s="110">
        <v>0.3</v>
      </c>
      <c r="AY113" s="110">
        <v>50</v>
      </c>
      <c r="AZ113" s="110">
        <v>10</v>
      </c>
      <c r="BA113" s="110">
        <v>0.1</v>
      </c>
      <c r="BB113" s="110">
        <v>8</v>
      </c>
      <c r="BC113" s="110">
        <v>1.6</v>
      </c>
      <c r="BD113" s="110">
        <v>120</v>
      </c>
      <c r="BE113" s="110">
        <v>2.9</v>
      </c>
      <c r="BF113" s="110">
        <v>120</v>
      </c>
      <c r="BG113" s="110">
        <v>100</v>
      </c>
      <c r="BH113" s="110">
        <v>0.35</v>
      </c>
      <c r="BI113" s="110">
        <v>100</v>
      </c>
      <c r="BJ113" s="110">
        <v>0.1</v>
      </c>
      <c r="BK113" s="110">
        <v>0.28999999999999998</v>
      </c>
      <c r="BL113" s="110" t="s">
        <v>93</v>
      </c>
      <c r="BM113" s="110">
        <v>0.8</v>
      </c>
      <c r="BN113" s="110" t="s">
        <v>94</v>
      </c>
      <c r="BO113" s="110">
        <v>1155</v>
      </c>
      <c r="BP113" s="110">
        <v>2.9</v>
      </c>
      <c r="BQ113" s="110" t="s">
        <v>92</v>
      </c>
      <c r="BR113" s="110" t="s">
        <v>346</v>
      </c>
      <c r="BS113" s="110" t="s">
        <v>94</v>
      </c>
      <c r="BT113" s="110">
        <v>2.6</v>
      </c>
      <c r="BU113" s="110">
        <v>3.8</v>
      </c>
      <c r="BV113" s="110">
        <v>226</v>
      </c>
      <c r="BW113" s="110">
        <v>6.6</v>
      </c>
      <c r="BX113" s="110">
        <v>10.5</v>
      </c>
      <c r="BY113" s="110" t="s">
        <v>94</v>
      </c>
      <c r="BZ113" s="110" t="s">
        <v>114</v>
      </c>
      <c r="CA113" s="110" t="s">
        <v>94</v>
      </c>
      <c r="CB113" s="110" t="s">
        <v>94</v>
      </c>
      <c r="CC113" s="110">
        <v>41984</v>
      </c>
      <c r="CD113" s="110">
        <v>42564</v>
      </c>
      <c r="CE113" s="110">
        <v>2056</v>
      </c>
      <c r="CF113" s="110">
        <v>0.57999999999999996</v>
      </c>
    </row>
    <row r="114" spans="1:84" s="107" customFormat="1" x14ac:dyDescent="0.25">
      <c r="A114" s="109" t="s">
        <v>347</v>
      </c>
      <c r="B114" s="109">
        <v>146</v>
      </c>
      <c r="C114" s="109" t="s">
        <v>94</v>
      </c>
      <c r="D114" s="109" t="s">
        <v>101</v>
      </c>
      <c r="E114" s="109" t="s">
        <v>245</v>
      </c>
      <c r="F114" s="109" t="s">
        <v>267</v>
      </c>
      <c r="G114" s="109" t="s">
        <v>348</v>
      </c>
      <c r="H114" s="109" t="s">
        <v>93</v>
      </c>
      <c r="I114" s="109">
        <v>1</v>
      </c>
      <c r="J114" s="109">
        <v>0</v>
      </c>
      <c r="K114" s="109">
        <v>1</v>
      </c>
      <c r="L114" s="109">
        <v>100</v>
      </c>
      <c r="M114" s="109">
        <v>20</v>
      </c>
      <c r="N114" s="109">
        <v>136</v>
      </c>
      <c r="O114" s="109">
        <v>400</v>
      </c>
      <c r="P114" s="109">
        <v>175</v>
      </c>
      <c r="Q114" s="109">
        <v>250</v>
      </c>
      <c r="R114" s="109">
        <v>62</v>
      </c>
      <c r="S114" s="109" t="s">
        <v>94</v>
      </c>
      <c r="T114" s="109">
        <v>2.2000000000000002</v>
      </c>
      <c r="U114" s="109">
        <v>3.2</v>
      </c>
      <c r="V114" s="109">
        <v>4.7</v>
      </c>
      <c r="W114" s="109" t="s">
        <v>94</v>
      </c>
      <c r="X114" s="109">
        <v>74</v>
      </c>
      <c r="Y114" s="109" t="s">
        <v>94</v>
      </c>
      <c r="Z114" s="109" t="s">
        <v>94</v>
      </c>
      <c r="AA114" s="109">
        <v>113</v>
      </c>
      <c r="AB114" s="109">
        <v>1.3</v>
      </c>
      <c r="AC114" s="112" t="s">
        <v>94</v>
      </c>
      <c r="AD114" s="109" t="s">
        <v>94</v>
      </c>
      <c r="AE114" s="109" t="s">
        <v>94</v>
      </c>
      <c r="AF114" s="109" t="s">
        <v>94</v>
      </c>
      <c r="AG114" s="109">
        <v>6.6E-3</v>
      </c>
      <c r="AH114" s="109" t="s">
        <v>94</v>
      </c>
      <c r="AI114" s="109">
        <v>5.5999999999999999E-3</v>
      </c>
      <c r="AJ114" s="109">
        <v>1.32</v>
      </c>
      <c r="AK114" s="119">
        <v>27</v>
      </c>
      <c r="AL114" s="109" t="s">
        <v>94</v>
      </c>
      <c r="AM114" s="109">
        <v>9.6</v>
      </c>
      <c r="AN114" s="119">
        <v>44</v>
      </c>
      <c r="AO114" s="109">
        <v>124</v>
      </c>
      <c r="AP114" s="109" t="s">
        <v>94</v>
      </c>
      <c r="AQ114" s="109" t="s">
        <v>94</v>
      </c>
      <c r="AR114" s="109">
        <v>5060</v>
      </c>
      <c r="AS114" s="109" t="s">
        <v>94</v>
      </c>
      <c r="AT114" s="109" t="s">
        <v>94</v>
      </c>
      <c r="AU114" s="109">
        <v>876</v>
      </c>
      <c r="AV114" s="109" t="s">
        <v>94</v>
      </c>
      <c r="AW114" s="109" t="s">
        <v>94</v>
      </c>
      <c r="AX114" s="109">
        <v>18</v>
      </c>
      <c r="AY114" s="109" t="s">
        <v>94</v>
      </c>
      <c r="AZ114" s="109" t="s">
        <v>94</v>
      </c>
      <c r="BA114" s="109" t="s">
        <v>94</v>
      </c>
      <c r="BB114" s="109" t="s">
        <v>94</v>
      </c>
      <c r="BC114" s="109" t="s">
        <v>94</v>
      </c>
      <c r="BD114" s="109" t="s">
        <v>94</v>
      </c>
      <c r="BE114" s="109" t="s">
        <v>94</v>
      </c>
      <c r="BF114" s="109" t="s">
        <v>94</v>
      </c>
      <c r="BG114" s="109" t="s">
        <v>94</v>
      </c>
      <c r="BH114" s="109" t="s">
        <v>94</v>
      </c>
      <c r="BI114" s="109" t="s">
        <v>94</v>
      </c>
      <c r="BJ114" s="109" t="s">
        <v>94</v>
      </c>
      <c r="BK114" s="109" t="s">
        <v>94</v>
      </c>
      <c r="BL114" s="109" t="s">
        <v>94</v>
      </c>
      <c r="BM114" s="109">
        <v>0.9</v>
      </c>
      <c r="BN114" s="109" t="s">
        <v>94</v>
      </c>
      <c r="BO114" s="109" t="s">
        <v>94</v>
      </c>
      <c r="BP114" s="109" t="s">
        <v>94</v>
      </c>
      <c r="BQ114" s="109" t="s">
        <v>92</v>
      </c>
      <c r="BR114" s="109" t="s">
        <v>380</v>
      </c>
      <c r="BS114" s="109" t="s">
        <v>94</v>
      </c>
      <c r="BT114" s="109">
        <v>2.6</v>
      </c>
      <c r="BU114" s="109" t="s">
        <v>94</v>
      </c>
      <c r="BV114" s="109">
        <v>326</v>
      </c>
      <c r="BW114" s="109">
        <v>5.6</v>
      </c>
      <c r="BX114" s="109">
        <v>17</v>
      </c>
      <c r="BY114" s="109" t="s">
        <v>94</v>
      </c>
      <c r="BZ114" s="109" t="s">
        <v>303</v>
      </c>
      <c r="CA114" s="109" t="s">
        <v>93</v>
      </c>
      <c r="CB114" s="109" t="s">
        <v>94</v>
      </c>
      <c r="CC114" s="109">
        <v>42312</v>
      </c>
      <c r="CD114" s="109" t="s">
        <v>94</v>
      </c>
      <c r="CE114" s="109">
        <v>2074</v>
      </c>
      <c r="CF114" s="109">
        <v>0.87</v>
      </c>
    </row>
    <row r="115" spans="1:84" x14ac:dyDescent="0.25">
      <c r="A115" s="120" t="s">
        <v>349</v>
      </c>
      <c r="B115" s="120">
        <v>146</v>
      </c>
      <c r="C115" s="120" t="s">
        <v>92</v>
      </c>
      <c r="D115" s="120" t="s">
        <v>92</v>
      </c>
      <c r="E115" s="120" t="s">
        <v>110</v>
      </c>
      <c r="F115" s="120" t="s">
        <v>170</v>
      </c>
      <c r="G115" s="120" t="s">
        <v>207</v>
      </c>
      <c r="H115" s="120" t="s">
        <v>93</v>
      </c>
      <c r="I115" s="120">
        <v>1</v>
      </c>
      <c r="J115" s="120">
        <v>0</v>
      </c>
      <c r="K115" s="120">
        <v>1</v>
      </c>
      <c r="L115" s="120">
        <v>100</v>
      </c>
      <c r="M115" s="120">
        <v>20</v>
      </c>
      <c r="N115" s="120">
        <v>100</v>
      </c>
      <c r="O115" s="120">
        <v>400</v>
      </c>
      <c r="P115" s="120">
        <v>150</v>
      </c>
      <c r="Q115" s="120">
        <v>3.1</v>
      </c>
      <c r="R115" s="120">
        <v>50</v>
      </c>
      <c r="S115" s="120">
        <v>0.8</v>
      </c>
      <c r="T115" s="120">
        <v>2.2000000000000002</v>
      </c>
      <c r="U115" s="120">
        <v>3.2</v>
      </c>
      <c r="V115" s="120">
        <v>3.8</v>
      </c>
      <c r="W115" s="120">
        <v>1</v>
      </c>
      <c r="X115" s="120">
        <v>80</v>
      </c>
      <c r="Y115" s="120">
        <v>17</v>
      </c>
      <c r="Z115" s="120">
        <v>300</v>
      </c>
      <c r="AA115" s="120">
        <v>84</v>
      </c>
      <c r="AB115" s="120">
        <v>1.2</v>
      </c>
      <c r="AC115" s="112" t="s">
        <v>94</v>
      </c>
      <c r="AD115" s="120" t="s">
        <v>94</v>
      </c>
      <c r="AE115" s="120" t="s">
        <v>94</v>
      </c>
      <c r="AF115" s="120" t="s">
        <v>94</v>
      </c>
      <c r="AG115" s="120">
        <v>5.7000000000000002E-3</v>
      </c>
      <c r="AH115" s="120" t="s">
        <v>94</v>
      </c>
      <c r="AI115" s="120">
        <v>4.8999999999999998E-3</v>
      </c>
      <c r="AJ115" s="120">
        <v>1.03</v>
      </c>
      <c r="AK115" s="119">
        <v>27</v>
      </c>
      <c r="AL115" s="120">
        <v>9.4</v>
      </c>
      <c r="AM115" s="120">
        <v>9.5</v>
      </c>
      <c r="AN115" s="119">
        <v>44</v>
      </c>
      <c r="AO115" s="120">
        <v>128</v>
      </c>
      <c r="AP115" s="120">
        <v>3.94</v>
      </c>
      <c r="AQ115" s="120">
        <v>3.7</v>
      </c>
      <c r="AR115" s="120">
        <v>4.04</v>
      </c>
      <c r="AS115" s="120">
        <v>4.29</v>
      </c>
      <c r="AT115" s="120">
        <v>0.70599999999999996</v>
      </c>
      <c r="AU115" s="120">
        <v>5.67</v>
      </c>
      <c r="AV115" s="120">
        <v>0.35399999999999998</v>
      </c>
      <c r="AW115" s="120">
        <v>1.4E-2</v>
      </c>
      <c r="AX115" s="120">
        <v>0.442</v>
      </c>
      <c r="AY115" s="120">
        <v>50</v>
      </c>
      <c r="AZ115" s="120">
        <v>10</v>
      </c>
      <c r="BA115" s="120">
        <v>0.1</v>
      </c>
      <c r="BB115" s="120">
        <v>10.1</v>
      </c>
      <c r="BC115" s="120">
        <v>1.61</v>
      </c>
      <c r="BD115" s="120">
        <v>162</v>
      </c>
      <c r="BE115" s="120">
        <v>2.73</v>
      </c>
      <c r="BF115" s="120">
        <v>162</v>
      </c>
      <c r="BG115" s="120">
        <v>100</v>
      </c>
      <c r="BH115" s="120">
        <v>0.48</v>
      </c>
      <c r="BI115" s="120">
        <v>100</v>
      </c>
      <c r="BJ115" s="120">
        <v>0.1</v>
      </c>
      <c r="BK115" s="120">
        <v>0.22</v>
      </c>
      <c r="BL115" s="120" t="s">
        <v>93</v>
      </c>
      <c r="BM115" s="120">
        <v>0.8</v>
      </c>
      <c r="BN115" s="120" t="s">
        <v>94</v>
      </c>
      <c r="BO115" s="120">
        <v>1345</v>
      </c>
      <c r="BP115" s="120">
        <v>3.6</v>
      </c>
      <c r="BQ115" s="120" t="s">
        <v>92</v>
      </c>
      <c r="BR115" s="120" t="s">
        <v>350</v>
      </c>
      <c r="BS115" s="120" t="s">
        <v>94</v>
      </c>
      <c r="BT115" s="120">
        <v>2.4</v>
      </c>
      <c r="BU115" s="120">
        <v>3</v>
      </c>
      <c r="BV115" s="120">
        <v>249</v>
      </c>
      <c r="BW115" s="120">
        <v>8.6999999999999993</v>
      </c>
      <c r="BX115" s="120">
        <v>13</v>
      </c>
      <c r="BY115" s="120" t="s">
        <v>94</v>
      </c>
      <c r="BZ115" s="120" t="s">
        <v>114</v>
      </c>
      <c r="CA115" s="120" t="s">
        <v>93</v>
      </c>
      <c r="CB115" s="120" t="s">
        <v>94</v>
      </c>
      <c r="CC115" s="120">
        <v>41954</v>
      </c>
      <c r="CD115" s="120">
        <v>42577</v>
      </c>
      <c r="CE115" s="120">
        <v>2552</v>
      </c>
      <c r="CF115" s="120">
        <v>0.85</v>
      </c>
    </row>
    <row r="116" spans="1:84" x14ac:dyDescent="0.25">
      <c r="A116" s="120" t="s">
        <v>351</v>
      </c>
      <c r="B116" s="120">
        <v>146</v>
      </c>
      <c r="C116" s="120" t="s">
        <v>92</v>
      </c>
      <c r="D116" s="120" t="s">
        <v>93</v>
      </c>
      <c r="E116" s="120" t="s">
        <v>94</v>
      </c>
      <c r="F116" s="120" t="s">
        <v>94</v>
      </c>
      <c r="G116" s="120" t="s">
        <v>204</v>
      </c>
      <c r="H116" s="120" t="s">
        <v>93</v>
      </c>
      <c r="I116" s="120">
        <v>1</v>
      </c>
      <c r="J116" s="120">
        <v>0</v>
      </c>
      <c r="K116" s="120" t="s">
        <v>94</v>
      </c>
      <c r="L116" s="120">
        <v>100</v>
      </c>
      <c r="M116" s="120">
        <v>20</v>
      </c>
      <c r="N116" s="120">
        <v>100</v>
      </c>
      <c r="O116" s="120">
        <v>207</v>
      </c>
      <c r="P116" s="120">
        <v>175</v>
      </c>
      <c r="Q116" s="120">
        <v>188</v>
      </c>
      <c r="R116" s="120">
        <v>62</v>
      </c>
      <c r="S116" s="120">
        <v>0.8</v>
      </c>
      <c r="T116" s="120">
        <v>2.2000000000000002</v>
      </c>
      <c r="U116" s="120">
        <v>3.4</v>
      </c>
      <c r="V116" s="120">
        <v>4.68</v>
      </c>
      <c r="W116" s="120">
        <v>1.1000000000000001</v>
      </c>
      <c r="X116" s="120">
        <v>77</v>
      </c>
      <c r="Y116" s="120">
        <v>55</v>
      </c>
      <c r="Z116" s="120">
        <v>300</v>
      </c>
      <c r="AA116" s="120">
        <v>115</v>
      </c>
      <c r="AB116" s="120">
        <v>1.2</v>
      </c>
      <c r="AC116" s="112" t="s">
        <v>94</v>
      </c>
      <c r="AD116" s="120" t="s">
        <v>94</v>
      </c>
      <c r="AE116" s="120" t="s">
        <v>94</v>
      </c>
      <c r="AF116" s="120" t="s">
        <v>94</v>
      </c>
      <c r="AG116" s="120">
        <v>1.2200000000000001E-2</v>
      </c>
      <c r="AH116" s="120" t="s">
        <v>94</v>
      </c>
      <c r="AI116" s="120">
        <v>1.0500000000000001E-2</v>
      </c>
      <c r="AJ116" s="120">
        <v>1.07</v>
      </c>
      <c r="AK116" s="119">
        <v>16.5</v>
      </c>
      <c r="AL116" s="120">
        <v>5</v>
      </c>
      <c r="AM116" s="120">
        <v>3.9</v>
      </c>
      <c r="AN116" s="119">
        <v>27</v>
      </c>
      <c r="AO116" s="120">
        <v>79</v>
      </c>
      <c r="AP116" s="120">
        <v>2.19</v>
      </c>
      <c r="AQ116" s="120">
        <v>2.0499999999999998</v>
      </c>
      <c r="AR116" s="120">
        <v>2.2200000000000002</v>
      </c>
      <c r="AS116" s="120">
        <v>2.54</v>
      </c>
      <c r="AT116" s="120">
        <v>0.39500000000000002</v>
      </c>
      <c r="AU116" s="120">
        <v>2.97</v>
      </c>
      <c r="AV116" s="120">
        <v>0.186</v>
      </c>
      <c r="AW116" s="120">
        <v>9.5999999999999992E-3</v>
      </c>
      <c r="AX116" s="120">
        <v>0.21299999999999999</v>
      </c>
      <c r="AY116" s="120">
        <v>50</v>
      </c>
      <c r="AZ116" s="120">
        <v>10</v>
      </c>
      <c r="BA116" s="120">
        <v>0.1</v>
      </c>
      <c r="BB116" s="120">
        <v>4.0999999999999996</v>
      </c>
      <c r="BC116" s="120">
        <v>2.3199999999999998</v>
      </c>
      <c r="BD116" s="120">
        <v>95</v>
      </c>
      <c r="BE116" s="120">
        <v>100</v>
      </c>
      <c r="BF116" s="120">
        <v>0.43</v>
      </c>
      <c r="BG116" s="120">
        <v>100</v>
      </c>
      <c r="BH116" s="120">
        <v>0.1</v>
      </c>
      <c r="BI116" s="120">
        <v>100</v>
      </c>
      <c r="BJ116" s="120">
        <v>0.1</v>
      </c>
      <c r="BK116" s="120">
        <v>0.4</v>
      </c>
      <c r="BL116" s="120" t="s">
        <v>93</v>
      </c>
      <c r="BM116" s="120">
        <v>0.9</v>
      </c>
      <c r="BN116" s="120" t="s">
        <v>94</v>
      </c>
      <c r="BO116" s="120" t="s">
        <v>94</v>
      </c>
      <c r="BP116" s="120" t="s">
        <v>94</v>
      </c>
      <c r="BQ116" s="120" t="s">
        <v>92</v>
      </c>
      <c r="BR116" s="120" t="s">
        <v>352</v>
      </c>
      <c r="BS116" s="120" t="s">
        <v>94</v>
      </c>
      <c r="BT116" s="120">
        <v>2.4</v>
      </c>
      <c r="BU116" s="120">
        <v>4.5</v>
      </c>
      <c r="BV116" s="120">
        <v>211</v>
      </c>
      <c r="BW116" s="120">
        <v>5.4</v>
      </c>
      <c r="BX116" s="120">
        <v>9</v>
      </c>
      <c r="BY116" s="120" t="s">
        <v>94</v>
      </c>
      <c r="BZ116" s="120" t="s">
        <v>249</v>
      </c>
      <c r="CA116" s="120" t="s">
        <v>94</v>
      </c>
      <c r="CB116" s="120" t="s">
        <v>94</v>
      </c>
      <c r="CC116" s="120">
        <v>42577</v>
      </c>
      <c r="CD116" s="120">
        <v>42577</v>
      </c>
      <c r="CE116" s="120">
        <v>2553</v>
      </c>
      <c r="CF116" s="120">
        <v>0.56000000000000005</v>
      </c>
    </row>
    <row r="117" spans="1:84" x14ac:dyDescent="0.25">
      <c r="A117" s="120" t="s">
        <v>353</v>
      </c>
      <c r="B117" s="120">
        <v>146</v>
      </c>
      <c r="C117" s="120" t="s">
        <v>92</v>
      </c>
      <c r="D117" s="120" t="s">
        <v>92</v>
      </c>
      <c r="E117" s="120" t="s">
        <v>110</v>
      </c>
      <c r="F117" s="120" t="s">
        <v>131</v>
      </c>
      <c r="G117" s="120" t="s">
        <v>354</v>
      </c>
      <c r="H117" s="120" t="s">
        <v>93</v>
      </c>
      <c r="I117" s="120">
        <v>1</v>
      </c>
      <c r="J117" s="120">
        <v>0</v>
      </c>
      <c r="K117" s="120">
        <v>1</v>
      </c>
      <c r="L117" s="120">
        <v>100</v>
      </c>
      <c r="M117" s="120">
        <v>20</v>
      </c>
      <c r="N117" s="120">
        <v>100</v>
      </c>
      <c r="O117" s="120">
        <v>231</v>
      </c>
      <c r="P117" s="120">
        <v>150</v>
      </c>
      <c r="Q117" s="120">
        <v>3.125</v>
      </c>
      <c r="R117" s="120">
        <v>50</v>
      </c>
      <c r="S117" s="120">
        <v>1.3</v>
      </c>
      <c r="T117" s="120">
        <v>2.2000000000000002</v>
      </c>
      <c r="U117" s="120">
        <v>3.4</v>
      </c>
      <c r="V117" s="120">
        <v>4.05</v>
      </c>
      <c r="W117" s="120">
        <v>1</v>
      </c>
      <c r="X117" s="120">
        <v>62</v>
      </c>
      <c r="Y117" s="120">
        <v>13</v>
      </c>
      <c r="Z117" s="120">
        <v>300</v>
      </c>
      <c r="AA117" s="120">
        <v>63</v>
      </c>
      <c r="AB117" s="120">
        <v>1.2</v>
      </c>
      <c r="AC117" s="112" t="s">
        <v>94</v>
      </c>
      <c r="AD117" s="120" t="s">
        <v>94</v>
      </c>
      <c r="AE117" s="120" t="s">
        <v>94</v>
      </c>
      <c r="AF117" s="120" t="s">
        <v>94</v>
      </c>
      <c r="AG117" s="120">
        <v>1.0999999999999999E-2</v>
      </c>
      <c r="AH117" s="120" t="s">
        <v>94</v>
      </c>
      <c r="AI117" s="120">
        <v>9.4000000000000004E-3</v>
      </c>
      <c r="AJ117" s="120">
        <v>0.98</v>
      </c>
      <c r="AK117" s="119">
        <v>16.5</v>
      </c>
      <c r="AL117" s="120">
        <v>5.12</v>
      </c>
      <c r="AM117" s="120">
        <v>5.7</v>
      </c>
      <c r="AN117" s="119">
        <v>27</v>
      </c>
      <c r="AO117" s="120">
        <v>75</v>
      </c>
      <c r="AP117" s="120">
        <v>2.17</v>
      </c>
      <c r="AQ117" s="120">
        <v>2.0499999999999998</v>
      </c>
      <c r="AR117" s="120">
        <v>2.2000000000000002</v>
      </c>
      <c r="AS117" s="120">
        <v>2.56</v>
      </c>
      <c r="AT117" s="120">
        <v>0.4</v>
      </c>
      <c r="AU117" s="120">
        <v>3.04</v>
      </c>
      <c r="AV117" s="120">
        <v>0.184</v>
      </c>
      <c r="AW117" s="120">
        <v>9.5999999999999992E-3</v>
      </c>
      <c r="AX117" s="120">
        <v>0.22</v>
      </c>
      <c r="AY117" s="120">
        <v>50</v>
      </c>
      <c r="AZ117" s="120">
        <v>10</v>
      </c>
      <c r="BA117" s="120">
        <v>0.1</v>
      </c>
      <c r="BB117" s="120">
        <v>4.8</v>
      </c>
      <c r="BC117" s="120">
        <v>1.5</v>
      </c>
      <c r="BD117" s="120">
        <v>75</v>
      </c>
      <c r="BE117" s="120">
        <v>1.5</v>
      </c>
      <c r="BF117" s="120">
        <v>75</v>
      </c>
      <c r="BG117" s="120">
        <v>100</v>
      </c>
      <c r="BH117" s="120">
        <v>0.3</v>
      </c>
      <c r="BI117" s="120">
        <v>100</v>
      </c>
      <c r="BJ117" s="120">
        <v>0.1</v>
      </c>
      <c r="BK117" s="120">
        <v>0.41</v>
      </c>
      <c r="BL117" s="120" t="s">
        <v>93</v>
      </c>
      <c r="BM117" s="120">
        <v>0.8</v>
      </c>
      <c r="BN117" s="120" t="s">
        <v>94</v>
      </c>
      <c r="BO117" s="120">
        <v>1155</v>
      </c>
      <c r="BP117" s="120">
        <v>2.6</v>
      </c>
      <c r="BQ117" s="120" t="s">
        <v>92</v>
      </c>
      <c r="BR117" s="120" t="s">
        <v>355</v>
      </c>
      <c r="BS117" s="120" t="s">
        <v>94</v>
      </c>
      <c r="BT117" s="120">
        <v>2.4</v>
      </c>
      <c r="BU117" s="120">
        <v>4.5</v>
      </c>
      <c r="BV117" s="120">
        <v>163</v>
      </c>
      <c r="BW117" s="120">
        <v>4.9000000000000004</v>
      </c>
      <c r="BX117" s="120">
        <v>7.9</v>
      </c>
      <c r="BY117" s="120" t="s">
        <v>94</v>
      </c>
      <c r="BZ117" s="120" t="s">
        <v>114</v>
      </c>
      <c r="CA117" s="120" t="s">
        <v>94</v>
      </c>
      <c r="CB117" s="120" t="s">
        <v>94</v>
      </c>
      <c r="CC117" s="120">
        <v>41954</v>
      </c>
      <c r="CD117" s="120">
        <v>42564</v>
      </c>
      <c r="CE117" s="120">
        <v>2057</v>
      </c>
      <c r="CF117" s="120">
        <v>0.46</v>
      </c>
    </row>
    <row r="118" spans="1:84" x14ac:dyDescent="0.25">
      <c r="A118" s="120" t="s">
        <v>356</v>
      </c>
      <c r="B118" s="120">
        <v>146</v>
      </c>
      <c r="C118" s="120" t="s">
        <v>92</v>
      </c>
      <c r="D118" s="120" t="s">
        <v>93</v>
      </c>
      <c r="E118" s="120" t="s">
        <v>94</v>
      </c>
      <c r="F118" s="120" t="s">
        <v>94</v>
      </c>
      <c r="G118" s="120" t="s">
        <v>204</v>
      </c>
      <c r="H118" s="120" t="s">
        <v>93</v>
      </c>
      <c r="I118" s="120">
        <v>1</v>
      </c>
      <c r="J118" s="120">
        <v>0</v>
      </c>
      <c r="K118" s="120" t="s">
        <v>94</v>
      </c>
      <c r="L118" s="120">
        <v>100</v>
      </c>
      <c r="M118" s="120">
        <v>20</v>
      </c>
      <c r="N118" s="120">
        <v>100</v>
      </c>
      <c r="O118" s="120">
        <v>138</v>
      </c>
      <c r="P118" s="120">
        <v>175</v>
      </c>
      <c r="Q118" s="120">
        <v>118</v>
      </c>
      <c r="R118" s="120">
        <v>62</v>
      </c>
      <c r="S118" s="120">
        <v>1.3</v>
      </c>
      <c r="T118" s="120">
        <v>2.4</v>
      </c>
      <c r="U118" s="120">
        <v>3.4</v>
      </c>
      <c r="V118" s="120">
        <v>4.72</v>
      </c>
      <c r="W118" s="120">
        <v>1.1000000000000001</v>
      </c>
      <c r="X118" s="120">
        <v>72</v>
      </c>
      <c r="Y118" s="120">
        <v>30</v>
      </c>
      <c r="Z118" s="120">
        <v>300</v>
      </c>
      <c r="AA118" s="120">
        <v>80</v>
      </c>
      <c r="AB118" s="120">
        <v>1.1000000000000001</v>
      </c>
      <c r="AC118" s="112" t="s">
        <v>94</v>
      </c>
      <c r="AD118" s="120" t="s">
        <v>94</v>
      </c>
      <c r="AE118" s="120" t="s">
        <v>94</v>
      </c>
      <c r="AF118" s="120" t="s">
        <v>94</v>
      </c>
      <c r="AG118" s="120">
        <v>0.02</v>
      </c>
      <c r="AH118" s="120" t="s">
        <v>94</v>
      </c>
      <c r="AI118" s="120">
        <v>1.6500000000000001E-2</v>
      </c>
      <c r="AJ118" s="120">
        <v>1.0900000000000001</v>
      </c>
      <c r="AK118" s="119">
        <v>11</v>
      </c>
      <c r="AL118" s="120">
        <v>3</v>
      </c>
      <c r="AM118" s="120">
        <v>3.3</v>
      </c>
      <c r="AN118" s="119">
        <v>17</v>
      </c>
      <c r="AO118" s="120">
        <v>44</v>
      </c>
      <c r="AP118" s="120">
        <v>1.39</v>
      </c>
      <c r="AQ118" s="120">
        <v>1.29</v>
      </c>
      <c r="AR118" s="120">
        <v>1.42</v>
      </c>
      <c r="AS118" s="120">
        <v>1.52</v>
      </c>
      <c r="AT118" s="120">
        <v>0.25700000000000001</v>
      </c>
      <c r="AU118" s="120">
        <v>1.79</v>
      </c>
      <c r="AV118" s="120">
        <v>0.13700000000000001</v>
      </c>
      <c r="AW118" s="120">
        <v>5.7000000000000002E-3</v>
      </c>
      <c r="AX118" s="120">
        <v>0.16400000000000001</v>
      </c>
      <c r="AY118" s="120">
        <v>50</v>
      </c>
      <c r="AZ118" s="120">
        <v>10</v>
      </c>
      <c r="BA118" s="120">
        <v>0.1</v>
      </c>
      <c r="BB118" s="120">
        <v>2.5</v>
      </c>
      <c r="BC118" s="120">
        <v>2.82</v>
      </c>
      <c r="BD118" s="120">
        <v>58.6</v>
      </c>
      <c r="BE118" s="120">
        <v>3.19</v>
      </c>
      <c r="BF118" s="120">
        <v>58.6</v>
      </c>
      <c r="BG118" s="120">
        <v>100</v>
      </c>
      <c r="BH118" s="120">
        <v>0.27</v>
      </c>
      <c r="BI118" s="120">
        <v>100</v>
      </c>
      <c r="BJ118" s="120">
        <v>0.1</v>
      </c>
      <c r="BK118" s="120">
        <v>0.63</v>
      </c>
      <c r="BL118" s="120" t="s">
        <v>93</v>
      </c>
      <c r="BM118" s="120">
        <v>0.9</v>
      </c>
      <c r="BN118" s="120" t="s">
        <v>94</v>
      </c>
      <c r="BO118" s="120" t="s">
        <v>94</v>
      </c>
      <c r="BP118" s="120" t="s">
        <v>94</v>
      </c>
      <c r="BQ118" s="120" t="s">
        <v>92</v>
      </c>
      <c r="BR118" s="120" t="s">
        <v>357</v>
      </c>
      <c r="BS118" s="120" t="s">
        <v>94</v>
      </c>
      <c r="BT118" s="120">
        <v>2.2000000000000002</v>
      </c>
      <c r="BU118" s="120">
        <v>4.7</v>
      </c>
      <c r="BV118" s="120">
        <v>195</v>
      </c>
      <c r="BW118" s="120">
        <v>3.2</v>
      </c>
      <c r="BX118" s="120">
        <v>5.0999999999999996</v>
      </c>
      <c r="BY118" s="120" t="s">
        <v>94</v>
      </c>
      <c r="BZ118" s="120" t="s">
        <v>249</v>
      </c>
      <c r="CA118" s="120" t="s">
        <v>94</v>
      </c>
      <c r="CB118" s="120" t="s">
        <v>94</v>
      </c>
      <c r="CC118" s="120">
        <v>42577</v>
      </c>
      <c r="CD118" s="120">
        <v>42577</v>
      </c>
      <c r="CE118" s="120">
        <v>2554</v>
      </c>
      <c r="CF118" s="120">
        <v>0.45</v>
      </c>
    </row>
    <row r="119" spans="1:84" x14ac:dyDescent="0.25">
      <c r="A119" s="120" t="s">
        <v>358</v>
      </c>
      <c r="B119" s="120">
        <v>146</v>
      </c>
      <c r="C119" s="120" t="s">
        <v>92</v>
      </c>
      <c r="D119" s="120" t="s">
        <v>92</v>
      </c>
      <c r="E119" s="120" t="s">
        <v>110</v>
      </c>
      <c r="F119" s="120" t="s">
        <v>131</v>
      </c>
      <c r="G119" s="120" t="s">
        <v>354</v>
      </c>
      <c r="H119" s="120" t="s">
        <v>93</v>
      </c>
      <c r="I119" s="120">
        <v>1</v>
      </c>
      <c r="J119" s="120">
        <v>0</v>
      </c>
      <c r="K119" s="120">
        <v>1</v>
      </c>
      <c r="L119" s="120">
        <v>100</v>
      </c>
      <c r="M119" s="120">
        <v>20</v>
      </c>
      <c r="N119" s="120">
        <v>50</v>
      </c>
      <c r="O119" s="120">
        <v>137</v>
      </c>
      <c r="P119" s="120">
        <v>150</v>
      </c>
      <c r="Q119" s="120">
        <v>3.125</v>
      </c>
      <c r="R119" s="120">
        <v>50</v>
      </c>
      <c r="S119" s="120">
        <v>2</v>
      </c>
      <c r="T119" s="120">
        <v>2.4</v>
      </c>
      <c r="U119" s="120">
        <v>3.4</v>
      </c>
      <c r="V119" s="120">
        <v>4.22</v>
      </c>
      <c r="W119" s="120">
        <v>1</v>
      </c>
      <c r="X119" s="120">
        <v>53</v>
      </c>
      <c r="Y119" s="120">
        <v>10</v>
      </c>
      <c r="Z119" s="120">
        <v>300</v>
      </c>
      <c r="AA119" s="120">
        <v>47</v>
      </c>
      <c r="AB119" s="120">
        <v>1.1000000000000001</v>
      </c>
      <c r="AC119" s="112" t="s">
        <v>94</v>
      </c>
      <c r="AD119" s="120" t="s">
        <v>94</v>
      </c>
      <c r="AE119" s="120" t="s">
        <v>94</v>
      </c>
      <c r="AF119" s="120" t="s">
        <v>94</v>
      </c>
      <c r="AG119" s="120">
        <v>1.7600000000000001E-2</v>
      </c>
      <c r="AH119" s="120" t="s">
        <v>94</v>
      </c>
      <c r="AI119" s="120">
        <v>1.5100000000000001E-2</v>
      </c>
      <c r="AJ119" s="120">
        <v>0.98</v>
      </c>
      <c r="AK119" s="119">
        <v>11</v>
      </c>
      <c r="AL119" s="120">
        <v>3.2</v>
      </c>
      <c r="AM119" s="120">
        <v>3.3</v>
      </c>
      <c r="AN119" s="119">
        <v>17</v>
      </c>
      <c r="AO119" s="120">
        <v>44</v>
      </c>
      <c r="AP119" s="120">
        <v>1.38</v>
      </c>
      <c r="AQ119" s="120">
        <v>1.29</v>
      </c>
      <c r="AR119" s="120">
        <v>1.41</v>
      </c>
      <c r="AS119" s="120">
        <v>1.52</v>
      </c>
      <c r="AT119" s="120">
        <v>0.25</v>
      </c>
      <c r="AU119" s="120">
        <v>1.79</v>
      </c>
      <c r="AV119" s="120">
        <v>0.14000000000000001</v>
      </c>
      <c r="AW119" s="120">
        <v>6.0000000000000001E-3</v>
      </c>
      <c r="AX119" s="120">
        <v>0.17</v>
      </c>
      <c r="AY119" s="120">
        <v>50</v>
      </c>
      <c r="AZ119" s="120">
        <v>10</v>
      </c>
      <c r="BA119" s="120">
        <v>0.1</v>
      </c>
      <c r="BB119" s="120">
        <v>3</v>
      </c>
      <c r="BC119" s="120">
        <v>1.6</v>
      </c>
      <c r="BD119" s="120">
        <v>50</v>
      </c>
      <c r="BE119" s="120">
        <v>2.5</v>
      </c>
      <c r="BF119" s="120">
        <v>50</v>
      </c>
      <c r="BG119" s="120">
        <v>100</v>
      </c>
      <c r="BH119" s="120">
        <v>0.3</v>
      </c>
      <c r="BI119" s="120">
        <v>100</v>
      </c>
      <c r="BJ119" s="120">
        <v>0.1</v>
      </c>
      <c r="BK119" s="120">
        <v>0.625</v>
      </c>
      <c r="BL119" s="120" t="s">
        <v>93</v>
      </c>
      <c r="BM119" s="120">
        <v>0.8</v>
      </c>
      <c r="BN119" s="120" t="s">
        <v>94</v>
      </c>
      <c r="BO119" s="120">
        <v>1155</v>
      </c>
      <c r="BP119" s="120">
        <v>1.68</v>
      </c>
      <c r="BQ119" s="120" t="s">
        <v>92</v>
      </c>
      <c r="BR119" s="120" t="s">
        <v>359</v>
      </c>
      <c r="BS119" s="120" t="s">
        <v>94</v>
      </c>
      <c r="BT119" s="120">
        <v>2.2000000000000002</v>
      </c>
      <c r="BU119" s="120">
        <v>4.5</v>
      </c>
      <c r="BV119" s="120">
        <v>134</v>
      </c>
      <c r="BW119" s="120">
        <v>3.2</v>
      </c>
      <c r="BX119" s="120">
        <v>5.0999999999999996</v>
      </c>
      <c r="BY119" s="120" t="s">
        <v>94</v>
      </c>
      <c r="BZ119" s="120" t="s">
        <v>114</v>
      </c>
      <c r="CA119" s="120" t="s">
        <v>94</v>
      </c>
      <c r="CB119" s="120" t="s">
        <v>94</v>
      </c>
      <c r="CC119" s="120">
        <v>41954</v>
      </c>
      <c r="CD119" s="120">
        <v>42564</v>
      </c>
      <c r="CE119" s="120">
        <v>2058</v>
      </c>
      <c r="CF119" s="120">
        <v>0.32</v>
      </c>
    </row>
    <row r="120" spans="1:84" x14ac:dyDescent="0.25">
      <c r="A120" s="120" t="s">
        <v>360</v>
      </c>
      <c r="B120" s="120">
        <v>146</v>
      </c>
      <c r="C120" s="120" t="s">
        <v>92</v>
      </c>
      <c r="D120" s="120" t="s">
        <v>93</v>
      </c>
      <c r="E120" s="120" t="s">
        <v>245</v>
      </c>
      <c r="F120" s="120" t="s">
        <v>246</v>
      </c>
      <c r="G120" s="120" t="s">
        <v>207</v>
      </c>
      <c r="H120" s="120" t="s">
        <v>93</v>
      </c>
      <c r="I120" s="120">
        <v>1</v>
      </c>
      <c r="J120" s="120">
        <v>0</v>
      </c>
      <c r="K120" s="120">
        <v>4</v>
      </c>
      <c r="L120" s="120">
        <v>100</v>
      </c>
      <c r="M120" s="120">
        <v>20</v>
      </c>
      <c r="N120" s="120">
        <v>150</v>
      </c>
      <c r="O120" s="120">
        <v>400</v>
      </c>
      <c r="P120" s="120">
        <v>175</v>
      </c>
      <c r="Q120" s="120">
        <v>300</v>
      </c>
      <c r="R120" s="120">
        <v>62</v>
      </c>
      <c r="S120" s="120">
        <v>0.5</v>
      </c>
      <c r="T120" s="120">
        <v>2.2000000000000002</v>
      </c>
      <c r="U120" s="120">
        <v>3.4</v>
      </c>
      <c r="V120" s="120">
        <v>4.43</v>
      </c>
      <c r="W120" s="120">
        <v>1.1000000000000001</v>
      </c>
      <c r="X120" s="120">
        <v>89</v>
      </c>
      <c r="Y120" s="120">
        <v>100</v>
      </c>
      <c r="Z120" s="120">
        <v>300</v>
      </c>
      <c r="AA120" s="120">
        <v>274</v>
      </c>
      <c r="AB120" s="120">
        <v>1.4</v>
      </c>
      <c r="AC120" s="112" t="s">
        <v>94</v>
      </c>
      <c r="AD120" s="120" t="s">
        <v>94</v>
      </c>
      <c r="AE120" s="120" t="s">
        <v>94</v>
      </c>
      <c r="AF120" s="120" t="s">
        <v>94</v>
      </c>
      <c r="AG120" s="120">
        <v>4.4000000000000003E-3</v>
      </c>
      <c r="AH120" s="120" t="s">
        <v>94</v>
      </c>
      <c r="AI120" s="120">
        <v>3.5999999999999999E-3</v>
      </c>
      <c r="AJ120" s="120">
        <v>0.99</v>
      </c>
      <c r="AK120" s="119">
        <v>48</v>
      </c>
      <c r="AL120" s="120">
        <v>15</v>
      </c>
      <c r="AM120" s="120">
        <v>16</v>
      </c>
      <c r="AN120" s="119">
        <v>78</v>
      </c>
      <c r="AO120" s="120">
        <v>196</v>
      </c>
      <c r="AP120" s="120">
        <v>6.65</v>
      </c>
      <c r="AQ120" s="120">
        <v>6.1</v>
      </c>
      <c r="AR120" s="120">
        <v>6.75</v>
      </c>
      <c r="AS120" s="120">
        <v>7.83</v>
      </c>
      <c r="AT120" s="120">
        <v>1.1599999999999999</v>
      </c>
      <c r="AU120" s="120">
        <v>9.16</v>
      </c>
      <c r="AV120" s="120">
        <v>0.66400000000000003</v>
      </c>
      <c r="AW120" s="120">
        <v>2.9000000000000001E-2</v>
      </c>
      <c r="AX120" s="120">
        <v>0.751</v>
      </c>
      <c r="AY120" s="120">
        <v>50</v>
      </c>
      <c r="AZ120" s="120">
        <v>10</v>
      </c>
      <c r="BA120" s="120">
        <v>0.1</v>
      </c>
      <c r="BB120" s="120">
        <v>12.4</v>
      </c>
      <c r="BC120" s="120">
        <v>2.27</v>
      </c>
      <c r="BD120" s="120">
        <v>280</v>
      </c>
      <c r="BE120" s="120">
        <v>100</v>
      </c>
      <c r="BF120" s="120">
        <v>0.83</v>
      </c>
      <c r="BG120" s="120">
        <v>100</v>
      </c>
      <c r="BH120" s="120">
        <v>0.1</v>
      </c>
      <c r="BI120" s="120">
        <v>100</v>
      </c>
      <c r="BJ120" s="120">
        <v>0.1</v>
      </c>
      <c r="BK120" s="120">
        <v>0.125</v>
      </c>
      <c r="BL120" s="120" t="s">
        <v>93</v>
      </c>
      <c r="BM120" s="120">
        <v>0.9</v>
      </c>
      <c r="BN120" s="120" t="s">
        <v>94</v>
      </c>
      <c r="BO120" s="120">
        <v>42</v>
      </c>
      <c r="BP120" s="120">
        <v>6</v>
      </c>
      <c r="BQ120" s="120" t="s">
        <v>92</v>
      </c>
      <c r="BR120" s="120" t="s">
        <v>361</v>
      </c>
      <c r="BS120" s="120" t="s">
        <v>94</v>
      </c>
      <c r="BT120" s="120">
        <v>2.8</v>
      </c>
      <c r="BU120" s="120">
        <v>4.5</v>
      </c>
      <c r="BV120" s="120">
        <v>421</v>
      </c>
      <c r="BW120" s="120">
        <v>13</v>
      </c>
      <c r="BX120" s="120">
        <v>25</v>
      </c>
      <c r="BY120" s="120" t="s">
        <v>94</v>
      </c>
      <c r="BZ120" s="120" t="s">
        <v>249</v>
      </c>
      <c r="CA120" s="120" t="s">
        <v>94</v>
      </c>
      <c r="CB120" s="120" t="s">
        <v>94</v>
      </c>
      <c r="CC120" s="120">
        <v>41955</v>
      </c>
      <c r="CD120" s="120">
        <v>42577</v>
      </c>
      <c r="CE120" s="120">
        <v>2555</v>
      </c>
      <c r="CF120" s="120">
        <v>1.21</v>
      </c>
    </row>
    <row r="121" spans="1:84" x14ac:dyDescent="0.25">
      <c r="A121" s="120" t="s">
        <v>362</v>
      </c>
      <c r="B121" s="120">
        <v>146</v>
      </c>
      <c r="C121" s="120" t="s">
        <v>92</v>
      </c>
      <c r="D121" s="120" t="s">
        <v>93</v>
      </c>
      <c r="E121" s="120" t="s">
        <v>94</v>
      </c>
      <c r="F121" s="120" t="s">
        <v>94</v>
      </c>
      <c r="G121" s="120" t="s">
        <v>204</v>
      </c>
      <c r="H121" s="120" t="s">
        <v>93</v>
      </c>
      <c r="I121" s="120">
        <v>1</v>
      </c>
      <c r="J121" s="120">
        <v>0</v>
      </c>
      <c r="K121" s="120" t="s">
        <v>94</v>
      </c>
      <c r="L121" s="120">
        <v>100</v>
      </c>
      <c r="M121" s="120">
        <v>20</v>
      </c>
      <c r="N121" s="120">
        <v>200</v>
      </c>
      <c r="O121" s="120">
        <v>400</v>
      </c>
      <c r="P121" s="120">
        <v>175</v>
      </c>
      <c r="Q121" s="120">
        <v>300</v>
      </c>
      <c r="R121" s="120">
        <v>62</v>
      </c>
      <c r="S121" s="120">
        <v>0.5</v>
      </c>
      <c r="T121" s="120">
        <v>2.2000000000000002</v>
      </c>
      <c r="U121" s="120">
        <v>3.4</v>
      </c>
      <c r="V121" s="120">
        <v>4.5999999999999996</v>
      </c>
      <c r="W121" s="120">
        <v>1.1000000000000001</v>
      </c>
      <c r="X121" s="120">
        <v>85</v>
      </c>
      <c r="Y121" s="120">
        <v>100</v>
      </c>
      <c r="Z121" s="120">
        <v>300</v>
      </c>
      <c r="AA121" s="120">
        <v>301</v>
      </c>
      <c r="AB121" s="120">
        <v>1.4</v>
      </c>
      <c r="AC121" s="112" t="s">
        <v>94</v>
      </c>
      <c r="AD121" s="120" t="s">
        <v>94</v>
      </c>
      <c r="AE121" s="120" t="s">
        <v>94</v>
      </c>
      <c r="AF121" s="120" t="s">
        <v>94</v>
      </c>
      <c r="AG121" s="120">
        <v>4.1000000000000003E-3</v>
      </c>
      <c r="AH121" s="120" t="s">
        <v>94</v>
      </c>
      <c r="AI121" s="120">
        <v>3.3999999999999998E-3</v>
      </c>
      <c r="AJ121" s="120">
        <v>1.01</v>
      </c>
      <c r="AK121" s="119">
        <v>48</v>
      </c>
      <c r="AL121" s="120">
        <v>14.8</v>
      </c>
      <c r="AM121" s="120">
        <v>16</v>
      </c>
      <c r="AN121" s="119">
        <v>78</v>
      </c>
      <c r="AO121" s="120">
        <v>210</v>
      </c>
      <c r="AP121" s="120">
        <v>6.8</v>
      </c>
      <c r="AQ121" s="120">
        <v>6.1</v>
      </c>
      <c r="AR121" s="120">
        <v>6.9009999999999998</v>
      </c>
      <c r="AS121" s="120">
        <v>8.5</v>
      </c>
      <c r="AT121" s="120">
        <v>1.1599999999999999</v>
      </c>
      <c r="AU121" s="120">
        <v>10</v>
      </c>
      <c r="AV121" s="120">
        <v>0.6</v>
      </c>
      <c r="AW121" s="120">
        <v>2.9000000000000001E-2</v>
      </c>
      <c r="AX121" s="120">
        <v>0.73599999999999999</v>
      </c>
      <c r="AY121" s="120">
        <v>50</v>
      </c>
      <c r="AZ121" s="120">
        <v>10</v>
      </c>
      <c r="BA121" s="120">
        <v>0.1</v>
      </c>
      <c r="BB121" s="120">
        <v>13</v>
      </c>
      <c r="BC121" s="120">
        <v>2.14</v>
      </c>
      <c r="BD121" s="120">
        <v>278</v>
      </c>
      <c r="BE121" s="120">
        <v>100</v>
      </c>
      <c r="BF121" s="120">
        <v>0.87</v>
      </c>
      <c r="BG121" s="120">
        <v>100</v>
      </c>
      <c r="BH121" s="120">
        <v>0.1</v>
      </c>
      <c r="BI121" s="120">
        <v>100</v>
      </c>
      <c r="BJ121" s="120">
        <v>0.1</v>
      </c>
      <c r="BK121" s="120">
        <v>0.14000000000000001</v>
      </c>
      <c r="BL121" s="120" t="s">
        <v>93</v>
      </c>
      <c r="BM121" s="120">
        <v>0.9</v>
      </c>
      <c r="BN121" s="120" t="s">
        <v>94</v>
      </c>
      <c r="BO121" s="120" t="s">
        <v>94</v>
      </c>
      <c r="BP121" s="120" t="s">
        <v>94</v>
      </c>
      <c r="BQ121" s="120" t="s">
        <v>92</v>
      </c>
      <c r="BR121" s="120" t="s">
        <v>363</v>
      </c>
      <c r="BS121" s="120" t="s">
        <v>94</v>
      </c>
      <c r="BT121" s="120">
        <v>2.8</v>
      </c>
      <c r="BU121" s="120">
        <v>4.5</v>
      </c>
      <c r="BV121" s="120">
        <v>435</v>
      </c>
      <c r="BW121" s="120">
        <v>11</v>
      </c>
      <c r="BX121" s="120">
        <v>25</v>
      </c>
      <c r="BY121" s="120" t="s">
        <v>94</v>
      </c>
      <c r="BZ121" s="120" t="s">
        <v>303</v>
      </c>
      <c r="CA121" s="120" t="s">
        <v>94</v>
      </c>
      <c r="CB121" s="120" t="s">
        <v>94</v>
      </c>
      <c r="CC121" s="120">
        <v>42577</v>
      </c>
      <c r="CD121" s="120">
        <v>42577</v>
      </c>
      <c r="CE121" s="120">
        <v>2556</v>
      </c>
      <c r="CF121" s="120">
        <v>1.25</v>
      </c>
    </row>
    <row r="122" spans="1:84" x14ac:dyDescent="0.25">
      <c r="A122" s="120" t="s">
        <v>364</v>
      </c>
      <c r="B122" s="120">
        <v>146</v>
      </c>
      <c r="C122" s="120" t="s">
        <v>92</v>
      </c>
      <c r="D122" s="120" t="s">
        <v>93</v>
      </c>
      <c r="E122" s="120" t="s">
        <v>245</v>
      </c>
      <c r="F122" s="120" t="s">
        <v>246</v>
      </c>
      <c r="G122" s="120" t="s">
        <v>310</v>
      </c>
      <c r="H122" s="120" t="s">
        <v>93</v>
      </c>
      <c r="I122" s="120">
        <v>1</v>
      </c>
      <c r="J122" s="120">
        <v>0</v>
      </c>
      <c r="K122" s="120">
        <v>4</v>
      </c>
      <c r="L122" s="120">
        <v>100</v>
      </c>
      <c r="M122" s="120">
        <v>20</v>
      </c>
      <c r="N122" s="120">
        <v>150</v>
      </c>
      <c r="O122" s="120">
        <v>400</v>
      </c>
      <c r="P122" s="120">
        <v>175</v>
      </c>
      <c r="Q122" s="120">
        <v>375</v>
      </c>
      <c r="R122" s="120">
        <v>62</v>
      </c>
      <c r="S122" s="120">
        <v>0.4</v>
      </c>
      <c r="T122" s="120">
        <v>2.1</v>
      </c>
      <c r="U122" s="120">
        <v>3.2</v>
      </c>
      <c r="V122" s="120">
        <v>4.26</v>
      </c>
      <c r="W122" s="120">
        <v>1.1000000000000001</v>
      </c>
      <c r="X122" s="120">
        <v>110</v>
      </c>
      <c r="Y122" s="120">
        <v>100</v>
      </c>
      <c r="Z122" s="120">
        <v>300</v>
      </c>
      <c r="AA122" s="120">
        <v>307</v>
      </c>
      <c r="AB122" s="120">
        <v>1.4</v>
      </c>
      <c r="AC122" s="112" t="s">
        <v>94</v>
      </c>
      <c r="AD122" s="120" t="s">
        <v>94</v>
      </c>
      <c r="AE122" s="120" t="s">
        <v>94</v>
      </c>
      <c r="AF122" s="120" t="s">
        <v>94</v>
      </c>
      <c r="AG122" s="120">
        <v>3.2000000000000002E-3</v>
      </c>
      <c r="AH122" s="120" t="s">
        <v>94</v>
      </c>
      <c r="AI122" s="120">
        <v>2.7000000000000001E-3</v>
      </c>
      <c r="AJ122" s="120">
        <v>0.92</v>
      </c>
      <c r="AK122" s="119">
        <v>72</v>
      </c>
      <c r="AL122" s="120">
        <v>24</v>
      </c>
      <c r="AM122" s="120">
        <v>24</v>
      </c>
      <c r="AN122" s="119">
        <v>118</v>
      </c>
      <c r="AO122" s="120">
        <v>335</v>
      </c>
      <c r="AP122" s="120">
        <v>10.3</v>
      </c>
      <c r="AQ122" s="120">
        <v>9.25</v>
      </c>
      <c r="AR122" s="120">
        <v>10.5</v>
      </c>
      <c r="AS122" s="120">
        <v>13.3</v>
      </c>
      <c r="AT122" s="120">
        <v>1.82</v>
      </c>
      <c r="AU122" s="120">
        <v>15.6</v>
      </c>
      <c r="AV122" s="120">
        <v>0.84499999999999997</v>
      </c>
      <c r="AW122" s="120">
        <v>4.7100000000000003E-2</v>
      </c>
      <c r="AX122" s="120">
        <v>1.18</v>
      </c>
      <c r="AY122" s="120">
        <v>50</v>
      </c>
      <c r="AZ122" s="120">
        <v>10</v>
      </c>
      <c r="BA122" s="120">
        <v>0.1</v>
      </c>
      <c r="BB122" s="120">
        <v>16.2</v>
      </c>
      <c r="BC122" s="120">
        <v>2.4</v>
      </c>
      <c r="BD122" s="120">
        <v>350</v>
      </c>
      <c r="BE122" s="120">
        <v>100</v>
      </c>
      <c r="BF122" s="120">
        <v>1.48</v>
      </c>
      <c r="BG122" s="120">
        <v>100</v>
      </c>
      <c r="BH122" s="120">
        <v>0.1</v>
      </c>
      <c r="BI122" s="120">
        <v>100</v>
      </c>
      <c r="BJ122" s="120">
        <v>0.1</v>
      </c>
      <c r="BK122" s="120">
        <v>8.3000000000000004E-2</v>
      </c>
      <c r="BL122" s="120" t="s">
        <v>93</v>
      </c>
      <c r="BM122" s="120">
        <v>0.9</v>
      </c>
      <c r="BN122" s="120" t="s">
        <v>94</v>
      </c>
      <c r="BO122" s="120">
        <v>42</v>
      </c>
      <c r="BP122" s="120">
        <v>9.32</v>
      </c>
      <c r="BQ122" s="120" t="s">
        <v>92</v>
      </c>
      <c r="BR122" s="120" t="s">
        <v>365</v>
      </c>
      <c r="BS122" s="120" t="s">
        <v>94</v>
      </c>
      <c r="BT122" s="120">
        <v>2.8</v>
      </c>
      <c r="BU122" s="120">
        <v>4.3</v>
      </c>
      <c r="BV122" s="120">
        <v>548</v>
      </c>
      <c r="BW122" s="120">
        <v>17</v>
      </c>
      <c r="BX122" s="120">
        <v>37</v>
      </c>
      <c r="BY122" s="120" t="s">
        <v>94</v>
      </c>
      <c r="BZ122" s="120" t="s">
        <v>249</v>
      </c>
      <c r="CA122" s="120" t="s">
        <v>94</v>
      </c>
      <c r="CB122" s="120" t="s">
        <v>94</v>
      </c>
      <c r="CC122" s="120">
        <v>41937</v>
      </c>
      <c r="CD122" s="120">
        <v>42577</v>
      </c>
      <c r="CE122" s="120">
        <v>2557</v>
      </c>
      <c r="CF122" s="120">
        <v>1.83</v>
      </c>
    </row>
    <row r="123" spans="1:84" x14ac:dyDescent="0.25">
      <c r="A123" s="120" t="s">
        <v>377</v>
      </c>
      <c r="B123" s="120">
        <v>146</v>
      </c>
      <c r="C123" s="120" t="s">
        <v>92</v>
      </c>
      <c r="D123" s="120" t="s">
        <v>93</v>
      </c>
      <c r="E123" s="121" t="s">
        <v>94</v>
      </c>
      <c r="F123" s="121" t="s">
        <v>267</v>
      </c>
      <c r="G123" s="120"/>
      <c r="H123" s="120" t="s">
        <v>93</v>
      </c>
      <c r="I123" s="120">
        <v>1</v>
      </c>
      <c r="J123" s="120">
        <v>0</v>
      </c>
      <c r="K123" s="121" t="s">
        <v>94</v>
      </c>
      <c r="L123" s="120">
        <v>100</v>
      </c>
      <c r="M123" s="120">
        <v>20</v>
      </c>
      <c r="N123" s="120">
        <v>200</v>
      </c>
      <c r="O123" s="120">
        <v>400</v>
      </c>
      <c r="P123" s="120">
        <v>175</v>
      </c>
      <c r="Q123" s="120">
        <v>375</v>
      </c>
      <c r="R123" s="120">
        <v>62</v>
      </c>
      <c r="S123" s="120">
        <v>0.4</v>
      </c>
      <c r="T123" s="120">
        <v>2.1</v>
      </c>
      <c r="U123" s="120">
        <v>3.2</v>
      </c>
      <c r="V123" s="120">
        <v>4</v>
      </c>
      <c r="W123" s="120">
        <v>1.1000000000000001</v>
      </c>
      <c r="X123" s="120">
        <v>110</v>
      </c>
      <c r="Y123" s="120">
        <v>100</v>
      </c>
      <c r="Z123" s="120">
        <v>300</v>
      </c>
      <c r="AA123" s="120">
        <v>307</v>
      </c>
      <c r="AB123" s="120">
        <v>1.4</v>
      </c>
      <c r="AC123" s="112" t="s">
        <v>94</v>
      </c>
      <c r="AD123" s="120" t="s">
        <v>94</v>
      </c>
      <c r="AE123" s="120" t="s">
        <v>94</v>
      </c>
      <c r="AF123" s="120" t="s">
        <v>94</v>
      </c>
      <c r="AG123" s="120">
        <v>3.2000000000000002E-3</v>
      </c>
      <c r="AH123" s="120" t="s">
        <v>94</v>
      </c>
      <c r="AI123" s="120">
        <v>2.7000000000000001E-3</v>
      </c>
      <c r="AJ123" s="120">
        <v>0.92</v>
      </c>
      <c r="AK123" s="119">
        <v>72</v>
      </c>
      <c r="AL123" s="120">
        <v>24</v>
      </c>
      <c r="AM123" s="120">
        <v>24</v>
      </c>
      <c r="AN123" s="119">
        <v>118</v>
      </c>
      <c r="AO123" s="120">
        <v>335</v>
      </c>
      <c r="AP123" s="120">
        <v>10.3</v>
      </c>
      <c r="AQ123" s="120">
        <v>9.25</v>
      </c>
      <c r="AR123" s="120">
        <v>10.5</v>
      </c>
      <c r="AS123" s="120">
        <v>13.3</v>
      </c>
      <c r="AT123" s="120">
        <v>1.82</v>
      </c>
      <c r="AU123" s="120">
        <v>15.6</v>
      </c>
      <c r="AV123" s="120">
        <v>0.84499999999999997</v>
      </c>
      <c r="AW123" s="120">
        <v>4.7100000000000003E-2</v>
      </c>
      <c r="AX123" s="120">
        <v>1.18</v>
      </c>
      <c r="AY123" s="120">
        <v>50</v>
      </c>
      <c r="AZ123" s="120">
        <v>10</v>
      </c>
      <c r="BA123" s="120">
        <v>0.1</v>
      </c>
      <c r="BB123" s="120">
        <v>16.2</v>
      </c>
      <c r="BC123" s="120">
        <v>2.4</v>
      </c>
      <c r="BD123" s="120">
        <v>350</v>
      </c>
      <c r="BE123" s="120">
        <v>100</v>
      </c>
      <c r="BF123" s="120">
        <v>1.48</v>
      </c>
      <c r="BG123" s="120">
        <v>100</v>
      </c>
      <c r="BH123" s="120">
        <v>0.1</v>
      </c>
      <c r="BI123" s="120">
        <v>100</v>
      </c>
      <c r="BJ123" s="120">
        <v>0.1</v>
      </c>
      <c r="BK123" s="120">
        <v>8.3000000000000004E-2</v>
      </c>
      <c r="BL123" s="120" t="s">
        <v>93</v>
      </c>
      <c r="BM123" s="120">
        <v>0.9</v>
      </c>
      <c r="BN123" s="120" t="s">
        <v>94</v>
      </c>
      <c r="BO123" s="120">
        <v>42</v>
      </c>
      <c r="BP123" s="120">
        <v>9.32</v>
      </c>
      <c r="BQ123" s="120" t="s">
        <v>92</v>
      </c>
      <c r="BR123" s="120" t="s">
        <v>365</v>
      </c>
      <c r="BS123" s="120" t="s">
        <v>94</v>
      </c>
      <c r="BT123" s="120">
        <v>2.8</v>
      </c>
      <c r="BU123" s="120">
        <v>4.3</v>
      </c>
      <c r="BV123" s="120">
        <v>548</v>
      </c>
      <c r="BW123" s="120">
        <v>17</v>
      </c>
      <c r="BX123" s="120">
        <v>37</v>
      </c>
      <c r="BY123" s="120" t="s">
        <v>94</v>
      </c>
      <c r="BZ123" s="121" t="s">
        <v>303</v>
      </c>
      <c r="CA123" s="120" t="s">
        <v>94</v>
      </c>
      <c r="CB123" s="120" t="s">
        <v>94</v>
      </c>
      <c r="CC123" s="120">
        <v>41937</v>
      </c>
      <c r="CD123" s="120">
        <v>42577</v>
      </c>
      <c r="CE123" s="120">
        <v>2557</v>
      </c>
      <c r="CF123" s="120">
        <v>1.88</v>
      </c>
    </row>
    <row r="124" spans="1:84" x14ac:dyDescent="0.25">
      <c r="A124" s="120" t="s">
        <v>366</v>
      </c>
      <c r="B124" s="120">
        <v>146</v>
      </c>
      <c r="C124" s="120" t="s">
        <v>92</v>
      </c>
      <c r="D124" s="120" t="s">
        <v>92</v>
      </c>
      <c r="E124" s="120" t="s">
        <v>110</v>
      </c>
      <c r="F124" s="120" t="s">
        <v>119</v>
      </c>
      <c r="G124" s="120" t="s">
        <v>225</v>
      </c>
      <c r="H124" s="120" t="s">
        <v>93</v>
      </c>
      <c r="I124" s="120">
        <v>1</v>
      </c>
      <c r="J124" s="120">
        <v>0</v>
      </c>
      <c r="K124" s="120">
        <v>1</v>
      </c>
      <c r="L124" s="120">
        <v>100</v>
      </c>
      <c r="M124" s="120">
        <v>20</v>
      </c>
      <c r="N124" s="120">
        <v>50</v>
      </c>
      <c r="O124" s="120">
        <v>219</v>
      </c>
      <c r="P124" s="120">
        <v>150</v>
      </c>
      <c r="Q124" s="120">
        <v>83</v>
      </c>
      <c r="R124" s="120">
        <v>55</v>
      </c>
      <c r="S124" s="120">
        <v>1.5</v>
      </c>
      <c r="T124" s="120">
        <v>2.6</v>
      </c>
      <c r="U124" s="120">
        <v>3.6</v>
      </c>
      <c r="V124" s="120">
        <v>4.5999999999999996</v>
      </c>
      <c r="W124" s="120">
        <v>1</v>
      </c>
      <c r="X124" s="120">
        <v>36</v>
      </c>
      <c r="Y124" s="120">
        <v>10</v>
      </c>
      <c r="Z124" s="120">
        <v>300</v>
      </c>
      <c r="AA124" s="120">
        <v>45</v>
      </c>
      <c r="AB124" s="120">
        <v>1.2</v>
      </c>
      <c r="AC124" s="112" t="s">
        <v>94</v>
      </c>
      <c r="AD124" s="120" t="s">
        <v>94</v>
      </c>
      <c r="AE124" s="120" t="s">
        <v>94</v>
      </c>
      <c r="AF124" s="120" t="s">
        <v>94</v>
      </c>
      <c r="AG124" s="120">
        <v>1.66E-2</v>
      </c>
      <c r="AH124" s="120" t="s">
        <v>94</v>
      </c>
      <c r="AI124" s="120">
        <v>1.4500000000000001E-2</v>
      </c>
      <c r="AJ124" s="120">
        <v>1.02</v>
      </c>
      <c r="AK124" s="119">
        <v>10</v>
      </c>
      <c r="AL124" s="120">
        <v>3</v>
      </c>
      <c r="AM124" s="120">
        <v>3.8</v>
      </c>
      <c r="AN124" s="119">
        <v>16</v>
      </c>
      <c r="AO124" s="120">
        <v>44</v>
      </c>
      <c r="AP124" s="120">
        <v>1.45</v>
      </c>
      <c r="AQ124" s="120">
        <v>1.29</v>
      </c>
      <c r="AR124" s="120">
        <v>1.46</v>
      </c>
      <c r="AS124" s="120">
        <v>1.63</v>
      </c>
      <c r="AT124" s="120">
        <v>0.25</v>
      </c>
      <c r="AU124" s="120">
        <v>1.84</v>
      </c>
      <c r="AV124" s="120">
        <v>0.14199999999999999</v>
      </c>
      <c r="AW124" s="120">
        <v>1.2999999999999999E-2</v>
      </c>
      <c r="AX124" s="120">
        <v>0.16</v>
      </c>
      <c r="AY124" s="120">
        <v>50</v>
      </c>
      <c r="AZ124" s="120" t="s">
        <v>94</v>
      </c>
      <c r="BA124" s="120">
        <v>0.1</v>
      </c>
      <c r="BB124" s="120">
        <v>3.5</v>
      </c>
      <c r="BC124" s="120">
        <v>1.8</v>
      </c>
      <c r="BD124" s="120">
        <v>60</v>
      </c>
      <c r="BE124" s="120">
        <v>5</v>
      </c>
      <c r="BF124" s="120">
        <v>20</v>
      </c>
      <c r="BG124" s="120">
        <v>30</v>
      </c>
      <c r="BH124" s="120">
        <v>1.6</v>
      </c>
      <c r="BI124" s="120">
        <v>100</v>
      </c>
      <c r="BJ124" s="120">
        <v>0.1</v>
      </c>
      <c r="BK124" s="120">
        <v>1.35</v>
      </c>
      <c r="BL124" s="120" t="s">
        <v>93</v>
      </c>
      <c r="BM124" s="120">
        <v>0.8</v>
      </c>
      <c r="BN124" s="120" t="s">
        <v>94</v>
      </c>
      <c r="BO124" s="120" t="s">
        <v>94</v>
      </c>
      <c r="BP124" s="120">
        <v>1.3</v>
      </c>
      <c r="BQ124" s="120" t="s">
        <v>94</v>
      </c>
      <c r="BR124" s="120" t="s">
        <v>367</v>
      </c>
      <c r="BS124" s="120" t="s">
        <v>94</v>
      </c>
      <c r="BT124" s="120">
        <v>2.4</v>
      </c>
      <c r="BU124" s="120">
        <v>4.5</v>
      </c>
      <c r="BV124" s="120">
        <v>134</v>
      </c>
      <c r="BW124" s="120">
        <v>2.9</v>
      </c>
      <c r="BX124" s="120">
        <v>5.5</v>
      </c>
      <c r="BY124" s="120" t="s">
        <v>94</v>
      </c>
      <c r="BZ124" s="120" t="s">
        <v>121</v>
      </c>
      <c r="CA124" s="120" t="s">
        <v>94</v>
      </c>
      <c r="CB124" s="120" t="s">
        <v>94</v>
      </c>
      <c r="CC124" s="120">
        <v>42265</v>
      </c>
      <c r="CD124" s="120">
        <v>42599</v>
      </c>
      <c r="CE124" s="120">
        <v>2059</v>
      </c>
      <c r="CF124" s="120">
        <v>0.38</v>
      </c>
    </row>
    <row r="125" spans="1:84" x14ac:dyDescent="0.25">
      <c r="A125" s="120" t="s">
        <v>368</v>
      </c>
      <c r="B125" s="120">
        <v>146</v>
      </c>
      <c r="C125" s="120" t="s">
        <v>92</v>
      </c>
      <c r="D125" s="120" t="s">
        <v>92</v>
      </c>
      <c r="E125" s="120" t="s">
        <v>96</v>
      </c>
      <c r="F125" s="120" t="s">
        <v>97</v>
      </c>
      <c r="G125" s="120" t="s">
        <v>329</v>
      </c>
      <c r="H125" s="120" t="s">
        <v>93</v>
      </c>
      <c r="I125" s="120">
        <v>1</v>
      </c>
      <c r="J125" s="120">
        <v>0</v>
      </c>
      <c r="K125" s="120">
        <v>1</v>
      </c>
      <c r="L125" s="120">
        <v>100</v>
      </c>
      <c r="M125" s="120">
        <v>20</v>
      </c>
      <c r="N125" s="120">
        <v>14.4</v>
      </c>
      <c r="O125" s="120">
        <v>34.4</v>
      </c>
      <c r="P125" s="120">
        <v>150</v>
      </c>
      <c r="Q125" s="120">
        <v>20.2</v>
      </c>
      <c r="R125" s="120">
        <v>65</v>
      </c>
      <c r="S125" s="120">
        <v>6.2</v>
      </c>
      <c r="T125" s="120">
        <v>2.8</v>
      </c>
      <c r="U125" s="120">
        <v>3.8</v>
      </c>
      <c r="V125" s="120">
        <v>4.7</v>
      </c>
      <c r="W125" s="120">
        <v>1</v>
      </c>
      <c r="X125" s="120">
        <v>34</v>
      </c>
      <c r="Y125" s="120">
        <v>5</v>
      </c>
      <c r="Z125" s="120">
        <v>300</v>
      </c>
      <c r="AA125" s="120">
        <v>19</v>
      </c>
      <c r="AB125" s="120">
        <v>4.5999999999999996</v>
      </c>
      <c r="AC125" s="112" t="s">
        <v>94</v>
      </c>
      <c r="AD125" s="120" t="s">
        <v>94</v>
      </c>
      <c r="AE125" s="120" t="s">
        <v>94</v>
      </c>
      <c r="AF125" s="120" t="s">
        <v>94</v>
      </c>
      <c r="AG125" s="120">
        <v>7.1999999999999995E-2</v>
      </c>
      <c r="AH125" s="120" t="s">
        <v>94</v>
      </c>
      <c r="AI125" s="120">
        <v>5.8999999999999997E-2</v>
      </c>
      <c r="AJ125" s="120">
        <v>1</v>
      </c>
      <c r="AK125" s="119">
        <v>2.7</v>
      </c>
      <c r="AL125" s="120">
        <v>0.75</v>
      </c>
      <c r="AM125" s="120">
        <v>1</v>
      </c>
      <c r="AN125" s="119">
        <v>4.3</v>
      </c>
      <c r="AO125" s="120">
        <v>12.3</v>
      </c>
      <c r="AP125" s="120">
        <v>0.36</v>
      </c>
      <c r="AQ125" s="120">
        <v>0.35</v>
      </c>
      <c r="AR125" s="120">
        <v>0.38</v>
      </c>
      <c r="AS125" s="120">
        <v>0.4</v>
      </c>
      <c r="AT125" s="120">
        <v>6.9000000000000006E-2</v>
      </c>
      <c r="AU125" s="120">
        <v>0.47</v>
      </c>
      <c r="AV125" s="120">
        <v>0.04</v>
      </c>
      <c r="AW125" s="120">
        <v>8.9999999999999993E-3</v>
      </c>
      <c r="AX125" s="120">
        <v>4.8000000000000001E-2</v>
      </c>
      <c r="AY125" s="120">
        <v>50</v>
      </c>
      <c r="AZ125" s="120">
        <v>10</v>
      </c>
      <c r="BA125" s="120">
        <v>0.1</v>
      </c>
      <c r="BB125" s="120">
        <v>3.5</v>
      </c>
      <c r="BC125" s="120">
        <v>1.8</v>
      </c>
      <c r="BD125" s="120">
        <v>60</v>
      </c>
      <c r="BE125" s="120">
        <v>2.5</v>
      </c>
      <c r="BF125" s="120">
        <v>60</v>
      </c>
      <c r="BG125" s="120">
        <v>100</v>
      </c>
      <c r="BH125" s="120">
        <v>0.28999999999999998</v>
      </c>
      <c r="BI125" s="120">
        <v>100</v>
      </c>
      <c r="BJ125" s="120">
        <v>0.1</v>
      </c>
      <c r="BK125" s="120">
        <v>0.41</v>
      </c>
      <c r="BL125" s="120" t="s">
        <v>93</v>
      </c>
      <c r="BM125" s="120">
        <v>0.85</v>
      </c>
      <c r="BN125" s="120" t="s">
        <v>94</v>
      </c>
      <c r="BO125" s="120" t="s">
        <v>94</v>
      </c>
      <c r="BP125" s="120">
        <v>0.33200000000000002</v>
      </c>
      <c r="BQ125" s="120" t="s">
        <v>92</v>
      </c>
      <c r="BR125" s="120" t="s">
        <v>381</v>
      </c>
      <c r="BS125" s="120" t="s">
        <v>94</v>
      </c>
      <c r="BT125" s="120">
        <v>9.1999999999999993</v>
      </c>
      <c r="BU125" s="120">
        <v>4.5</v>
      </c>
      <c r="BV125" s="120">
        <v>94</v>
      </c>
      <c r="BW125" s="120">
        <v>0.8</v>
      </c>
      <c r="BX125" s="120">
        <v>2</v>
      </c>
      <c r="BY125" s="120" t="s">
        <v>94</v>
      </c>
      <c r="BZ125" s="120" t="s">
        <v>100</v>
      </c>
      <c r="CA125" s="120" t="s">
        <v>93</v>
      </c>
      <c r="CB125" s="120" t="s">
        <v>94</v>
      </c>
      <c r="CC125" s="120">
        <v>42422</v>
      </c>
      <c r="CD125" s="120">
        <v>42585</v>
      </c>
      <c r="CE125" s="120">
        <v>2559</v>
      </c>
      <c r="CF125" s="120">
        <v>0.15</v>
      </c>
    </row>
    <row r="126" spans="1:84" x14ac:dyDescent="0.25">
      <c r="A126" s="120" t="s">
        <v>369</v>
      </c>
      <c r="B126" s="120">
        <v>146</v>
      </c>
      <c r="C126" s="120" t="s">
        <v>92</v>
      </c>
      <c r="D126" s="120" t="s">
        <v>92</v>
      </c>
      <c r="E126" s="120" t="s">
        <v>110</v>
      </c>
      <c r="F126" s="120" t="s">
        <v>205</v>
      </c>
      <c r="G126" s="120" t="s">
        <v>370</v>
      </c>
      <c r="H126" s="120" t="s">
        <v>93</v>
      </c>
      <c r="I126" s="120">
        <v>1</v>
      </c>
      <c r="J126" s="120">
        <v>0</v>
      </c>
      <c r="K126" s="120">
        <v>1</v>
      </c>
      <c r="L126" s="120">
        <v>100</v>
      </c>
      <c r="M126" s="120">
        <v>20</v>
      </c>
      <c r="N126" s="120">
        <v>15</v>
      </c>
      <c r="O126" s="120">
        <v>37</v>
      </c>
      <c r="P126" s="120">
        <v>150</v>
      </c>
      <c r="Q126" s="120">
        <v>2.8</v>
      </c>
      <c r="R126" s="120">
        <v>55</v>
      </c>
      <c r="S126" s="120">
        <v>5.5</v>
      </c>
      <c r="T126" s="120">
        <v>2.8</v>
      </c>
      <c r="U126" s="120">
        <v>3.8</v>
      </c>
      <c r="V126" s="120">
        <v>4.9000000000000004</v>
      </c>
      <c r="W126" s="120">
        <v>1</v>
      </c>
      <c r="X126" s="120">
        <v>32</v>
      </c>
      <c r="Y126" s="120">
        <v>5</v>
      </c>
      <c r="Z126" s="120">
        <v>300</v>
      </c>
      <c r="AA126" s="120">
        <v>6.1</v>
      </c>
      <c r="AB126" s="120">
        <v>4.5999999999999996</v>
      </c>
      <c r="AC126" s="110" t="s">
        <v>94</v>
      </c>
      <c r="AD126" s="120" t="s">
        <v>94</v>
      </c>
      <c r="AE126" s="120" t="s">
        <v>94</v>
      </c>
      <c r="AF126" s="120" t="s">
        <v>94</v>
      </c>
      <c r="AG126" s="120">
        <v>7.1999999999999995E-2</v>
      </c>
      <c r="AH126" s="120" t="s">
        <v>94</v>
      </c>
      <c r="AI126" s="120">
        <v>5.8999999999999997E-2</v>
      </c>
      <c r="AJ126" s="120">
        <v>0.98</v>
      </c>
      <c r="AK126" s="119">
        <v>2.7</v>
      </c>
      <c r="AL126" s="120">
        <v>0.7</v>
      </c>
      <c r="AM126" s="120">
        <v>1</v>
      </c>
      <c r="AN126" s="119">
        <v>4.3</v>
      </c>
      <c r="AO126" s="120">
        <v>12.3</v>
      </c>
      <c r="AP126" s="120">
        <v>0.36799999999999999</v>
      </c>
      <c r="AQ126" s="120">
        <v>0.34899999999999998</v>
      </c>
      <c r="AR126" s="120">
        <v>0.375</v>
      </c>
      <c r="AS126" s="120">
        <v>0.40500000000000003</v>
      </c>
      <c r="AT126" s="120">
        <v>6.9000000000000006E-2</v>
      </c>
      <c r="AU126" s="120">
        <v>0.49299999999999999</v>
      </c>
      <c r="AV126" s="120">
        <v>4.0899999999999999E-2</v>
      </c>
      <c r="AW126" s="120">
        <v>1.26E-2</v>
      </c>
      <c r="AX126" s="120">
        <v>5.04E-2</v>
      </c>
      <c r="AY126" s="120">
        <v>50</v>
      </c>
      <c r="AZ126" s="120">
        <v>10</v>
      </c>
      <c r="BA126" s="120">
        <v>0.1</v>
      </c>
      <c r="BB126" s="120">
        <v>0.8</v>
      </c>
      <c r="BC126" s="120">
        <v>1.8</v>
      </c>
      <c r="BD126" s="120">
        <v>60</v>
      </c>
      <c r="BE126" s="120">
        <v>3.8</v>
      </c>
      <c r="BF126" s="120">
        <v>60</v>
      </c>
      <c r="BG126" s="120">
        <v>100</v>
      </c>
      <c r="BH126" s="120">
        <v>0.14000000000000001</v>
      </c>
      <c r="BI126" s="120">
        <v>100</v>
      </c>
      <c r="BJ126" s="120">
        <v>0.1</v>
      </c>
      <c r="BK126" s="120">
        <v>2.57</v>
      </c>
      <c r="BL126" s="120" t="s">
        <v>93</v>
      </c>
      <c r="BM126" s="120">
        <v>0.85</v>
      </c>
      <c r="BN126" s="120" t="s">
        <v>94</v>
      </c>
      <c r="BO126" s="120" t="s">
        <v>94</v>
      </c>
      <c r="BP126" s="120">
        <v>0.32400000000000001</v>
      </c>
      <c r="BQ126" s="120" t="s">
        <v>92</v>
      </c>
      <c r="BR126" s="120" t="s">
        <v>371</v>
      </c>
      <c r="BS126" s="120" t="s">
        <v>94</v>
      </c>
      <c r="BT126" s="120">
        <v>9.1999999999999993</v>
      </c>
      <c r="BU126" s="120">
        <v>4.0999999999999996</v>
      </c>
      <c r="BV126" s="120">
        <v>94</v>
      </c>
      <c r="BW126" s="120">
        <v>0.8</v>
      </c>
      <c r="BX126" s="120">
        <v>1.6</v>
      </c>
      <c r="BY126" s="120" t="s">
        <v>94</v>
      </c>
      <c r="BZ126" s="120" t="s">
        <v>121</v>
      </c>
      <c r="CA126" s="120" t="s">
        <v>93</v>
      </c>
      <c r="CB126" s="120" t="s">
        <v>94</v>
      </c>
      <c r="CC126" s="120">
        <v>42354</v>
      </c>
      <c r="CD126" s="120">
        <v>42577</v>
      </c>
      <c r="CE126" s="120">
        <v>2560</v>
      </c>
      <c r="CF126" s="120">
        <v>0.15</v>
      </c>
    </row>
    <row r="127" spans="1:84" x14ac:dyDescent="0.25">
      <c r="A127" s="105" t="s">
        <v>548</v>
      </c>
      <c r="B127" s="105">
        <v>146</v>
      </c>
      <c r="C127" s="105" t="s">
        <v>92</v>
      </c>
      <c r="D127" s="105" t="s">
        <v>101</v>
      </c>
      <c r="E127" s="105" t="s">
        <v>509</v>
      </c>
      <c r="F127" s="105" t="s">
        <v>510</v>
      </c>
      <c r="G127" s="105" t="s">
        <v>511</v>
      </c>
      <c r="H127" s="105" t="s">
        <v>93</v>
      </c>
      <c r="I127" s="105">
        <v>2</v>
      </c>
      <c r="J127" s="105">
        <v>0</v>
      </c>
      <c r="K127" s="105">
        <v>1</v>
      </c>
      <c r="L127" s="105">
        <v>20</v>
      </c>
      <c r="M127" s="105">
        <v>10</v>
      </c>
      <c r="N127" s="105">
        <v>5</v>
      </c>
      <c r="O127" s="105">
        <v>26</v>
      </c>
      <c r="P127" s="105">
        <v>150</v>
      </c>
      <c r="Q127" s="105">
        <v>2.2999999999999998</v>
      </c>
      <c r="R127" s="105">
        <v>70</v>
      </c>
      <c r="S127" s="105" t="s">
        <v>94</v>
      </c>
      <c r="T127" s="105">
        <v>0.6</v>
      </c>
      <c r="U127" s="105">
        <v>1.2</v>
      </c>
      <c r="V127" s="105">
        <v>1.85</v>
      </c>
      <c r="W127" s="105">
        <v>1</v>
      </c>
      <c r="X127" s="105">
        <v>14</v>
      </c>
      <c r="Y127" s="105">
        <v>5</v>
      </c>
      <c r="Z127" s="105">
        <v>300</v>
      </c>
      <c r="AA127" s="105">
        <v>20</v>
      </c>
      <c r="AB127" s="105">
        <v>7.3</v>
      </c>
      <c r="AC127" s="105" t="s">
        <v>94</v>
      </c>
      <c r="AD127" s="105">
        <v>3.9E-2</v>
      </c>
      <c r="AE127" s="105" t="s">
        <v>94</v>
      </c>
      <c r="AF127" s="105">
        <v>2.7E-2</v>
      </c>
      <c r="AG127" s="105" t="s">
        <v>94</v>
      </c>
      <c r="AH127" s="105" t="s">
        <v>94</v>
      </c>
      <c r="AI127" s="105" t="s">
        <v>94</v>
      </c>
      <c r="AJ127" s="105">
        <v>0.48</v>
      </c>
      <c r="AK127" s="106">
        <v>4.2</v>
      </c>
      <c r="AL127" s="105" t="s">
        <v>94</v>
      </c>
      <c r="AM127" s="105">
        <v>0.5</v>
      </c>
      <c r="AN127" s="106" t="s">
        <v>94</v>
      </c>
      <c r="AO127" s="105">
        <v>1.3</v>
      </c>
      <c r="AP127" s="105">
        <v>0.46</v>
      </c>
      <c r="AQ127" s="105">
        <v>0.38</v>
      </c>
      <c r="AR127" s="105">
        <v>0.5</v>
      </c>
      <c r="AS127" s="105">
        <v>0.2</v>
      </c>
      <c r="AT127" s="105">
        <v>7.0000000000000007E-2</v>
      </c>
      <c r="AU127" s="105">
        <v>0.32</v>
      </c>
      <c r="AV127" s="105">
        <v>0.13</v>
      </c>
      <c r="AW127" s="105">
        <v>0.05</v>
      </c>
      <c r="AX127" s="105">
        <v>0.18</v>
      </c>
      <c r="AY127" s="105">
        <v>10</v>
      </c>
      <c r="AZ127" s="105">
        <v>10</v>
      </c>
      <c r="BA127" s="105">
        <v>0.1</v>
      </c>
      <c r="BB127" s="105">
        <v>2.6</v>
      </c>
      <c r="BC127" s="105">
        <v>0.46</v>
      </c>
      <c r="BD127" s="105">
        <v>12</v>
      </c>
      <c r="BE127" s="105">
        <v>4</v>
      </c>
      <c r="BF127" s="105">
        <v>2.5</v>
      </c>
      <c r="BG127" s="105">
        <v>20</v>
      </c>
      <c r="BH127" s="105">
        <v>0.2</v>
      </c>
      <c r="BI127" s="105">
        <v>20</v>
      </c>
      <c r="BJ127" s="105">
        <v>0.1</v>
      </c>
      <c r="BK127" s="105" t="s">
        <v>94</v>
      </c>
      <c r="BL127" s="105" t="s">
        <v>93</v>
      </c>
      <c r="BM127" s="105">
        <v>0.8</v>
      </c>
      <c r="BN127" s="105" t="s">
        <v>94</v>
      </c>
      <c r="BO127" s="105" t="s">
        <v>94</v>
      </c>
      <c r="BP127" s="105">
        <v>0.32</v>
      </c>
      <c r="BQ127" s="105" t="s">
        <v>92</v>
      </c>
      <c r="BR127" s="122" t="s">
        <v>512</v>
      </c>
      <c r="BS127" s="105" t="s">
        <v>94</v>
      </c>
      <c r="BT127" s="105" t="s">
        <v>94</v>
      </c>
      <c r="BU127" s="105" t="s">
        <v>94</v>
      </c>
      <c r="BV127" s="105">
        <v>7.2</v>
      </c>
      <c r="BW127" s="105">
        <v>1</v>
      </c>
      <c r="BX127" s="105">
        <v>1.1000000000000001</v>
      </c>
      <c r="BY127" s="105" t="s">
        <v>94</v>
      </c>
      <c r="BZ127" s="105" t="s">
        <v>100</v>
      </c>
      <c r="CA127" s="105" t="s">
        <v>93</v>
      </c>
      <c r="CB127" s="105" t="s">
        <v>94</v>
      </c>
      <c r="CC127" s="105" t="s">
        <v>94</v>
      </c>
      <c r="CD127" s="105" t="s">
        <v>94</v>
      </c>
      <c r="CE127" s="105">
        <v>2913</v>
      </c>
      <c r="CF127" s="105">
        <v>0.14000000000000001</v>
      </c>
    </row>
    <row r="128" spans="1:84" x14ac:dyDescent="0.25">
      <c r="A128" s="105" t="s">
        <v>550</v>
      </c>
      <c r="B128" s="105">
        <v>146</v>
      </c>
      <c r="C128" s="105" t="s">
        <v>92</v>
      </c>
      <c r="D128" s="105" t="s">
        <v>101</v>
      </c>
      <c r="E128" s="105" t="s">
        <v>509</v>
      </c>
      <c r="F128" s="105" t="s">
        <v>510</v>
      </c>
      <c r="G128" s="105" t="s">
        <v>511</v>
      </c>
      <c r="H128" s="105" t="s">
        <v>93</v>
      </c>
      <c r="I128" s="105">
        <v>2</v>
      </c>
      <c r="J128" s="105">
        <v>1</v>
      </c>
      <c r="K128" s="105">
        <v>1</v>
      </c>
      <c r="L128" s="105">
        <v>20</v>
      </c>
      <c r="M128" s="105">
        <v>10</v>
      </c>
      <c r="N128" s="105">
        <v>5</v>
      </c>
      <c r="O128" s="105">
        <v>26</v>
      </c>
      <c r="P128" s="105">
        <v>150</v>
      </c>
      <c r="Q128" s="105">
        <v>2.2999999999999998</v>
      </c>
      <c r="R128" s="105">
        <v>70</v>
      </c>
      <c r="S128" s="105" t="s">
        <v>94</v>
      </c>
      <c r="T128" s="105">
        <v>0.6</v>
      </c>
      <c r="U128" s="105">
        <v>1.2</v>
      </c>
      <c r="V128" s="105">
        <v>1.85</v>
      </c>
      <c r="W128" s="105">
        <v>1</v>
      </c>
      <c r="X128" s="105">
        <v>14</v>
      </c>
      <c r="Y128" s="105">
        <v>5</v>
      </c>
      <c r="Z128" s="105">
        <v>300</v>
      </c>
      <c r="AA128" s="105">
        <v>20</v>
      </c>
      <c r="AB128" s="105">
        <v>7.3</v>
      </c>
      <c r="AC128" s="105" t="s">
        <v>94</v>
      </c>
      <c r="AD128" s="105">
        <v>3.9E-2</v>
      </c>
      <c r="AE128" s="105" t="s">
        <v>94</v>
      </c>
      <c r="AF128" s="105">
        <v>2.7E-2</v>
      </c>
      <c r="AG128" s="105" t="s">
        <v>94</v>
      </c>
      <c r="AH128" s="105" t="s">
        <v>94</v>
      </c>
      <c r="AI128" s="105" t="s">
        <v>94</v>
      </c>
      <c r="AJ128" s="105">
        <v>0.48</v>
      </c>
      <c r="AK128" s="106">
        <v>4.2</v>
      </c>
      <c r="AL128" s="105" t="s">
        <v>94</v>
      </c>
      <c r="AM128" s="105">
        <v>0.5</v>
      </c>
      <c r="AN128" s="106" t="s">
        <v>94</v>
      </c>
      <c r="AO128" s="105">
        <v>1.3</v>
      </c>
      <c r="AP128" s="105">
        <v>0.46</v>
      </c>
      <c r="AQ128" s="105">
        <v>0.38</v>
      </c>
      <c r="AR128" s="105">
        <v>0.5</v>
      </c>
      <c r="AS128" s="105">
        <v>0.2</v>
      </c>
      <c r="AT128" s="105">
        <v>7.0000000000000007E-2</v>
      </c>
      <c r="AU128" s="105">
        <v>0.32</v>
      </c>
      <c r="AV128" s="105">
        <v>0.13</v>
      </c>
      <c r="AW128" s="105">
        <v>0.05</v>
      </c>
      <c r="AX128" s="105">
        <v>0.18</v>
      </c>
      <c r="AY128" s="105">
        <v>10</v>
      </c>
      <c r="AZ128" s="105">
        <v>10</v>
      </c>
      <c r="BA128" s="105">
        <v>0.1</v>
      </c>
      <c r="BB128" s="105">
        <v>2.6</v>
      </c>
      <c r="BC128" s="105">
        <v>0.46</v>
      </c>
      <c r="BD128" s="105">
        <v>12</v>
      </c>
      <c r="BE128" s="105">
        <v>4</v>
      </c>
      <c r="BF128" s="105">
        <v>2.5</v>
      </c>
      <c r="BG128" s="105">
        <v>20</v>
      </c>
      <c r="BH128" s="105">
        <v>0.2</v>
      </c>
      <c r="BI128" s="105">
        <v>20</v>
      </c>
      <c r="BJ128" s="105">
        <v>0.1</v>
      </c>
      <c r="BK128" s="105" t="s">
        <v>94</v>
      </c>
      <c r="BL128" s="105" t="s">
        <v>93</v>
      </c>
      <c r="BM128" s="105">
        <v>0.8</v>
      </c>
      <c r="BN128" s="105" t="s">
        <v>94</v>
      </c>
      <c r="BO128" s="105" t="s">
        <v>94</v>
      </c>
      <c r="BP128" s="105">
        <v>0.32</v>
      </c>
      <c r="BQ128" s="105" t="s">
        <v>92</v>
      </c>
      <c r="BR128" s="105" t="s">
        <v>512</v>
      </c>
      <c r="BS128" s="105" t="s">
        <v>94</v>
      </c>
      <c r="BT128" s="105" t="s">
        <v>94</v>
      </c>
      <c r="BU128" s="105" t="s">
        <v>94</v>
      </c>
      <c r="BV128" s="105">
        <v>7.2</v>
      </c>
      <c r="BW128" s="105">
        <v>1</v>
      </c>
      <c r="BX128" s="105">
        <v>1.1000000000000001</v>
      </c>
      <c r="BY128" s="105" t="s">
        <v>94</v>
      </c>
      <c r="BZ128" s="105" t="s">
        <v>100</v>
      </c>
      <c r="CA128" s="105" t="s">
        <v>93</v>
      </c>
      <c r="CB128" s="105" t="s">
        <v>94</v>
      </c>
      <c r="CC128" s="105" t="s">
        <v>94</v>
      </c>
      <c r="CD128" s="105" t="s">
        <v>94</v>
      </c>
      <c r="CE128" s="105">
        <v>2914</v>
      </c>
      <c r="CF128" s="105">
        <v>0.14000000000000001</v>
      </c>
    </row>
    <row r="129" spans="1:84" x14ac:dyDescent="0.25">
      <c r="A129" s="105" t="s">
        <v>543</v>
      </c>
      <c r="B129" s="105">
        <v>146</v>
      </c>
      <c r="C129" s="105" t="s">
        <v>92</v>
      </c>
      <c r="D129" s="105" t="s">
        <v>93</v>
      </c>
      <c r="E129" s="105" t="s">
        <v>513</v>
      </c>
      <c r="F129" s="105" t="s">
        <v>514</v>
      </c>
      <c r="G129" s="105" t="s">
        <v>517</v>
      </c>
      <c r="H129" s="105" t="s">
        <v>93</v>
      </c>
      <c r="I129" s="105">
        <v>2</v>
      </c>
      <c r="J129" s="105">
        <v>0</v>
      </c>
      <c r="K129" s="105">
        <v>1</v>
      </c>
      <c r="L129" s="105">
        <v>30</v>
      </c>
      <c r="M129" s="105">
        <v>10</v>
      </c>
      <c r="N129" s="105">
        <v>15</v>
      </c>
      <c r="O129" s="105">
        <v>40</v>
      </c>
      <c r="P129" s="105">
        <v>150</v>
      </c>
      <c r="Q129" s="105">
        <v>6</v>
      </c>
      <c r="R129" s="105">
        <v>80</v>
      </c>
      <c r="S129" s="105">
        <v>3.7</v>
      </c>
      <c r="T129" s="105">
        <v>0.75</v>
      </c>
      <c r="U129" s="105">
        <v>1.2</v>
      </c>
      <c r="V129" s="105">
        <v>2.54</v>
      </c>
      <c r="W129" s="105">
        <v>1</v>
      </c>
      <c r="X129" s="105">
        <v>11</v>
      </c>
      <c r="Y129" s="105">
        <v>4</v>
      </c>
      <c r="Z129" s="105">
        <v>300</v>
      </c>
      <c r="AA129" s="105">
        <v>43</v>
      </c>
      <c r="AB129" s="105">
        <v>3.4</v>
      </c>
      <c r="AC129" s="105" t="s">
        <v>94</v>
      </c>
      <c r="AD129" s="105" t="s">
        <v>94</v>
      </c>
      <c r="AE129" s="105" t="s">
        <v>94</v>
      </c>
      <c r="AF129" s="105">
        <v>1.61E-2</v>
      </c>
      <c r="AG129" s="105" t="s">
        <v>94</v>
      </c>
      <c r="AH129" s="105">
        <v>1.43E-2</v>
      </c>
      <c r="AI129" s="105" t="s">
        <v>94</v>
      </c>
      <c r="AJ129" s="105">
        <v>0.43</v>
      </c>
      <c r="AK129" s="106">
        <v>3.5</v>
      </c>
      <c r="AL129" s="105">
        <v>1.7</v>
      </c>
      <c r="AM129" s="105">
        <v>0.6</v>
      </c>
      <c r="AN129" s="106">
        <v>7.6</v>
      </c>
      <c r="AO129" s="105">
        <v>5.3</v>
      </c>
      <c r="AP129" s="105">
        <v>0.55400000000000005</v>
      </c>
      <c r="AQ129" s="105">
        <v>0.50900000000000001</v>
      </c>
      <c r="AR129" s="105">
        <v>0.56799999999999995</v>
      </c>
      <c r="AS129" s="105">
        <v>0.44500000000000001</v>
      </c>
      <c r="AT129" s="105">
        <v>0.222</v>
      </c>
      <c r="AU129" s="105">
        <v>0.502</v>
      </c>
      <c r="AV129" s="105">
        <v>4.24E-2</v>
      </c>
      <c r="AW129" s="105">
        <v>8.2000000000000007E-3</v>
      </c>
      <c r="AX129" s="105">
        <v>5.9799999999999999E-2</v>
      </c>
      <c r="AY129" s="105">
        <v>15</v>
      </c>
      <c r="AZ129" s="105" t="s">
        <v>94</v>
      </c>
      <c r="BA129" s="105" t="s">
        <v>94</v>
      </c>
      <c r="BB129" s="105" t="s">
        <v>94</v>
      </c>
      <c r="BC129" s="105" t="s">
        <v>94</v>
      </c>
      <c r="BD129" s="105" t="s">
        <v>94</v>
      </c>
      <c r="BE129" s="105" t="s">
        <v>94</v>
      </c>
      <c r="BF129" s="105" t="s">
        <v>94</v>
      </c>
      <c r="BG129" s="105" t="s">
        <v>94</v>
      </c>
      <c r="BH129" s="105" t="s">
        <v>94</v>
      </c>
      <c r="BI129" s="105" t="s">
        <v>94</v>
      </c>
      <c r="BJ129" s="105" t="s">
        <v>94</v>
      </c>
      <c r="BK129" s="105">
        <v>1.3149999999999999</v>
      </c>
      <c r="BL129" s="105" t="s">
        <v>92</v>
      </c>
      <c r="BM129" s="105">
        <v>0.8</v>
      </c>
      <c r="BN129" s="105" t="s">
        <v>94</v>
      </c>
      <c r="BO129" s="105" t="s">
        <v>94</v>
      </c>
      <c r="BP129" s="105">
        <v>0.50819999999999999</v>
      </c>
      <c r="BQ129" s="105" t="s">
        <v>92</v>
      </c>
      <c r="BR129" s="105" t="s">
        <v>518</v>
      </c>
      <c r="BS129" s="105" t="s">
        <v>94</v>
      </c>
      <c r="BT129" s="105">
        <v>6.8</v>
      </c>
      <c r="BU129" s="105">
        <v>1.8</v>
      </c>
      <c r="BV129" s="105">
        <v>10</v>
      </c>
      <c r="BW129" s="105">
        <v>0.3</v>
      </c>
      <c r="BX129" s="105">
        <v>1.6</v>
      </c>
      <c r="BY129" s="105" t="s">
        <v>94</v>
      </c>
      <c r="BZ129" s="105" t="s">
        <v>227</v>
      </c>
      <c r="CA129" s="105" t="s">
        <v>93</v>
      </c>
      <c r="CB129" s="105" t="s">
        <v>94</v>
      </c>
      <c r="CC129" s="105">
        <v>42452</v>
      </c>
      <c r="CD129" s="105">
        <v>42541</v>
      </c>
      <c r="CE129" s="105">
        <v>2316</v>
      </c>
      <c r="CF129" s="105">
        <v>0.36</v>
      </c>
    </row>
    <row r="130" spans="1:84" x14ac:dyDescent="0.25">
      <c r="A130" s="105" t="s">
        <v>538</v>
      </c>
      <c r="B130" s="105">
        <v>146</v>
      </c>
      <c r="C130" s="105" t="s">
        <v>92</v>
      </c>
      <c r="D130" s="105" t="s">
        <v>93</v>
      </c>
      <c r="E130" s="105" t="s">
        <v>513</v>
      </c>
      <c r="F130" s="105" t="s">
        <v>514</v>
      </c>
      <c r="G130" s="105" t="s">
        <v>517</v>
      </c>
      <c r="H130" s="105" t="s">
        <v>93</v>
      </c>
      <c r="I130" s="105">
        <v>2</v>
      </c>
      <c r="J130" s="105">
        <v>1</v>
      </c>
      <c r="K130" s="105">
        <v>1</v>
      </c>
      <c r="L130" s="105">
        <v>30</v>
      </c>
      <c r="M130" s="105">
        <v>10</v>
      </c>
      <c r="N130" s="105">
        <v>15</v>
      </c>
      <c r="O130" s="105">
        <v>40</v>
      </c>
      <c r="P130" s="105">
        <v>150</v>
      </c>
      <c r="Q130" s="105">
        <v>6</v>
      </c>
      <c r="R130" s="105">
        <v>80</v>
      </c>
      <c r="S130" s="105">
        <v>3.7</v>
      </c>
      <c r="T130" s="105">
        <v>0.75</v>
      </c>
      <c r="U130" s="105">
        <v>1.2</v>
      </c>
      <c r="V130" s="105">
        <v>2.5099999999999998</v>
      </c>
      <c r="W130" s="105">
        <v>1</v>
      </c>
      <c r="X130" s="105">
        <v>11</v>
      </c>
      <c r="Y130" s="105">
        <v>4</v>
      </c>
      <c r="Z130" s="105">
        <v>300</v>
      </c>
      <c r="AA130" s="105">
        <v>43</v>
      </c>
      <c r="AB130" s="105">
        <v>3.4</v>
      </c>
      <c r="AC130" s="105" t="s">
        <v>94</v>
      </c>
      <c r="AD130" s="105" t="s">
        <v>94</v>
      </c>
      <c r="AE130" s="105" t="s">
        <v>94</v>
      </c>
      <c r="AF130" s="105">
        <v>1.61E-2</v>
      </c>
      <c r="AG130" s="105" t="s">
        <v>94</v>
      </c>
      <c r="AH130" s="105">
        <v>1.43E-2</v>
      </c>
      <c r="AI130" s="105" t="s">
        <v>94</v>
      </c>
      <c r="AJ130" s="105">
        <v>0.43</v>
      </c>
      <c r="AK130" s="106">
        <v>3.5</v>
      </c>
      <c r="AL130" s="105">
        <v>1.7</v>
      </c>
      <c r="AM130" s="105">
        <v>0.6</v>
      </c>
      <c r="AN130" s="106">
        <v>7.6</v>
      </c>
      <c r="AO130" s="105">
        <v>5.3</v>
      </c>
      <c r="AP130" s="105">
        <v>0.54300000000000004</v>
      </c>
      <c r="AQ130" s="105">
        <v>0.50900000000000001</v>
      </c>
      <c r="AR130" s="105">
        <v>0.55700000000000005</v>
      </c>
      <c r="AS130" s="105">
        <v>0.46200000000000002</v>
      </c>
      <c r="AT130" s="105">
        <v>0.222</v>
      </c>
      <c r="AU130" s="105">
        <v>0.54</v>
      </c>
      <c r="AV130" s="105">
        <v>4.1599999999999998E-2</v>
      </c>
      <c r="AW130" s="105">
        <v>8.2000000000000007E-3</v>
      </c>
      <c r="AX130" s="105">
        <v>5.8000000000000003E-2</v>
      </c>
      <c r="AY130" s="105">
        <v>15</v>
      </c>
      <c r="AZ130" s="105" t="s">
        <v>94</v>
      </c>
      <c r="BA130" s="105" t="s">
        <v>94</v>
      </c>
      <c r="BB130" s="105" t="s">
        <v>94</v>
      </c>
      <c r="BC130" s="105" t="s">
        <v>94</v>
      </c>
      <c r="BD130" s="105" t="s">
        <v>94</v>
      </c>
      <c r="BE130" s="105" t="s">
        <v>94</v>
      </c>
      <c r="BF130" s="105" t="s">
        <v>94</v>
      </c>
      <c r="BG130" s="105" t="s">
        <v>94</v>
      </c>
      <c r="BH130" s="105" t="s">
        <v>94</v>
      </c>
      <c r="BI130" s="105" t="s">
        <v>94</v>
      </c>
      <c r="BJ130" s="105" t="s">
        <v>94</v>
      </c>
      <c r="BK130" s="105">
        <v>1.3149999999999999</v>
      </c>
      <c r="BL130" s="105" t="s">
        <v>92</v>
      </c>
      <c r="BM130" s="105">
        <v>0.8</v>
      </c>
      <c r="BN130" s="105" t="s">
        <v>94</v>
      </c>
      <c r="BO130" s="105" t="s">
        <v>94</v>
      </c>
      <c r="BP130" s="105">
        <v>0.499</v>
      </c>
      <c r="BQ130" s="105" t="s">
        <v>92</v>
      </c>
      <c r="BR130" s="105" t="s">
        <v>518</v>
      </c>
      <c r="BS130" s="105" t="s">
        <v>94</v>
      </c>
      <c r="BT130" s="105">
        <v>6.8</v>
      </c>
      <c r="BU130" s="105">
        <v>1.8</v>
      </c>
      <c r="BV130" s="105">
        <v>10</v>
      </c>
      <c r="BW130" s="105">
        <v>0.3</v>
      </c>
      <c r="BX130" s="105">
        <v>1.6</v>
      </c>
      <c r="BY130" s="105" t="s">
        <v>94</v>
      </c>
      <c r="BZ130" s="105" t="s">
        <v>227</v>
      </c>
      <c r="CA130" s="105" t="s">
        <v>93</v>
      </c>
      <c r="CB130" s="105" t="s">
        <v>94</v>
      </c>
      <c r="CC130" s="105">
        <v>42452</v>
      </c>
      <c r="CD130" s="105">
        <v>42541</v>
      </c>
      <c r="CE130" s="105">
        <v>2317</v>
      </c>
      <c r="CF130" s="105">
        <v>0.36</v>
      </c>
    </row>
    <row r="131" spans="1:84" x14ac:dyDescent="0.25">
      <c r="A131" s="105" t="s">
        <v>544</v>
      </c>
      <c r="B131" s="105">
        <v>146</v>
      </c>
      <c r="C131" s="105" t="s">
        <v>92</v>
      </c>
      <c r="D131" s="105" t="s">
        <v>93</v>
      </c>
      <c r="E131" s="105" t="s">
        <v>513</v>
      </c>
      <c r="F131" s="105" t="s">
        <v>514</v>
      </c>
      <c r="G131" s="105" t="s">
        <v>517</v>
      </c>
      <c r="H131" s="105" t="s">
        <v>93</v>
      </c>
      <c r="I131" s="105">
        <v>2</v>
      </c>
      <c r="J131" s="105">
        <v>0</v>
      </c>
      <c r="K131" s="105">
        <v>1</v>
      </c>
      <c r="L131" s="105">
        <v>30</v>
      </c>
      <c r="M131" s="105">
        <v>10</v>
      </c>
      <c r="N131" s="105">
        <v>20</v>
      </c>
      <c r="O131" s="105">
        <v>60</v>
      </c>
      <c r="P131" s="105">
        <v>150</v>
      </c>
      <c r="Q131" s="105">
        <v>6</v>
      </c>
      <c r="R131" s="105">
        <v>75</v>
      </c>
      <c r="S131" s="105">
        <v>2.1</v>
      </c>
      <c r="T131" s="105">
        <v>0.75</v>
      </c>
      <c r="U131" s="105">
        <v>1.2</v>
      </c>
      <c r="V131" s="105">
        <v>1.75</v>
      </c>
      <c r="W131" s="105">
        <v>1</v>
      </c>
      <c r="X131" s="105">
        <v>18</v>
      </c>
      <c r="Y131" s="105">
        <v>12</v>
      </c>
      <c r="Z131" s="105">
        <v>300</v>
      </c>
      <c r="AA131" s="105">
        <v>62</v>
      </c>
      <c r="AB131" s="105">
        <v>1</v>
      </c>
      <c r="AC131" s="105" t="s">
        <v>94</v>
      </c>
      <c r="AD131" s="105" t="s">
        <v>94</v>
      </c>
      <c r="AE131" s="105" t="s">
        <v>94</v>
      </c>
      <c r="AF131" s="105">
        <v>7.0000000000000001E-3</v>
      </c>
      <c r="AG131" s="105" t="s">
        <v>94</v>
      </c>
      <c r="AH131" s="105">
        <v>6.0000000000000001E-3</v>
      </c>
      <c r="AI131" s="105" t="s">
        <v>94</v>
      </c>
      <c r="AJ131" s="105">
        <v>0.4</v>
      </c>
      <c r="AK131" s="106">
        <v>6.4</v>
      </c>
      <c r="AL131" s="105">
        <v>3.7</v>
      </c>
      <c r="AM131" s="105">
        <v>0.9</v>
      </c>
      <c r="AN131" s="106">
        <v>13.6</v>
      </c>
      <c r="AO131" s="105">
        <v>10.5</v>
      </c>
      <c r="AP131" s="105">
        <v>1.02</v>
      </c>
      <c r="AQ131" s="105">
        <v>0.97099999999999997</v>
      </c>
      <c r="AR131" s="105">
        <v>1.0900000000000001</v>
      </c>
      <c r="AS131" s="105">
        <v>0.94599999999999995</v>
      </c>
      <c r="AT131" s="105">
        <v>0.45300000000000001</v>
      </c>
      <c r="AU131" s="105">
        <v>1.35</v>
      </c>
      <c r="AV131" s="105">
        <v>9.4600000000000004E-2</v>
      </c>
      <c r="AW131" s="105">
        <v>1.6E-2</v>
      </c>
      <c r="AX131" s="105">
        <v>0.157</v>
      </c>
      <c r="AY131" s="105">
        <v>15</v>
      </c>
      <c r="AZ131" s="105" t="s">
        <v>94</v>
      </c>
      <c r="BA131" s="105" t="s">
        <v>94</v>
      </c>
      <c r="BB131" s="105" t="s">
        <v>94</v>
      </c>
      <c r="BC131" s="105" t="s">
        <v>94</v>
      </c>
      <c r="BD131" s="105" t="s">
        <v>94</v>
      </c>
      <c r="BE131" s="105" t="s">
        <v>94</v>
      </c>
      <c r="BF131" s="105" t="s">
        <v>94</v>
      </c>
      <c r="BG131" s="105" t="s">
        <v>94</v>
      </c>
      <c r="BH131" s="105" t="s">
        <v>94</v>
      </c>
      <c r="BI131" s="105" t="s">
        <v>94</v>
      </c>
      <c r="BJ131" s="105" t="s">
        <v>94</v>
      </c>
      <c r="BK131" s="105">
        <v>0.75</v>
      </c>
      <c r="BL131" s="105" t="s">
        <v>92</v>
      </c>
      <c r="BM131" s="105">
        <v>0.8</v>
      </c>
      <c r="BN131" s="105" t="s">
        <v>94</v>
      </c>
      <c r="BO131" s="105" t="s">
        <v>94</v>
      </c>
      <c r="BP131" s="105">
        <v>0.93300000000000005</v>
      </c>
      <c r="BQ131" s="105" t="s">
        <v>92</v>
      </c>
      <c r="BR131" s="105" t="s">
        <v>519</v>
      </c>
      <c r="BS131" s="105" t="s">
        <v>94</v>
      </c>
      <c r="BT131" s="105">
        <v>2</v>
      </c>
      <c r="BU131" s="105">
        <v>2</v>
      </c>
      <c r="BV131" s="105">
        <v>23</v>
      </c>
      <c r="BW131" s="105">
        <v>1</v>
      </c>
      <c r="BX131" s="105">
        <v>1.9</v>
      </c>
      <c r="BY131" s="105" t="s">
        <v>94</v>
      </c>
      <c r="BZ131" s="105" t="s">
        <v>227</v>
      </c>
      <c r="CA131" s="105" t="s">
        <v>93</v>
      </c>
      <c r="CB131" s="105" t="s">
        <v>94</v>
      </c>
      <c r="CC131" s="105">
        <v>42452</v>
      </c>
      <c r="CD131" s="105">
        <v>42541</v>
      </c>
      <c r="CE131" s="105">
        <v>2318</v>
      </c>
      <c r="CF131" s="105">
        <v>0.45</v>
      </c>
    </row>
    <row r="132" spans="1:84" x14ac:dyDescent="0.25">
      <c r="A132" s="105" t="s">
        <v>539</v>
      </c>
      <c r="B132" s="105">
        <v>146</v>
      </c>
      <c r="C132" s="105" t="s">
        <v>92</v>
      </c>
      <c r="D132" s="105" t="s">
        <v>93</v>
      </c>
      <c r="E132" s="105" t="s">
        <v>513</v>
      </c>
      <c r="F132" s="105" t="s">
        <v>514</v>
      </c>
      <c r="G132" s="105" t="s">
        <v>517</v>
      </c>
      <c r="H132" s="105" t="s">
        <v>93</v>
      </c>
      <c r="I132" s="105">
        <v>2</v>
      </c>
      <c r="J132" s="105">
        <v>1</v>
      </c>
      <c r="K132" s="105">
        <v>1</v>
      </c>
      <c r="L132" s="105">
        <v>30</v>
      </c>
      <c r="M132" s="105">
        <v>10</v>
      </c>
      <c r="N132" s="105">
        <v>20</v>
      </c>
      <c r="O132" s="105">
        <v>60</v>
      </c>
      <c r="P132" s="105">
        <v>150</v>
      </c>
      <c r="Q132" s="105">
        <v>6</v>
      </c>
      <c r="R132" s="105">
        <v>75</v>
      </c>
      <c r="S132" s="105">
        <v>2.1</v>
      </c>
      <c r="T132" s="105">
        <v>0.75</v>
      </c>
      <c r="U132" s="105">
        <v>1.2</v>
      </c>
      <c r="V132" s="105">
        <v>1.74</v>
      </c>
      <c r="W132" s="105">
        <v>1</v>
      </c>
      <c r="X132" s="105">
        <v>18</v>
      </c>
      <c r="Y132" s="105">
        <v>12</v>
      </c>
      <c r="Z132" s="105">
        <v>300</v>
      </c>
      <c r="AA132" s="105">
        <v>62</v>
      </c>
      <c r="AB132" s="105">
        <v>1</v>
      </c>
      <c r="AC132" s="105" t="s">
        <v>94</v>
      </c>
      <c r="AD132" s="105" t="s">
        <v>94</v>
      </c>
      <c r="AE132" s="105" t="s">
        <v>94</v>
      </c>
      <c r="AF132" s="105">
        <v>7.0000000000000001E-3</v>
      </c>
      <c r="AG132" s="105" t="s">
        <v>94</v>
      </c>
      <c r="AH132" s="105">
        <v>6.0000000000000001E-3</v>
      </c>
      <c r="AI132" s="105" t="s">
        <v>94</v>
      </c>
      <c r="AJ132" s="105">
        <v>0.39</v>
      </c>
      <c r="AK132" s="106">
        <v>6.4</v>
      </c>
      <c r="AL132" s="105">
        <v>3.6</v>
      </c>
      <c r="AM132" s="105">
        <v>0.9</v>
      </c>
      <c r="AN132" s="106">
        <v>13.4</v>
      </c>
      <c r="AO132" s="105">
        <v>10.5</v>
      </c>
      <c r="AP132" s="105">
        <v>1.02</v>
      </c>
      <c r="AQ132" s="105">
        <v>0.97099999999999997</v>
      </c>
      <c r="AR132" s="105">
        <v>1.0900000000000001</v>
      </c>
      <c r="AS132" s="105">
        <v>0.94599999999999995</v>
      </c>
      <c r="AT132" s="105">
        <v>0.45300000000000001</v>
      </c>
      <c r="AU132" s="105">
        <v>1.35</v>
      </c>
      <c r="AV132" s="105">
        <v>9.4600000000000004E-2</v>
      </c>
      <c r="AW132" s="105">
        <v>1.6E-2</v>
      </c>
      <c r="AX132" s="105">
        <v>0.157</v>
      </c>
      <c r="AY132" s="105">
        <v>15</v>
      </c>
      <c r="AZ132" s="105" t="s">
        <v>94</v>
      </c>
      <c r="BA132" s="105" t="s">
        <v>94</v>
      </c>
      <c r="BB132" s="105" t="s">
        <v>94</v>
      </c>
      <c r="BC132" s="105" t="s">
        <v>94</v>
      </c>
      <c r="BD132" s="105" t="s">
        <v>94</v>
      </c>
      <c r="BE132" s="105" t="s">
        <v>94</v>
      </c>
      <c r="BF132" s="105" t="s">
        <v>94</v>
      </c>
      <c r="BG132" s="105" t="s">
        <v>94</v>
      </c>
      <c r="BH132" s="105" t="s">
        <v>94</v>
      </c>
      <c r="BI132" s="105" t="s">
        <v>94</v>
      </c>
      <c r="BJ132" s="105" t="s">
        <v>94</v>
      </c>
      <c r="BK132" s="105">
        <v>0.76</v>
      </c>
      <c r="BL132" s="105" t="s">
        <v>92</v>
      </c>
      <c r="BM132" s="105">
        <v>0.8</v>
      </c>
      <c r="BN132" s="105" t="s">
        <v>94</v>
      </c>
      <c r="BO132" s="105" t="s">
        <v>94</v>
      </c>
      <c r="BP132" s="105">
        <v>0.93300000000000005</v>
      </c>
      <c r="BQ132" s="105" t="s">
        <v>92</v>
      </c>
      <c r="BR132" s="105" t="s">
        <v>519</v>
      </c>
      <c r="BS132" s="105" t="s">
        <v>94</v>
      </c>
      <c r="BT132" s="105">
        <v>2</v>
      </c>
      <c r="BU132" s="105">
        <v>2</v>
      </c>
      <c r="BV132" s="105">
        <v>23</v>
      </c>
      <c r="BW132" s="105">
        <v>1</v>
      </c>
      <c r="BX132" s="105">
        <v>1.9</v>
      </c>
      <c r="BY132" s="105" t="s">
        <v>94</v>
      </c>
      <c r="BZ132" s="105" t="s">
        <v>227</v>
      </c>
      <c r="CA132" s="105" t="s">
        <v>93</v>
      </c>
      <c r="CB132" s="105" t="s">
        <v>94</v>
      </c>
      <c r="CC132" s="105">
        <v>42452</v>
      </c>
      <c r="CD132" s="105">
        <v>42541</v>
      </c>
      <c r="CE132" s="105">
        <v>2319</v>
      </c>
      <c r="CF132" s="105">
        <v>0.45</v>
      </c>
    </row>
    <row r="133" spans="1:84" x14ac:dyDescent="0.25">
      <c r="A133" s="105" t="s">
        <v>545</v>
      </c>
      <c r="B133" s="105">
        <v>146</v>
      </c>
      <c r="C133" s="105" t="s">
        <v>92</v>
      </c>
      <c r="D133" s="105" t="s">
        <v>93</v>
      </c>
      <c r="E133" s="105" t="s">
        <v>513</v>
      </c>
      <c r="F133" s="105" t="s">
        <v>515</v>
      </c>
      <c r="G133" s="105" t="s">
        <v>516</v>
      </c>
      <c r="H133" s="105" t="s">
        <v>93</v>
      </c>
      <c r="I133" s="105">
        <v>2</v>
      </c>
      <c r="J133" s="105">
        <v>0</v>
      </c>
      <c r="K133" s="105">
        <v>1</v>
      </c>
      <c r="L133" s="105">
        <v>30</v>
      </c>
      <c r="M133" s="105">
        <v>10</v>
      </c>
      <c r="N133" s="105">
        <v>40</v>
      </c>
      <c r="O133" s="105">
        <v>120</v>
      </c>
      <c r="P133" s="105">
        <v>150</v>
      </c>
      <c r="Q133" s="105">
        <v>12</v>
      </c>
      <c r="R133" s="105">
        <v>50</v>
      </c>
      <c r="S133" s="105">
        <v>2</v>
      </c>
      <c r="T133" s="105">
        <v>1.1000000000000001</v>
      </c>
      <c r="U133" s="105">
        <v>2.1</v>
      </c>
      <c r="V133" s="105">
        <v>2.4300000000000002</v>
      </c>
      <c r="W133" s="105">
        <v>1</v>
      </c>
      <c r="X133" s="105">
        <v>25</v>
      </c>
      <c r="Y133" s="105">
        <v>20</v>
      </c>
      <c r="Z133" s="105">
        <v>300</v>
      </c>
      <c r="AA133" s="105">
        <v>135</v>
      </c>
      <c r="AB133" s="105">
        <v>0.9</v>
      </c>
      <c r="AC133" s="105" t="s">
        <v>94</v>
      </c>
      <c r="AD133" s="105" t="s">
        <v>94</v>
      </c>
      <c r="AE133" s="105" t="s">
        <v>94</v>
      </c>
      <c r="AF133" s="105">
        <v>3.3999999999999998E-3</v>
      </c>
      <c r="AG133" s="105" t="s">
        <v>94</v>
      </c>
      <c r="AH133" s="105">
        <v>2.8999999999999998E-3</v>
      </c>
      <c r="AI133" s="105" t="s">
        <v>94</v>
      </c>
      <c r="AJ133" s="105">
        <v>0.35</v>
      </c>
      <c r="AK133" s="106">
        <v>16</v>
      </c>
      <c r="AL133" s="105">
        <v>7.8</v>
      </c>
      <c r="AM133" s="105">
        <v>2.8</v>
      </c>
      <c r="AN133" s="106">
        <v>35.700000000000003</v>
      </c>
      <c r="AO133" s="105">
        <v>22</v>
      </c>
      <c r="AP133" s="105">
        <v>2.84</v>
      </c>
      <c r="AQ133" s="105">
        <v>2.66</v>
      </c>
      <c r="AR133" s="105">
        <v>2.99</v>
      </c>
      <c r="AS133" s="105">
        <v>2.38</v>
      </c>
      <c r="AT133" s="105">
        <v>1.1100000000000001</v>
      </c>
      <c r="AU133" s="105">
        <v>3.12</v>
      </c>
      <c r="AV133" s="105">
        <v>0.22800000000000001</v>
      </c>
      <c r="AW133" s="105">
        <v>4.2999999999999997E-2</v>
      </c>
      <c r="AX133" s="105">
        <v>0.39100000000000001</v>
      </c>
      <c r="AY133" s="105">
        <v>15</v>
      </c>
      <c r="AZ133" s="105" t="s">
        <v>94</v>
      </c>
      <c r="BA133" s="105" t="s">
        <v>94</v>
      </c>
      <c r="BB133" s="105" t="s">
        <v>94</v>
      </c>
      <c r="BC133" s="105" t="s">
        <v>94</v>
      </c>
      <c r="BD133" s="105" t="s">
        <v>94</v>
      </c>
      <c r="BE133" s="105" t="s">
        <v>94</v>
      </c>
      <c r="BF133" s="105" t="s">
        <v>94</v>
      </c>
      <c r="BG133" s="105" t="s">
        <v>94</v>
      </c>
      <c r="BH133" s="105" t="s">
        <v>94</v>
      </c>
      <c r="BI133" s="105" t="s">
        <v>94</v>
      </c>
      <c r="BJ133" s="105" t="s">
        <v>94</v>
      </c>
      <c r="BK133" s="105">
        <v>0.27800000000000002</v>
      </c>
      <c r="BL133" s="105" t="s">
        <v>92</v>
      </c>
      <c r="BM133" s="105">
        <v>0.8</v>
      </c>
      <c r="BN133" s="105" t="s">
        <v>94</v>
      </c>
      <c r="BO133" s="105" t="s">
        <v>94</v>
      </c>
      <c r="BP133" s="105">
        <v>2.5990000000000002</v>
      </c>
      <c r="BQ133" s="105" t="s">
        <v>92</v>
      </c>
      <c r="BR133" s="105" t="s">
        <v>520</v>
      </c>
      <c r="BS133" s="105" t="s">
        <v>94</v>
      </c>
      <c r="BT133" s="105">
        <v>2</v>
      </c>
      <c r="BU133" s="105">
        <v>2.2000000000000002</v>
      </c>
      <c r="BV133" s="105">
        <v>29</v>
      </c>
      <c r="BW133" s="105">
        <v>3</v>
      </c>
      <c r="BX133" s="105">
        <v>4.9000000000000004</v>
      </c>
      <c r="BY133" s="105" t="s">
        <v>94</v>
      </c>
      <c r="BZ133" s="105" t="s">
        <v>209</v>
      </c>
      <c r="CA133" s="105" t="s">
        <v>93</v>
      </c>
      <c r="CB133" s="105" t="s">
        <v>94</v>
      </c>
      <c r="CC133" s="105">
        <v>42452</v>
      </c>
      <c r="CD133" s="105">
        <v>42600</v>
      </c>
      <c r="CE133" s="105">
        <v>2330</v>
      </c>
      <c r="CF133" s="105">
        <v>0.95</v>
      </c>
    </row>
    <row r="134" spans="1:84" x14ac:dyDescent="0.25">
      <c r="A134" s="105" t="s">
        <v>540</v>
      </c>
      <c r="B134" s="105">
        <v>146</v>
      </c>
      <c r="C134" s="105" t="s">
        <v>92</v>
      </c>
      <c r="D134" s="105" t="s">
        <v>93</v>
      </c>
      <c r="E134" s="105" t="s">
        <v>513</v>
      </c>
      <c r="F134" s="105" t="s">
        <v>515</v>
      </c>
      <c r="G134" s="105" t="s">
        <v>516</v>
      </c>
      <c r="H134" s="105" t="s">
        <v>93</v>
      </c>
      <c r="I134" s="105">
        <v>2</v>
      </c>
      <c r="J134" s="105">
        <v>1</v>
      </c>
      <c r="K134" s="105">
        <v>1</v>
      </c>
      <c r="L134" s="105">
        <v>30</v>
      </c>
      <c r="M134" s="105">
        <v>10</v>
      </c>
      <c r="N134" s="105">
        <v>40</v>
      </c>
      <c r="O134" s="105">
        <v>120</v>
      </c>
      <c r="P134" s="105">
        <v>150</v>
      </c>
      <c r="Q134" s="105">
        <v>12</v>
      </c>
      <c r="R134" s="105">
        <v>50</v>
      </c>
      <c r="S134" s="105">
        <v>2</v>
      </c>
      <c r="T134" s="105">
        <v>0.75</v>
      </c>
      <c r="U134" s="105">
        <v>1.1499999999999999</v>
      </c>
      <c r="V134" s="105">
        <v>1.78</v>
      </c>
      <c r="W134" s="105">
        <v>1</v>
      </c>
      <c r="X134" s="105">
        <v>27</v>
      </c>
      <c r="Y134" s="105">
        <v>20</v>
      </c>
      <c r="Z134" s="105">
        <v>300</v>
      </c>
      <c r="AA134" s="105">
        <v>160</v>
      </c>
      <c r="AB134" s="105">
        <v>0.7</v>
      </c>
      <c r="AC134" s="105" t="s">
        <v>94</v>
      </c>
      <c r="AD134" s="105" t="s">
        <v>94</v>
      </c>
      <c r="AE134" s="105" t="s">
        <v>94</v>
      </c>
      <c r="AF134" s="105">
        <v>2.5999999999999999E-3</v>
      </c>
      <c r="AG134" s="105" t="s">
        <v>94</v>
      </c>
      <c r="AH134" s="105">
        <v>2.3E-3</v>
      </c>
      <c r="AI134" s="105" t="s">
        <v>94</v>
      </c>
      <c r="AJ134" s="105">
        <v>0.38</v>
      </c>
      <c r="AK134" s="106">
        <v>20</v>
      </c>
      <c r="AL134" s="105">
        <v>12</v>
      </c>
      <c r="AM134" s="105">
        <v>2.4</v>
      </c>
      <c r="AN134" s="106">
        <v>44</v>
      </c>
      <c r="AO134" s="105">
        <v>26</v>
      </c>
      <c r="AP134" s="105">
        <v>3.13</v>
      </c>
      <c r="AQ134" s="105">
        <v>2.91</v>
      </c>
      <c r="AR134" s="105">
        <v>3.32</v>
      </c>
      <c r="AS134" s="105">
        <v>2.8</v>
      </c>
      <c r="AT134" s="105">
        <v>1.32</v>
      </c>
      <c r="AU134" s="105">
        <v>3.69</v>
      </c>
      <c r="AV134" s="105">
        <v>0.28199999999999997</v>
      </c>
      <c r="AW134" s="105">
        <v>5.0999999999999997E-2</v>
      </c>
      <c r="AX134" s="105">
        <v>0.503</v>
      </c>
      <c r="AY134" s="105">
        <v>15</v>
      </c>
      <c r="AZ134" s="105" t="s">
        <v>94</v>
      </c>
      <c r="BA134" s="105" t="s">
        <v>94</v>
      </c>
      <c r="BB134" s="105" t="s">
        <v>94</v>
      </c>
      <c r="BC134" s="105" t="s">
        <v>94</v>
      </c>
      <c r="BD134" s="105" t="s">
        <v>94</v>
      </c>
      <c r="BE134" s="105" t="s">
        <v>94</v>
      </c>
      <c r="BF134" s="105" t="s">
        <v>94</v>
      </c>
      <c r="BG134" s="105" t="s">
        <v>94</v>
      </c>
      <c r="BH134" s="105" t="s">
        <v>94</v>
      </c>
      <c r="BI134" s="105" t="s">
        <v>94</v>
      </c>
      <c r="BJ134" s="105" t="s">
        <v>94</v>
      </c>
      <c r="BK134" s="105">
        <v>0.22700000000000001</v>
      </c>
      <c r="BL134" s="105" t="s">
        <v>92</v>
      </c>
      <c r="BM134" s="105">
        <v>0.8</v>
      </c>
      <c r="BN134" s="105" t="s">
        <v>94</v>
      </c>
      <c r="BO134" s="105" t="s">
        <v>94</v>
      </c>
      <c r="BP134" s="105">
        <v>2.8170000000000002</v>
      </c>
      <c r="BQ134" s="105" t="s">
        <v>92</v>
      </c>
      <c r="BR134" s="105" t="s">
        <v>520</v>
      </c>
      <c r="BS134" s="105" t="s">
        <v>94</v>
      </c>
      <c r="BT134" s="105">
        <v>1.5</v>
      </c>
      <c r="BU134" s="105">
        <v>1.8</v>
      </c>
      <c r="BV134" s="105">
        <v>33</v>
      </c>
      <c r="BW134" s="105">
        <v>3.6</v>
      </c>
      <c r="BX134" s="105">
        <v>4.2</v>
      </c>
      <c r="BY134" s="105" t="s">
        <v>94</v>
      </c>
      <c r="BZ134" s="105" t="s">
        <v>209</v>
      </c>
      <c r="CA134" s="105" t="s">
        <v>93</v>
      </c>
      <c r="CB134" s="105" t="s">
        <v>94</v>
      </c>
      <c r="CC134" s="105">
        <v>42452</v>
      </c>
      <c r="CD134" s="105">
        <v>42600</v>
      </c>
      <c r="CE134" s="105">
        <v>2331</v>
      </c>
      <c r="CF134" s="105">
        <v>0.95</v>
      </c>
    </row>
    <row r="135" spans="1:84" x14ac:dyDescent="0.25">
      <c r="A135" s="105" t="s">
        <v>549</v>
      </c>
      <c r="B135" s="105">
        <v>146</v>
      </c>
      <c r="C135" s="105" t="s">
        <v>92</v>
      </c>
      <c r="D135" s="105" t="s">
        <v>101</v>
      </c>
      <c r="E135" s="105" t="s">
        <v>509</v>
      </c>
      <c r="F135" s="105" t="s">
        <v>510</v>
      </c>
      <c r="G135" s="105" t="s">
        <v>521</v>
      </c>
      <c r="H135" s="105" t="s">
        <v>93</v>
      </c>
      <c r="I135" s="105">
        <v>2</v>
      </c>
      <c r="J135" s="105">
        <v>0</v>
      </c>
      <c r="K135" s="105">
        <v>1</v>
      </c>
      <c r="L135" s="105">
        <v>30</v>
      </c>
      <c r="M135" s="105">
        <v>20</v>
      </c>
      <c r="N135" s="105">
        <v>5</v>
      </c>
      <c r="O135" s="105">
        <v>23</v>
      </c>
      <c r="P135" s="105">
        <v>150</v>
      </c>
      <c r="Q135" s="105">
        <v>2.2999999999999998</v>
      </c>
      <c r="R135" s="105">
        <v>70</v>
      </c>
      <c r="S135" s="105" t="s">
        <v>94</v>
      </c>
      <c r="T135" s="105">
        <v>1.2</v>
      </c>
      <c r="U135" s="105">
        <v>2</v>
      </c>
      <c r="V135" s="105">
        <v>2.82</v>
      </c>
      <c r="W135" s="105">
        <v>1</v>
      </c>
      <c r="X135" s="105">
        <v>6.4</v>
      </c>
      <c r="Y135" s="105">
        <v>4</v>
      </c>
      <c r="Z135" s="105">
        <v>300</v>
      </c>
      <c r="AA135" s="105">
        <v>75</v>
      </c>
      <c r="AB135" s="105">
        <v>6.9</v>
      </c>
      <c r="AC135" s="105" t="s">
        <v>94</v>
      </c>
      <c r="AD135" s="105" t="s">
        <v>94</v>
      </c>
      <c r="AE135" s="105" t="s">
        <v>94</v>
      </c>
      <c r="AF135" s="105">
        <v>4.2000000000000003E-2</v>
      </c>
      <c r="AG135" s="105" t="s">
        <v>94</v>
      </c>
      <c r="AH135" s="105" t="s">
        <v>94</v>
      </c>
      <c r="AI135" s="105">
        <v>3.2399999999999998E-2</v>
      </c>
      <c r="AJ135" s="105">
        <v>0.61</v>
      </c>
      <c r="AK135" s="106">
        <v>2.2000000000000002</v>
      </c>
      <c r="AL135" s="105" t="s">
        <v>94</v>
      </c>
      <c r="AM135" s="105">
        <v>0.5</v>
      </c>
      <c r="AN135" s="106">
        <v>4.7</v>
      </c>
      <c r="AO135" s="105">
        <v>1.4</v>
      </c>
      <c r="AP135" s="105">
        <v>0.34</v>
      </c>
      <c r="AQ135" s="105">
        <v>0.28499999999999998</v>
      </c>
      <c r="AR135" s="105">
        <v>0.36</v>
      </c>
      <c r="AS135" s="105">
        <v>0.16500000000000001</v>
      </c>
      <c r="AT135" s="105">
        <v>4.4999999999999998E-2</v>
      </c>
      <c r="AU135" s="105">
        <v>0.33</v>
      </c>
      <c r="AV135" s="105">
        <v>0.06</v>
      </c>
      <c r="AW135" s="105">
        <v>0.03</v>
      </c>
      <c r="AX135" s="105">
        <v>9.2999999999999999E-2</v>
      </c>
      <c r="AY135" s="105">
        <v>15</v>
      </c>
      <c r="AZ135" s="105">
        <v>10</v>
      </c>
      <c r="BA135" s="105">
        <v>0.1</v>
      </c>
      <c r="BB135" s="105">
        <v>1.9</v>
      </c>
      <c r="BC135" s="105">
        <v>0.55000000000000004</v>
      </c>
      <c r="BD135" s="105">
        <v>10</v>
      </c>
      <c r="BE135" s="105">
        <v>9</v>
      </c>
      <c r="BF135" s="105">
        <v>1</v>
      </c>
      <c r="BG135" s="105">
        <v>30</v>
      </c>
      <c r="BH135" s="105">
        <v>0.17</v>
      </c>
      <c r="BI135" s="105">
        <v>30</v>
      </c>
      <c r="BJ135" s="105">
        <v>0.01</v>
      </c>
      <c r="BK135" s="105" t="s">
        <v>94</v>
      </c>
      <c r="BL135" s="105" t="s">
        <v>93</v>
      </c>
      <c r="BM135" s="105">
        <v>0.85</v>
      </c>
      <c r="BN135" s="105" t="s">
        <v>94</v>
      </c>
      <c r="BO135" s="105" t="s">
        <v>94</v>
      </c>
      <c r="BP135" s="105">
        <v>0.26700000000000002</v>
      </c>
      <c r="BQ135" s="105" t="s">
        <v>92</v>
      </c>
      <c r="BR135" s="122" t="s">
        <v>522</v>
      </c>
      <c r="BS135" s="105" t="s">
        <v>94</v>
      </c>
      <c r="BT135" s="105" t="s">
        <v>94</v>
      </c>
      <c r="BU135" s="105" t="s">
        <v>94</v>
      </c>
      <c r="BV135" s="105">
        <v>4</v>
      </c>
      <c r="BW135" s="105">
        <v>0.5</v>
      </c>
      <c r="BX135" s="105">
        <v>1</v>
      </c>
      <c r="BY135" s="105" t="s">
        <v>94</v>
      </c>
      <c r="BZ135" s="105" t="s">
        <v>100</v>
      </c>
      <c r="CA135" s="105" t="s">
        <v>93</v>
      </c>
      <c r="CB135" s="105" t="s">
        <v>94</v>
      </c>
      <c r="CC135" s="105">
        <v>42374</v>
      </c>
      <c r="CD135" s="105" t="s">
        <v>94</v>
      </c>
      <c r="CE135" s="105">
        <v>2110</v>
      </c>
      <c r="CF135" s="105">
        <v>0.15</v>
      </c>
    </row>
    <row r="136" spans="1:84" x14ac:dyDescent="0.25">
      <c r="A136" s="105" t="s">
        <v>551</v>
      </c>
      <c r="B136" s="105">
        <v>146</v>
      </c>
      <c r="C136" s="105" t="s">
        <v>92</v>
      </c>
      <c r="D136" s="105" t="s">
        <v>101</v>
      </c>
      <c r="E136" s="105" t="s">
        <v>509</v>
      </c>
      <c r="F136" s="105" t="s">
        <v>510</v>
      </c>
      <c r="G136" s="105" t="s">
        <v>521</v>
      </c>
      <c r="H136" s="105" t="s">
        <v>93</v>
      </c>
      <c r="I136" s="105">
        <v>2</v>
      </c>
      <c r="J136" s="105">
        <v>1</v>
      </c>
      <c r="K136" s="105">
        <v>1</v>
      </c>
      <c r="L136" s="105">
        <v>30</v>
      </c>
      <c r="M136" s="105">
        <v>20</v>
      </c>
      <c r="N136" s="105">
        <v>5</v>
      </c>
      <c r="O136" s="105">
        <v>23</v>
      </c>
      <c r="P136" s="105">
        <v>150</v>
      </c>
      <c r="Q136" s="105">
        <v>2.2999999999999998</v>
      </c>
      <c r="R136" s="105">
        <v>70</v>
      </c>
      <c r="S136" s="105" t="s">
        <v>94</v>
      </c>
      <c r="T136" s="105">
        <v>1.2</v>
      </c>
      <c r="U136" s="105">
        <v>2</v>
      </c>
      <c r="V136" s="105">
        <v>2.82</v>
      </c>
      <c r="W136" s="105">
        <v>1</v>
      </c>
      <c r="X136" s="105">
        <v>6.4</v>
      </c>
      <c r="Y136" s="105">
        <v>4</v>
      </c>
      <c r="Z136" s="105">
        <v>300</v>
      </c>
      <c r="AA136" s="105">
        <v>75</v>
      </c>
      <c r="AB136" s="105">
        <v>6.9</v>
      </c>
      <c r="AC136" s="105" t="s">
        <v>94</v>
      </c>
      <c r="AD136" s="105" t="s">
        <v>94</v>
      </c>
      <c r="AE136" s="105" t="s">
        <v>94</v>
      </c>
      <c r="AF136" s="105">
        <v>4.2000000000000003E-2</v>
      </c>
      <c r="AG136" s="105" t="s">
        <v>94</v>
      </c>
      <c r="AH136" s="105" t="s">
        <v>94</v>
      </c>
      <c r="AI136" s="105">
        <v>3.2399999999999998E-2</v>
      </c>
      <c r="AJ136" s="105">
        <v>0.61</v>
      </c>
      <c r="AK136" s="106">
        <v>2.2000000000000002</v>
      </c>
      <c r="AL136" s="105" t="s">
        <v>94</v>
      </c>
      <c r="AM136" s="105">
        <v>0.5</v>
      </c>
      <c r="AN136" s="106">
        <v>4.7</v>
      </c>
      <c r="AO136" s="105">
        <v>1.4</v>
      </c>
      <c r="AP136" s="105">
        <v>0.34</v>
      </c>
      <c r="AQ136" s="105">
        <v>0.28499999999999998</v>
      </c>
      <c r="AR136" s="105">
        <v>0.36</v>
      </c>
      <c r="AS136" s="105">
        <v>0.16500000000000001</v>
      </c>
      <c r="AT136" s="105">
        <v>4.4999999999999998E-2</v>
      </c>
      <c r="AU136" s="105">
        <v>0.33</v>
      </c>
      <c r="AV136" s="105">
        <v>0.06</v>
      </c>
      <c r="AW136" s="105">
        <v>0.03</v>
      </c>
      <c r="AX136" s="105">
        <v>9.2999999999999999E-2</v>
      </c>
      <c r="AY136" s="105">
        <v>15</v>
      </c>
      <c r="AZ136" s="105">
        <v>10</v>
      </c>
      <c r="BA136" s="105">
        <v>0.1</v>
      </c>
      <c r="BB136" s="105">
        <v>1.9</v>
      </c>
      <c r="BC136" s="105">
        <v>0.55000000000000004</v>
      </c>
      <c r="BD136" s="105">
        <v>10</v>
      </c>
      <c r="BE136" s="105">
        <v>9</v>
      </c>
      <c r="BF136" s="105">
        <v>1</v>
      </c>
      <c r="BG136" s="105">
        <v>30</v>
      </c>
      <c r="BH136" s="105">
        <v>0.17</v>
      </c>
      <c r="BI136" s="105">
        <v>30</v>
      </c>
      <c r="BJ136" s="105">
        <v>0.01</v>
      </c>
      <c r="BK136" s="105" t="s">
        <v>94</v>
      </c>
      <c r="BL136" s="105" t="s">
        <v>93</v>
      </c>
      <c r="BM136" s="105">
        <v>0.85</v>
      </c>
      <c r="BN136" s="105" t="s">
        <v>94</v>
      </c>
      <c r="BO136" s="105" t="s">
        <v>94</v>
      </c>
      <c r="BP136" s="105">
        <v>0.26700000000000002</v>
      </c>
      <c r="BQ136" s="105" t="s">
        <v>92</v>
      </c>
      <c r="BR136" s="105" t="s">
        <v>522</v>
      </c>
      <c r="BS136" s="105" t="s">
        <v>94</v>
      </c>
      <c r="BT136" s="105" t="s">
        <v>94</v>
      </c>
      <c r="BU136" s="105" t="s">
        <v>94</v>
      </c>
      <c r="BV136" s="105">
        <v>4</v>
      </c>
      <c r="BW136" s="105">
        <v>0.5</v>
      </c>
      <c r="BX136" s="105">
        <v>1</v>
      </c>
      <c r="BY136" s="105" t="s">
        <v>94</v>
      </c>
      <c r="BZ136" s="105" t="s">
        <v>100</v>
      </c>
      <c r="CA136" s="105" t="s">
        <v>93</v>
      </c>
      <c r="CB136" s="105" t="s">
        <v>94</v>
      </c>
      <c r="CC136" s="105">
        <v>42374</v>
      </c>
      <c r="CD136" s="105" t="s">
        <v>94</v>
      </c>
      <c r="CE136" s="105">
        <v>2111</v>
      </c>
      <c r="CF136" s="105">
        <v>0.15</v>
      </c>
    </row>
    <row r="137" spans="1:84" x14ac:dyDescent="0.25">
      <c r="A137" s="105" t="s">
        <v>546</v>
      </c>
      <c r="B137" s="105">
        <v>146</v>
      </c>
      <c r="C137" s="105" t="s">
        <v>94</v>
      </c>
      <c r="D137" s="105" t="s">
        <v>101</v>
      </c>
      <c r="E137" s="105" t="s">
        <v>523</v>
      </c>
      <c r="F137" s="105" t="s">
        <v>524</v>
      </c>
      <c r="G137" s="105" t="s">
        <v>525</v>
      </c>
      <c r="H137" s="105" t="s">
        <v>93</v>
      </c>
      <c r="I137" s="105">
        <v>2</v>
      </c>
      <c r="J137" s="105">
        <v>0</v>
      </c>
      <c r="K137" s="105">
        <v>1</v>
      </c>
      <c r="L137" s="105">
        <v>60</v>
      </c>
      <c r="M137" s="105">
        <v>20</v>
      </c>
      <c r="N137" s="105">
        <v>15</v>
      </c>
      <c r="O137" s="105">
        <v>108</v>
      </c>
      <c r="P137" s="105">
        <v>150</v>
      </c>
      <c r="Q137" s="105">
        <v>2.1</v>
      </c>
      <c r="R137" s="105">
        <v>75</v>
      </c>
      <c r="S137" s="105">
        <v>20</v>
      </c>
      <c r="T137" s="105">
        <v>2.6</v>
      </c>
      <c r="U137" s="105">
        <v>3.6</v>
      </c>
      <c r="V137" s="105">
        <v>4.3899999999999997</v>
      </c>
      <c r="W137" s="105">
        <v>1</v>
      </c>
      <c r="X137" s="105">
        <v>30</v>
      </c>
      <c r="Y137" s="105" t="s">
        <v>94</v>
      </c>
      <c r="Z137" s="105" t="s">
        <v>94</v>
      </c>
      <c r="AA137" s="105">
        <v>42</v>
      </c>
      <c r="AB137" s="105">
        <v>5.5</v>
      </c>
      <c r="AC137" s="105" t="s">
        <v>94</v>
      </c>
      <c r="AD137" s="105" t="s">
        <v>94</v>
      </c>
      <c r="AE137" s="105" t="s">
        <v>94</v>
      </c>
      <c r="AF137" s="105" t="s">
        <v>94</v>
      </c>
      <c r="AG137" s="105">
        <v>1.9E-2</v>
      </c>
      <c r="AH137" s="105" t="s">
        <v>94</v>
      </c>
      <c r="AI137" s="105">
        <v>1.4999999999999999E-2</v>
      </c>
      <c r="AJ137" s="105">
        <v>0.7</v>
      </c>
      <c r="AK137" s="106">
        <v>14</v>
      </c>
      <c r="AL137" s="105" t="s">
        <v>94</v>
      </c>
      <c r="AM137" s="105">
        <v>3.4</v>
      </c>
      <c r="AN137" s="106">
        <v>18</v>
      </c>
      <c r="AO137" s="105">
        <v>25</v>
      </c>
      <c r="AP137" s="105" t="s">
        <v>94</v>
      </c>
      <c r="AQ137" s="105" t="s">
        <v>94</v>
      </c>
      <c r="AR137" s="105">
        <v>1400</v>
      </c>
      <c r="AS137" s="105" t="s">
        <v>94</v>
      </c>
      <c r="AT137" s="105" t="s">
        <v>94</v>
      </c>
      <c r="AU137" s="105">
        <v>173</v>
      </c>
      <c r="AV137" s="105" t="s">
        <v>94</v>
      </c>
      <c r="AW137" s="105" t="s">
        <v>94</v>
      </c>
      <c r="AX137" s="105">
        <v>5.2</v>
      </c>
      <c r="AY137" s="105" t="s">
        <v>94</v>
      </c>
      <c r="AZ137" s="105" t="s">
        <v>94</v>
      </c>
      <c r="BA137" s="105" t="s">
        <v>94</v>
      </c>
      <c r="BB137" s="105" t="s">
        <v>94</v>
      </c>
      <c r="BC137" s="105" t="s">
        <v>94</v>
      </c>
      <c r="BD137" s="105" t="s">
        <v>94</v>
      </c>
      <c r="BE137" s="105" t="s">
        <v>94</v>
      </c>
      <c r="BF137" s="105" t="s">
        <v>94</v>
      </c>
      <c r="BG137" s="105" t="s">
        <v>94</v>
      </c>
      <c r="BH137" s="105" t="s">
        <v>94</v>
      </c>
      <c r="BI137" s="105" t="s">
        <v>94</v>
      </c>
      <c r="BJ137" s="105" t="s">
        <v>94</v>
      </c>
      <c r="BK137" s="105" t="s">
        <v>94</v>
      </c>
      <c r="BL137" s="105" t="s">
        <v>94</v>
      </c>
      <c r="BM137" s="105">
        <v>0.8</v>
      </c>
      <c r="BN137" s="105" t="s">
        <v>94</v>
      </c>
      <c r="BO137" s="105" t="s">
        <v>94</v>
      </c>
      <c r="BP137" s="105" t="s">
        <v>94</v>
      </c>
      <c r="BQ137" s="105" t="s">
        <v>92</v>
      </c>
      <c r="BR137" s="105" t="s">
        <v>526</v>
      </c>
      <c r="BS137" s="105" t="s">
        <v>94</v>
      </c>
      <c r="BT137" s="105">
        <v>11</v>
      </c>
      <c r="BU137" s="105" t="s">
        <v>94</v>
      </c>
      <c r="BV137" s="105">
        <v>50</v>
      </c>
      <c r="BW137" s="105">
        <v>2.2999999999999998</v>
      </c>
      <c r="BX137" s="105">
        <v>4.5999999999999996</v>
      </c>
      <c r="BY137" s="105" t="s">
        <v>94</v>
      </c>
      <c r="BZ137" s="105" t="s">
        <v>527</v>
      </c>
      <c r="CA137" s="105" t="s">
        <v>93</v>
      </c>
      <c r="CB137" s="105" t="s">
        <v>94</v>
      </c>
      <c r="CC137" s="105">
        <v>42213</v>
      </c>
      <c r="CD137" s="105" t="s">
        <v>94</v>
      </c>
      <c r="CE137" s="105">
        <v>3162</v>
      </c>
      <c r="CF137" s="105">
        <v>0.36</v>
      </c>
    </row>
    <row r="138" spans="1:84" x14ac:dyDescent="0.25">
      <c r="A138" s="105" t="s">
        <v>541</v>
      </c>
      <c r="B138" s="105">
        <v>146</v>
      </c>
      <c r="C138" s="105" t="s">
        <v>94</v>
      </c>
      <c r="D138" s="105" t="s">
        <v>101</v>
      </c>
      <c r="E138" s="105" t="s">
        <v>523</v>
      </c>
      <c r="F138" s="105" t="s">
        <v>524</v>
      </c>
      <c r="G138" s="105" t="s">
        <v>525</v>
      </c>
      <c r="H138" s="105" t="s">
        <v>93</v>
      </c>
      <c r="I138" s="105">
        <v>2</v>
      </c>
      <c r="J138" s="105">
        <v>1</v>
      </c>
      <c r="K138" s="105">
        <v>1</v>
      </c>
      <c r="L138" s="105">
        <v>60</v>
      </c>
      <c r="M138" s="105">
        <v>20</v>
      </c>
      <c r="N138" s="105">
        <v>15</v>
      </c>
      <c r="O138" s="105">
        <v>108</v>
      </c>
      <c r="P138" s="105">
        <v>150</v>
      </c>
      <c r="Q138" s="105">
        <v>2.1</v>
      </c>
      <c r="R138" s="105">
        <v>75</v>
      </c>
      <c r="S138" s="105">
        <v>20</v>
      </c>
      <c r="T138" s="105">
        <v>2.6</v>
      </c>
      <c r="U138" s="105">
        <v>3.6</v>
      </c>
      <c r="V138" s="105">
        <v>4.3899999999999997</v>
      </c>
      <c r="W138" s="105">
        <v>1</v>
      </c>
      <c r="X138" s="105">
        <v>30</v>
      </c>
      <c r="Y138" s="105" t="s">
        <v>94</v>
      </c>
      <c r="Z138" s="105" t="s">
        <v>94</v>
      </c>
      <c r="AA138" s="105">
        <v>42</v>
      </c>
      <c r="AB138" s="105">
        <v>5.5</v>
      </c>
      <c r="AC138" s="105" t="s">
        <v>94</v>
      </c>
      <c r="AD138" s="105" t="s">
        <v>94</v>
      </c>
      <c r="AE138" s="105" t="s">
        <v>94</v>
      </c>
      <c r="AF138" s="105" t="s">
        <v>94</v>
      </c>
      <c r="AG138" s="105">
        <v>1.9E-2</v>
      </c>
      <c r="AH138" s="105" t="s">
        <v>94</v>
      </c>
      <c r="AI138" s="105">
        <v>1.4999999999999999E-2</v>
      </c>
      <c r="AJ138" s="105">
        <v>0.7</v>
      </c>
      <c r="AK138" s="106">
        <v>14</v>
      </c>
      <c r="AL138" s="105" t="s">
        <v>94</v>
      </c>
      <c r="AM138" s="105">
        <v>3.4</v>
      </c>
      <c r="AN138" s="106">
        <v>18</v>
      </c>
      <c r="AO138" s="105">
        <v>25</v>
      </c>
      <c r="AP138" s="105" t="s">
        <v>94</v>
      </c>
      <c r="AQ138" s="105" t="s">
        <v>94</v>
      </c>
      <c r="AR138" s="105">
        <v>1400</v>
      </c>
      <c r="AS138" s="105" t="s">
        <v>94</v>
      </c>
      <c r="AT138" s="105" t="s">
        <v>94</v>
      </c>
      <c r="AU138" s="105">
        <v>173</v>
      </c>
      <c r="AV138" s="105" t="s">
        <v>94</v>
      </c>
      <c r="AW138" s="105" t="s">
        <v>94</v>
      </c>
      <c r="AX138" s="105">
        <v>5.2</v>
      </c>
      <c r="AY138" s="105" t="s">
        <v>94</v>
      </c>
      <c r="AZ138" s="105" t="s">
        <v>94</v>
      </c>
      <c r="BA138" s="105" t="s">
        <v>94</v>
      </c>
      <c r="BB138" s="105" t="s">
        <v>94</v>
      </c>
      <c r="BC138" s="105" t="s">
        <v>94</v>
      </c>
      <c r="BD138" s="105" t="s">
        <v>94</v>
      </c>
      <c r="BE138" s="105" t="s">
        <v>94</v>
      </c>
      <c r="BF138" s="105" t="s">
        <v>94</v>
      </c>
      <c r="BG138" s="105" t="s">
        <v>94</v>
      </c>
      <c r="BH138" s="105" t="s">
        <v>94</v>
      </c>
      <c r="BI138" s="105" t="s">
        <v>94</v>
      </c>
      <c r="BJ138" s="105" t="s">
        <v>94</v>
      </c>
      <c r="BK138" s="105" t="s">
        <v>94</v>
      </c>
      <c r="BL138" s="105" t="s">
        <v>94</v>
      </c>
      <c r="BM138" s="105">
        <v>0.8</v>
      </c>
      <c r="BN138" s="105" t="s">
        <v>94</v>
      </c>
      <c r="BO138" s="105" t="s">
        <v>94</v>
      </c>
      <c r="BP138" s="105" t="s">
        <v>94</v>
      </c>
      <c r="BQ138" s="105" t="s">
        <v>92</v>
      </c>
      <c r="BR138" s="105" t="s">
        <v>526</v>
      </c>
      <c r="BS138" s="105" t="s">
        <v>94</v>
      </c>
      <c r="BT138" s="105">
        <v>11</v>
      </c>
      <c r="BU138" s="105" t="s">
        <v>94</v>
      </c>
      <c r="BV138" s="105">
        <v>50</v>
      </c>
      <c r="BW138" s="105">
        <v>2.2999999999999998</v>
      </c>
      <c r="BX138" s="105">
        <v>4.5999999999999996</v>
      </c>
      <c r="BY138" s="105" t="s">
        <v>94</v>
      </c>
      <c r="BZ138" s="105" t="s">
        <v>527</v>
      </c>
      <c r="CA138" s="105" t="s">
        <v>93</v>
      </c>
      <c r="CB138" s="105" t="s">
        <v>94</v>
      </c>
      <c r="CC138" s="105">
        <v>42213</v>
      </c>
      <c r="CD138" s="105" t="s">
        <v>94</v>
      </c>
      <c r="CE138" s="105">
        <v>3163</v>
      </c>
      <c r="CF138" s="105">
        <v>0.36</v>
      </c>
    </row>
    <row r="139" spans="1:84" s="107" customFormat="1" x14ac:dyDescent="0.25">
      <c r="A139" s="105" t="s">
        <v>547</v>
      </c>
      <c r="B139" s="105">
        <v>146</v>
      </c>
      <c r="C139" s="105" t="s">
        <v>94</v>
      </c>
      <c r="D139" s="105" t="s">
        <v>101</v>
      </c>
      <c r="E139" s="105" t="s">
        <v>523</v>
      </c>
      <c r="F139" s="105" t="s">
        <v>524</v>
      </c>
      <c r="G139" s="105" t="s">
        <v>528</v>
      </c>
      <c r="H139" s="105" t="s">
        <v>93</v>
      </c>
      <c r="I139" s="105">
        <v>2</v>
      </c>
      <c r="J139" s="105">
        <v>0</v>
      </c>
      <c r="K139" s="105">
        <v>1</v>
      </c>
      <c r="L139" s="105">
        <v>60</v>
      </c>
      <c r="M139" s="105">
        <v>20</v>
      </c>
      <c r="N139" s="105">
        <v>6.3</v>
      </c>
      <c r="O139" s="105">
        <v>46</v>
      </c>
      <c r="P139" s="105">
        <v>150</v>
      </c>
      <c r="Q139" s="105">
        <v>2.1</v>
      </c>
      <c r="R139" s="105">
        <v>75</v>
      </c>
      <c r="S139" s="105">
        <v>20</v>
      </c>
      <c r="T139" s="105">
        <v>2.6</v>
      </c>
      <c r="U139" s="105">
        <v>3.6</v>
      </c>
      <c r="V139" s="105">
        <v>4.76</v>
      </c>
      <c r="W139" s="105">
        <v>1</v>
      </c>
      <c r="X139" s="105" t="s">
        <v>94</v>
      </c>
      <c r="Y139" s="105" t="s">
        <v>94</v>
      </c>
      <c r="Z139" s="105" t="s">
        <v>94</v>
      </c>
      <c r="AA139" s="105">
        <v>19</v>
      </c>
      <c r="AB139" s="105">
        <v>6.6</v>
      </c>
      <c r="AC139" s="105" t="s">
        <v>94</v>
      </c>
      <c r="AD139" s="105" t="s">
        <v>94</v>
      </c>
      <c r="AE139" s="105" t="s">
        <v>94</v>
      </c>
      <c r="AF139" s="105" t="s">
        <v>94</v>
      </c>
      <c r="AG139" s="105">
        <v>3.4000000000000002E-2</v>
      </c>
      <c r="AH139" s="105" t="s">
        <v>94</v>
      </c>
      <c r="AI139" s="105">
        <v>2.8000000000000001E-2</v>
      </c>
      <c r="AJ139" s="105">
        <v>0.7</v>
      </c>
      <c r="AK139" s="106">
        <v>7.2</v>
      </c>
      <c r="AL139" s="105" t="s">
        <v>94</v>
      </c>
      <c r="AM139" s="105">
        <v>1.8</v>
      </c>
      <c r="AN139" s="106">
        <v>9.4</v>
      </c>
      <c r="AO139" s="105">
        <v>9.6</v>
      </c>
      <c r="AP139" s="105" t="s">
        <v>94</v>
      </c>
      <c r="AQ139" s="105" t="s">
        <v>94</v>
      </c>
      <c r="AR139" s="105" t="s">
        <v>94</v>
      </c>
      <c r="AS139" s="105" t="s">
        <v>94</v>
      </c>
      <c r="AT139" s="105" t="s">
        <v>94</v>
      </c>
      <c r="AU139" s="105" t="s">
        <v>94</v>
      </c>
      <c r="AV139" s="105" t="s">
        <v>94</v>
      </c>
      <c r="AW139" s="105" t="s">
        <v>94</v>
      </c>
      <c r="AX139" s="105" t="s">
        <v>94</v>
      </c>
      <c r="AY139" s="105" t="s">
        <v>94</v>
      </c>
      <c r="AZ139" s="105" t="s">
        <v>94</v>
      </c>
      <c r="BA139" s="105" t="s">
        <v>94</v>
      </c>
      <c r="BB139" s="105" t="s">
        <v>94</v>
      </c>
      <c r="BC139" s="105" t="s">
        <v>94</v>
      </c>
      <c r="BD139" s="105" t="s">
        <v>94</v>
      </c>
      <c r="BE139" s="105" t="s">
        <v>94</v>
      </c>
      <c r="BF139" s="105" t="s">
        <v>94</v>
      </c>
      <c r="BG139" s="105" t="s">
        <v>94</v>
      </c>
      <c r="BH139" s="105" t="s">
        <v>94</v>
      </c>
      <c r="BI139" s="105" t="s">
        <v>94</v>
      </c>
      <c r="BJ139" s="105" t="s">
        <v>94</v>
      </c>
      <c r="BK139" s="105" t="s">
        <v>94</v>
      </c>
      <c r="BL139" s="105" t="s">
        <v>94</v>
      </c>
      <c r="BM139" s="105">
        <v>0.8</v>
      </c>
      <c r="BN139" s="105" t="s">
        <v>94</v>
      </c>
      <c r="BO139" s="105" t="s">
        <v>94</v>
      </c>
      <c r="BP139" s="105" t="s">
        <v>94</v>
      </c>
      <c r="BQ139" s="105" t="s">
        <v>92</v>
      </c>
      <c r="BR139" s="105" t="s">
        <v>529</v>
      </c>
      <c r="BS139" s="105" t="s">
        <v>94</v>
      </c>
      <c r="BT139" s="105">
        <v>13.2</v>
      </c>
      <c r="BU139" s="105" t="s">
        <v>94</v>
      </c>
      <c r="BV139" s="105">
        <v>37</v>
      </c>
      <c r="BW139" s="105">
        <v>1.1000000000000001</v>
      </c>
      <c r="BX139" s="105">
        <v>2.7</v>
      </c>
      <c r="BY139" s="105" t="s">
        <v>94</v>
      </c>
      <c r="BZ139" s="105" t="s">
        <v>527</v>
      </c>
      <c r="CA139" s="105" t="s">
        <v>93</v>
      </c>
      <c r="CB139" s="105" t="s">
        <v>94</v>
      </c>
      <c r="CC139" s="105" t="s">
        <v>94</v>
      </c>
      <c r="CD139" s="105">
        <v>42104</v>
      </c>
      <c r="CE139" s="105">
        <v>2837</v>
      </c>
      <c r="CF139" s="105">
        <v>0.22</v>
      </c>
    </row>
    <row r="140" spans="1:84" s="107" customFormat="1" x14ac:dyDescent="0.25">
      <c r="A140" s="105" t="s">
        <v>542</v>
      </c>
      <c r="B140" s="105">
        <v>146</v>
      </c>
      <c r="C140" s="105" t="s">
        <v>94</v>
      </c>
      <c r="D140" s="105" t="s">
        <v>101</v>
      </c>
      <c r="E140" s="105" t="s">
        <v>523</v>
      </c>
      <c r="F140" s="105" t="s">
        <v>524</v>
      </c>
      <c r="G140" s="105" t="s">
        <v>530</v>
      </c>
      <c r="H140" s="105" t="s">
        <v>93</v>
      </c>
      <c r="I140" s="105">
        <v>2</v>
      </c>
      <c r="J140" s="105">
        <v>1</v>
      </c>
      <c r="K140" s="105">
        <v>1</v>
      </c>
      <c r="L140" s="105">
        <v>60</v>
      </c>
      <c r="M140" s="105">
        <v>20</v>
      </c>
      <c r="N140" s="105">
        <v>6.3</v>
      </c>
      <c r="O140" s="105">
        <v>46</v>
      </c>
      <c r="P140" s="105">
        <v>150</v>
      </c>
      <c r="Q140" s="105">
        <v>2.1</v>
      </c>
      <c r="R140" s="105">
        <v>75</v>
      </c>
      <c r="S140" s="105">
        <v>20</v>
      </c>
      <c r="T140" s="105">
        <v>2.6</v>
      </c>
      <c r="U140" s="105">
        <v>3.6</v>
      </c>
      <c r="V140" s="105">
        <v>4.76</v>
      </c>
      <c r="W140" s="105">
        <v>1</v>
      </c>
      <c r="X140" s="105" t="s">
        <v>94</v>
      </c>
      <c r="Y140" s="105" t="s">
        <v>94</v>
      </c>
      <c r="Z140" s="105" t="s">
        <v>94</v>
      </c>
      <c r="AA140" s="105">
        <v>19</v>
      </c>
      <c r="AB140" s="105">
        <v>6.6</v>
      </c>
      <c r="AC140" s="105" t="s">
        <v>94</v>
      </c>
      <c r="AD140" s="105" t="s">
        <v>94</v>
      </c>
      <c r="AE140" s="105" t="s">
        <v>94</v>
      </c>
      <c r="AF140" s="105" t="s">
        <v>94</v>
      </c>
      <c r="AG140" s="105">
        <v>3.4000000000000002E-2</v>
      </c>
      <c r="AH140" s="105" t="s">
        <v>94</v>
      </c>
      <c r="AI140" s="105">
        <v>2.8000000000000001E-2</v>
      </c>
      <c r="AJ140" s="105">
        <v>0.7</v>
      </c>
      <c r="AK140" s="106">
        <v>7.2</v>
      </c>
      <c r="AL140" s="105" t="s">
        <v>94</v>
      </c>
      <c r="AM140" s="105">
        <v>1.8</v>
      </c>
      <c r="AN140" s="106">
        <v>9.4</v>
      </c>
      <c r="AO140" s="105">
        <v>9.6</v>
      </c>
      <c r="AP140" s="105" t="s">
        <v>94</v>
      </c>
      <c r="AQ140" s="105" t="s">
        <v>94</v>
      </c>
      <c r="AR140" s="105" t="s">
        <v>94</v>
      </c>
      <c r="AS140" s="105" t="s">
        <v>94</v>
      </c>
      <c r="AT140" s="105" t="s">
        <v>94</v>
      </c>
      <c r="AU140" s="105" t="s">
        <v>94</v>
      </c>
      <c r="AV140" s="105" t="s">
        <v>94</v>
      </c>
      <c r="AW140" s="105" t="s">
        <v>94</v>
      </c>
      <c r="AX140" s="105" t="s">
        <v>94</v>
      </c>
      <c r="AY140" s="105" t="s">
        <v>94</v>
      </c>
      <c r="AZ140" s="105" t="s">
        <v>94</v>
      </c>
      <c r="BA140" s="105" t="s">
        <v>94</v>
      </c>
      <c r="BB140" s="105" t="s">
        <v>94</v>
      </c>
      <c r="BC140" s="105" t="s">
        <v>94</v>
      </c>
      <c r="BD140" s="105" t="s">
        <v>94</v>
      </c>
      <c r="BE140" s="105" t="s">
        <v>94</v>
      </c>
      <c r="BF140" s="105" t="s">
        <v>94</v>
      </c>
      <c r="BG140" s="105" t="s">
        <v>94</v>
      </c>
      <c r="BH140" s="105" t="s">
        <v>94</v>
      </c>
      <c r="BI140" s="105" t="s">
        <v>94</v>
      </c>
      <c r="BJ140" s="105" t="s">
        <v>94</v>
      </c>
      <c r="BK140" s="105" t="s">
        <v>94</v>
      </c>
      <c r="BL140" s="105" t="s">
        <v>94</v>
      </c>
      <c r="BM140" s="105">
        <v>0.8</v>
      </c>
      <c r="BN140" s="105" t="s">
        <v>94</v>
      </c>
      <c r="BO140" s="105" t="s">
        <v>94</v>
      </c>
      <c r="BP140" s="105" t="s">
        <v>94</v>
      </c>
      <c r="BQ140" s="105" t="s">
        <v>92</v>
      </c>
      <c r="BR140" s="105" t="s">
        <v>529</v>
      </c>
      <c r="BS140" s="105" t="s">
        <v>94</v>
      </c>
      <c r="BT140" s="105">
        <v>13.2</v>
      </c>
      <c r="BU140" s="105" t="s">
        <v>94</v>
      </c>
      <c r="BV140" s="105">
        <v>37</v>
      </c>
      <c r="BW140" s="105">
        <v>1.1000000000000001</v>
      </c>
      <c r="BX140" s="105">
        <v>2.7</v>
      </c>
      <c r="BY140" s="105" t="s">
        <v>94</v>
      </c>
      <c r="BZ140" s="105" t="s">
        <v>527</v>
      </c>
      <c r="CA140" s="105" t="s">
        <v>93</v>
      </c>
      <c r="CB140" s="105" t="s">
        <v>94</v>
      </c>
      <c r="CC140" s="105" t="s">
        <v>94</v>
      </c>
      <c r="CD140" s="105">
        <v>42643</v>
      </c>
      <c r="CE140" s="105">
        <v>2838</v>
      </c>
      <c r="CF140" s="105">
        <v>0.22</v>
      </c>
    </row>
    <row r="141" spans="1:84" s="107" customFormat="1" x14ac:dyDescent="0.25">
      <c r="A141" s="107" t="s">
        <v>584</v>
      </c>
      <c r="B141" s="107">
        <v>146</v>
      </c>
      <c r="C141" s="107" t="s">
        <v>94</v>
      </c>
      <c r="D141" s="107" t="s">
        <v>101</v>
      </c>
      <c r="E141" s="107" t="s">
        <v>94</v>
      </c>
      <c r="F141" s="107" t="s">
        <v>94</v>
      </c>
      <c r="G141" s="107" t="s">
        <v>394</v>
      </c>
      <c r="H141" s="107" t="s">
        <v>93</v>
      </c>
      <c r="I141" s="107">
        <v>2</v>
      </c>
      <c r="J141" s="107">
        <v>0</v>
      </c>
      <c r="K141" s="107">
        <v>1</v>
      </c>
      <c r="L141" s="107">
        <v>40</v>
      </c>
      <c r="M141" s="107">
        <v>20</v>
      </c>
      <c r="N141" s="107">
        <v>50</v>
      </c>
      <c r="O141" s="107">
        <v>400</v>
      </c>
      <c r="P141" s="107">
        <v>150</v>
      </c>
      <c r="Q141" s="107">
        <v>12</v>
      </c>
      <c r="R141" s="107">
        <v>50</v>
      </c>
      <c r="S141" s="107">
        <v>1.1000000000000001</v>
      </c>
      <c r="T141" s="107">
        <v>1.2</v>
      </c>
      <c r="U141" s="107">
        <v>2.2999999999999998</v>
      </c>
      <c r="V141" s="107">
        <v>2.65</v>
      </c>
      <c r="W141" s="107">
        <v>1</v>
      </c>
      <c r="X141" s="107" t="s">
        <v>94</v>
      </c>
      <c r="Y141" s="107" t="s">
        <v>94</v>
      </c>
      <c r="Z141" s="107" t="s">
        <v>94</v>
      </c>
      <c r="AA141" s="107">
        <v>149</v>
      </c>
      <c r="AB141" s="107">
        <v>1</v>
      </c>
      <c r="AC141" s="107" t="s">
        <v>94</v>
      </c>
      <c r="AD141" s="107" t="s">
        <v>94</v>
      </c>
      <c r="AE141" s="107" t="s">
        <v>94</v>
      </c>
      <c r="AF141" s="107">
        <v>1.5E-3</v>
      </c>
      <c r="AG141" s="107" t="s">
        <v>94</v>
      </c>
      <c r="AH141" s="107" t="s">
        <v>94</v>
      </c>
      <c r="AI141" s="107">
        <v>9.5E-4</v>
      </c>
      <c r="AJ141" s="107">
        <v>0.7</v>
      </c>
      <c r="AK141" s="107">
        <v>68</v>
      </c>
      <c r="AL141" s="107" t="s">
        <v>94</v>
      </c>
      <c r="AM141" s="107">
        <v>16</v>
      </c>
      <c r="AN141" s="107">
        <v>137</v>
      </c>
      <c r="AO141" s="107">
        <v>42</v>
      </c>
      <c r="AP141" s="107" t="s">
        <v>94</v>
      </c>
      <c r="AQ141" s="107" t="s">
        <v>94</v>
      </c>
      <c r="AR141" s="107" t="s">
        <v>94</v>
      </c>
      <c r="AS141" s="107" t="s">
        <v>94</v>
      </c>
      <c r="AT141" s="107" t="s">
        <v>94</v>
      </c>
      <c r="AU141" s="107" t="s">
        <v>94</v>
      </c>
      <c r="AV141" s="107" t="s">
        <v>94</v>
      </c>
      <c r="AW141" s="107" t="s">
        <v>94</v>
      </c>
      <c r="AX141" s="107" t="s">
        <v>94</v>
      </c>
      <c r="AY141" s="107" t="s">
        <v>94</v>
      </c>
      <c r="AZ141" s="107" t="s">
        <v>94</v>
      </c>
      <c r="BA141" s="107" t="s">
        <v>94</v>
      </c>
      <c r="BB141" s="107" t="s">
        <v>94</v>
      </c>
      <c r="BC141" s="107" t="s">
        <v>94</v>
      </c>
      <c r="BD141" s="107" t="s">
        <v>94</v>
      </c>
      <c r="BE141" s="107" t="s">
        <v>94</v>
      </c>
      <c r="BF141" s="107" t="s">
        <v>94</v>
      </c>
      <c r="BG141" s="107" t="s">
        <v>94</v>
      </c>
      <c r="BH141" s="107" t="s">
        <v>94</v>
      </c>
      <c r="BI141" s="107" t="s">
        <v>94</v>
      </c>
      <c r="BJ141" s="107" t="s">
        <v>94</v>
      </c>
      <c r="BK141" s="107" t="s">
        <v>94</v>
      </c>
      <c r="BL141" s="107" t="s">
        <v>92</v>
      </c>
      <c r="BM141" s="107">
        <v>0.75</v>
      </c>
      <c r="BN141" s="107" t="s">
        <v>92</v>
      </c>
      <c r="BO141" s="107" t="s">
        <v>94</v>
      </c>
      <c r="BP141" s="107" t="s">
        <v>94</v>
      </c>
      <c r="BQ141" s="107" t="s">
        <v>92</v>
      </c>
      <c r="BR141" s="108" t="s">
        <v>588</v>
      </c>
      <c r="BS141" s="107" t="s">
        <v>94</v>
      </c>
      <c r="BT141" s="107">
        <v>2</v>
      </c>
      <c r="BU141" s="107" t="s">
        <v>94</v>
      </c>
      <c r="BV141" s="107">
        <v>34</v>
      </c>
      <c r="BW141" s="107">
        <v>26</v>
      </c>
      <c r="BX141" s="107">
        <v>24</v>
      </c>
      <c r="BY141" s="107" t="s">
        <v>94</v>
      </c>
      <c r="BZ141" s="107" t="s">
        <v>114</v>
      </c>
      <c r="CA141" s="107" t="s">
        <v>93</v>
      </c>
      <c r="CB141" s="107" t="s">
        <v>94</v>
      </c>
      <c r="CC141" s="107" t="s">
        <v>94</v>
      </c>
      <c r="CD141" s="107" t="s">
        <v>94</v>
      </c>
      <c r="CE141" s="107" t="s">
        <v>94</v>
      </c>
      <c r="CF141" s="107">
        <v>1.39</v>
      </c>
    </row>
    <row r="142" spans="1:84" s="107" customFormat="1" x14ac:dyDescent="0.25">
      <c r="A142" s="107" t="s">
        <v>585</v>
      </c>
      <c r="B142" s="107">
        <v>146</v>
      </c>
      <c r="C142" s="107" t="s">
        <v>94</v>
      </c>
      <c r="D142" s="107" t="s">
        <v>101</v>
      </c>
      <c r="E142" s="107" t="s">
        <v>94</v>
      </c>
      <c r="F142" s="107" t="s">
        <v>94</v>
      </c>
      <c r="G142" s="107" t="s">
        <v>394</v>
      </c>
      <c r="H142" s="107" t="s">
        <v>93</v>
      </c>
      <c r="I142" s="107">
        <v>2</v>
      </c>
      <c r="J142" s="107">
        <v>1</v>
      </c>
      <c r="K142" s="107">
        <v>1</v>
      </c>
      <c r="L142" s="107">
        <v>40</v>
      </c>
      <c r="M142" s="107">
        <v>20</v>
      </c>
      <c r="N142" s="107">
        <v>50</v>
      </c>
      <c r="O142" s="107">
        <v>400</v>
      </c>
      <c r="P142" s="107">
        <v>150</v>
      </c>
      <c r="Q142" s="107">
        <v>12</v>
      </c>
      <c r="R142" s="107">
        <v>50</v>
      </c>
      <c r="S142" s="107">
        <v>1.1000000000000001</v>
      </c>
      <c r="T142" s="107">
        <v>1.2</v>
      </c>
      <c r="U142" s="107">
        <v>2.2999999999999998</v>
      </c>
      <c r="V142" s="107">
        <v>2.65</v>
      </c>
      <c r="W142" s="107">
        <v>1</v>
      </c>
      <c r="X142" s="107" t="s">
        <v>94</v>
      </c>
      <c r="Y142" s="107" t="s">
        <v>94</v>
      </c>
      <c r="Z142" s="107" t="s">
        <v>94</v>
      </c>
      <c r="AA142" s="107">
        <v>149</v>
      </c>
      <c r="AB142" s="107">
        <v>1</v>
      </c>
      <c r="AC142" s="107" t="s">
        <v>94</v>
      </c>
      <c r="AD142" s="107" t="s">
        <v>94</v>
      </c>
      <c r="AE142" s="107" t="s">
        <v>94</v>
      </c>
      <c r="AF142" s="107">
        <v>1.5E-3</v>
      </c>
      <c r="AG142" s="107" t="s">
        <v>94</v>
      </c>
      <c r="AH142" s="107" t="s">
        <v>94</v>
      </c>
      <c r="AI142" s="107">
        <v>9.5E-4</v>
      </c>
      <c r="AJ142" s="107">
        <v>0.7</v>
      </c>
      <c r="AK142" s="107">
        <v>68</v>
      </c>
      <c r="AL142" s="107" t="s">
        <v>94</v>
      </c>
      <c r="AM142" s="107">
        <v>16</v>
      </c>
      <c r="AN142" s="107">
        <v>137</v>
      </c>
      <c r="AO142" s="107">
        <v>42</v>
      </c>
      <c r="AP142" s="107" t="s">
        <v>94</v>
      </c>
      <c r="AQ142" s="107" t="s">
        <v>94</v>
      </c>
      <c r="AR142" s="107" t="s">
        <v>94</v>
      </c>
      <c r="AS142" s="107" t="s">
        <v>94</v>
      </c>
      <c r="AT142" s="107" t="s">
        <v>94</v>
      </c>
      <c r="AU142" s="107" t="s">
        <v>94</v>
      </c>
      <c r="AV142" s="107" t="s">
        <v>94</v>
      </c>
      <c r="AW142" s="107" t="s">
        <v>94</v>
      </c>
      <c r="AX142" s="107" t="s">
        <v>94</v>
      </c>
      <c r="AY142" s="107" t="s">
        <v>94</v>
      </c>
      <c r="AZ142" s="107" t="s">
        <v>94</v>
      </c>
      <c r="BA142" s="107" t="s">
        <v>94</v>
      </c>
      <c r="BB142" s="107" t="s">
        <v>94</v>
      </c>
      <c r="BC142" s="107" t="s">
        <v>94</v>
      </c>
      <c r="BD142" s="107" t="s">
        <v>94</v>
      </c>
      <c r="BE142" s="107" t="s">
        <v>94</v>
      </c>
      <c r="BF142" s="107" t="s">
        <v>94</v>
      </c>
      <c r="BG142" s="107" t="s">
        <v>94</v>
      </c>
      <c r="BH142" s="107" t="s">
        <v>94</v>
      </c>
      <c r="BI142" s="107" t="s">
        <v>94</v>
      </c>
      <c r="BJ142" s="107" t="s">
        <v>94</v>
      </c>
      <c r="BK142" s="107" t="s">
        <v>94</v>
      </c>
      <c r="BL142" s="107" t="s">
        <v>92</v>
      </c>
      <c r="BM142" s="107">
        <v>0.75</v>
      </c>
      <c r="BN142" s="107" t="s">
        <v>92</v>
      </c>
      <c r="BO142" s="107" t="s">
        <v>94</v>
      </c>
      <c r="BP142" s="107" t="s">
        <v>94</v>
      </c>
      <c r="BQ142" s="107" t="s">
        <v>92</v>
      </c>
      <c r="BR142" s="108" t="s">
        <v>588</v>
      </c>
      <c r="BS142" s="107" t="s">
        <v>94</v>
      </c>
      <c r="BT142" s="107">
        <v>2</v>
      </c>
      <c r="BU142" s="107" t="s">
        <v>94</v>
      </c>
      <c r="BV142" s="107">
        <v>34</v>
      </c>
      <c r="BW142" s="107">
        <v>26</v>
      </c>
      <c r="BX142" s="107">
        <v>24</v>
      </c>
      <c r="BY142" s="107" t="s">
        <v>94</v>
      </c>
      <c r="BZ142" s="107" t="s">
        <v>114</v>
      </c>
      <c r="CA142" s="107" t="s">
        <v>93</v>
      </c>
      <c r="CB142" s="107" t="s">
        <v>94</v>
      </c>
      <c r="CC142" s="107" t="s">
        <v>94</v>
      </c>
      <c r="CD142" s="107" t="s">
        <v>94</v>
      </c>
      <c r="CE142" s="107" t="s">
        <v>94</v>
      </c>
      <c r="CF142" s="107">
        <v>1.39</v>
      </c>
    </row>
    <row r="143" spans="1:84" x14ac:dyDescent="0.25">
      <c r="A143" s="107" t="s">
        <v>586</v>
      </c>
      <c r="B143" s="107">
        <v>146</v>
      </c>
      <c r="C143" s="107" t="s">
        <v>94</v>
      </c>
      <c r="D143" s="107" t="s">
        <v>101</v>
      </c>
      <c r="E143" s="107" t="s">
        <v>94</v>
      </c>
      <c r="F143" s="107" t="s">
        <v>94</v>
      </c>
      <c r="G143" s="107" t="s">
        <v>394</v>
      </c>
      <c r="H143" s="107" t="s">
        <v>93</v>
      </c>
      <c r="I143" s="107">
        <v>2</v>
      </c>
      <c r="J143" s="107">
        <v>0</v>
      </c>
      <c r="K143" s="107">
        <v>1</v>
      </c>
      <c r="L143" s="107">
        <v>60</v>
      </c>
      <c r="M143" s="107">
        <v>20</v>
      </c>
      <c r="N143" s="107">
        <v>40</v>
      </c>
      <c r="O143" s="107">
        <v>400</v>
      </c>
      <c r="P143" s="107">
        <v>150</v>
      </c>
      <c r="Q143" s="107">
        <v>12</v>
      </c>
      <c r="R143" s="107">
        <v>50</v>
      </c>
      <c r="S143" s="107">
        <v>1.1000000000000001</v>
      </c>
      <c r="T143" s="107">
        <v>1.4</v>
      </c>
      <c r="U143" s="107">
        <v>2.7</v>
      </c>
      <c r="V143" s="107">
        <v>3.2</v>
      </c>
      <c r="W143" s="107">
        <v>1</v>
      </c>
      <c r="X143" s="107" t="s">
        <v>94</v>
      </c>
      <c r="Y143" s="107" t="s">
        <v>94</v>
      </c>
      <c r="Z143" s="107" t="s">
        <v>94</v>
      </c>
      <c r="AA143" s="107">
        <v>130</v>
      </c>
      <c r="AB143" s="107">
        <v>0.9</v>
      </c>
      <c r="AC143" s="107" t="s">
        <v>94</v>
      </c>
      <c r="AD143" s="107" t="s">
        <v>94</v>
      </c>
      <c r="AE143" s="107" t="s">
        <v>94</v>
      </c>
      <c r="AF143" s="107">
        <v>3.3E-3</v>
      </c>
      <c r="AG143" s="107" t="s">
        <v>94</v>
      </c>
      <c r="AH143" s="107" t="s">
        <v>94</v>
      </c>
      <c r="AI143" s="107">
        <v>2.0999999999999999E-3</v>
      </c>
      <c r="AJ143" s="107">
        <v>0.7</v>
      </c>
      <c r="AK143" s="107">
        <v>21</v>
      </c>
      <c r="AL143" s="107" t="s">
        <v>94</v>
      </c>
      <c r="AM143" s="107">
        <v>6.3</v>
      </c>
      <c r="AN143" s="107">
        <v>27</v>
      </c>
      <c r="AO143" s="107">
        <v>100</v>
      </c>
      <c r="AP143" s="107" t="s">
        <v>94</v>
      </c>
      <c r="AQ143" s="107" t="s">
        <v>94</v>
      </c>
      <c r="AR143" s="107" t="s">
        <v>94</v>
      </c>
      <c r="AS143" s="107" t="s">
        <v>94</v>
      </c>
      <c r="AT143" s="107" t="s">
        <v>94</v>
      </c>
      <c r="AU143" s="107" t="s">
        <v>94</v>
      </c>
      <c r="AV143" s="107" t="s">
        <v>94</v>
      </c>
      <c r="AW143" s="107" t="s">
        <v>94</v>
      </c>
      <c r="AX143" s="107" t="s">
        <v>94</v>
      </c>
      <c r="AY143" s="107" t="s">
        <v>94</v>
      </c>
      <c r="AZ143" s="107" t="s">
        <v>94</v>
      </c>
      <c r="BA143" s="107" t="s">
        <v>94</v>
      </c>
      <c r="BB143" s="107" t="s">
        <v>94</v>
      </c>
      <c r="BC143" s="107" t="s">
        <v>94</v>
      </c>
      <c r="BD143" s="107" t="s">
        <v>94</v>
      </c>
      <c r="BE143" s="107" t="s">
        <v>94</v>
      </c>
      <c r="BF143" s="107" t="s">
        <v>94</v>
      </c>
      <c r="BG143" s="107" t="s">
        <v>94</v>
      </c>
      <c r="BH143" s="107" t="s">
        <v>94</v>
      </c>
      <c r="BI143" s="107" t="s">
        <v>94</v>
      </c>
      <c r="BJ143" s="107" t="s">
        <v>94</v>
      </c>
      <c r="BK143" s="107" t="s">
        <v>94</v>
      </c>
      <c r="BL143" s="107" t="s">
        <v>92</v>
      </c>
      <c r="BM143" s="107">
        <v>0.8</v>
      </c>
      <c r="BN143" s="107" t="s">
        <v>92</v>
      </c>
      <c r="BO143" s="107" t="s">
        <v>94</v>
      </c>
      <c r="BP143" s="107" t="s">
        <v>94</v>
      </c>
      <c r="BQ143" s="107" t="s">
        <v>92</v>
      </c>
      <c r="BR143" s="108" t="s">
        <v>589</v>
      </c>
      <c r="BS143" s="107" t="s">
        <v>94</v>
      </c>
      <c r="BT143" s="107">
        <v>1.8</v>
      </c>
      <c r="BU143" s="107" t="s">
        <v>94</v>
      </c>
      <c r="BV143" s="107">
        <v>172</v>
      </c>
      <c r="BW143" s="107">
        <v>7</v>
      </c>
      <c r="BX143" s="107">
        <v>10.1</v>
      </c>
      <c r="BY143" s="107" t="s">
        <v>94</v>
      </c>
      <c r="BZ143" s="107" t="s">
        <v>114</v>
      </c>
      <c r="CA143" s="107" t="s">
        <v>93</v>
      </c>
      <c r="CB143" s="107" t="s">
        <v>94</v>
      </c>
      <c r="CC143" s="107" t="s">
        <v>94</v>
      </c>
      <c r="CD143" s="107" t="s">
        <v>94</v>
      </c>
      <c r="CE143" s="107" t="s">
        <v>94</v>
      </c>
      <c r="CF143" s="107">
        <v>1.54</v>
      </c>
    </row>
    <row r="144" spans="1:84" x14ac:dyDescent="0.25">
      <c r="A144" s="107" t="s">
        <v>587</v>
      </c>
      <c r="B144" s="107">
        <v>146</v>
      </c>
      <c r="C144" s="107" t="s">
        <v>94</v>
      </c>
      <c r="D144" s="107" t="s">
        <v>101</v>
      </c>
      <c r="E144" s="107" t="s">
        <v>94</v>
      </c>
      <c r="F144" s="107" t="s">
        <v>94</v>
      </c>
      <c r="G144" s="107" t="s">
        <v>394</v>
      </c>
      <c r="H144" s="107" t="s">
        <v>93</v>
      </c>
      <c r="I144" s="107">
        <v>2</v>
      </c>
      <c r="J144" s="107">
        <v>1</v>
      </c>
      <c r="K144" s="107">
        <v>1</v>
      </c>
      <c r="L144" s="107">
        <v>60</v>
      </c>
      <c r="M144" s="107">
        <v>20</v>
      </c>
      <c r="N144" s="107">
        <v>40</v>
      </c>
      <c r="O144" s="107">
        <v>400</v>
      </c>
      <c r="P144" s="107">
        <v>150</v>
      </c>
      <c r="Q144" s="107">
        <v>12</v>
      </c>
      <c r="R144" s="107">
        <v>50</v>
      </c>
      <c r="S144" s="107">
        <v>1.1000000000000001</v>
      </c>
      <c r="T144" s="107">
        <v>1.4</v>
      </c>
      <c r="U144" s="107">
        <v>2.7</v>
      </c>
      <c r="V144" s="107">
        <v>3.2</v>
      </c>
      <c r="W144" s="107">
        <v>1</v>
      </c>
      <c r="X144" s="107" t="s">
        <v>94</v>
      </c>
      <c r="Y144" s="107" t="s">
        <v>94</v>
      </c>
      <c r="Z144" s="107" t="s">
        <v>94</v>
      </c>
      <c r="AA144" s="107">
        <v>130</v>
      </c>
      <c r="AB144" s="107">
        <v>0.9</v>
      </c>
      <c r="AC144" s="107" t="s">
        <v>94</v>
      </c>
      <c r="AD144" s="107" t="s">
        <v>94</v>
      </c>
      <c r="AE144" s="107" t="s">
        <v>94</v>
      </c>
      <c r="AF144" s="107">
        <v>3.3E-3</v>
      </c>
      <c r="AG144" s="107" t="s">
        <v>94</v>
      </c>
      <c r="AH144" s="107" t="s">
        <v>94</v>
      </c>
      <c r="AI144" s="107">
        <v>2.0999999999999999E-3</v>
      </c>
      <c r="AJ144" s="107">
        <v>0.7</v>
      </c>
      <c r="AK144" s="107">
        <v>21</v>
      </c>
      <c r="AL144" s="107" t="s">
        <v>94</v>
      </c>
      <c r="AM144" s="107">
        <v>6.3</v>
      </c>
      <c r="AN144" s="107">
        <v>27</v>
      </c>
      <c r="AO144" s="107">
        <v>100</v>
      </c>
      <c r="AP144" s="107" t="s">
        <v>94</v>
      </c>
      <c r="AQ144" s="107" t="s">
        <v>94</v>
      </c>
      <c r="AR144" s="107" t="s">
        <v>94</v>
      </c>
      <c r="AS144" s="107" t="s">
        <v>94</v>
      </c>
      <c r="AT144" s="107" t="s">
        <v>94</v>
      </c>
      <c r="AU144" s="107" t="s">
        <v>94</v>
      </c>
      <c r="AV144" s="107" t="s">
        <v>94</v>
      </c>
      <c r="AW144" s="107" t="s">
        <v>94</v>
      </c>
      <c r="AX144" s="107" t="s">
        <v>94</v>
      </c>
      <c r="AY144" s="107" t="s">
        <v>94</v>
      </c>
      <c r="AZ144" s="107" t="s">
        <v>94</v>
      </c>
      <c r="BA144" s="107" t="s">
        <v>94</v>
      </c>
      <c r="BB144" s="107" t="s">
        <v>94</v>
      </c>
      <c r="BC144" s="107" t="s">
        <v>94</v>
      </c>
      <c r="BD144" s="107" t="s">
        <v>94</v>
      </c>
      <c r="BE144" s="107" t="s">
        <v>94</v>
      </c>
      <c r="BF144" s="107" t="s">
        <v>94</v>
      </c>
      <c r="BG144" s="107" t="s">
        <v>94</v>
      </c>
      <c r="BH144" s="107" t="s">
        <v>94</v>
      </c>
      <c r="BI144" s="107" t="s">
        <v>94</v>
      </c>
      <c r="BJ144" s="107" t="s">
        <v>94</v>
      </c>
      <c r="BK144" s="107" t="s">
        <v>94</v>
      </c>
      <c r="BL144" s="107" t="s">
        <v>92</v>
      </c>
      <c r="BM144" s="107">
        <v>0.8</v>
      </c>
      <c r="BN144" s="107" t="s">
        <v>92</v>
      </c>
      <c r="BO144" s="107" t="s">
        <v>94</v>
      </c>
      <c r="BP144" s="107" t="s">
        <v>94</v>
      </c>
      <c r="BQ144" s="107" t="s">
        <v>92</v>
      </c>
      <c r="BR144" s="108" t="s">
        <v>589</v>
      </c>
      <c r="BS144" s="107" t="s">
        <v>94</v>
      </c>
      <c r="BT144" s="107">
        <v>1.8</v>
      </c>
      <c r="BU144" s="107" t="s">
        <v>94</v>
      </c>
      <c r="BV144" s="107">
        <v>172</v>
      </c>
      <c r="BW144" s="107">
        <v>7</v>
      </c>
      <c r="BX144" s="107">
        <v>10.1</v>
      </c>
      <c r="BY144" s="107" t="s">
        <v>94</v>
      </c>
      <c r="BZ144" s="107" t="s">
        <v>114</v>
      </c>
      <c r="CA144" s="107" t="s">
        <v>93</v>
      </c>
      <c r="CB144" s="107" t="s">
        <v>94</v>
      </c>
      <c r="CC144" s="107" t="s">
        <v>94</v>
      </c>
      <c r="CD144" s="107" t="s">
        <v>94</v>
      </c>
      <c r="CE144" s="107" t="s">
        <v>94</v>
      </c>
      <c r="CF144" s="107">
        <v>1.54</v>
      </c>
    </row>
  </sheetData>
  <hyperlinks>
    <hyperlink ref="BR39" r:id="rId1" xr:uid="{00000000-0004-0000-0700-000000000000}"/>
    <hyperlink ref="BR68" r:id="rId2" xr:uid="{00000000-0004-0000-0700-000001000000}"/>
    <hyperlink ref="BR42" r:id="rId3" xr:uid="{00000000-0004-0000-0700-000002000000}"/>
    <hyperlink ref="BR43" r:id="rId4" xr:uid="{00000000-0004-0000-0700-000003000000}"/>
    <hyperlink ref="BR44" r:id="rId5" xr:uid="{00000000-0004-0000-0700-000004000000}"/>
    <hyperlink ref="BR45" r:id="rId6" xr:uid="{00000000-0004-0000-0700-000005000000}"/>
    <hyperlink ref="BR46" r:id="rId7" xr:uid="{00000000-0004-0000-0700-000006000000}"/>
    <hyperlink ref="BR47" r:id="rId8" xr:uid="{00000000-0004-0000-0700-000007000000}"/>
    <hyperlink ref="BR48" r:id="rId9" xr:uid="{00000000-0004-0000-0700-000008000000}"/>
    <hyperlink ref="BR49" r:id="rId10" xr:uid="{00000000-0004-0000-0700-000009000000}"/>
    <hyperlink ref="BR50" r:id="rId11" xr:uid="{00000000-0004-0000-0700-00000A000000}"/>
    <hyperlink ref="BR51" r:id="rId12" xr:uid="{00000000-0004-0000-0700-00000B000000}"/>
    <hyperlink ref="BR52" r:id="rId13" xr:uid="{00000000-0004-0000-0700-00000C000000}"/>
    <hyperlink ref="BR53" r:id="rId14" xr:uid="{00000000-0004-0000-0700-00000D000000}"/>
    <hyperlink ref="BR54" r:id="rId15" xr:uid="{00000000-0004-0000-0700-00000E000000}"/>
    <hyperlink ref="BR77" r:id="rId16" xr:uid="{00000000-0004-0000-0700-00000F000000}"/>
    <hyperlink ref="BR78" r:id="rId17" xr:uid="{00000000-0004-0000-0700-000010000000}"/>
    <hyperlink ref="BR79" r:id="rId18" xr:uid="{00000000-0004-0000-0700-000011000000}"/>
    <hyperlink ref="BR80" r:id="rId19" xr:uid="{00000000-0004-0000-0700-000012000000}"/>
    <hyperlink ref="BR81" r:id="rId20" xr:uid="{00000000-0004-0000-0700-000013000000}"/>
    <hyperlink ref="BR103" r:id="rId21" xr:uid="{00000000-0004-0000-0700-000014000000}"/>
    <hyperlink ref="BR127" r:id="rId22" xr:uid="{00000000-0004-0000-0700-000015000000}"/>
    <hyperlink ref="BR59" r:id="rId23" xr:uid="{00000000-0004-0000-0700-000016000000}"/>
    <hyperlink ref="BR141" r:id="rId24" xr:uid="{00000000-0004-0000-0700-000017000000}"/>
    <hyperlink ref="BR142" r:id="rId25" xr:uid="{00000000-0004-0000-0700-000018000000}"/>
    <hyperlink ref="BR143" r:id="rId26" xr:uid="{00000000-0004-0000-0700-000019000000}"/>
    <hyperlink ref="BR144" r:id="rId27" xr:uid="{00000000-0004-0000-0700-00001A000000}"/>
    <hyperlink ref="BR135" r:id="rId28" xr:uid="{00000000-0004-0000-0700-00001B000000}"/>
  </hyperlinks>
  <pageMargins left="0.7" right="0.7" top="0.75" bottom="0.75" header="0.3" footer="0.3"/>
  <pageSetup orientation="portrait" horizontalDpi="90" verticalDpi="90" r:id="rId29"/>
  <tableParts count="1">
    <tablePart r:id="rId30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AB177"/>
  <sheetViews>
    <sheetView zoomScaleNormal="100" workbookViewId="0">
      <pane ySplit="1" topLeftCell="A2" activePane="bottomLeft" state="frozen"/>
      <selection activeCell="D32" sqref="D32:F32"/>
      <selection pane="bottomLeft" activeCell="B3" sqref="B3:B177"/>
    </sheetView>
  </sheetViews>
  <sheetFormatPr defaultColWidth="9.140625" defaultRowHeight="15" x14ac:dyDescent="0.25"/>
  <cols>
    <col min="1" max="1" width="14" style="22" bestFit="1" customWidth="1"/>
    <col min="2" max="2" width="21.42578125" style="175" bestFit="1" customWidth="1"/>
    <col min="3" max="3" width="14.140625" style="22" bestFit="1" customWidth="1"/>
    <col min="4" max="4" width="11.42578125" style="22" bestFit="1" customWidth="1"/>
    <col min="5" max="8" width="13.85546875" style="22" bestFit="1" customWidth="1"/>
    <col min="9" max="9" width="11.140625" style="22" bestFit="1" customWidth="1"/>
    <col min="10" max="10" width="11.140625" style="22" customWidth="1"/>
    <col min="11" max="11" width="8.140625" style="22" bestFit="1" customWidth="1"/>
    <col min="12" max="14" width="14.42578125" style="22" customWidth="1"/>
    <col min="15" max="15" width="14.42578125" style="22" bestFit="1" customWidth="1"/>
    <col min="16" max="16" width="12.42578125" style="22" bestFit="1" customWidth="1"/>
    <col min="17" max="17" width="7" style="22" bestFit="1" customWidth="1"/>
    <col min="18" max="18" width="11.85546875" style="22" bestFit="1" customWidth="1"/>
    <col min="19" max="21" width="9.140625" style="22"/>
    <col min="22" max="22" width="14.85546875" style="22" bestFit="1" customWidth="1"/>
    <col min="23" max="23" width="14.85546875" style="22" customWidth="1"/>
    <col min="24" max="24" width="14.85546875" style="22" bestFit="1" customWidth="1"/>
    <col min="25" max="25" width="14.85546875" style="22" customWidth="1"/>
    <col min="26" max="27" width="14.85546875" style="22" bestFit="1" customWidth="1"/>
    <col min="28" max="16384" width="9.140625" style="22"/>
  </cols>
  <sheetData>
    <row r="1" spans="1:28" s="25" customFormat="1" ht="60" x14ac:dyDescent="0.25">
      <c r="A1" s="24" t="s">
        <v>429</v>
      </c>
      <c r="B1" s="174" t="s">
        <v>430</v>
      </c>
      <c r="C1" s="24" t="s">
        <v>672</v>
      </c>
      <c r="D1" s="24" t="s">
        <v>498</v>
      </c>
      <c r="E1" s="24" t="s">
        <v>668</v>
      </c>
      <c r="F1" s="24" t="s">
        <v>669</v>
      </c>
      <c r="G1" s="24" t="s">
        <v>670</v>
      </c>
      <c r="H1" s="24" t="s">
        <v>671</v>
      </c>
      <c r="I1" s="24" t="s">
        <v>426</v>
      </c>
      <c r="J1" s="24" t="s">
        <v>489</v>
      </c>
      <c r="K1" s="24" t="s">
        <v>490</v>
      </c>
      <c r="L1" s="24" t="s">
        <v>420</v>
      </c>
      <c r="M1" s="24" t="s">
        <v>421</v>
      </c>
      <c r="N1" s="24" t="s">
        <v>422</v>
      </c>
      <c r="O1" s="24" t="s">
        <v>423</v>
      </c>
      <c r="P1" s="24" t="s">
        <v>424</v>
      </c>
      <c r="Q1" s="24" t="s">
        <v>427</v>
      </c>
      <c r="R1" s="24" t="s">
        <v>428</v>
      </c>
    </row>
    <row r="2" spans="1:28" x14ac:dyDescent="0.25">
      <c r="A2" s="22" t="str">
        <f>IF(R2,Discrete_NFET[[#This Row],[PARTNUMBER]],"")</f>
        <v/>
      </c>
      <c r="C2" s="22" t="b">
        <f>AND((Discrete_NFET[[#This Row],[VDSMAX]]&gt;=VDC_AVG*1.25),(Discrete_NFET[[#This Row],[VGSMAX]]&gt;=GDR_V*1.2))</f>
        <v>0</v>
      </c>
      <c r="D2" s="22" t="b">
        <f>AND(VDC_AVG&lt;=25,Discrete_NFET[[#This Row],[VDSMAX]]&lt;=30)</f>
        <v>1</v>
      </c>
      <c r="E2" s="22" t="b">
        <f>AND(VDC_AVG&lt;=33,VDC_AVG&gt;=12,Discrete_NFET[[#This Row],[VDSMAX]]=40)</f>
        <v>0</v>
      </c>
      <c r="F2" s="22" t="b">
        <f>AND(VDC_AVG&lt;=50,VDC_AVG&gt;=18,Discrete_NFET[[#This Row],[VDSMAX]]=60)</f>
        <v>0</v>
      </c>
      <c r="G2" s="22" t="b">
        <f>AND(VDC_AVG&lt;=66,VDC_AVG&gt;=24,Discrete_NFET[[#This Row],[VDSMAX]]=80)</f>
        <v>0</v>
      </c>
      <c r="H2" s="22" t="b">
        <f>AND(VDC_AVG&lt;=83,VDC_AVG&gt;=36,Discrete_NFET[[#This Row],[VDSMAX]]=100)</f>
        <v>0</v>
      </c>
      <c r="I2" s="22" t="b">
        <f>OR(D2:H2)</f>
        <v>1</v>
      </c>
      <c r="J2" s="22" t="b">
        <f>AND(((GDR_V)&lt;2.5),('FET Data'!$AC2&lt;&gt;"(Null)"))</f>
        <v>0</v>
      </c>
      <c r="K2" s="22" t="b">
        <f>AND(((GDR_V)&gt;=2.5),((GDR_V)&lt;3),OR(('FET Data'!$AD2&lt;&gt;"(Null)"),('FET Data'!$AC2&lt;&gt;"(Null)")))</f>
        <v>0</v>
      </c>
      <c r="L2" s="22" t="b">
        <f>AND(((GDR_V)&gt;=3),((GDR_V)&lt;4.5),OR(('FET Data'!$AE2&lt;&gt;"(Null)"),('FET Data'!$AD2&lt;&gt;"(Null)"),('FET Data'!$AC2&lt;&gt;"(Null)")))</f>
        <v>0</v>
      </c>
      <c r="M2" s="22" t="b">
        <f>AND(((GDR_V)&gt;=4.5),((GDR_V)&lt;6),OR(('FET Data'!$AF2&lt;&gt;"(Null)"),('FET Data'!$AE2&lt;&gt;"(Null)"),('FET Data'!$AD2&lt;&gt;"(Null)"),('FET Data'!$AC2&lt;&gt;"(Null)")))</f>
        <v>0</v>
      </c>
      <c r="N2" s="22" t="b">
        <f>AND(((GDR_V)&gt;=6),((GDR_V)&lt;8),OR(('FET Data'!$AG2&lt;&gt;"(Null)"),('FET Data'!$AF2&lt;&gt;"(Null)"),('FET Data'!$AE2&lt;&gt;"(Null)"),('FET Data'!$AD2&lt;&gt;"(Null)"),('FET Data'!$AC2&lt;&gt;"(Null)")))</f>
        <v>0</v>
      </c>
      <c r="O2" s="22" t="b">
        <f>AND(((GDR_V)&gt;=8),((GDR_V)&lt;10),OR(('FET Data'!$AH2&lt;&gt;"(Null)"),('FET Data'!$AG2&lt;&gt;"(Null)"),('FET Data'!$AF2&lt;&gt;"(Null)"),('FET Data'!$AE2&lt;&gt;"(Null)"),('FET Data'!$AD2&lt;&gt;"(Null)"),('FET Data'!$AC2&lt;&gt;"(Null)")))</f>
        <v>0</v>
      </c>
      <c r="P2" s="22" t="b">
        <f>AND(((GDR_V)&gt;=10),OR(('FET Data'!$AI2&lt;&gt;"(Null)"),('FET Data'!$AH2&lt;&gt;"(Null)"),('FET Data'!$AG2&lt;&gt;"(Null)"),('FET Data'!$AF2&lt;&gt;"(Null)"),('FET Data'!$AE2&lt;&gt;"(Null)"),('FET Data'!$AD2&lt;&gt;"(Null)"),('FET Data'!$AC2&lt;&gt;"(Null)")))</f>
        <v>1</v>
      </c>
      <c r="Q2" s="22" t="b">
        <f>OR(J2:P2)</f>
        <v>1</v>
      </c>
      <c r="R2" s="22" t="b">
        <f>AND(C2,I2,Q2)</f>
        <v>0</v>
      </c>
    </row>
    <row r="3" spans="1:28" x14ac:dyDescent="0.25">
      <c r="A3" s="22" t="str">
        <f>IF(R3,Discrete_NFET[[#This Row],[PARTNUMBER]],"")</f>
        <v>CSD15571Q2</v>
      </c>
      <c r="B3" s="175" t="s">
        <v>373</v>
      </c>
      <c r="C3" s="22" t="b">
        <f>AND((Discrete_NFET[[#This Row],[VDSMAX]]&gt;=VDC_AVG*1.25),(Discrete_NFET[[#This Row],[VGSMAX]]&gt;=GDR_V*1.2))</f>
        <v>1</v>
      </c>
      <c r="D3" s="22" t="b">
        <f>AND(VDC_AVG&lt;=25,Discrete_NFET[[#This Row],[VDSMAX]]&lt;=30)</f>
        <v>1</v>
      </c>
      <c r="E3" s="22" t="b">
        <f>AND(VDC_AVG&lt;=33,VDC_AVG&gt;=12,Discrete_NFET[[#This Row],[VDSMAX]]=40)</f>
        <v>0</v>
      </c>
      <c r="F3" s="22" t="b">
        <f>AND(VDC_AVG&lt;=50,VDC_AVG&gt;=18,Discrete_NFET[[#This Row],[VDSMAX]]=60)</f>
        <v>0</v>
      </c>
      <c r="G3" s="22" t="b">
        <f>AND(VDC_AVG&lt;=66,VDC_AVG&gt;=24,Discrete_NFET[[#This Row],[VDSMAX]]=80)</f>
        <v>0</v>
      </c>
      <c r="H3" s="22" t="b">
        <f>AND(VDC_AVG&lt;=83,VDC_AVG&gt;=36,Discrete_NFET[[#This Row],[VDSMAX]]=100)</f>
        <v>0</v>
      </c>
      <c r="I3" s="22" t="b">
        <f t="shared" ref="I3:I66" si="0">OR(D3:H3)</f>
        <v>1</v>
      </c>
      <c r="J3" s="22" t="b">
        <f>AND(((GDR_V)&lt;2.5),('FET Data'!$AC3&lt;&gt;"(Null)"))</f>
        <v>0</v>
      </c>
      <c r="K3" s="22" t="b">
        <f>AND(((GDR_V)&gt;=2.5),((GDR_V)&lt;3),OR(('FET Data'!$AD3&lt;&gt;"(Null)"),('FET Data'!$AC3&lt;&gt;"(Null)")))</f>
        <v>0</v>
      </c>
      <c r="L3" s="22" t="b">
        <f>AND(((GDR_V)&gt;=3),((GDR_V)&lt;4.5),OR(('FET Data'!$AE3&lt;&gt;"(Null)"),('FET Data'!$AD3&lt;&gt;"(Null)"),('FET Data'!$AC3&lt;&gt;"(Null)")))</f>
        <v>0</v>
      </c>
      <c r="M3" s="22" t="b">
        <f>AND(((GDR_V)&gt;=4.5),((GDR_V)&lt;6),OR(('FET Data'!$AF3&lt;&gt;"(Null)"),('FET Data'!$AE3&lt;&gt;"(Null)"),('FET Data'!$AD3&lt;&gt;"(Null)"),('FET Data'!$AC3&lt;&gt;"(Null)")))</f>
        <v>0</v>
      </c>
      <c r="N3" s="22" t="b">
        <f>AND(((GDR_V)&gt;=6),((GDR_V)&lt;8),OR(('FET Data'!$AG3&lt;&gt;"(Null)"),('FET Data'!$AF3&lt;&gt;"(Null)"),('FET Data'!$AE3&lt;&gt;"(Null)"),('FET Data'!$AD3&lt;&gt;"(Null)"),('FET Data'!$AC3&lt;&gt;"(Null)")))</f>
        <v>0</v>
      </c>
      <c r="O3" s="22" t="b">
        <f>AND(((GDR_V)&gt;=8),((GDR_V)&lt;10),OR(('FET Data'!$AH3&lt;&gt;"(Null)"),('FET Data'!$AG3&lt;&gt;"(Null)"),('FET Data'!$AF3&lt;&gt;"(Null)"),('FET Data'!$AE3&lt;&gt;"(Null)"),('FET Data'!$AD3&lt;&gt;"(Null)"),('FET Data'!$AC3&lt;&gt;"(Null)")))</f>
        <v>0</v>
      </c>
      <c r="P3" s="22" t="b">
        <f>AND(((GDR_V)&gt;=10),OR(('FET Data'!$AI3&lt;&gt;"(Null)"),('FET Data'!$AH3&lt;&gt;"(Null)"),('FET Data'!$AG3&lt;&gt;"(Null)"),('FET Data'!$AF3&lt;&gt;"(Null)"),('FET Data'!$AE3&lt;&gt;"(Null)"),('FET Data'!$AD3&lt;&gt;"(Null)"),('FET Data'!$AC3&lt;&gt;"(Null)")))</f>
        <v>1</v>
      </c>
      <c r="Q3" s="22" t="b">
        <f t="shared" ref="Q3:Q66" si="1">OR(J3:P3)</f>
        <v>1</v>
      </c>
      <c r="R3" s="22" t="b">
        <f t="shared" ref="R3:R66" si="2">AND(C3,I3,Q3)</f>
        <v>1</v>
      </c>
    </row>
    <row r="4" spans="1:28" x14ac:dyDescent="0.25">
      <c r="A4" s="22" t="str">
        <f>IF(R4,Discrete_NFET[[#This Row],[PARTNUMBER]],"")</f>
        <v/>
      </c>
      <c r="B4" t="s">
        <v>171</v>
      </c>
      <c r="C4" s="22" t="b">
        <f>AND((Discrete_NFET[[#This Row],[VDSMAX]]&gt;=VDC_AVG*1.25),(Discrete_NFET[[#This Row],[VGSMAX]]&gt;=GDR_V*1.2))</f>
        <v>0</v>
      </c>
      <c r="D4" s="22" t="b">
        <f>AND(VDC_AVG&lt;=25,Discrete_NFET[[#This Row],[VDSMAX]]&lt;=30)</f>
        <v>1</v>
      </c>
      <c r="E4" s="22" t="b">
        <f>AND(VDC_AVG&lt;=33,VDC_AVG&gt;=12,Discrete_NFET[[#This Row],[VDSMAX]]=40)</f>
        <v>0</v>
      </c>
      <c r="F4" s="22" t="b">
        <f>AND(VDC_AVG&lt;=50,VDC_AVG&gt;=18,Discrete_NFET[[#This Row],[VDSMAX]]=60)</f>
        <v>0</v>
      </c>
      <c r="G4" s="22" t="b">
        <f>AND(VDC_AVG&lt;=66,VDC_AVG&gt;=24,Discrete_NFET[[#This Row],[VDSMAX]]=80)</f>
        <v>0</v>
      </c>
      <c r="H4" s="22" t="b">
        <f>AND(VDC_AVG&lt;=83,VDC_AVG&gt;=36,Discrete_NFET[[#This Row],[VDSMAX]]=100)</f>
        <v>0</v>
      </c>
      <c r="I4" s="22" t="b">
        <f t="shared" si="0"/>
        <v>1</v>
      </c>
      <c r="J4" s="22" t="b">
        <f>AND(((GDR_V)&lt;2.5),('FET Data'!$AC4&lt;&gt;"(Null)"))</f>
        <v>0</v>
      </c>
      <c r="K4" s="22" t="b">
        <f>AND(((GDR_V)&gt;=2.5),((GDR_V)&lt;3),OR(('FET Data'!$AD4&lt;&gt;"(Null)"),('FET Data'!$AC4&lt;&gt;"(Null)")))</f>
        <v>0</v>
      </c>
      <c r="L4" s="22" t="b">
        <f>AND(((GDR_V)&gt;=3),((GDR_V)&lt;4.5),OR(('FET Data'!$AE4&lt;&gt;"(Null)"),('FET Data'!$AD4&lt;&gt;"(Null)"),('FET Data'!$AC4&lt;&gt;"(Null)")))</f>
        <v>0</v>
      </c>
      <c r="M4" s="22" t="b">
        <f>AND(((GDR_V)&gt;=4.5),((GDR_V)&lt;6),OR(('FET Data'!$AF4&lt;&gt;"(Null)"),('FET Data'!$AE4&lt;&gt;"(Null)"),('FET Data'!$AD4&lt;&gt;"(Null)"),('FET Data'!$AC4&lt;&gt;"(Null)")))</f>
        <v>0</v>
      </c>
      <c r="N4" s="22" t="b">
        <f>AND(((GDR_V)&gt;=6),((GDR_V)&lt;8),OR(('FET Data'!$AG4&lt;&gt;"(Null)"),('FET Data'!$AF4&lt;&gt;"(Null)"),('FET Data'!$AE4&lt;&gt;"(Null)"),('FET Data'!$AD4&lt;&gt;"(Null)"),('FET Data'!$AC4&lt;&gt;"(Null)")))</f>
        <v>0</v>
      </c>
      <c r="O4" s="22" t="b">
        <f>AND(((GDR_V)&gt;=8),((GDR_V)&lt;10),OR(('FET Data'!$AH4&lt;&gt;"(Null)"),('FET Data'!$AG4&lt;&gt;"(Null)"),('FET Data'!$AF4&lt;&gt;"(Null)"),('FET Data'!$AE4&lt;&gt;"(Null)"),('FET Data'!$AD4&lt;&gt;"(Null)"),('FET Data'!$AC4&lt;&gt;"(Null)")))</f>
        <v>0</v>
      </c>
      <c r="P4" s="22" t="b">
        <f>AND(((GDR_V)&gt;=10),OR(('FET Data'!$AI4&lt;&gt;"(Null)"),('FET Data'!$AH4&lt;&gt;"(Null)"),('FET Data'!$AG4&lt;&gt;"(Null)"),('FET Data'!$AF4&lt;&gt;"(Null)"),('FET Data'!$AE4&lt;&gt;"(Null)"),('FET Data'!$AD4&lt;&gt;"(Null)"),('FET Data'!$AC4&lt;&gt;"(Null)")))</f>
        <v>1</v>
      </c>
      <c r="Q4" s="22" t="b">
        <f t="shared" si="1"/>
        <v>1</v>
      </c>
      <c r="R4" s="22" t="b">
        <f t="shared" si="2"/>
        <v>0</v>
      </c>
      <c r="U4" s="236" t="s">
        <v>425</v>
      </c>
      <c r="V4" s="236"/>
      <c r="W4" s="236"/>
      <c r="X4" s="236"/>
      <c r="Y4" s="236"/>
      <c r="Z4" s="236"/>
      <c r="AA4" s="236"/>
      <c r="AB4" s="236"/>
    </row>
    <row r="5" spans="1:28" x14ac:dyDescent="0.25">
      <c r="A5" s="22" t="str">
        <f>IF(R5,Discrete_NFET[[#This Row],[PARTNUMBER]],"")</f>
        <v/>
      </c>
      <c r="B5" t="s">
        <v>173</v>
      </c>
      <c r="C5" s="22" t="b">
        <f>AND((Discrete_NFET[[#This Row],[VDSMAX]]&gt;=VDC_AVG*1.25),(Discrete_NFET[[#This Row],[VGSMAX]]&gt;=GDR_V*1.2))</f>
        <v>0</v>
      </c>
      <c r="D5" s="22" t="b">
        <f>AND(VDC_AVG&lt;=25,Discrete_NFET[[#This Row],[VDSMAX]]&lt;=30)</f>
        <v>1</v>
      </c>
      <c r="E5" s="22" t="b">
        <f>AND(VDC_AVG&lt;=33,VDC_AVG&gt;=12,Discrete_NFET[[#This Row],[VDSMAX]]=40)</f>
        <v>0</v>
      </c>
      <c r="F5" s="22" t="b">
        <f>AND(VDC_AVG&lt;=50,VDC_AVG&gt;=18,Discrete_NFET[[#This Row],[VDSMAX]]=60)</f>
        <v>0</v>
      </c>
      <c r="G5" s="22" t="b">
        <f>AND(VDC_AVG&lt;=66,VDC_AVG&gt;=24,Discrete_NFET[[#This Row],[VDSMAX]]=80)</f>
        <v>0</v>
      </c>
      <c r="H5" s="22" t="b">
        <f>AND(VDC_AVG&lt;=83,VDC_AVG&gt;=36,Discrete_NFET[[#This Row],[VDSMAX]]=100)</f>
        <v>0</v>
      </c>
      <c r="I5" s="22" t="b">
        <f t="shared" si="0"/>
        <v>1</v>
      </c>
      <c r="J5" s="22" t="b">
        <f>AND(((GDR_V)&lt;2.5),('FET Data'!$AC5&lt;&gt;"(Null)"))</f>
        <v>0</v>
      </c>
      <c r="K5" s="22" t="b">
        <f>AND(((GDR_V)&gt;=2.5),((GDR_V)&lt;3),OR(('FET Data'!$AD5&lt;&gt;"(Null)"),('FET Data'!$AC5&lt;&gt;"(Null)")))</f>
        <v>0</v>
      </c>
      <c r="L5" s="22" t="b">
        <f>AND(((GDR_V)&gt;=3),((GDR_V)&lt;4.5),OR(('FET Data'!$AE5&lt;&gt;"(Null)"),('FET Data'!$AD5&lt;&gt;"(Null)"),('FET Data'!$AC5&lt;&gt;"(Null)")))</f>
        <v>0</v>
      </c>
      <c r="M5" s="22" t="b">
        <f>AND(((GDR_V)&gt;=4.5),((GDR_V)&lt;6),OR(('FET Data'!$AF5&lt;&gt;"(Null)"),('FET Data'!$AE5&lt;&gt;"(Null)"),('FET Data'!$AD5&lt;&gt;"(Null)"),('FET Data'!$AC5&lt;&gt;"(Null)")))</f>
        <v>0</v>
      </c>
      <c r="N5" s="22" t="b">
        <f>AND(((GDR_V)&gt;=6),((GDR_V)&lt;8),OR(('FET Data'!$AG5&lt;&gt;"(Null)"),('FET Data'!$AF5&lt;&gt;"(Null)"),('FET Data'!$AE5&lt;&gt;"(Null)"),('FET Data'!$AD5&lt;&gt;"(Null)"),('FET Data'!$AC5&lt;&gt;"(Null)")))</f>
        <v>0</v>
      </c>
      <c r="O5" s="22" t="b">
        <f>AND(((GDR_V)&gt;=8),((GDR_V)&lt;10),OR(('FET Data'!$AH5&lt;&gt;"(Null)"),('FET Data'!$AG5&lt;&gt;"(Null)"),('FET Data'!$AF5&lt;&gt;"(Null)"),('FET Data'!$AE5&lt;&gt;"(Null)"),('FET Data'!$AD5&lt;&gt;"(Null)"),('FET Data'!$AC5&lt;&gt;"(Null)")))</f>
        <v>0</v>
      </c>
      <c r="P5" s="22" t="b">
        <f>AND(((GDR_V)&gt;=10),OR(('FET Data'!$AI5&lt;&gt;"(Null)"),('FET Data'!$AH5&lt;&gt;"(Null)"),('FET Data'!$AG5&lt;&gt;"(Null)"),('FET Data'!$AF5&lt;&gt;"(Null)"),('FET Data'!$AE5&lt;&gt;"(Null)"),('FET Data'!$AD5&lt;&gt;"(Null)"),('FET Data'!$AC5&lt;&gt;"(Null)")))</f>
        <v>1</v>
      </c>
      <c r="Q5" s="22" t="b">
        <f t="shared" si="1"/>
        <v>1</v>
      </c>
      <c r="R5" s="22" t="b">
        <f t="shared" si="2"/>
        <v>0</v>
      </c>
      <c r="V5" s="22" t="s">
        <v>42</v>
      </c>
      <c r="W5" s="22" t="s">
        <v>392</v>
      </c>
      <c r="X5" s="22" t="s">
        <v>375</v>
      </c>
      <c r="Y5" s="22" t="s">
        <v>376</v>
      </c>
      <c r="Z5" s="22" t="s">
        <v>44</v>
      </c>
      <c r="AA5" s="22" t="s">
        <v>45</v>
      </c>
    </row>
    <row r="6" spans="1:28" x14ac:dyDescent="0.25">
      <c r="A6" s="22" t="str">
        <f>IF(R6,Discrete_NFET[[#This Row],[PARTNUMBER]],"")</f>
        <v/>
      </c>
      <c r="B6" t="s">
        <v>175</v>
      </c>
      <c r="C6" s="22" t="b">
        <f>AND((Discrete_NFET[[#This Row],[VDSMAX]]&gt;=VDC_AVG*1.25),(Discrete_NFET[[#This Row],[VGSMAX]]&gt;=GDR_V*1.2))</f>
        <v>0</v>
      </c>
      <c r="D6" s="22" t="b">
        <f>AND(VDC_AVG&lt;=25,Discrete_NFET[[#This Row],[VDSMAX]]&lt;=30)</f>
        <v>1</v>
      </c>
      <c r="E6" s="22" t="b">
        <f>AND(VDC_AVG&lt;=33,VDC_AVG&gt;=12,Discrete_NFET[[#This Row],[VDSMAX]]=40)</f>
        <v>0</v>
      </c>
      <c r="F6" s="22" t="b">
        <f>AND(VDC_AVG&lt;=50,VDC_AVG&gt;=18,Discrete_NFET[[#This Row],[VDSMAX]]=60)</f>
        <v>0</v>
      </c>
      <c r="G6" s="22" t="b">
        <f>AND(VDC_AVG&lt;=66,VDC_AVG&gt;=24,Discrete_NFET[[#This Row],[VDSMAX]]=80)</f>
        <v>0</v>
      </c>
      <c r="H6" s="22" t="b">
        <f>AND(VDC_AVG&lt;=83,VDC_AVG&gt;=36,Discrete_NFET[[#This Row],[VDSMAX]]=100)</f>
        <v>0</v>
      </c>
      <c r="I6" s="22" t="b">
        <f t="shared" si="0"/>
        <v>1</v>
      </c>
      <c r="J6" s="22" t="b">
        <f>AND(((GDR_V)&lt;2.5),('FET Data'!$AC6&lt;&gt;"(Null)"))</f>
        <v>0</v>
      </c>
      <c r="K6" s="22" t="b">
        <f>AND(((GDR_V)&gt;=2.5),((GDR_V)&lt;3),OR(('FET Data'!$AD6&lt;&gt;"(Null)"),('FET Data'!$AC6&lt;&gt;"(Null)")))</f>
        <v>0</v>
      </c>
      <c r="L6" s="22" t="b">
        <f>AND(((GDR_V)&gt;=3),((GDR_V)&lt;4.5),OR(('FET Data'!$AE6&lt;&gt;"(Null)"),('FET Data'!$AD6&lt;&gt;"(Null)"),('FET Data'!$AC6&lt;&gt;"(Null)")))</f>
        <v>0</v>
      </c>
      <c r="M6" s="22" t="b">
        <f>AND(((GDR_V)&gt;=4.5),((GDR_V)&lt;6),OR(('FET Data'!$AF6&lt;&gt;"(Null)"),('FET Data'!$AE6&lt;&gt;"(Null)"),('FET Data'!$AD6&lt;&gt;"(Null)"),('FET Data'!$AC6&lt;&gt;"(Null)")))</f>
        <v>0</v>
      </c>
      <c r="N6" s="22" t="b">
        <f>AND(((GDR_V)&gt;=6),((GDR_V)&lt;8),OR(('FET Data'!$AG6&lt;&gt;"(Null)"),('FET Data'!$AF6&lt;&gt;"(Null)"),('FET Data'!$AE6&lt;&gt;"(Null)"),('FET Data'!$AD6&lt;&gt;"(Null)"),('FET Data'!$AC6&lt;&gt;"(Null)")))</f>
        <v>0</v>
      </c>
      <c r="O6" s="22" t="b">
        <f>AND(((GDR_V)&gt;=8),((GDR_V)&lt;10),OR(('FET Data'!$AH6&lt;&gt;"(Null)"),('FET Data'!$AG6&lt;&gt;"(Null)"),('FET Data'!$AF6&lt;&gt;"(Null)"),('FET Data'!$AE6&lt;&gt;"(Null)"),('FET Data'!$AD6&lt;&gt;"(Null)"),('FET Data'!$AC6&lt;&gt;"(Null)")))</f>
        <v>0</v>
      </c>
      <c r="P6" s="22" t="b">
        <f>AND(((GDR_V)&gt;=10),OR(('FET Data'!$AI6&lt;&gt;"(Null)"),('FET Data'!$AH6&lt;&gt;"(Null)"),('FET Data'!$AG6&lt;&gt;"(Null)"),('FET Data'!$AF6&lt;&gt;"(Null)"),('FET Data'!$AE6&lt;&gt;"(Null)"),('FET Data'!$AD6&lt;&gt;"(Null)"),('FET Data'!$AC6&lt;&gt;"(Null)")))</f>
        <v>1</v>
      </c>
      <c r="Q6" s="22" t="b">
        <f t="shared" si="1"/>
        <v>1</v>
      </c>
      <c r="R6" s="22" t="b">
        <f t="shared" si="2"/>
        <v>0</v>
      </c>
      <c r="V6" s="22" t="s">
        <v>403</v>
      </c>
      <c r="W6" s="22" t="s">
        <v>404</v>
      </c>
      <c r="X6" s="22" t="s">
        <v>405</v>
      </c>
      <c r="Y6" s="22" t="s">
        <v>406</v>
      </c>
      <c r="Z6" s="22" t="s">
        <v>407</v>
      </c>
      <c r="AA6" s="22" t="s">
        <v>408</v>
      </c>
      <c r="AB6" s="22" t="s">
        <v>374</v>
      </c>
    </row>
    <row r="7" spans="1:28" x14ac:dyDescent="0.25">
      <c r="A7" s="22" t="str">
        <f>IF(R7,Discrete_NFET[[#This Row],[PARTNUMBER]],"")</f>
        <v/>
      </c>
      <c r="B7" t="s">
        <v>178</v>
      </c>
      <c r="C7" s="22" t="b">
        <f>AND((Discrete_NFET[[#This Row],[VDSMAX]]&gt;=VDC_AVG*1.25),(Discrete_NFET[[#This Row],[VGSMAX]]&gt;=GDR_V*1.2))</f>
        <v>0</v>
      </c>
      <c r="D7" s="22" t="b">
        <f>AND(VDC_AVG&lt;=25,Discrete_NFET[[#This Row],[VDSMAX]]&lt;=30)</f>
        <v>1</v>
      </c>
      <c r="E7" s="22" t="b">
        <f>AND(VDC_AVG&lt;=33,VDC_AVG&gt;=12,Discrete_NFET[[#This Row],[VDSMAX]]=40)</f>
        <v>0</v>
      </c>
      <c r="F7" s="22" t="b">
        <f>AND(VDC_AVG&lt;=50,VDC_AVG&gt;=18,Discrete_NFET[[#This Row],[VDSMAX]]=60)</f>
        <v>0</v>
      </c>
      <c r="G7" s="22" t="b">
        <f>AND(VDC_AVG&lt;=66,VDC_AVG&gt;=24,Discrete_NFET[[#This Row],[VDSMAX]]=80)</f>
        <v>0</v>
      </c>
      <c r="H7" s="22" t="b">
        <f>AND(VDC_AVG&lt;=83,VDC_AVG&gt;=36,Discrete_NFET[[#This Row],[VDSMAX]]=100)</f>
        <v>0</v>
      </c>
      <c r="I7" s="22" t="b">
        <f t="shared" si="0"/>
        <v>1</v>
      </c>
      <c r="J7" s="22" t="b">
        <f>AND(((GDR_V)&lt;2.5),('FET Data'!$AC7&lt;&gt;"(Null)"))</f>
        <v>0</v>
      </c>
      <c r="K7" s="22" t="b">
        <f>AND(((GDR_V)&gt;=2.5),((GDR_V)&lt;3),OR(('FET Data'!$AD7&lt;&gt;"(Null)"),('FET Data'!$AC7&lt;&gt;"(Null)")))</f>
        <v>0</v>
      </c>
      <c r="L7" s="22" t="b">
        <f>AND(((GDR_V)&gt;=3),((GDR_V)&lt;4.5),OR(('FET Data'!$AE7&lt;&gt;"(Null)"),('FET Data'!$AD7&lt;&gt;"(Null)"),('FET Data'!$AC7&lt;&gt;"(Null)")))</f>
        <v>0</v>
      </c>
      <c r="M7" s="22" t="b">
        <f>AND(((GDR_V)&gt;=4.5),((GDR_V)&lt;6),OR(('FET Data'!$AF7&lt;&gt;"(Null)"),('FET Data'!$AE7&lt;&gt;"(Null)"),('FET Data'!$AD7&lt;&gt;"(Null)"),('FET Data'!$AC7&lt;&gt;"(Null)")))</f>
        <v>0</v>
      </c>
      <c r="N7" s="22" t="b">
        <f>AND(((GDR_V)&gt;=6),((GDR_V)&lt;8),OR(('FET Data'!$AG7&lt;&gt;"(Null)"),('FET Data'!$AF7&lt;&gt;"(Null)"),('FET Data'!$AE7&lt;&gt;"(Null)"),('FET Data'!$AD7&lt;&gt;"(Null)"),('FET Data'!$AC7&lt;&gt;"(Null)")))</f>
        <v>0</v>
      </c>
      <c r="O7" s="22" t="b">
        <f>AND(((GDR_V)&gt;=8),((GDR_V)&lt;10),OR(('FET Data'!$AH7&lt;&gt;"(Null)"),('FET Data'!$AG7&lt;&gt;"(Null)"),('FET Data'!$AF7&lt;&gt;"(Null)"),('FET Data'!$AE7&lt;&gt;"(Null)"),('FET Data'!$AD7&lt;&gt;"(Null)"),('FET Data'!$AC7&lt;&gt;"(Null)")))</f>
        <v>0</v>
      </c>
      <c r="P7" s="22" t="b">
        <f>AND(((GDR_V)&gt;=10),OR(('FET Data'!$AI7&lt;&gt;"(Null)"),('FET Data'!$AH7&lt;&gt;"(Null)"),('FET Data'!$AG7&lt;&gt;"(Null)"),('FET Data'!$AF7&lt;&gt;"(Null)"),('FET Data'!$AE7&lt;&gt;"(Null)"),('FET Data'!$AD7&lt;&gt;"(Null)"),('FET Data'!$AC7&lt;&gt;"(Null)")))</f>
        <v>1</v>
      </c>
      <c r="Q7" s="22" t="b">
        <f t="shared" si="1"/>
        <v>1</v>
      </c>
      <c r="R7" s="22" t="b">
        <f t="shared" si="2"/>
        <v>0</v>
      </c>
      <c r="V7" s="22" t="b">
        <f>(GDR_V&gt;=2.5)</f>
        <v>1</v>
      </c>
      <c r="W7" s="22" t="b">
        <f>(GDR_V&gt;=3)</f>
        <v>1</v>
      </c>
      <c r="X7" s="22" t="b">
        <f>(GDR_V&gt;=4)</f>
        <v>1</v>
      </c>
      <c r="Y7" s="22" t="b">
        <f>(GDR_V&gt;=5.5)</f>
        <v>1</v>
      </c>
      <c r="Z7" s="22" t="b">
        <f>(GDR_V&gt;=7)</f>
        <v>1</v>
      </c>
      <c r="AA7" s="22" t="b">
        <f>(GDR_V&gt;=8)</f>
        <v>1</v>
      </c>
      <c r="AB7" s="22">
        <f>IF(AA10,LOOKUP(Q2_Part_Number,Discrete_NFET[PARTNUMBER],Discrete_NFET[RDSON10])*1000,IF(Z10,LOOKUP(Q2_Part_Number,Discrete_NFET[PARTNUMBER],Discrete_NFET[RDSON8])*1000,IF(Y10,LOOKUP(Q2_Part_Number,Discrete_NFET[PARTNUMBER],Discrete_NFET[RDSON6])*1000,IF(X10,LOOKUP(Q2_Part_Number,Discrete_NFET[PARTNUMBER],Discrete_NFET[RDSON45])*1000,IF(W10,LOOKUP(Q2_Part_Number,Discrete_NFET[PARTNUMBER],Discrete_NFET[RDSON3])*1000,IF(V10,LOOKUP(Q2_Part_Number,Discrete_NFET[PARTNUMBER],Discrete_NFET[RDSON25])*1000,""))))))</f>
        <v>2</v>
      </c>
    </row>
    <row r="8" spans="1:28" x14ac:dyDescent="0.25">
      <c r="A8" s="22" t="str">
        <f>IF(R8,Discrete_NFET[[#This Row],[PARTNUMBER]],"")</f>
        <v/>
      </c>
      <c r="B8" t="s">
        <v>180</v>
      </c>
      <c r="C8" s="22" t="b">
        <f>AND((Discrete_NFET[[#This Row],[VDSMAX]]&gt;=VDC_AVG*1.25),(Discrete_NFET[[#This Row],[VGSMAX]]&gt;=GDR_V*1.2))</f>
        <v>0</v>
      </c>
      <c r="D8" s="22" t="b">
        <f>AND(VDC_AVG&lt;=25,Discrete_NFET[[#This Row],[VDSMAX]]&lt;=30)</f>
        <v>1</v>
      </c>
      <c r="E8" s="22" t="b">
        <f>AND(VDC_AVG&lt;=33,VDC_AVG&gt;=12,Discrete_NFET[[#This Row],[VDSMAX]]=40)</f>
        <v>0</v>
      </c>
      <c r="F8" s="22" t="b">
        <f>AND(VDC_AVG&lt;=50,VDC_AVG&gt;=18,Discrete_NFET[[#This Row],[VDSMAX]]=60)</f>
        <v>0</v>
      </c>
      <c r="G8" s="22" t="b">
        <f>AND(VDC_AVG&lt;=66,VDC_AVG&gt;=24,Discrete_NFET[[#This Row],[VDSMAX]]=80)</f>
        <v>0</v>
      </c>
      <c r="H8" s="22" t="b">
        <f>AND(VDC_AVG&lt;=83,VDC_AVG&gt;=36,Discrete_NFET[[#This Row],[VDSMAX]]=100)</f>
        <v>0</v>
      </c>
      <c r="I8" s="22" t="b">
        <f t="shared" si="0"/>
        <v>1</v>
      </c>
      <c r="J8" s="22" t="b">
        <f>AND(((GDR_V)&lt;2.5),('FET Data'!$AC8&lt;&gt;"(Null)"))</f>
        <v>0</v>
      </c>
      <c r="K8" s="22" t="b">
        <f>AND(((GDR_V)&gt;=2.5),((GDR_V)&lt;3),OR(('FET Data'!$AD8&lt;&gt;"(Null)"),('FET Data'!$AC8&lt;&gt;"(Null)")))</f>
        <v>0</v>
      </c>
      <c r="L8" s="22" t="b">
        <f>AND(((GDR_V)&gt;=3),((GDR_V)&lt;4.5),OR(('FET Data'!$AE8&lt;&gt;"(Null)"),('FET Data'!$AD8&lt;&gt;"(Null)"),('FET Data'!$AC8&lt;&gt;"(Null)")))</f>
        <v>0</v>
      </c>
      <c r="M8" s="22" t="b">
        <f>AND(((GDR_V)&gt;=4.5),((GDR_V)&lt;6),OR(('FET Data'!$AF8&lt;&gt;"(Null)"),('FET Data'!$AE8&lt;&gt;"(Null)"),('FET Data'!$AD8&lt;&gt;"(Null)"),('FET Data'!$AC8&lt;&gt;"(Null)")))</f>
        <v>0</v>
      </c>
      <c r="N8" s="22" t="b">
        <f>AND(((GDR_V)&gt;=6),((GDR_V)&lt;8),OR(('FET Data'!$AG8&lt;&gt;"(Null)"),('FET Data'!$AF8&lt;&gt;"(Null)"),('FET Data'!$AE8&lt;&gt;"(Null)"),('FET Data'!$AD8&lt;&gt;"(Null)"),('FET Data'!$AC8&lt;&gt;"(Null)")))</f>
        <v>0</v>
      </c>
      <c r="O8" s="22" t="b">
        <f>AND(((GDR_V)&gt;=8),((GDR_V)&lt;10),OR(('FET Data'!$AH8&lt;&gt;"(Null)"),('FET Data'!$AG8&lt;&gt;"(Null)"),('FET Data'!$AF8&lt;&gt;"(Null)"),('FET Data'!$AE8&lt;&gt;"(Null)"),('FET Data'!$AD8&lt;&gt;"(Null)"),('FET Data'!$AC8&lt;&gt;"(Null)")))</f>
        <v>0</v>
      </c>
      <c r="P8" s="22" t="b">
        <f>AND(((GDR_V)&gt;=10),OR(('FET Data'!$AI8&lt;&gt;"(Null)"),('FET Data'!$AH8&lt;&gt;"(Null)"),('FET Data'!$AG8&lt;&gt;"(Null)"),('FET Data'!$AF8&lt;&gt;"(Null)"),('FET Data'!$AE8&lt;&gt;"(Null)"),('FET Data'!$AD8&lt;&gt;"(Null)"),('FET Data'!$AC8&lt;&gt;"(Null)")))</f>
        <v>1</v>
      </c>
      <c r="Q8" s="22" t="b">
        <f t="shared" si="1"/>
        <v>1</v>
      </c>
      <c r="R8" s="22" t="b">
        <f t="shared" si="2"/>
        <v>0</v>
      </c>
      <c r="V8" s="22" t="str">
        <f>IF(LOOKUP(Q2_Part_Number,Discrete_NFET[PARTNUMBER],Discrete_NFET[RDSON25])="(NULL)","0","1")</f>
        <v>0</v>
      </c>
      <c r="W8" s="22" t="str">
        <f>IF(LOOKUP(Q2_Part_Number,Discrete_NFET[PARTNUMBER],Discrete_NFET[RDSON3])="(NULL)","0","1")</f>
        <v>0</v>
      </c>
      <c r="X8" s="22" t="str">
        <f>IF(LOOKUP(Q2_Part_Number,Discrete_NFET[PARTNUMBER],Discrete_NFET[RDSON45])="(NULL)","0","1")</f>
        <v>1</v>
      </c>
      <c r="Y8" s="22" t="str">
        <f>IF(LOOKUP(Q2_Part_Number,Discrete_NFET[PARTNUMBER],Discrete_NFET[RDSON6])="(NULL)","0","1")</f>
        <v>0</v>
      </c>
      <c r="Z8" s="22" t="str">
        <f>IF(LOOKUP(Q2_Part_Number,Discrete_NFET[PARTNUMBER],Discrete_NFET[RDSON8])="(NULL)","0","1")</f>
        <v>0</v>
      </c>
      <c r="AA8" s="22" t="str">
        <f>IF(LOOKUP(Q2_Part_Number,Discrete_NFET[PARTNUMBER],Discrete_NFET[RDSON10])="(NULL)","0","1")</f>
        <v>1</v>
      </c>
    </row>
    <row r="9" spans="1:28" x14ac:dyDescent="0.25">
      <c r="A9" s="22" t="str">
        <f>IF(R9,Discrete_NFET[[#This Row],[PARTNUMBER]],"")</f>
        <v/>
      </c>
      <c r="B9" t="s">
        <v>182</v>
      </c>
      <c r="C9" s="22" t="b">
        <f>AND((Discrete_NFET[[#This Row],[VDSMAX]]&gt;=VDC_AVG*1.25),(Discrete_NFET[[#This Row],[VGSMAX]]&gt;=GDR_V*1.2))</f>
        <v>0</v>
      </c>
      <c r="D9" s="22" t="b">
        <f>AND(VDC_AVG&lt;=25,Discrete_NFET[[#This Row],[VDSMAX]]&lt;=30)</f>
        <v>1</v>
      </c>
      <c r="E9" s="22" t="b">
        <f>AND(VDC_AVG&lt;=33,VDC_AVG&gt;=12,Discrete_NFET[[#This Row],[VDSMAX]]=40)</f>
        <v>0</v>
      </c>
      <c r="F9" s="22" t="b">
        <f>AND(VDC_AVG&lt;=50,VDC_AVG&gt;=18,Discrete_NFET[[#This Row],[VDSMAX]]=60)</f>
        <v>0</v>
      </c>
      <c r="G9" s="22" t="b">
        <f>AND(VDC_AVG&lt;=66,VDC_AVG&gt;=24,Discrete_NFET[[#This Row],[VDSMAX]]=80)</f>
        <v>0</v>
      </c>
      <c r="H9" s="22" t="b">
        <f>AND(VDC_AVG&lt;=83,VDC_AVG&gt;=36,Discrete_NFET[[#This Row],[VDSMAX]]=100)</f>
        <v>0</v>
      </c>
      <c r="I9" s="22" t="b">
        <f t="shared" si="0"/>
        <v>1</v>
      </c>
      <c r="J9" s="22" t="b">
        <f>AND(((GDR_V)&lt;2.5),('FET Data'!$AC9&lt;&gt;"(Null)"))</f>
        <v>0</v>
      </c>
      <c r="K9" s="22" t="b">
        <f>AND(((GDR_V)&gt;=2.5),((GDR_V)&lt;3),OR(('FET Data'!$AD9&lt;&gt;"(Null)"),('FET Data'!$AC9&lt;&gt;"(Null)")))</f>
        <v>0</v>
      </c>
      <c r="L9" s="22" t="b">
        <f>AND(((GDR_V)&gt;=3),((GDR_V)&lt;4.5),OR(('FET Data'!$AE9&lt;&gt;"(Null)"),('FET Data'!$AD9&lt;&gt;"(Null)"),('FET Data'!$AC9&lt;&gt;"(Null)")))</f>
        <v>0</v>
      </c>
      <c r="M9" s="22" t="b">
        <f>AND(((GDR_V)&gt;=4.5),((GDR_V)&lt;6),OR(('FET Data'!$AF9&lt;&gt;"(Null)"),('FET Data'!$AE9&lt;&gt;"(Null)"),('FET Data'!$AD9&lt;&gt;"(Null)"),('FET Data'!$AC9&lt;&gt;"(Null)")))</f>
        <v>0</v>
      </c>
      <c r="N9" s="22" t="b">
        <f>AND(((GDR_V)&gt;=6),((GDR_V)&lt;8),OR(('FET Data'!$AG9&lt;&gt;"(Null)"),('FET Data'!$AF9&lt;&gt;"(Null)"),('FET Data'!$AE9&lt;&gt;"(Null)"),('FET Data'!$AD9&lt;&gt;"(Null)"),('FET Data'!$AC9&lt;&gt;"(Null)")))</f>
        <v>0</v>
      </c>
      <c r="O9" s="22" t="b">
        <f>AND(((GDR_V)&gt;=8),((GDR_V)&lt;10),OR(('FET Data'!$AH9&lt;&gt;"(Null)"),('FET Data'!$AG9&lt;&gt;"(Null)"),('FET Data'!$AF9&lt;&gt;"(Null)"),('FET Data'!$AE9&lt;&gt;"(Null)"),('FET Data'!$AD9&lt;&gt;"(Null)"),('FET Data'!$AC9&lt;&gt;"(Null)")))</f>
        <v>0</v>
      </c>
      <c r="P9" s="22" t="b">
        <f>AND(((GDR_V)&gt;=10),OR(('FET Data'!$AI9&lt;&gt;"(Null)"),('FET Data'!$AH9&lt;&gt;"(Null)"),('FET Data'!$AG9&lt;&gt;"(Null)"),('FET Data'!$AF9&lt;&gt;"(Null)"),('FET Data'!$AE9&lt;&gt;"(Null)"),('FET Data'!$AD9&lt;&gt;"(Null)"),('FET Data'!$AC9&lt;&gt;"(Null)")))</f>
        <v>1</v>
      </c>
      <c r="Q9" s="22" t="b">
        <f t="shared" si="1"/>
        <v>1</v>
      </c>
      <c r="R9" s="22" t="b">
        <f t="shared" si="2"/>
        <v>0</v>
      </c>
      <c r="V9" s="22" t="b">
        <f t="shared" ref="V9:AA9" si="3">AND(V7,V8="1")</f>
        <v>0</v>
      </c>
      <c r="W9" s="22" t="b">
        <f t="shared" si="3"/>
        <v>0</v>
      </c>
      <c r="X9" s="22" t="b">
        <f t="shared" si="3"/>
        <v>1</v>
      </c>
      <c r="Y9" s="22" t="b">
        <f t="shared" si="3"/>
        <v>0</v>
      </c>
      <c r="Z9" s="22" t="b">
        <f t="shared" si="3"/>
        <v>0</v>
      </c>
      <c r="AA9" s="22" t="b">
        <f t="shared" si="3"/>
        <v>1</v>
      </c>
    </row>
    <row r="10" spans="1:28" x14ac:dyDescent="0.25">
      <c r="A10" s="22" t="str">
        <f>IF(R10,Discrete_NFET[[#This Row],[PARTNUMBER]],"")</f>
        <v/>
      </c>
      <c r="B10" t="s">
        <v>184</v>
      </c>
      <c r="C10" s="22" t="b">
        <f>AND((Discrete_NFET[[#This Row],[VDSMAX]]&gt;=VDC_AVG*1.25),(Discrete_NFET[[#This Row],[VGSMAX]]&gt;=GDR_V*1.2))</f>
        <v>0</v>
      </c>
      <c r="D10" s="22" t="b">
        <f>AND(VDC_AVG&lt;=25,Discrete_NFET[[#This Row],[VDSMAX]]&lt;=30)</f>
        <v>1</v>
      </c>
      <c r="E10" s="22" t="b">
        <f>AND(VDC_AVG&lt;=33,VDC_AVG&gt;=12,Discrete_NFET[[#This Row],[VDSMAX]]=40)</f>
        <v>0</v>
      </c>
      <c r="F10" s="22" t="b">
        <f>AND(VDC_AVG&lt;=50,VDC_AVG&gt;=18,Discrete_NFET[[#This Row],[VDSMAX]]=60)</f>
        <v>0</v>
      </c>
      <c r="G10" s="22" t="b">
        <f>AND(VDC_AVG&lt;=66,VDC_AVG&gt;=24,Discrete_NFET[[#This Row],[VDSMAX]]=80)</f>
        <v>0</v>
      </c>
      <c r="H10" s="22" t="b">
        <f>AND(VDC_AVG&lt;=83,VDC_AVG&gt;=36,Discrete_NFET[[#This Row],[VDSMAX]]=100)</f>
        <v>0</v>
      </c>
      <c r="I10" s="22" t="b">
        <f t="shared" si="0"/>
        <v>1</v>
      </c>
      <c r="J10" s="22" t="b">
        <f>AND(((GDR_V)&lt;2.5),('FET Data'!$AC10&lt;&gt;"(Null)"))</f>
        <v>0</v>
      </c>
      <c r="K10" s="22" t="b">
        <f>AND(((GDR_V)&gt;=2.5),((GDR_V)&lt;3),OR(('FET Data'!$AD10&lt;&gt;"(Null)"),('FET Data'!$AC10&lt;&gt;"(Null)")))</f>
        <v>0</v>
      </c>
      <c r="L10" s="22" t="b">
        <f>AND(((GDR_V)&gt;=3),((GDR_V)&lt;4.5),OR(('FET Data'!$AE10&lt;&gt;"(Null)"),('FET Data'!$AD10&lt;&gt;"(Null)"),('FET Data'!$AC10&lt;&gt;"(Null)")))</f>
        <v>0</v>
      </c>
      <c r="M10" s="22" t="b">
        <f>AND(((GDR_V)&gt;=4.5),((GDR_V)&lt;6),OR(('FET Data'!$AF10&lt;&gt;"(Null)"),('FET Data'!$AE10&lt;&gt;"(Null)"),('FET Data'!$AD10&lt;&gt;"(Null)"),('FET Data'!$AC10&lt;&gt;"(Null)")))</f>
        <v>0</v>
      </c>
      <c r="N10" s="22" t="b">
        <f>AND(((GDR_V)&gt;=6),((GDR_V)&lt;8),OR(('FET Data'!$AG10&lt;&gt;"(Null)"),('FET Data'!$AF10&lt;&gt;"(Null)"),('FET Data'!$AE10&lt;&gt;"(Null)"),('FET Data'!$AD10&lt;&gt;"(Null)"),('FET Data'!$AC10&lt;&gt;"(Null)")))</f>
        <v>0</v>
      </c>
      <c r="O10" s="22" t="b">
        <f>AND(((GDR_V)&gt;=8),((GDR_V)&lt;10),OR(('FET Data'!$AH10&lt;&gt;"(Null)"),('FET Data'!$AG10&lt;&gt;"(Null)"),('FET Data'!$AF10&lt;&gt;"(Null)"),('FET Data'!$AE10&lt;&gt;"(Null)"),('FET Data'!$AD10&lt;&gt;"(Null)"),('FET Data'!$AC10&lt;&gt;"(Null)")))</f>
        <v>0</v>
      </c>
      <c r="P10" s="22" t="b">
        <f>AND(((GDR_V)&gt;=10),OR(('FET Data'!$AI10&lt;&gt;"(Null)"),('FET Data'!$AH10&lt;&gt;"(Null)"),('FET Data'!$AG10&lt;&gt;"(Null)"),('FET Data'!$AF10&lt;&gt;"(Null)"),('FET Data'!$AE10&lt;&gt;"(Null)"),('FET Data'!$AD10&lt;&gt;"(Null)"),('FET Data'!$AC10&lt;&gt;"(Null)")))</f>
        <v>1</v>
      </c>
      <c r="Q10" s="22" t="b">
        <f t="shared" si="1"/>
        <v>1</v>
      </c>
      <c r="R10" s="22" t="b">
        <f t="shared" si="2"/>
        <v>0</v>
      </c>
      <c r="U10" s="22" t="b">
        <f>OR(V9:AA9)</f>
        <v>1</v>
      </c>
      <c r="V10" s="22" t="b">
        <f t="shared" ref="V10:AA10" si="4">AND($U$7,V7,V8="1")</f>
        <v>0</v>
      </c>
      <c r="W10" s="22" t="b">
        <f t="shared" si="4"/>
        <v>0</v>
      </c>
      <c r="X10" s="22" t="b">
        <f t="shared" si="4"/>
        <v>1</v>
      </c>
      <c r="Y10" s="22" t="b">
        <f t="shared" si="4"/>
        <v>0</v>
      </c>
      <c r="Z10" s="22" t="b">
        <f t="shared" si="4"/>
        <v>0</v>
      </c>
      <c r="AA10" s="22" t="b">
        <f t="shared" si="4"/>
        <v>1</v>
      </c>
    </row>
    <row r="11" spans="1:28" x14ac:dyDescent="0.25">
      <c r="A11" s="22" t="str">
        <f>IF(R11,Discrete_NFET[[#This Row],[PARTNUMBER]],"")</f>
        <v/>
      </c>
      <c r="B11" t="s">
        <v>186</v>
      </c>
      <c r="C11" s="22" t="b">
        <f>AND((Discrete_NFET[[#This Row],[VDSMAX]]&gt;=VDC_AVG*1.25),(Discrete_NFET[[#This Row],[VGSMAX]]&gt;=GDR_V*1.2))</f>
        <v>0</v>
      </c>
      <c r="D11" s="22" t="b">
        <f>AND(VDC_AVG&lt;=25,Discrete_NFET[[#This Row],[VDSMAX]]&lt;=30)</f>
        <v>1</v>
      </c>
      <c r="E11" s="22" t="b">
        <f>AND(VDC_AVG&lt;=33,VDC_AVG&gt;=12,Discrete_NFET[[#This Row],[VDSMAX]]=40)</f>
        <v>0</v>
      </c>
      <c r="F11" s="22" t="b">
        <f>AND(VDC_AVG&lt;=50,VDC_AVG&gt;=18,Discrete_NFET[[#This Row],[VDSMAX]]=60)</f>
        <v>0</v>
      </c>
      <c r="G11" s="22" t="b">
        <f>AND(VDC_AVG&lt;=66,VDC_AVG&gt;=24,Discrete_NFET[[#This Row],[VDSMAX]]=80)</f>
        <v>0</v>
      </c>
      <c r="H11" s="22" t="b">
        <f>AND(VDC_AVG&lt;=83,VDC_AVG&gt;=36,Discrete_NFET[[#This Row],[VDSMAX]]=100)</f>
        <v>0</v>
      </c>
      <c r="I11" s="22" t="b">
        <f t="shared" si="0"/>
        <v>1</v>
      </c>
      <c r="J11" s="22" t="b">
        <f>AND(((GDR_V)&lt;2.5),('FET Data'!$AC11&lt;&gt;"(Null)"))</f>
        <v>0</v>
      </c>
      <c r="K11" s="22" t="b">
        <f>AND(((GDR_V)&gt;=2.5),((GDR_V)&lt;3),OR(('FET Data'!$AD11&lt;&gt;"(Null)"),('FET Data'!$AC11&lt;&gt;"(Null)")))</f>
        <v>0</v>
      </c>
      <c r="L11" s="22" t="b">
        <f>AND(((GDR_V)&gt;=3),((GDR_V)&lt;4.5),OR(('FET Data'!$AE11&lt;&gt;"(Null)"),('FET Data'!$AD11&lt;&gt;"(Null)"),('FET Data'!$AC11&lt;&gt;"(Null)")))</f>
        <v>0</v>
      </c>
      <c r="M11" s="22" t="b">
        <f>AND(((GDR_V)&gt;=4.5),((GDR_V)&lt;6),OR(('FET Data'!$AF11&lt;&gt;"(Null)"),('FET Data'!$AE11&lt;&gt;"(Null)"),('FET Data'!$AD11&lt;&gt;"(Null)"),('FET Data'!$AC11&lt;&gt;"(Null)")))</f>
        <v>0</v>
      </c>
      <c r="N11" s="22" t="b">
        <f>AND(((GDR_V)&gt;=6),((GDR_V)&lt;8),OR(('FET Data'!$AG11&lt;&gt;"(Null)"),('FET Data'!$AF11&lt;&gt;"(Null)"),('FET Data'!$AE11&lt;&gt;"(Null)"),('FET Data'!$AD11&lt;&gt;"(Null)"),('FET Data'!$AC11&lt;&gt;"(Null)")))</f>
        <v>0</v>
      </c>
      <c r="O11" s="22" t="b">
        <f>AND(((GDR_V)&gt;=8),((GDR_V)&lt;10),OR(('FET Data'!$AH11&lt;&gt;"(Null)"),('FET Data'!$AG11&lt;&gt;"(Null)"),('FET Data'!$AF11&lt;&gt;"(Null)"),('FET Data'!$AE11&lt;&gt;"(Null)"),('FET Data'!$AD11&lt;&gt;"(Null)"),('FET Data'!$AC11&lt;&gt;"(Null)")))</f>
        <v>0</v>
      </c>
      <c r="P11" s="22" t="b">
        <f>AND(((GDR_V)&gt;=10),OR(('FET Data'!$AI11&lt;&gt;"(Null)"),('FET Data'!$AH11&lt;&gt;"(Null)"),('FET Data'!$AG11&lt;&gt;"(Null)"),('FET Data'!$AF11&lt;&gt;"(Null)"),('FET Data'!$AE11&lt;&gt;"(Null)"),('FET Data'!$AD11&lt;&gt;"(Null)"),('FET Data'!$AC11&lt;&gt;"(Null)")))</f>
        <v>1</v>
      </c>
      <c r="Q11" s="22" t="b">
        <f t="shared" si="1"/>
        <v>1</v>
      </c>
      <c r="R11" s="22" t="b">
        <f t="shared" si="2"/>
        <v>0</v>
      </c>
      <c r="U11" s="22" t="b">
        <f>NOT(AND((GDR_V&lt;=6),('FET Data'!$AD2="(Null)")))</f>
        <v>1</v>
      </c>
    </row>
    <row r="12" spans="1:28" x14ac:dyDescent="0.25">
      <c r="A12" s="22" t="str">
        <f>IF(R12,Discrete_NFET[[#This Row],[PARTNUMBER]],"")</f>
        <v>CSD16401Q5</v>
      </c>
      <c r="B12" t="s">
        <v>188</v>
      </c>
      <c r="C12" s="22" t="b">
        <f>AND((Discrete_NFET[[#This Row],[VDSMAX]]&gt;=VDC_AVG*1.25),(Discrete_NFET[[#This Row],[VGSMAX]]&gt;=GDR_V*1.2))</f>
        <v>1</v>
      </c>
      <c r="D12" s="22" t="b">
        <f>AND(VDC_AVG&lt;=25,Discrete_NFET[[#This Row],[VDSMAX]]&lt;=30)</f>
        <v>1</v>
      </c>
      <c r="E12" s="22" t="b">
        <f>AND(VDC_AVG&lt;=33,VDC_AVG&gt;=12,Discrete_NFET[[#This Row],[VDSMAX]]=40)</f>
        <v>0</v>
      </c>
      <c r="F12" s="22" t="b">
        <f>AND(VDC_AVG&lt;=50,VDC_AVG&gt;=18,Discrete_NFET[[#This Row],[VDSMAX]]=60)</f>
        <v>0</v>
      </c>
      <c r="G12" s="22" t="b">
        <f>AND(VDC_AVG&lt;=66,VDC_AVG&gt;=24,Discrete_NFET[[#This Row],[VDSMAX]]=80)</f>
        <v>0</v>
      </c>
      <c r="H12" s="22" t="b">
        <f>AND(VDC_AVG&lt;=83,VDC_AVG&gt;=36,Discrete_NFET[[#This Row],[VDSMAX]]=100)</f>
        <v>0</v>
      </c>
      <c r="I12" s="22" t="b">
        <f t="shared" si="0"/>
        <v>1</v>
      </c>
      <c r="J12" s="22" t="b">
        <f>AND(((GDR_V)&lt;2.5),('FET Data'!$AC12&lt;&gt;"(Null)"))</f>
        <v>0</v>
      </c>
      <c r="K12" s="22" t="b">
        <f>AND(((GDR_V)&gt;=2.5),((GDR_V)&lt;3),OR(('FET Data'!$AD12&lt;&gt;"(Null)"),('FET Data'!$AC12&lt;&gt;"(Null)")))</f>
        <v>0</v>
      </c>
      <c r="L12" s="22" t="b">
        <f>AND(((GDR_V)&gt;=3),((GDR_V)&lt;4.5),OR(('FET Data'!$AE12&lt;&gt;"(Null)"),('FET Data'!$AD12&lt;&gt;"(Null)"),('FET Data'!$AC12&lt;&gt;"(Null)")))</f>
        <v>0</v>
      </c>
      <c r="M12" s="22" t="b">
        <f>AND(((GDR_V)&gt;=4.5),((GDR_V)&lt;6),OR(('FET Data'!$AF12&lt;&gt;"(Null)"),('FET Data'!$AE12&lt;&gt;"(Null)"),('FET Data'!$AD12&lt;&gt;"(Null)"),('FET Data'!$AC12&lt;&gt;"(Null)")))</f>
        <v>0</v>
      </c>
      <c r="N12" s="22" t="b">
        <f>AND(((GDR_V)&gt;=6),((GDR_V)&lt;8),OR(('FET Data'!$AG12&lt;&gt;"(Null)"),('FET Data'!$AF12&lt;&gt;"(Null)"),('FET Data'!$AE12&lt;&gt;"(Null)"),('FET Data'!$AD12&lt;&gt;"(Null)"),('FET Data'!$AC12&lt;&gt;"(Null)")))</f>
        <v>0</v>
      </c>
      <c r="O12" s="22" t="b">
        <f>AND(((GDR_V)&gt;=8),((GDR_V)&lt;10),OR(('FET Data'!$AH12&lt;&gt;"(Null)"),('FET Data'!$AG12&lt;&gt;"(Null)"),('FET Data'!$AF12&lt;&gt;"(Null)"),('FET Data'!$AE12&lt;&gt;"(Null)"),('FET Data'!$AD12&lt;&gt;"(Null)"),('FET Data'!$AC12&lt;&gt;"(Null)")))</f>
        <v>0</v>
      </c>
      <c r="P12" s="22" t="b">
        <f>AND(((GDR_V)&gt;=10),OR(('FET Data'!$AI12&lt;&gt;"(Null)"),('FET Data'!$AH12&lt;&gt;"(Null)"),('FET Data'!$AG12&lt;&gt;"(Null)"),('FET Data'!$AF12&lt;&gt;"(Null)"),('FET Data'!$AE12&lt;&gt;"(Null)"),('FET Data'!$AD12&lt;&gt;"(Null)"),('FET Data'!$AC12&lt;&gt;"(Null)")))</f>
        <v>1</v>
      </c>
      <c r="Q12" s="22" t="b">
        <f t="shared" si="1"/>
        <v>1</v>
      </c>
      <c r="R12" s="22" t="b">
        <f t="shared" si="2"/>
        <v>1</v>
      </c>
    </row>
    <row r="13" spans="1:28" x14ac:dyDescent="0.25">
      <c r="A13" s="22" t="str">
        <f>IF(R13,Discrete_NFET[[#This Row],[PARTNUMBER]],"")</f>
        <v>CSD16403Q5A</v>
      </c>
      <c r="B13" t="s">
        <v>190</v>
      </c>
      <c r="C13" s="22" t="b">
        <f>AND((Discrete_NFET[[#This Row],[VDSMAX]]&gt;=VDC_AVG*1.25),(Discrete_NFET[[#This Row],[VGSMAX]]&gt;=GDR_V*1.2))</f>
        <v>1</v>
      </c>
      <c r="D13" s="22" t="b">
        <f>AND(VDC_AVG&lt;=25,Discrete_NFET[[#This Row],[VDSMAX]]&lt;=30)</f>
        <v>1</v>
      </c>
      <c r="E13" s="22" t="b">
        <f>AND(VDC_AVG&lt;=33,VDC_AVG&gt;=12,Discrete_NFET[[#This Row],[VDSMAX]]=40)</f>
        <v>0</v>
      </c>
      <c r="F13" s="22" t="b">
        <f>AND(VDC_AVG&lt;=50,VDC_AVG&gt;=18,Discrete_NFET[[#This Row],[VDSMAX]]=60)</f>
        <v>0</v>
      </c>
      <c r="G13" s="22" t="b">
        <f>AND(VDC_AVG&lt;=66,VDC_AVG&gt;=24,Discrete_NFET[[#This Row],[VDSMAX]]=80)</f>
        <v>0</v>
      </c>
      <c r="H13" s="22" t="b">
        <f>AND(VDC_AVG&lt;=83,VDC_AVG&gt;=36,Discrete_NFET[[#This Row],[VDSMAX]]=100)</f>
        <v>0</v>
      </c>
      <c r="I13" s="22" t="b">
        <f t="shared" si="0"/>
        <v>1</v>
      </c>
      <c r="J13" s="22" t="b">
        <f>AND(((GDR_V)&lt;2.5),('FET Data'!$AC13&lt;&gt;"(Null)"))</f>
        <v>0</v>
      </c>
      <c r="K13" s="22" t="b">
        <f>AND(((GDR_V)&gt;=2.5),((GDR_V)&lt;3),OR(('FET Data'!$AD13&lt;&gt;"(Null)"),('FET Data'!$AC13&lt;&gt;"(Null)")))</f>
        <v>0</v>
      </c>
      <c r="L13" s="22" t="b">
        <f>AND(((GDR_V)&gt;=3),((GDR_V)&lt;4.5),OR(('FET Data'!$AE13&lt;&gt;"(Null)"),('FET Data'!$AD13&lt;&gt;"(Null)"),('FET Data'!$AC13&lt;&gt;"(Null)")))</f>
        <v>0</v>
      </c>
      <c r="M13" s="22" t="b">
        <f>AND(((GDR_V)&gt;=4.5),((GDR_V)&lt;6),OR(('FET Data'!$AF13&lt;&gt;"(Null)"),('FET Data'!$AE13&lt;&gt;"(Null)"),('FET Data'!$AD13&lt;&gt;"(Null)"),('FET Data'!$AC13&lt;&gt;"(Null)")))</f>
        <v>0</v>
      </c>
      <c r="N13" s="22" t="b">
        <f>AND(((GDR_V)&gt;=6),((GDR_V)&lt;8),OR(('FET Data'!$AG13&lt;&gt;"(Null)"),('FET Data'!$AF13&lt;&gt;"(Null)"),('FET Data'!$AE13&lt;&gt;"(Null)"),('FET Data'!$AD13&lt;&gt;"(Null)"),('FET Data'!$AC13&lt;&gt;"(Null)")))</f>
        <v>0</v>
      </c>
      <c r="O13" s="22" t="b">
        <f>AND(((GDR_V)&gt;=8),((GDR_V)&lt;10),OR(('FET Data'!$AH13&lt;&gt;"(Null)"),('FET Data'!$AG13&lt;&gt;"(Null)"),('FET Data'!$AF13&lt;&gt;"(Null)"),('FET Data'!$AE13&lt;&gt;"(Null)"),('FET Data'!$AD13&lt;&gt;"(Null)"),('FET Data'!$AC13&lt;&gt;"(Null)")))</f>
        <v>0</v>
      </c>
      <c r="P13" s="22" t="b">
        <f>AND(((GDR_V)&gt;=10),OR(('FET Data'!$AI13&lt;&gt;"(Null)"),('FET Data'!$AH13&lt;&gt;"(Null)"),('FET Data'!$AG13&lt;&gt;"(Null)"),('FET Data'!$AF13&lt;&gt;"(Null)"),('FET Data'!$AE13&lt;&gt;"(Null)"),('FET Data'!$AD13&lt;&gt;"(Null)"),('FET Data'!$AC13&lt;&gt;"(Null)")))</f>
        <v>1</v>
      </c>
      <c r="Q13" s="22" t="b">
        <f t="shared" si="1"/>
        <v>1</v>
      </c>
      <c r="R13" s="22" t="b">
        <f t="shared" si="2"/>
        <v>1</v>
      </c>
      <c r="V13" s="22" t="s">
        <v>42</v>
      </c>
      <c r="W13" s="22" t="s">
        <v>392</v>
      </c>
      <c r="X13" s="22" t="s">
        <v>375</v>
      </c>
      <c r="Y13" s="22" t="s">
        <v>376</v>
      </c>
      <c r="Z13" s="22" t="s">
        <v>44</v>
      </c>
      <c r="AA13" s="22" t="s">
        <v>45</v>
      </c>
    </row>
    <row r="14" spans="1:28" x14ac:dyDescent="0.25">
      <c r="A14" s="22" t="str">
        <f>IF(R14,Discrete_NFET[[#This Row],[PARTNUMBER]],"")</f>
        <v>CSD16404Q5A</v>
      </c>
      <c r="B14" t="s">
        <v>192</v>
      </c>
      <c r="C14" s="22" t="b">
        <f>AND((Discrete_NFET[[#This Row],[VDSMAX]]&gt;=VDC_AVG*1.25),(Discrete_NFET[[#This Row],[VGSMAX]]&gt;=GDR_V*1.2))</f>
        <v>1</v>
      </c>
      <c r="D14" s="22" t="b">
        <f>AND(VDC_AVG&lt;=25,Discrete_NFET[[#This Row],[VDSMAX]]&lt;=30)</f>
        <v>1</v>
      </c>
      <c r="E14" s="22" t="b">
        <f>AND(VDC_AVG&lt;=33,VDC_AVG&gt;=12,Discrete_NFET[[#This Row],[VDSMAX]]=40)</f>
        <v>0</v>
      </c>
      <c r="F14" s="22" t="b">
        <f>AND(VDC_AVG&lt;=50,VDC_AVG&gt;=18,Discrete_NFET[[#This Row],[VDSMAX]]=60)</f>
        <v>0</v>
      </c>
      <c r="G14" s="22" t="b">
        <f>AND(VDC_AVG&lt;=66,VDC_AVG&gt;=24,Discrete_NFET[[#This Row],[VDSMAX]]=80)</f>
        <v>0</v>
      </c>
      <c r="H14" s="22" t="b">
        <f>AND(VDC_AVG&lt;=83,VDC_AVG&gt;=36,Discrete_NFET[[#This Row],[VDSMAX]]=100)</f>
        <v>0</v>
      </c>
      <c r="I14" s="22" t="b">
        <f t="shared" si="0"/>
        <v>1</v>
      </c>
      <c r="J14" s="22" t="b">
        <f>AND(((GDR_V)&lt;2.5),('FET Data'!$AC14&lt;&gt;"(Null)"))</f>
        <v>0</v>
      </c>
      <c r="K14" s="22" t="b">
        <f>AND(((GDR_V)&gt;=2.5),((GDR_V)&lt;3),OR(('FET Data'!$AD14&lt;&gt;"(Null)"),('FET Data'!$AC14&lt;&gt;"(Null)")))</f>
        <v>0</v>
      </c>
      <c r="L14" s="22" t="b">
        <f>AND(((GDR_V)&gt;=3),((GDR_V)&lt;4.5),OR(('FET Data'!$AE14&lt;&gt;"(Null)"),('FET Data'!$AD14&lt;&gt;"(Null)"),('FET Data'!$AC14&lt;&gt;"(Null)")))</f>
        <v>0</v>
      </c>
      <c r="M14" s="22" t="b">
        <f>AND(((GDR_V)&gt;=4.5),((GDR_V)&lt;6),OR(('FET Data'!$AF14&lt;&gt;"(Null)"),('FET Data'!$AE14&lt;&gt;"(Null)"),('FET Data'!$AD14&lt;&gt;"(Null)"),('FET Data'!$AC14&lt;&gt;"(Null)")))</f>
        <v>0</v>
      </c>
      <c r="N14" s="22" t="b">
        <f>AND(((GDR_V)&gt;=6),((GDR_V)&lt;8),OR(('FET Data'!$AG14&lt;&gt;"(Null)"),('FET Data'!$AF14&lt;&gt;"(Null)"),('FET Data'!$AE14&lt;&gt;"(Null)"),('FET Data'!$AD14&lt;&gt;"(Null)"),('FET Data'!$AC14&lt;&gt;"(Null)")))</f>
        <v>0</v>
      </c>
      <c r="O14" s="22" t="b">
        <f>AND(((GDR_V)&gt;=8),((GDR_V)&lt;10),OR(('FET Data'!$AH14&lt;&gt;"(Null)"),('FET Data'!$AG14&lt;&gt;"(Null)"),('FET Data'!$AF14&lt;&gt;"(Null)"),('FET Data'!$AE14&lt;&gt;"(Null)"),('FET Data'!$AD14&lt;&gt;"(Null)"),('FET Data'!$AC14&lt;&gt;"(Null)")))</f>
        <v>0</v>
      </c>
      <c r="P14" s="22" t="b">
        <f>AND(((GDR_V)&gt;=10),OR(('FET Data'!$AI14&lt;&gt;"(Null)"),('FET Data'!$AH14&lt;&gt;"(Null)"),('FET Data'!$AG14&lt;&gt;"(Null)"),('FET Data'!$AF14&lt;&gt;"(Null)"),('FET Data'!$AE14&lt;&gt;"(Null)"),('FET Data'!$AD14&lt;&gt;"(Null)"),('FET Data'!$AC14&lt;&gt;"(Null)")))</f>
        <v>1</v>
      </c>
      <c r="Q14" s="22" t="b">
        <f t="shared" si="1"/>
        <v>1</v>
      </c>
      <c r="R14" s="22" t="b">
        <f t="shared" si="2"/>
        <v>1</v>
      </c>
      <c r="V14" s="22" t="s">
        <v>403</v>
      </c>
      <c r="W14" s="22" t="s">
        <v>404</v>
      </c>
      <c r="X14" s="22" t="s">
        <v>405</v>
      </c>
      <c r="Y14" s="22" t="s">
        <v>406</v>
      </c>
      <c r="Z14" s="22" t="s">
        <v>407</v>
      </c>
      <c r="AA14" s="22" t="s">
        <v>408</v>
      </c>
      <c r="AB14" s="22" t="s">
        <v>374</v>
      </c>
    </row>
    <row r="15" spans="1:28" x14ac:dyDescent="0.25">
      <c r="A15" s="22" t="str">
        <f>IF(R15,Discrete_NFET[[#This Row],[PARTNUMBER]],"")</f>
        <v>CSD16406Q3</v>
      </c>
      <c r="B15" t="s">
        <v>194</v>
      </c>
      <c r="C15" s="22" t="b">
        <f>AND((Discrete_NFET[[#This Row],[VDSMAX]]&gt;=VDC_AVG*1.25),(Discrete_NFET[[#This Row],[VGSMAX]]&gt;=GDR_V*1.2))</f>
        <v>1</v>
      </c>
      <c r="D15" s="22" t="b">
        <f>AND(VDC_AVG&lt;=25,Discrete_NFET[[#This Row],[VDSMAX]]&lt;=30)</f>
        <v>1</v>
      </c>
      <c r="E15" s="22" t="b">
        <f>AND(VDC_AVG&lt;=33,VDC_AVG&gt;=12,Discrete_NFET[[#This Row],[VDSMAX]]=40)</f>
        <v>0</v>
      </c>
      <c r="F15" s="22" t="b">
        <f>AND(VDC_AVG&lt;=50,VDC_AVG&gt;=18,Discrete_NFET[[#This Row],[VDSMAX]]=60)</f>
        <v>0</v>
      </c>
      <c r="G15" s="22" t="b">
        <f>AND(VDC_AVG&lt;=66,VDC_AVG&gt;=24,Discrete_NFET[[#This Row],[VDSMAX]]=80)</f>
        <v>0</v>
      </c>
      <c r="H15" s="22" t="b">
        <f>AND(VDC_AVG&lt;=83,VDC_AVG&gt;=36,Discrete_NFET[[#This Row],[VDSMAX]]=100)</f>
        <v>0</v>
      </c>
      <c r="I15" s="22" t="b">
        <f t="shared" si="0"/>
        <v>1</v>
      </c>
      <c r="J15" s="22" t="b">
        <f>AND(((GDR_V)&lt;2.5),('FET Data'!$AC15&lt;&gt;"(Null)"))</f>
        <v>0</v>
      </c>
      <c r="K15" s="22" t="b">
        <f>AND(((GDR_V)&gt;=2.5),((GDR_V)&lt;3),OR(('FET Data'!$AD15&lt;&gt;"(Null)"),('FET Data'!$AC15&lt;&gt;"(Null)")))</f>
        <v>0</v>
      </c>
      <c r="L15" s="22" t="b">
        <f>AND(((GDR_V)&gt;=3),((GDR_V)&lt;4.5),OR(('FET Data'!$AE15&lt;&gt;"(Null)"),('FET Data'!$AD15&lt;&gt;"(Null)"),('FET Data'!$AC15&lt;&gt;"(Null)")))</f>
        <v>0</v>
      </c>
      <c r="M15" s="22" t="b">
        <f>AND(((GDR_V)&gt;=4.5),((GDR_V)&lt;6),OR(('FET Data'!$AF15&lt;&gt;"(Null)"),('FET Data'!$AE15&lt;&gt;"(Null)"),('FET Data'!$AD15&lt;&gt;"(Null)"),('FET Data'!$AC15&lt;&gt;"(Null)")))</f>
        <v>0</v>
      </c>
      <c r="N15" s="22" t="b">
        <f>AND(((GDR_V)&gt;=6),((GDR_V)&lt;8),OR(('FET Data'!$AG15&lt;&gt;"(Null)"),('FET Data'!$AF15&lt;&gt;"(Null)"),('FET Data'!$AE15&lt;&gt;"(Null)"),('FET Data'!$AD15&lt;&gt;"(Null)"),('FET Data'!$AC15&lt;&gt;"(Null)")))</f>
        <v>0</v>
      </c>
      <c r="O15" s="22" t="b">
        <f>AND(((GDR_V)&gt;=8),((GDR_V)&lt;10),OR(('FET Data'!$AH15&lt;&gt;"(Null)"),('FET Data'!$AG15&lt;&gt;"(Null)"),('FET Data'!$AF15&lt;&gt;"(Null)"),('FET Data'!$AE15&lt;&gt;"(Null)"),('FET Data'!$AD15&lt;&gt;"(Null)"),('FET Data'!$AC15&lt;&gt;"(Null)")))</f>
        <v>0</v>
      </c>
      <c r="P15" s="22" t="b">
        <f>AND(((GDR_V)&gt;=10),OR(('FET Data'!$AI15&lt;&gt;"(Null)"),('FET Data'!$AH15&lt;&gt;"(Null)"),('FET Data'!$AG15&lt;&gt;"(Null)"),('FET Data'!$AF15&lt;&gt;"(Null)"),('FET Data'!$AE15&lt;&gt;"(Null)"),('FET Data'!$AD15&lt;&gt;"(Null)"),('FET Data'!$AC15&lt;&gt;"(Null)")))</f>
        <v>1</v>
      </c>
      <c r="Q15" s="22" t="b">
        <f t="shared" si="1"/>
        <v>1</v>
      </c>
      <c r="R15" s="22" t="b">
        <f t="shared" si="2"/>
        <v>1</v>
      </c>
      <c r="V15" s="22" t="b">
        <f>(GDR_V&gt;=2.5)</f>
        <v>1</v>
      </c>
      <c r="W15" s="22" t="b">
        <f>(GDR_V&gt;=3)</f>
        <v>1</v>
      </c>
      <c r="X15" s="22" t="b">
        <f>(GDR_V&gt;=4)</f>
        <v>1</v>
      </c>
      <c r="Y15" s="22" t="b">
        <f>(GDR_V&gt;=5.5)</f>
        <v>1</v>
      </c>
      <c r="Z15" s="22" t="b">
        <f>(GDR_V&gt;=7)</f>
        <v>1</v>
      </c>
      <c r="AA15" s="22" t="b">
        <f>AND(GDR_V&gt;=8)</f>
        <v>1</v>
      </c>
      <c r="AB15" s="22">
        <f>IF(AA18,LOOKUP(Q1_Part_Number,Discrete_NFET[PARTNUMBER],Discrete_NFET[RDSON10])*1000,IF(Z18,LOOKUP(Q1_Part_Number,Discrete_NFET[PARTNUMBER],Discrete_NFET[RDSON8])*1000,IF(Y18,LOOKUP(Q1_Part_Number,Discrete_NFET[PARTNUMBER],Discrete_NFET[RDSON6])*1000,IF(X18,LOOKUP(Q1_Part_Number,Discrete_NFET[PARTNUMBER],Discrete_NFET[RDSON45])*1000,IF(W18,LOOKUP(Q1_Part_Number,Discrete_NFET[PARTNUMBER],Discrete_NFET[RDSON3])*1000,IF(V18,LOOKUP(Q1_Part_Number,Discrete_NFET[PARTNUMBER],Discrete_NFET[RDSON25])*1000,""))))))</f>
        <v>2</v>
      </c>
    </row>
    <row r="16" spans="1:28" x14ac:dyDescent="0.25">
      <c r="A16" s="22" t="str">
        <f>IF(R16,Discrete_NFET[[#This Row],[PARTNUMBER]],"")</f>
        <v>CSD16407Q5</v>
      </c>
      <c r="B16" t="s">
        <v>197</v>
      </c>
      <c r="C16" s="22" t="b">
        <f>AND((Discrete_NFET[[#This Row],[VDSMAX]]&gt;=VDC_AVG*1.25),(Discrete_NFET[[#This Row],[VGSMAX]]&gt;=GDR_V*1.2))</f>
        <v>1</v>
      </c>
      <c r="D16" s="22" t="b">
        <f>AND(VDC_AVG&lt;=25,Discrete_NFET[[#This Row],[VDSMAX]]&lt;=30)</f>
        <v>1</v>
      </c>
      <c r="E16" s="22" t="b">
        <f>AND(VDC_AVG&lt;=33,VDC_AVG&gt;=12,Discrete_NFET[[#This Row],[VDSMAX]]=40)</f>
        <v>0</v>
      </c>
      <c r="F16" s="22" t="b">
        <f>AND(VDC_AVG&lt;=50,VDC_AVG&gt;=18,Discrete_NFET[[#This Row],[VDSMAX]]=60)</f>
        <v>0</v>
      </c>
      <c r="G16" s="22" t="b">
        <f>AND(VDC_AVG&lt;=66,VDC_AVG&gt;=24,Discrete_NFET[[#This Row],[VDSMAX]]=80)</f>
        <v>0</v>
      </c>
      <c r="H16" s="22" t="b">
        <f>AND(VDC_AVG&lt;=83,VDC_AVG&gt;=36,Discrete_NFET[[#This Row],[VDSMAX]]=100)</f>
        <v>0</v>
      </c>
      <c r="I16" s="22" t="b">
        <f t="shared" si="0"/>
        <v>1</v>
      </c>
      <c r="J16" s="22" t="b">
        <f>AND(((GDR_V)&lt;2.5),('FET Data'!$AC16&lt;&gt;"(Null)"))</f>
        <v>0</v>
      </c>
      <c r="K16" s="22" t="b">
        <f>AND(((GDR_V)&gt;=2.5),((GDR_V)&lt;3),OR(('FET Data'!$AD16&lt;&gt;"(Null)"),('FET Data'!$AC16&lt;&gt;"(Null)")))</f>
        <v>0</v>
      </c>
      <c r="L16" s="22" t="b">
        <f>AND(((GDR_V)&gt;=3),((GDR_V)&lt;4.5),OR(('FET Data'!$AE16&lt;&gt;"(Null)"),('FET Data'!$AD16&lt;&gt;"(Null)"),('FET Data'!$AC16&lt;&gt;"(Null)")))</f>
        <v>0</v>
      </c>
      <c r="M16" s="22" t="b">
        <f>AND(((GDR_V)&gt;=4.5),((GDR_V)&lt;6),OR(('FET Data'!$AF16&lt;&gt;"(Null)"),('FET Data'!$AE16&lt;&gt;"(Null)"),('FET Data'!$AD16&lt;&gt;"(Null)"),('FET Data'!$AC16&lt;&gt;"(Null)")))</f>
        <v>0</v>
      </c>
      <c r="N16" s="22" t="b">
        <f>AND(((GDR_V)&gt;=6),((GDR_V)&lt;8),OR(('FET Data'!$AG16&lt;&gt;"(Null)"),('FET Data'!$AF16&lt;&gt;"(Null)"),('FET Data'!$AE16&lt;&gt;"(Null)"),('FET Data'!$AD16&lt;&gt;"(Null)"),('FET Data'!$AC16&lt;&gt;"(Null)")))</f>
        <v>0</v>
      </c>
      <c r="O16" s="22" t="b">
        <f>AND(((GDR_V)&gt;=8),((GDR_V)&lt;10),OR(('FET Data'!$AH16&lt;&gt;"(Null)"),('FET Data'!$AG16&lt;&gt;"(Null)"),('FET Data'!$AF16&lt;&gt;"(Null)"),('FET Data'!$AE16&lt;&gt;"(Null)"),('FET Data'!$AD16&lt;&gt;"(Null)"),('FET Data'!$AC16&lt;&gt;"(Null)")))</f>
        <v>0</v>
      </c>
      <c r="P16" s="22" t="b">
        <f>AND(((GDR_V)&gt;=10),OR(('FET Data'!$AI16&lt;&gt;"(Null)"),('FET Data'!$AH16&lt;&gt;"(Null)"),('FET Data'!$AG16&lt;&gt;"(Null)"),('FET Data'!$AF16&lt;&gt;"(Null)"),('FET Data'!$AE16&lt;&gt;"(Null)"),('FET Data'!$AD16&lt;&gt;"(Null)"),('FET Data'!$AC16&lt;&gt;"(Null)")))</f>
        <v>1</v>
      </c>
      <c r="Q16" s="22" t="b">
        <f t="shared" si="1"/>
        <v>1</v>
      </c>
      <c r="R16" s="22" t="b">
        <f t="shared" si="2"/>
        <v>1</v>
      </c>
      <c r="V16" s="22" t="str">
        <f>IF(LOOKUP(Q2_Part_Number,Discrete_NFET[PARTNUMBER],Discrete_NFET[RDSON25])="(NULL)","0","1")</f>
        <v>0</v>
      </c>
      <c r="W16" s="22" t="str">
        <f>IF(LOOKUP(Q2_Part_Number,Discrete_NFET[PARTNUMBER],Discrete_NFET[RDSON3])="(NULL)","0","1")</f>
        <v>0</v>
      </c>
      <c r="X16" s="22" t="str">
        <f>IF(LOOKUP(Q2_Part_Number,Discrete_NFET[PARTNUMBER],Discrete_NFET[RDSON45])="(NULL)","0","1")</f>
        <v>1</v>
      </c>
      <c r="Y16" s="22" t="str">
        <f>IF(LOOKUP(Q2_Part_Number,Discrete_NFET[PARTNUMBER],Discrete_NFET[RDSON6])="(NULL)","0","1")</f>
        <v>0</v>
      </c>
      <c r="Z16" s="22" t="str">
        <f>IF(LOOKUP(Q2_Part_Number,Discrete_NFET[PARTNUMBER],Discrete_NFET[RDSON8])="(NULL)","0","1")</f>
        <v>0</v>
      </c>
      <c r="AA16" s="22" t="str">
        <f>IF(LOOKUP(Q2_Part_Number,Discrete_NFET[PARTNUMBER],Discrete_NFET[RDSON10])="(NULL)","0","1")</f>
        <v>1</v>
      </c>
    </row>
    <row r="17" spans="1:27" x14ac:dyDescent="0.25">
      <c r="A17" s="22" t="str">
        <f>IF(R17,Discrete_NFET[[#This Row],[PARTNUMBER]],"")</f>
        <v>CSD16408Q5</v>
      </c>
      <c r="B17" t="s">
        <v>393</v>
      </c>
      <c r="C17" s="22" t="b">
        <f>AND((Discrete_NFET[[#This Row],[VDSMAX]]&gt;=VDC_AVG*1.25),(Discrete_NFET[[#This Row],[VGSMAX]]&gt;=GDR_V*1.2))</f>
        <v>1</v>
      </c>
      <c r="D17" s="22" t="b">
        <f>AND(VDC_AVG&lt;=25,Discrete_NFET[[#This Row],[VDSMAX]]&lt;=30)</f>
        <v>1</v>
      </c>
      <c r="E17" s="22" t="b">
        <f>AND(VDC_AVG&lt;=33,VDC_AVG&gt;=12,Discrete_NFET[[#This Row],[VDSMAX]]=40)</f>
        <v>0</v>
      </c>
      <c r="F17" s="22" t="b">
        <f>AND(VDC_AVG&lt;=50,VDC_AVG&gt;=18,Discrete_NFET[[#This Row],[VDSMAX]]=60)</f>
        <v>0</v>
      </c>
      <c r="G17" s="22" t="b">
        <f>AND(VDC_AVG&lt;=66,VDC_AVG&gt;=24,Discrete_NFET[[#This Row],[VDSMAX]]=80)</f>
        <v>0</v>
      </c>
      <c r="H17" s="22" t="b">
        <f>AND(VDC_AVG&lt;=83,VDC_AVG&gt;=36,Discrete_NFET[[#This Row],[VDSMAX]]=100)</f>
        <v>0</v>
      </c>
      <c r="I17" s="22" t="b">
        <f t="shared" si="0"/>
        <v>1</v>
      </c>
      <c r="J17" s="22" t="b">
        <f>AND(((GDR_V)&lt;2.5),('FET Data'!$AC17&lt;&gt;"(Null)"))</f>
        <v>0</v>
      </c>
      <c r="K17" s="22" t="b">
        <f>AND(((GDR_V)&gt;=2.5),((GDR_V)&lt;3),OR(('FET Data'!$AD17&lt;&gt;"(Null)"),('FET Data'!$AC17&lt;&gt;"(Null)")))</f>
        <v>0</v>
      </c>
      <c r="L17" s="22" t="b">
        <f>AND(((GDR_V)&gt;=3),((GDR_V)&lt;4.5),OR(('FET Data'!$AE17&lt;&gt;"(Null)"),('FET Data'!$AD17&lt;&gt;"(Null)"),('FET Data'!$AC17&lt;&gt;"(Null)")))</f>
        <v>0</v>
      </c>
      <c r="M17" s="22" t="b">
        <f>AND(((GDR_V)&gt;=4.5),((GDR_V)&lt;6),OR(('FET Data'!$AF17&lt;&gt;"(Null)"),('FET Data'!$AE17&lt;&gt;"(Null)"),('FET Data'!$AD17&lt;&gt;"(Null)"),('FET Data'!$AC17&lt;&gt;"(Null)")))</f>
        <v>0</v>
      </c>
      <c r="N17" s="22" t="b">
        <f>AND(((GDR_V)&gt;=6),((GDR_V)&lt;8),OR(('FET Data'!$AG17&lt;&gt;"(Null)"),('FET Data'!$AF17&lt;&gt;"(Null)"),('FET Data'!$AE17&lt;&gt;"(Null)"),('FET Data'!$AD17&lt;&gt;"(Null)"),('FET Data'!$AC17&lt;&gt;"(Null)")))</f>
        <v>0</v>
      </c>
      <c r="O17" s="22" t="b">
        <f>AND(((GDR_V)&gt;=8),((GDR_V)&lt;10),OR(('FET Data'!$AH17&lt;&gt;"(Null)"),('FET Data'!$AG17&lt;&gt;"(Null)"),('FET Data'!$AF17&lt;&gt;"(Null)"),('FET Data'!$AE17&lt;&gt;"(Null)"),('FET Data'!$AD17&lt;&gt;"(Null)"),('FET Data'!$AC17&lt;&gt;"(Null)")))</f>
        <v>0</v>
      </c>
      <c r="P17" s="22" t="b">
        <f>AND(((GDR_V)&gt;=10),OR(('FET Data'!$AI17&lt;&gt;"(Null)"),('FET Data'!$AH17&lt;&gt;"(Null)"),('FET Data'!$AG17&lt;&gt;"(Null)"),('FET Data'!$AF17&lt;&gt;"(Null)"),('FET Data'!$AE17&lt;&gt;"(Null)"),('FET Data'!$AD17&lt;&gt;"(Null)"),('FET Data'!$AC17&lt;&gt;"(Null)")))</f>
        <v>1</v>
      </c>
      <c r="Q17" s="22" t="b">
        <f t="shared" si="1"/>
        <v>1</v>
      </c>
      <c r="R17" s="22" t="b">
        <f t="shared" si="2"/>
        <v>1</v>
      </c>
      <c r="V17" s="22" t="b">
        <f t="shared" ref="V17:AA17" si="5">AND(V15,V16="1")</f>
        <v>0</v>
      </c>
      <c r="W17" s="22" t="b">
        <f t="shared" si="5"/>
        <v>0</v>
      </c>
      <c r="X17" s="22" t="b">
        <f t="shared" si="5"/>
        <v>1</v>
      </c>
      <c r="Y17" s="22" t="b">
        <f t="shared" si="5"/>
        <v>0</v>
      </c>
      <c r="Z17" s="22" t="b">
        <f t="shared" si="5"/>
        <v>0</v>
      </c>
      <c r="AA17" s="22" t="b">
        <f t="shared" si="5"/>
        <v>1</v>
      </c>
    </row>
    <row r="18" spans="1:27" x14ac:dyDescent="0.25">
      <c r="A18" s="22" t="str">
        <f>IF(R18,Discrete_NFET[[#This Row],[PARTNUMBER]],"")</f>
        <v>CSD16409Q3</v>
      </c>
      <c r="B18" t="s">
        <v>200</v>
      </c>
      <c r="C18" s="22" t="b">
        <f>AND((Discrete_NFET[[#This Row],[VDSMAX]]&gt;=VDC_AVG*1.25),(Discrete_NFET[[#This Row],[VGSMAX]]&gt;=GDR_V*1.2))</f>
        <v>1</v>
      </c>
      <c r="D18" s="22" t="b">
        <f>AND(VDC_AVG&lt;=25,Discrete_NFET[[#This Row],[VDSMAX]]&lt;=30)</f>
        <v>1</v>
      </c>
      <c r="E18" s="22" t="b">
        <f>AND(VDC_AVG&lt;=33,VDC_AVG&gt;=12,Discrete_NFET[[#This Row],[VDSMAX]]=40)</f>
        <v>0</v>
      </c>
      <c r="F18" s="22" t="b">
        <f>AND(VDC_AVG&lt;=50,VDC_AVG&gt;=18,Discrete_NFET[[#This Row],[VDSMAX]]=60)</f>
        <v>0</v>
      </c>
      <c r="G18" s="22" t="b">
        <f>AND(VDC_AVG&lt;=66,VDC_AVG&gt;=24,Discrete_NFET[[#This Row],[VDSMAX]]=80)</f>
        <v>0</v>
      </c>
      <c r="H18" s="22" t="b">
        <f>AND(VDC_AVG&lt;=83,VDC_AVG&gt;=36,Discrete_NFET[[#This Row],[VDSMAX]]=100)</f>
        <v>0</v>
      </c>
      <c r="I18" s="22" t="b">
        <f t="shared" si="0"/>
        <v>1</v>
      </c>
      <c r="J18" s="22" t="b">
        <f>AND(((GDR_V)&lt;2.5),('FET Data'!$AC18&lt;&gt;"(Null)"))</f>
        <v>0</v>
      </c>
      <c r="K18" s="22" t="b">
        <f>AND(((GDR_V)&gt;=2.5),((GDR_V)&lt;3),OR(('FET Data'!$AD18&lt;&gt;"(Null)"),('FET Data'!$AC18&lt;&gt;"(Null)")))</f>
        <v>0</v>
      </c>
      <c r="L18" s="22" t="b">
        <f>AND(((GDR_V)&gt;=3),((GDR_V)&lt;4.5),OR(('FET Data'!$AE18&lt;&gt;"(Null)"),('FET Data'!$AD18&lt;&gt;"(Null)"),('FET Data'!$AC18&lt;&gt;"(Null)")))</f>
        <v>0</v>
      </c>
      <c r="M18" s="22" t="b">
        <f>AND(((GDR_V)&gt;=4.5),((GDR_V)&lt;6),OR(('FET Data'!$AF18&lt;&gt;"(Null)"),('FET Data'!$AE18&lt;&gt;"(Null)"),('FET Data'!$AD18&lt;&gt;"(Null)"),('FET Data'!$AC18&lt;&gt;"(Null)")))</f>
        <v>0</v>
      </c>
      <c r="N18" s="22" t="b">
        <f>AND(((GDR_V)&gt;=6),((GDR_V)&lt;8),OR(('FET Data'!$AG18&lt;&gt;"(Null)"),('FET Data'!$AF18&lt;&gt;"(Null)"),('FET Data'!$AE18&lt;&gt;"(Null)"),('FET Data'!$AD18&lt;&gt;"(Null)"),('FET Data'!$AC18&lt;&gt;"(Null)")))</f>
        <v>0</v>
      </c>
      <c r="O18" s="22" t="b">
        <f>AND(((GDR_V)&gt;=8),((GDR_V)&lt;10),OR(('FET Data'!$AH18&lt;&gt;"(Null)"),('FET Data'!$AG18&lt;&gt;"(Null)"),('FET Data'!$AF18&lt;&gt;"(Null)"),('FET Data'!$AE18&lt;&gt;"(Null)"),('FET Data'!$AD18&lt;&gt;"(Null)"),('FET Data'!$AC18&lt;&gt;"(Null)")))</f>
        <v>0</v>
      </c>
      <c r="P18" s="22" t="b">
        <f>AND(((GDR_V)&gt;=10),OR(('FET Data'!$AI18&lt;&gt;"(Null)"),('FET Data'!$AH18&lt;&gt;"(Null)"),('FET Data'!$AG18&lt;&gt;"(Null)"),('FET Data'!$AF18&lt;&gt;"(Null)"),('FET Data'!$AE18&lt;&gt;"(Null)"),('FET Data'!$AD18&lt;&gt;"(Null)"),('FET Data'!$AC18&lt;&gt;"(Null)")))</f>
        <v>1</v>
      </c>
      <c r="Q18" s="22" t="b">
        <f t="shared" si="1"/>
        <v>1</v>
      </c>
      <c r="R18" s="22" t="b">
        <f t="shared" si="2"/>
        <v>1</v>
      </c>
      <c r="U18" s="22" t="b">
        <f>OR(V17:AA17)</f>
        <v>1</v>
      </c>
      <c r="V18" s="22" t="b">
        <f t="shared" ref="V18:AA18" si="6">AND($U$7,V15,V16="1")</f>
        <v>0</v>
      </c>
      <c r="W18" s="22" t="b">
        <f t="shared" si="6"/>
        <v>0</v>
      </c>
      <c r="X18" s="22" t="b">
        <f t="shared" si="6"/>
        <v>1</v>
      </c>
      <c r="Y18" s="22" t="b">
        <f t="shared" si="6"/>
        <v>0</v>
      </c>
      <c r="Z18" s="22" t="b">
        <f t="shared" si="6"/>
        <v>0</v>
      </c>
      <c r="AA18" s="22" t="b">
        <f t="shared" si="6"/>
        <v>1</v>
      </c>
    </row>
    <row r="19" spans="1:27" x14ac:dyDescent="0.25">
      <c r="A19" s="22" t="str">
        <f>IF(R19,Discrete_NFET[[#This Row],[PARTNUMBER]],"")</f>
        <v>CSD16410Q5A</v>
      </c>
      <c r="B19" t="s">
        <v>202</v>
      </c>
      <c r="C19" s="22" t="b">
        <f>AND((Discrete_NFET[[#This Row],[VDSMAX]]&gt;=VDC_AVG*1.25),(Discrete_NFET[[#This Row],[VGSMAX]]&gt;=GDR_V*1.2))</f>
        <v>1</v>
      </c>
      <c r="D19" s="22" t="b">
        <f>AND(VDC_AVG&lt;=25,Discrete_NFET[[#This Row],[VDSMAX]]&lt;=30)</f>
        <v>1</v>
      </c>
      <c r="E19" s="22" t="b">
        <f>AND(VDC_AVG&lt;=33,VDC_AVG&gt;=12,Discrete_NFET[[#This Row],[VDSMAX]]=40)</f>
        <v>0</v>
      </c>
      <c r="F19" s="22" t="b">
        <f>AND(VDC_AVG&lt;=50,VDC_AVG&gt;=18,Discrete_NFET[[#This Row],[VDSMAX]]=60)</f>
        <v>0</v>
      </c>
      <c r="G19" s="22" t="b">
        <f>AND(VDC_AVG&lt;=66,VDC_AVG&gt;=24,Discrete_NFET[[#This Row],[VDSMAX]]=80)</f>
        <v>0</v>
      </c>
      <c r="H19" s="22" t="b">
        <f>AND(VDC_AVG&lt;=83,VDC_AVG&gt;=36,Discrete_NFET[[#This Row],[VDSMAX]]=100)</f>
        <v>0</v>
      </c>
      <c r="I19" s="22" t="b">
        <f t="shared" si="0"/>
        <v>1</v>
      </c>
      <c r="J19" s="22" t="b">
        <f>AND(((GDR_V)&lt;2.5),('FET Data'!$AC19&lt;&gt;"(Null)"))</f>
        <v>0</v>
      </c>
      <c r="K19" s="22" t="b">
        <f>AND(((GDR_V)&gt;=2.5),((GDR_V)&lt;3),OR(('FET Data'!$AD19&lt;&gt;"(Null)"),('FET Data'!$AC19&lt;&gt;"(Null)")))</f>
        <v>0</v>
      </c>
      <c r="L19" s="22" t="b">
        <f>AND(((GDR_V)&gt;=3),((GDR_V)&lt;4.5),OR(('FET Data'!$AE19&lt;&gt;"(Null)"),('FET Data'!$AD19&lt;&gt;"(Null)"),('FET Data'!$AC19&lt;&gt;"(Null)")))</f>
        <v>0</v>
      </c>
      <c r="M19" s="22" t="b">
        <f>AND(((GDR_V)&gt;=4.5),((GDR_V)&lt;6),OR(('FET Data'!$AF19&lt;&gt;"(Null)"),('FET Data'!$AE19&lt;&gt;"(Null)"),('FET Data'!$AD19&lt;&gt;"(Null)"),('FET Data'!$AC19&lt;&gt;"(Null)")))</f>
        <v>0</v>
      </c>
      <c r="N19" s="22" t="b">
        <f>AND(((GDR_V)&gt;=6),((GDR_V)&lt;8),OR(('FET Data'!$AG19&lt;&gt;"(Null)"),('FET Data'!$AF19&lt;&gt;"(Null)"),('FET Data'!$AE19&lt;&gt;"(Null)"),('FET Data'!$AD19&lt;&gt;"(Null)"),('FET Data'!$AC19&lt;&gt;"(Null)")))</f>
        <v>0</v>
      </c>
      <c r="O19" s="22" t="b">
        <f>AND(((GDR_V)&gt;=8),((GDR_V)&lt;10),OR(('FET Data'!$AH19&lt;&gt;"(Null)"),('FET Data'!$AG19&lt;&gt;"(Null)"),('FET Data'!$AF19&lt;&gt;"(Null)"),('FET Data'!$AE19&lt;&gt;"(Null)"),('FET Data'!$AD19&lt;&gt;"(Null)"),('FET Data'!$AC19&lt;&gt;"(Null)")))</f>
        <v>0</v>
      </c>
      <c r="P19" s="22" t="b">
        <f>AND(((GDR_V)&gt;=10),OR(('FET Data'!$AI19&lt;&gt;"(Null)"),('FET Data'!$AH19&lt;&gt;"(Null)"),('FET Data'!$AG19&lt;&gt;"(Null)"),('FET Data'!$AF19&lt;&gt;"(Null)"),('FET Data'!$AE19&lt;&gt;"(Null)"),('FET Data'!$AD19&lt;&gt;"(Null)"),('FET Data'!$AC19&lt;&gt;"(Null)")))</f>
        <v>1</v>
      </c>
      <c r="Q19" s="22" t="b">
        <f t="shared" si="1"/>
        <v>1</v>
      </c>
      <c r="R19" s="22" t="b">
        <f t="shared" si="2"/>
        <v>1</v>
      </c>
      <c r="U19" s="22" t="b">
        <f>NOT(AND((GDR_V&lt;=6),('FET Data'!$AD10="(Null)")))</f>
        <v>1</v>
      </c>
    </row>
    <row r="20" spans="1:27" x14ac:dyDescent="0.25">
      <c r="A20" s="22" t="str">
        <f>IF(R20,Discrete_NFET[[#This Row],[PARTNUMBER]],"")</f>
        <v>CSD16411Q3</v>
      </c>
      <c r="B20" t="s">
        <v>462</v>
      </c>
      <c r="C20" s="22" t="b">
        <f>AND((Discrete_NFET[[#This Row],[VDSMAX]]&gt;=VDC_AVG*1.25),(Discrete_NFET[[#This Row],[VGSMAX]]&gt;=GDR_V*1.2))</f>
        <v>1</v>
      </c>
      <c r="D20" s="22" t="b">
        <f>AND(VDC_AVG&lt;=25,Discrete_NFET[[#This Row],[VDSMAX]]&lt;=30)</f>
        <v>1</v>
      </c>
      <c r="E20" s="22" t="b">
        <f>AND(VDC_AVG&lt;=33,VDC_AVG&gt;=12,Discrete_NFET[[#This Row],[VDSMAX]]=40)</f>
        <v>0</v>
      </c>
      <c r="F20" s="22" t="b">
        <f>AND(VDC_AVG&lt;=50,VDC_AVG&gt;=18,Discrete_NFET[[#This Row],[VDSMAX]]=60)</f>
        <v>0</v>
      </c>
      <c r="G20" s="22" t="b">
        <f>AND(VDC_AVG&lt;=66,VDC_AVG&gt;=24,Discrete_NFET[[#This Row],[VDSMAX]]=80)</f>
        <v>0</v>
      </c>
      <c r="H20" s="22" t="b">
        <f>AND(VDC_AVG&lt;=83,VDC_AVG&gt;=36,Discrete_NFET[[#This Row],[VDSMAX]]=100)</f>
        <v>0</v>
      </c>
      <c r="I20" s="22" t="b">
        <f t="shared" si="0"/>
        <v>1</v>
      </c>
      <c r="J20" s="22" t="b">
        <f>AND(((GDR_V)&lt;2.5),('FET Data'!$AC20&lt;&gt;"(Null)"))</f>
        <v>0</v>
      </c>
      <c r="K20" s="22" t="b">
        <f>AND(((GDR_V)&gt;=2.5),((GDR_V)&lt;3),OR(('FET Data'!$AD20&lt;&gt;"(Null)"),('FET Data'!$AC20&lt;&gt;"(Null)")))</f>
        <v>0</v>
      </c>
      <c r="L20" s="22" t="b">
        <f>AND(((GDR_V)&gt;=3),((GDR_V)&lt;4.5),OR(('FET Data'!$AE20&lt;&gt;"(Null)"),('FET Data'!$AD20&lt;&gt;"(Null)"),('FET Data'!$AC20&lt;&gt;"(Null)")))</f>
        <v>0</v>
      </c>
      <c r="M20" s="22" t="b">
        <f>AND(((GDR_V)&gt;=4.5),((GDR_V)&lt;6),OR(('FET Data'!$AF20&lt;&gt;"(Null)"),('FET Data'!$AE20&lt;&gt;"(Null)"),('FET Data'!$AD20&lt;&gt;"(Null)"),('FET Data'!$AC20&lt;&gt;"(Null)")))</f>
        <v>0</v>
      </c>
      <c r="N20" s="22" t="b">
        <f>AND(((GDR_V)&gt;=6),((GDR_V)&lt;8),OR(('FET Data'!$AG20&lt;&gt;"(Null)"),('FET Data'!$AF20&lt;&gt;"(Null)"),('FET Data'!$AE20&lt;&gt;"(Null)"),('FET Data'!$AD20&lt;&gt;"(Null)"),('FET Data'!$AC20&lt;&gt;"(Null)")))</f>
        <v>0</v>
      </c>
      <c r="O20" s="22" t="b">
        <f>AND(((GDR_V)&gt;=8),((GDR_V)&lt;10),OR(('FET Data'!$AH20&lt;&gt;"(Null)"),('FET Data'!$AG20&lt;&gt;"(Null)"),('FET Data'!$AF20&lt;&gt;"(Null)"),('FET Data'!$AE20&lt;&gt;"(Null)"),('FET Data'!$AD20&lt;&gt;"(Null)"),('FET Data'!$AC20&lt;&gt;"(Null)")))</f>
        <v>0</v>
      </c>
      <c r="P20" s="22" t="b">
        <f>AND(((GDR_V)&gt;=10),OR(('FET Data'!$AI20&lt;&gt;"(Null)"),('FET Data'!$AH20&lt;&gt;"(Null)"),('FET Data'!$AG20&lt;&gt;"(Null)"),('FET Data'!$AF20&lt;&gt;"(Null)"),('FET Data'!$AE20&lt;&gt;"(Null)"),('FET Data'!$AD20&lt;&gt;"(Null)"),('FET Data'!$AC20&lt;&gt;"(Null)")))</f>
        <v>1</v>
      </c>
      <c r="Q20" s="22" t="b">
        <f t="shared" si="1"/>
        <v>1</v>
      </c>
      <c r="R20" s="22" t="b">
        <f t="shared" si="2"/>
        <v>1</v>
      </c>
    </row>
    <row r="21" spans="1:27" x14ac:dyDescent="0.25">
      <c r="A21" s="22" t="str">
        <f>IF(R21,Discrete_NFET[[#This Row],[PARTNUMBER]],"")</f>
        <v>CSD16412Q5A</v>
      </c>
      <c r="B21" t="s">
        <v>464</v>
      </c>
      <c r="C21" s="22" t="b">
        <f>AND((Discrete_NFET[[#This Row],[VDSMAX]]&gt;=VDC_AVG*1.25),(Discrete_NFET[[#This Row],[VGSMAX]]&gt;=GDR_V*1.2))</f>
        <v>1</v>
      </c>
      <c r="D21" s="22" t="b">
        <f>AND(VDC_AVG&lt;=25,Discrete_NFET[[#This Row],[VDSMAX]]&lt;=30)</f>
        <v>1</v>
      </c>
      <c r="E21" s="22" t="b">
        <f>AND(VDC_AVG&lt;=33,VDC_AVG&gt;=12,Discrete_NFET[[#This Row],[VDSMAX]]=40)</f>
        <v>0</v>
      </c>
      <c r="F21" s="22" t="b">
        <f>AND(VDC_AVG&lt;=50,VDC_AVG&gt;=18,Discrete_NFET[[#This Row],[VDSMAX]]=60)</f>
        <v>0</v>
      </c>
      <c r="G21" s="22" t="b">
        <f>AND(VDC_AVG&lt;=66,VDC_AVG&gt;=24,Discrete_NFET[[#This Row],[VDSMAX]]=80)</f>
        <v>0</v>
      </c>
      <c r="H21" s="22" t="b">
        <f>AND(VDC_AVG&lt;=83,VDC_AVG&gt;=36,Discrete_NFET[[#This Row],[VDSMAX]]=100)</f>
        <v>0</v>
      </c>
      <c r="I21" s="22" t="b">
        <f t="shared" si="0"/>
        <v>1</v>
      </c>
      <c r="J21" s="22" t="b">
        <f>AND(((GDR_V)&lt;2.5),('FET Data'!$AC21&lt;&gt;"(Null)"))</f>
        <v>0</v>
      </c>
      <c r="K21" s="22" t="b">
        <f>AND(((GDR_V)&gt;=2.5),((GDR_V)&lt;3),OR(('FET Data'!$AD21&lt;&gt;"(Null)"),('FET Data'!$AC21&lt;&gt;"(Null)")))</f>
        <v>0</v>
      </c>
      <c r="L21" s="22" t="b">
        <f>AND(((GDR_V)&gt;=3),((GDR_V)&lt;4.5),OR(('FET Data'!$AE21&lt;&gt;"(Null)"),('FET Data'!$AD21&lt;&gt;"(Null)"),('FET Data'!$AC21&lt;&gt;"(Null)")))</f>
        <v>0</v>
      </c>
      <c r="M21" s="22" t="b">
        <f>AND(((GDR_V)&gt;=4.5),((GDR_V)&lt;6),OR(('FET Data'!$AF21&lt;&gt;"(Null)"),('FET Data'!$AE21&lt;&gt;"(Null)"),('FET Data'!$AD21&lt;&gt;"(Null)"),('FET Data'!$AC21&lt;&gt;"(Null)")))</f>
        <v>0</v>
      </c>
      <c r="N21" s="22" t="b">
        <f>AND(((GDR_V)&gt;=6),((GDR_V)&lt;8),OR(('FET Data'!$AG21&lt;&gt;"(Null)"),('FET Data'!$AF21&lt;&gt;"(Null)"),('FET Data'!$AE21&lt;&gt;"(Null)"),('FET Data'!$AD21&lt;&gt;"(Null)"),('FET Data'!$AC21&lt;&gt;"(Null)")))</f>
        <v>0</v>
      </c>
      <c r="O21" s="22" t="b">
        <f>AND(((GDR_V)&gt;=8),((GDR_V)&lt;10),OR(('FET Data'!$AH21&lt;&gt;"(Null)"),('FET Data'!$AG21&lt;&gt;"(Null)"),('FET Data'!$AF21&lt;&gt;"(Null)"),('FET Data'!$AE21&lt;&gt;"(Null)"),('FET Data'!$AD21&lt;&gt;"(Null)"),('FET Data'!$AC21&lt;&gt;"(Null)")))</f>
        <v>0</v>
      </c>
      <c r="P21" s="22" t="b">
        <f>AND(((GDR_V)&gt;=10),OR(('FET Data'!$AI21&lt;&gt;"(Null)"),('FET Data'!$AH21&lt;&gt;"(Null)"),('FET Data'!$AG21&lt;&gt;"(Null)"),('FET Data'!$AF21&lt;&gt;"(Null)"),('FET Data'!$AE21&lt;&gt;"(Null)"),('FET Data'!$AD21&lt;&gt;"(Null)"),('FET Data'!$AC21&lt;&gt;"(Null)")))</f>
        <v>1</v>
      </c>
      <c r="Q21" s="22" t="b">
        <f t="shared" si="1"/>
        <v>1</v>
      </c>
      <c r="R21" s="22" t="b">
        <f t="shared" si="2"/>
        <v>1</v>
      </c>
      <c r="U21" s="22" t="e">
        <f>NOT(AND((GDR_V&lt;=4.5),('FET Data'!#REF!="(Null)")))</f>
        <v>#REF!</v>
      </c>
    </row>
    <row r="22" spans="1:27" x14ac:dyDescent="0.25">
      <c r="A22" s="22" t="str">
        <f>IF(R22,Discrete_NFET[[#This Row],[PARTNUMBER]],"")</f>
        <v>CSD16413Q5A</v>
      </c>
      <c r="B22" t="s">
        <v>466</v>
      </c>
      <c r="C22" s="22" t="b">
        <f>AND((Discrete_NFET[[#This Row],[VDSMAX]]&gt;=VDC_AVG*1.25),(Discrete_NFET[[#This Row],[VGSMAX]]&gt;=GDR_V*1.2))</f>
        <v>1</v>
      </c>
      <c r="D22" s="22" t="b">
        <f>AND(VDC_AVG&lt;=25,Discrete_NFET[[#This Row],[VDSMAX]]&lt;=30)</f>
        <v>1</v>
      </c>
      <c r="E22" s="22" t="b">
        <f>AND(VDC_AVG&lt;=33,VDC_AVG&gt;=12,Discrete_NFET[[#This Row],[VDSMAX]]=40)</f>
        <v>0</v>
      </c>
      <c r="F22" s="22" t="b">
        <f>AND(VDC_AVG&lt;=50,VDC_AVG&gt;=18,Discrete_NFET[[#This Row],[VDSMAX]]=60)</f>
        <v>0</v>
      </c>
      <c r="G22" s="22" t="b">
        <f>AND(VDC_AVG&lt;=66,VDC_AVG&gt;=24,Discrete_NFET[[#This Row],[VDSMAX]]=80)</f>
        <v>0</v>
      </c>
      <c r="H22" s="22" t="b">
        <f>AND(VDC_AVG&lt;=83,VDC_AVG&gt;=36,Discrete_NFET[[#This Row],[VDSMAX]]=100)</f>
        <v>0</v>
      </c>
      <c r="I22" s="22" t="b">
        <f t="shared" si="0"/>
        <v>1</v>
      </c>
      <c r="J22" s="22" t="b">
        <f>AND(((GDR_V)&lt;2.5),('FET Data'!$AC22&lt;&gt;"(Null)"))</f>
        <v>0</v>
      </c>
      <c r="K22" s="22" t="b">
        <f>AND(((GDR_V)&gt;=2.5),((GDR_V)&lt;3),OR(('FET Data'!$AD22&lt;&gt;"(Null)"),('FET Data'!$AC22&lt;&gt;"(Null)")))</f>
        <v>0</v>
      </c>
      <c r="L22" s="22" t="b">
        <f>AND(((GDR_V)&gt;=3),((GDR_V)&lt;4.5),OR(('FET Data'!$AE22&lt;&gt;"(Null)"),('FET Data'!$AD22&lt;&gt;"(Null)"),('FET Data'!$AC22&lt;&gt;"(Null)")))</f>
        <v>0</v>
      </c>
      <c r="M22" s="22" t="b">
        <f>AND(((GDR_V)&gt;=4.5),((GDR_V)&lt;6),OR(('FET Data'!$AF22&lt;&gt;"(Null)"),('FET Data'!$AE22&lt;&gt;"(Null)"),('FET Data'!$AD22&lt;&gt;"(Null)"),('FET Data'!$AC22&lt;&gt;"(Null)")))</f>
        <v>0</v>
      </c>
      <c r="N22" s="22" t="b">
        <f>AND(((GDR_V)&gt;=6),((GDR_V)&lt;8),OR(('FET Data'!$AG22&lt;&gt;"(Null)"),('FET Data'!$AF22&lt;&gt;"(Null)"),('FET Data'!$AE22&lt;&gt;"(Null)"),('FET Data'!$AD22&lt;&gt;"(Null)"),('FET Data'!$AC22&lt;&gt;"(Null)")))</f>
        <v>0</v>
      </c>
      <c r="O22" s="22" t="b">
        <f>AND(((GDR_V)&gt;=8),((GDR_V)&lt;10),OR(('FET Data'!$AH22&lt;&gt;"(Null)"),('FET Data'!$AG22&lt;&gt;"(Null)"),('FET Data'!$AF22&lt;&gt;"(Null)"),('FET Data'!$AE22&lt;&gt;"(Null)"),('FET Data'!$AD22&lt;&gt;"(Null)"),('FET Data'!$AC22&lt;&gt;"(Null)")))</f>
        <v>0</v>
      </c>
      <c r="P22" s="22" t="b">
        <f>AND(((GDR_V)&gt;=10),OR(('FET Data'!$AI22&lt;&gt;"(Null)"),('FET Data'!$AH22&lt;&gt;"(Null)"),('FET Data'!$AG22&lt;&gt;"(Null)"),('FET Data'!$AF22&lt;&gt;"(Null)"),('FET Data'!$AE22&lt;&gt;"(Null)"),('FET Data'!$AD22&lt;&gt;"(Null)"),('FET Data'!$AC22&lt;&gt;"(Null)")))</f>
        <v>1</v>
      </c>
      <c r="Q22" s="22" t="b">
        <f t="shared" si="1"/>
        <v>1</v>
      </c>
      <c r="R22" s="22" t="b">
        <f t="shared" si="2"/>
        <v>1</v>
      </c>
    </row>
    <row r="23" spans="1:27" x14ac:dyDescent="0.25">
      <c r="A23" s="22" t="str">
        <f>IF(R23,Discrete_NFET[[#This Row],[PARTNUMBER]],"")</f>
        <v>CSD16414Q5</v>
      </c>
      <c r="B23" t="s">
        <v>468</v>
      </c>
      <c r="C23" s="22" t="b">
        <f>AND((Discrete_NFET[[#This Row],[VDSMAX]]&gt;=VDC_AVG*1.25),(Discrete_NFET[[#This Row],[VGSMAX]]&gt;=GDR_V*1.2))</f>
        <v>1</v>
      </c>
      <c r="D23" s="22" t="b">
        <f>AND(VDC_AVG&lt;=25,Discrete_NFET[[#This Row],[VDSMAX]]&lt;=30)</f>
        <v>1</v>
      </c>
      <c r="E23" s="22" t="b">
        <f>AND(VDC_AVG&lt;=33,VDC_AVG&gt;=12,Discrete_NFET[[#This Row],[VDSMAX]]=40)</f>
        <v>0</v>
      </c>
      <c r="F23" s="22" t="b">
        <f>AND(VDC_AVG&lt;=50,VDC_AVG&gt;=18,Discrete_NFET[[#This Row],[VDSMAX]]=60)</f>
        <v>0</v>
      </c>
      <c r="G23" s="22" t="b">
        <f>AND(VDC_AVG&lt;=66,VDC_AVG&gt;=24,Discrete_NFET[[#This Row],[VDSMAX]]=80)</f>
        <v>0</v>
      </c>
      <c r="H23" s="22" t="b">
        <f>AND(VDC_AVG&lt;=83,VDC_AVG&gt;=36,Discrete_NFET[[#This Row],[VDSMAX]]=100)</f>
        <v>0</v>
      </c>
      <c r="I23" s="22" t="b">
        <f t="shared" si="0"/>
        <v>1</v>
      </c>
      <c r="J23" s="22" t="b">
        <f>AND(((GDR_V)&lt;2.5),('FET Data'!$AC23&lt;&gt;"(Null)"))</f>
        <v>0</v>
      </c>
      <c r="K23" s="22" t="b">
        <f>AND(((GDR_V)&gt;=2.5),((GDR_V)&lt;3),OR(('FET Data'!$AD23&lt;&gt;"(Null)"),('FET Data'!$AC23&lt;&gt;"(Null)")))</f>
        <v>0</v>
      </c>
      <c r="L23" s="22" t="b">
        <f>AND(((GDR_V)&gt;=3),((GDR_V)&lt;4.5),OR(('FET Data'!$AE23&lt;&gt;"(Null)"),('FET Data'!$AD23&lt;&gt;"(Null)"),('FET Data'!$AC23&lt;&gt;"(Null)")))</f>
        <v>0</v>
      </c>
      <c r="M23" s="22" t="b">
        <f>AND(((GDR_V)&gt;=4.5),((GDR_V)&lt;6),OR(('FET Data'!$AF23&lt;&gt;"(Null)"),('FET Data'!$AE23&lt;&gt;"(Null)"),('FET Data'!$AD23&lt;&gt;"(Null)"),('FET Data'!$AC23&lt;&gt;"(Null)")))</f>
        <v>0</v>
      </c>
      <c r="N23" s="22" t="b">
        <f>AND(((GDR_V)&gt;=6),((GDR_V)&lt;8),OR(('FET Data'!$AG23&lt;&gt;"(Null)"),('FET Data'!$AF23&lt;&gt;"(Null)"),('FET Data'!$AE23&lt;&gt;"(Null)"),('FET Data'!$AD23&lt;&gt;"(Null)"),('FET Data'!$AC23&lt;&gt;"(Null)")))</f>
        <v>0</v>
      </c>
      <c r="O23" s="22" t="b">
        <f>AND(((GDR_V)&gt;=8),((GDR_V)&lt;10),OR(('FET Data'!$AH23&lt;&gt;"(Null)"),('FET Data'!$AG23&lt;&gt;"(Null)"),('FET Data'!$AF23&lt;&gt;"(Null)"),('FET Data'!$AE23&lt;&gt;"(Null)"),('FET Data'!$AD23&lt;&gt;"(Null)"),('FET Data'!$AC23&lt;&gt;"(Null)")))</f>
        <v>0</v>
      </c>
      <c r="P23" s="22" t="b">
        <f>AND(((GDR_V)&gt;=10),OR(('FET Data'!$AI23&lt;&gt;"(Null)"),('FET Data'!$AH23&lt;&gt;"(Null)"),('FET Data'!$AG23&lt;&gt;"(Null)"),('FET Data'!$AF23&lt;&gt;"(Null)"),('FET Data'!$AE23&lt;&gt;"(Null)"),('FET Data'!$AD23&lt;&gt;"(Null)"),('FET Data'!$AC23&lt;&gt;"(Null)")))</f>
        <v>1</v>
      </c>
      <c r="Q23" s="22" t="b">
        <f t="shared" si="1"/>
        <v>1</v>
      </c>
      <c r="R23" s="22" t="b">
        <f t="shared" si="2"/>
        <v>1</v>
      </c>
      <c r="T23" s="22" t="s">
        <v>414</v>
      </c>
    </row>
    <row r="24" spans="1:27" x14ac:dyDescent="0.25">
      <c r="A24" s="22" t="str">
        <f>IF(R24,Discrete_NFET[[#This Row],[PARTNUMBER]],"")</f>
        <v>CSD16415Q5</v>
      </c>
      <c r="B24" t="s">
        <v>470</v>
      </c>
      <c r="C24" s="22" t="b">
        <f>AND((Discrete_NFET[[#This Row],[VDSMAX]]&gt;=VDC_AVG*1.25),(Discrete_NFET[[#This Row],[VGSMAX]]&gt;=GDR_V*1.2))</f>
        <v>1</v>
      </c>
      <c r="D24" s="22" t="b">
        <f>AND(VDC_AVG&lt;=25,Discrete_NFET[[#This Row],[VDSMAX]]&lt;=30)</f>
        <v>1</v>
      </c>
      <c r="E24" s="22" t="b">
        <f>AND(VDC_AVG&lt;=33,VDC_AVG&gt;=12,Discrete_NFET[[#This Row],[VDSMAX]]=40)</f>
        <v>0</v>
      </c>
      <c r="F24" s="22" t="b">
        <f>AND(VDC_AVG&lt;=50,VDC_AVG&gt;=18,Discrete_NFET[[#This Row],[VDSMAX]]=60)</f>
        <v>0</v>
      </c>
      <c r="G24" s="22" t="b">
        <f>AND(VDC_AVG&lt;=66,VDC_AVG&gt;=24,Discrete_NFET[[#This Row],[VDSMAX]]=80)</f>
        <v>0</v>
      </c>
      <c r="H24" s="22" t="b">
        <f>AND(VDC_AVG&lt;=83,VDC_AVG&gt;=36,Discrete_NFET[[#This Row],[VDSMAX]]=100)</f>
        <v>0</v>
      </c>
      <c r="I24" s="22" t="b">
        <f t="shared" si="0"/>
        <v>1</v>
      </c>
      <c r="J24" s="22" t="b">
        <f>AND(((GDR_V)&lt;2.5),('FET Data'!$AC24&lt;&gt;"(Null)"))</f>
        <v>0</v>
      </c>
      <c r="K24" s="22" t="b">
        <f>AND(((GDR_V)&gt;=2.5),((GDR_V)&lt;3),OR(('FET Data'!$AD24&lt;&gt;"(Null)"),('FET Data'!$AC24&lt;&gt;"(Null)")))</f>
        <v>0</v>
      </c>
      <c r="L24" s="22" t="b">
        <f>AND(((GDR_V)&gt;=3),((GDR_V)&lt;4.5),OR(('FET Data'!$AE24&lt;&gt;"(Null)"),('FET Data'!$AD24&lt;&gt;"(Null)"),('FET Data'!$AC24&lt;&gt;"(Null)")))</f>
        <v>0</v>
      </c>
      <c r="M24" s="22" t="b">
        <f>AND(((GDR_V)&gt;=4.5),((GDR_V)&lt;6),OR(('FET Data'!$AF24&lt;&gt;"(Null)"),('FET Data'!$AE24&lt;&gt;"(Null)"),('FET Data'!$AD24&lt;&gt;"(Null)"),('FET Data'!$AC24&lt;&gt;"(Null)")))</f>
        <v>0</v>
      </c>
      <c r="N24" s="22" t="b">
        <f>AND(((GDR_V)&gt;=6),((GDR_V)&lt;8),OR(('FET Data'!$AG24&lt;&gt;"(Null)"),('FET Data'!$AF24&lt;&gt;"(Null)"),('FET Data'!$AE24&lt;&gt;"(Null)"),('FET Data'!$AD24&lt;&gt;"(Null)"),('FET Data'!$AC24&lt;&gt;"(Null)")))</f>
        <v>0</v>
      </c>
      <c r="O24" s="22" t="b">
        <f>AND(((GDR_V)&gt;=8),((GDR_V)&lt;10),OR(('FET Data'!$AH24&lt;&gt;"(Null)"),('FET Data'!$AG24&lt;&gt;"(Null)"),('FET Data'!$AF24&lt;&gt;"(Null)"),('FET Data'!$AE24&lt;&gt;"(Null)"),('FET Data'!$AD24&lt;&gt;"(Null)"),('FET Data'!$AC24&lt;&gt;"(Null)")))</f>
        <v>0</v>
      </c>
      <c r="P24" s="22" t="b">
        <f>AND(((GDR_V)&gt;=10),OR(('FET Data'!$AI24&lt;&gt;"(Null)"),('FET Data'!$AH24&lt;&gt;"(Null)"),('FET Data'!$AG24&lt;&gt;"(Null)"),('FET Data'!$AF24&lt;&gt;"(Null)"),('FET Data'!$AE24&lt;&gt;"(Null)"),('FET Data'!$AD24&lt;&gt;"(Null)"),('FET Data'!$AC24&lt;&gt;"(Null)")))</f>
        <v>1</v>
      </c>
      <c r="Q24" s="22" t="b">
        <f t="shared" si="1"/>
        <v>1</v>
      </c>
      <c r="R24" s="22" t="b">
        <f t="shared" si="2"/>
        <v>1</v>
      </c>
      <c r="T24" s="22" t="s">
        <v>413</v>
      </c>
    </row>
    <row r="25" spans="1:27" x14ac:dyDescent="0.25">
      <c r="A25" s="22" t="str">
        <f>IF(R25,Discrete_NFET[[#This Row],[PARTNUMBER]],"")</f>
        <v>CSD16556Q5B</v>
      </c>
      <c r="B25" t="s">
        <v>472</v>
      </c>
      <c r="C25" s="22" t="b">
        <f>AND((Discrete_NFET[[#This Row],[VDSMAX]]&gt;=VDC_AVG*1.25),(Discrete_NFET[[#This Row],[VGSMAX]]&gt;=GDR_V*1.2))</f>
        <v>1</v>
      </c>
      <c r="D25" s="22" t="b">
        <f>AND(VDC_AVG&lt;=25,Discrete_NFET[[#This Row],[VDSMAX]]&lt;=30)</f>
        <v>1</v>
      </c>
      <c r="E25" s="22" t="b">
        <f>AND(VDC_AVG&lt;=33,VDC_AVG&gt;=12,Discrete_NFET[[#This Row],[VDSMAX]]=40)</f>
        <v>0</v>
      </c>
      <c r="F25" s="22" t="b">
        <f>AND(VDC_AVG&lt;=50,VDC_AVG&gt;=18,Discrete_NFET[[#This Row],[VDSMAX]]=60)</f>
        <v>0</v>
      </c>
      <c r="G25" s="22" t="b">
        <f>AND(VDC_AVG&lt;=66,VDC_AVG&gt;=24,Discrete_NFET[[#This Row],[VDSMAX]]=80)</f>
        <v>0</v>
      </c>
      <c r="H25" s="22" t="b">
        <f>AND(VDC_AVG&lt;=83,VDC_AVG&gt;=36,Discrete_NFET[[#This Row],[VDSMAX]]=100)</f>
        <v>0</v>
      </c>
      <c r="I25" s="22" t="b">
        <f t="shared" si="0"/>
        <v>1</v>
      </c>
      <c r="J25" s="22" t="b">
        <f>AND(((GDR_V)&lt;2.5),('FET Data'!$AC25&lt;&gt;"(Null)"))</f>
        <v>0</v>
      </c>
      <c r="K25" s="22" t="b">
        <f>AND(((GDR_V)&gt;=2.5),((GDR_V)&lt;3),OR(('FET Data'!$AD25&lt;&gt;"(Null)"),('FET Data'!$AC25&lt;&gt;"(Null)")))</f>
        <v>0</v>
      </c>
      <c r="L25" s="22" t="b">
        <f>AND(((GDR_V)&gt;=3),((GDR_V)&lt;4.5),OR(('FET Data'!$AE25&lt;&gt;"(Null)"),('FET Data'!$AD25&lt;&gt;"(Null)"),('FET Data'!$AC25&lt;&gt;"(Null)")))</f>
        <v>0</v>
      </c>
      <c r="M25" s="22" t="b">
        <f>AND(((GDR_V)&gt;=4.5),((GDR_V)&lt;6),OR(('FET Data'!$AF25&lt;&gt;"(Null)"),('FET Data'!$AE25&lt;&gt;"(Null)"),('FET Data'!$AD25&lt;&gt;"(Null)"),('FET Data'!$AC25&lt;&gt;"(Null)")))</f>
        <v>0</v>
      </c>
      <c r="N25" s="22" t="b">
        <f>AND(((GDR_V)&gt;=6),((GDR_V)&lt;8),OR(('FET Data'!$AG25&lt;&gt;"(Null)"),('FET Data'!$AF25&lt;&gt;"(Null)"),('FET Data'!$AE25&lt;&gt;"(Null)"),('FET Data'!$AD25&lt;&gt;"(Null)"),('FET Data'!$AC25&lt;&gt;"(Null)")))</f>
        <v>0</v>
      </c>
      <c r="O25" s="22" t="b">
        <f>AND(((GDR_V)&gt;=8),((GDR_V)&lt;10),OR(('FET Data'!$AH25&lt;&gt;"(Null)"),('FET Data'!$AG25&lt;&gt;"(Null)"),('FET Data'!$AF25&lt;&gt;"(Null)"),('FET Data'!$AE25&lt;&gt;"(Null)"),('FET Data'!$AD25&lt;&gt;"(Null)"),('FET Data'!$AC25&lt;&gt;"(Null)")))</f>
        <v>0</v>
      </c>
      <c r="P25" s="22" t="b">
        <f>AND(((GDR_V)&gt;=10),OR(('FET Data'!$AI25&lt;&gt;"(Null)"),('FET Data'!$AH25&lt;&gt;"(Null)"),('FET Data'!$AG25&lt;&gt;"(Null)"),('FET Data'!$AF25&lt;&gt;"(Null)"),('FET Data'!$AE25&lt;&gt;"(Null)"),('FET Data'!$AD25&lt;&gt;"(Null)"),('FET Data'!$AC25&lt;&gt;"(Null)")))</f>
        <v>1</v>
      </c>
      <c r="Q25" s="22" t="b">
        <f t="shared" si="1"/>
        <v>1</v>
      </c>
      <c r="R25" s="22" t="b">
        <f t="shared" si="2"/>
        <v>1</v>
      </c>
      <c r="T25" s="22" t="s">
        <v>412</v>
      </c>
      <c r="U25" s="22" t="e">
        <f>LOOKUP('User Input'!F15,Discrete_NFET[PARTNUMBER],Discrete_NFET[RDSON25])*1000</f>
        <v>#N/A</v>
      </c>
    </row>
    <row r="26" spans="1:27" x14ac:dyDescent="0.25">
      <c r="A26" s="22" t="str">
        <f>IF(R26,Discrete_NFET[[#This Row],[PARTNUMBER]],"")</f>
        <v/>
      </c>
      <c r="B26" t="s">
        <v>474</v>
      </c>
      <c r="C26" s="22" t="b">
        <f>AND((Discrete_NFET[[#This Row],[VDSMAX]]&gt;=VDC_AVG*1.25),(Discrete_NFET[[#This Row],[VGSMAX]]&gt;=GDR_V*1.2))</f>
        <v>0</v>
      </c>
      <c r="D26" s="22" t="b">
        <f>AND(VDC_AVG&lt;=25,Discrete_NFET[[#This Row],[VDSMAX]]&lt;=30)</f>
        <v>1</v>
      </c>
      <c r="E26" s="22" t="b">
        <f>AND(VDC_AVG&lt;=33,VDC_AVG&gt;=12,Discrete_NFET[[#This Row],[VDSMAX]]=40)</f>
        <v>0</v>
      </c>
      <c r="F26" s="22" t="b">
        <f>AND(VDC_AVG&lt;=50,VDC_AVG&gt;=18,Discrete_NFET[[#This Row],[VDSMAX]]=60)</f>
        <v>0</v>
      </c>
      <c r="G26" s="22" t="b">
        <f>AND(VDC_AVG&lt;=66,VDC_AVG&gt;=24,Discrete_NFET[[#This Row],[VDSMAX]]=80)</f>
        <v>0</v>
      </c>
      <c r="H26" s="22" t="b">
        <f>AND(VDC_AVG&lt;=83,VDC_AVG&gt;=36,Discrete_NFET[[#This Row],[VDSMAX]]=100)</f>
        <v>0</v>
      </c>
      <c r="I26" s="22" t="b">
        <f t="shared" si="0"/>
        <v>1</v>
      </c>
      <c r="J26" s="22" t="b">
        <f>AND(((GDR_V)&lt;2.5),('FET Data'!$AC26&lt;&gt;"(Null)"))</f>
        <v>0</v>
      </c>
      <c r="K26" s="22" t="b">
        <f>AND(((GDR_V)&gt;=2.5),((GDR_V)&lt;3),OR(('FET Data'!$AD26&lt;&gt;"(Null)"),('FET Data'!$AC26&lt;&gt;"(Null)")))</f>
        <v>0</v>
      </c>
      <c r="L26" s="22" t="b">
        <f>AND(((GDR_V)&gt;=3),((GDR_V)&lt;4.5),OR(('FET Data'!$AE26&lt;&gt;"(Null)"),('FET Data'!$AD26&lt;&gt;"(Null)"),('FET Data'!$AC26&lt;&gt;"(Null)")))</f>
        <v>0</v>
      </c>
      <c r="M26" s="22" t="b">
        <f>AND(((GDR_V)&gt;=4.5),((GDR_V)&lt;6),OR(('FET Data'!$AF26&lt;&gt;"(Null)"),('FET Data'!$AE26&lt;&gt;"(Null)"),('FET Data'!$AD26&lt;&gt;"(Null)"),('FET Data'!$AC26&lt;&gt;"(Null)")))</f>
        <v>0</v>
      </c>
      <c r="N26" s="22" t="b">
        <f>AND(((GDR_V)&gt;=6),((GDR_V)&lt;8),OR(('FET Data'!$AG26&lt;&gt;"(Null)"),('FET Data'!$AF26&lt;&gt;"(Null)"),('FET Data'!$AE26&lt;&gt;"(Null)"),('FET Data'!$AD26&lt;&gt;"(Null)"),('FET Data'!$AC26&lt;&gt;"(Null)")))</f>
        <v>0</v>
      </c>
      <c r="O26" s="22" t="b">
        <f>AND(((GDR_V)&gt;=8),((GDR_V)&lt;10),OR(('FET Data'!$AH26&lt;&gt;"(Null)"),('FET Data'!$AG26&lt;&gt;"(Null)"),('FET Data'!$AF26&lt;&gt;"(Null)"),('FET Data'!$AE26&lt;&gt;"(Null)"),('FET Data'!$AD26&lt;&gt;"(Null)"),('FET Data'!$AC26&lt;&gt;"(Null)")))</f>
        <v>0</v>
      </c>
      <c r="P26" s="22" t="b">
        <f>AND(((GDR_V)&gt;=10),OR(('FET Data'!$AI26&lt;&gt;"(Null)"),('FET Data'!$AH26&lt;&gt;"(Null)"),('FET Data'!$AG26&lt;&gt;"(Null)"),('FET Data'!$AF26&lt;&gt;"(Null)"),('FET Data'!$AE26&lt;&gt;"(Null)"),('FET Data'!$AD26&lt;&gt;"(Null)"),('FET Data'!$AC26&lt;&gt;"(Null)")))</f>
        <v>1</v>
      </c>
      <c r="Q26" s="22" t="b">
        <f t="shared" si="1"/>
        <v>1</v>
      </c>
      <c r="R26" s="22" t="b">
        <f t="shared" si="2"/>
        <v>0</v>
      </c>
      <c r="T26" s="22" t="s">
        <v>411</v>
      </c>
    </row>
    <row r="27" spans="1:27" x14ac:dyDescent="0.25">
      <c r="A27" s="22" t="str">
        <f>IF(R27,Discrete_NFET[[#This Row],[PARTNUMBER]],"")</f>
        <v/>
      </c>
      <c r="B27" t="s">
        <v>476</v>
      </c>
      <c r="C27" s="22" t="b">
        <f>AND((Discrete_NFET[[#This Row],[VDSMAX]]&gt;=VDC_AVG*1.25),(Discrete_NFET[[#This Row],[VGSMAX]]&gt;=GDR_V*1.2))</f>
        <v>0</v>
      </c>
      <c r="D27" s="22" t="b">
        <f>AND(VDC_AVG&lt;=25,Discrete_NFET[[#This Row],[VDSMAX]]&lt;=30)</f>
        <v>1</v>
      </c>
      <c r="E27" s="22" t="b">
        <f>AND(VDC_AVG&lt;=33,VDC_AVG&gt;=12,Discrete_NFET[[#This Row],[VDSMAX]]=40)</f>
        <v>0</v>
      </c>
      <c r="F27" s="22" t="b">
        <f>AND(VDC_AVG&lt;=50,VDC_AVG&gt;=18,Discrete_NFET[[#This Row],[VDSMAX]]=60)</f>
        <v>0</v>
      </c>
      <c r="G27" s="22" t="b">
        <f>AND(VDC_AVG&lt;=66,VDC_AVG&gt;=24,Discrete_NFET[[#This Row],[VDSMAX]]=80)</f>
        <v>0</v>
      </c>
      <c r="H27" s="22" t="b">
        <f>AND(VDC_AVG&lt;=83,VDC_AVG&gt;=36,Discrete_NFET[[#This Row],[VDSMAX]]=100)</f>
        <v>0</v>
      </c>
      <c r="I27" s="22" t="b">
        <f t="shared" si="0"/>
        <v>1</v>
      </c>
      <c r="J27" s="22" t="b">
        <f>AND(((GDR_V)&lt;2.5),('FET Data'!$AC27&lt;&gt;"(Null)"))</f>
        <v>0</v>
      </c>
      <c r="K27" s="22" t="b">
        <f>AND(((GDR_V)&gt;=2.5),((GDR_V)&lt;3),OR(('FET Data'!$AD27&lt;&gt;"(Null)"),('FET Data'!$AC27&lt;&gt;"(Null)")))</f>
        <v>0</v>
      </c>
      <c r="L27" s="22" t="b">
        <f>AND(((GDR_V)&gt;=3),((GDR_V)&lt;4.5),OR(('FET Data'!$AE27&lt;&gt;"(Null)"),('FET Data'!$AD27&lt;&gt;"(Null)"),('FET Data'!$AC27&lt;&gt;"(Null)")))</f>
        <v>0</v>
      </c>
      <c r="M27" s="22" t="b">
        <f>AND(((GDR_V)&gt;=4.5),((GDR_V)&lt;6),OR(('FET Data'!$AF27&lt;&gt;"(Null)"),('FET Data'!$AE27&lt;&gt;"(Null)"),('FET Data'!$AD27&lt;&gt;"(Null)"),('FET Data'!$AC27&lt;&gt;"(Null)")))</f>
        <v>0</v>
      </c>
      <c r="N27" s="22" t="b">
        <f>AND(((GDR_V)&gt;=6),((GDR_V)&lt;8),OR(('FET Data'!$AG27&lt;&gt;"(Null)"),('FET Data'!$AF27&lt;&gt;"(Null)"),('FET Data'!$AE27&lt;&gt;"(Null)"),('FET Data'!$AD27&lt;&gt;"(Null)"),('FET Data'!$AC27&lt;&gt;"(Null)")))</f>
        <v>0</v>
      </c>
      <c r="O27" s="22" t="b">
        <f>AND(((GDR_V)&gt;=8),((GDR_V)&lt;10),OR(('FET Data'!$AH27&lt;&gt;"(Null)"),('FET Data'!$AG27&lt;&gt;"(Null)"),('FET Data'!$AF27&lt;&gt;"(Null)"),('FET Data'!$AE27&lt;&gt;"(Null)"),('FET Data'!$AD27&lt;&gt;"(Null)"),('FET Data'!$AC27&lt;&gt;"(Null)")))</f>
        <v>0</v>
      </c>
      <c r="P27" s="22" t="b">
        <f>AND(((GDR_V)&gt;=10),OR(('FET Data'!$AI27&lt;&gt;"(Null)"),('FET Data'!$AH27&lt;&gt;"(Null)"),('FET Data'!$AG27&lt;&gt;"(Null)"),('FET Data'!$AF27&lt;&gt;"(Null)"),('FET Data'!$AE27&lt;&gt;"(Null)"),('FET Data'!$AD27&lt;&gt;"(Null)"),('FET Data'!$AC27&lt;&gt;"(Null)")))</f>
        <v>1</v>
      </c>
      <c r="Q27" s="22" t="b">
        <f t="shared" si="1"/>
        <v>1</v>
      </c>
      <c r="R27" s="22" t="b">
        <f t="shared" si="2"/>
        <v>0</v>
      </c>
      <c r="T27" s="22" t="s">
        <v>410</v>
      </c>
      <c r="U27" s="22" t="e">
        <f>(AND((GDR_V&lt;4.5),NOT(AND('FET Data'!$AC3="(Null)",'FET Data'!#REF!="(Null)"))))</f>
        <v>#REF!</v>
      </c>
    </row>
    <row r="28" spans="1:27" x14ac:dyDescent="0.25">
      <c r="A28" s="22" t="str">
        <f>IF(R28,Discrete_NFET[[#This Row],[PARTNUMBER]],"")</f>
        <v/>
      </c>
      <c r="B28" t="s">
        <v>478</v>
      </c>
      <c r="C28" s="22" t="b">
        <f>AND((Discrete_NFET[[#This Row],[VDSMAX]]&gt;=VDC_AVG*1.25),(Discrete_NFET[[#This Row],[VGSMAX]]&gt;=GDR_V*1.2))</f>
        <v>0</v>
      </c>
      <c r="D28" s="22" t="b">
        <f>AND(VDC_AVG&lt;=25,Discrete_NFET[[#This Row],[VDSMAX]]&lt;=30)</f>
        <v>1</v>
      </c>
      <c r="E28" s="22" t="b">
        <f>AND(VDC_AVG&lt;=33,VDC_AVG&gt;=12,Discrete_NFET[[#This Row],[VDSMAX]]=40)</f>
        <v>0</v>
      </c>
      <c r="F28" s="22" t="b">
        <f>AND(VDC_AVG&lt;=50,VDC_AVG&gt;=18,Discrete_NFET[[#This Row],[VDSMAX]]=60)</f>
        <v>0</v>
      </c>
      <c r="G28" s="22" t="b">
        <f>AND(VDC_AVG&lt;=66,VDC_AVG&gt;=24,Discrete_NFET[[#This Row],[VDSMAX]]=80)</f>
        <v>0</v>
      </c>
      <c r="H28" s="22" t="b">
        <f>AND(VDC_AVG&lt;=83,VDC_AVG&gt;=36,Discrete_NFET[[#This Row],[VDSMAX]]=100)</f>
        <v>0</v>
      </c>
      <c r="I28" s="22" t="b">
        <f t="shared" si="0"/>
        <v>1</v>
      </c>
      <c r="J28" s="22" t="b">
        <f>AND(((GDR_V)&lt;2.5),('FET Data'!$AC28&lt;&gt;"(Null)"))</f>
        <v>0</v>
      </c>
      <c r="K28" s="22" t="b">
        <f>AND(((GDR_V)&gt;=2.5),((GDR_V)&lt;3),OR(('FET Data'!$AD28&lt;&gt;"(Null)"),('FET Data'!$AC28&lt;&gt;"(Null)")))</f>
        <v>0</v>
      </c>
      <c r="L28" s="22" t="b">
        <f>AND(((GDR_V)&gt;=3),((GDR_V)&lt;4.5),OR(('FET Data'!$AE28&lt;&gt;"(Null)"),('FET Data'!$AD28&lt;&gt;"(Null)"),('FET Data'!$AC28&lt;&gt;"(Null)")))</f>
        <v>0</v>
      </c>
      <c r="M28" s="22" t="b">
        <f>AND(((GDR_V)&gt;=4.5),((GDR_V)&lt;6),OR(('FET Data'!$AF28&lt;&gt;"(Null)"),('FET Data'!$AE28&lt;&gt;"(Null)"),('FET Data'!$AD28&lt;&gt;"(Null)"),('FET Data'!$AC28&lt;&gt;"(Null)")))</f>
        <v>0</v>
      </c>
      <c r="N28" s="22" t="b">
        <f>AND(((GDR_V)&gt;=6),((GDR_V)&lt;8),OR(('FET Data'!$AG28&lt;&gt;"(Null)"),('FET Data'!$AF28&lt;&gt;"(Null)"),('FET Data'!$AE28&lt;&gt;"(Null)"),('FET Data'!$AD28&lt;&gt;"(Null)"),('FET Data'!$AC28&lt;&gt;"(Null)")))</f>
        <v>0</v>
      </c>
      <c r="O28" s="22" t="b">
        <f>AND(((GDR_V)&gt;=8),((GDR_V)&lt;10),OR(('FET Data'!$AH28&lt;&gt;"(Null)"),('FET Data'!$AG28&lt;&gt;"(Null)"),('FET Data'!$AF28&lt;&gt;"(Null)"),('FET Data'!$AE28&lt;&gt;"(Null)"),('FET Data'!$AD28&lt;&gt;"(Null)"),('FET Data'!$AC28&lt;&gt;"(Null)")))</f>
        <v>0</v>
      </c>
      <c r="P28" s="22" t="b">
        <f>AND(((GDR_V)&gt;=10),OR(('FET Data'!$AI28&lt;&gt;"(Null)"),('FET Data'!$AH28&lt;&gt;"(Null)"),('FET Data'!$AG28&lt;&gt;"(Null)"),('FET Data'!$AF28&lt;&gt;"(Null)"),('FET Data'!$AE28&lt;&gt;"(Null)"),('FET Data'!$AD28&lt;&gt;"(Null)"),('FET Data'!$AC28&lt;&gt;"(Null)")))</f>
        <v>1</v>
      </c>
      <c r="Q28" s="22" t="b">
        <f t="shared" si="1"/>
        <v>1</v>
      </c>
      <c r="R28" s="22" t="b">
        <f t="shared" si="2"/>
        <v>0</v>
      </c>
      <c r="T28" s="22" t="s">
        <v>409</v>
      </c>
      <c r="U28" s="22" t="e">
        <f>OR('FET Data'!$AC2="(Null)",'FET Data'!#REF!="(Null)")</f>
        <v>#REF!</v>
      </c>
    </row>
    <row r="29" spans="1:27" x14ac:dyDescent="0.25">
      <c r="A29" s="22" t="str">
        <f>IF(R29,Discrete_NFET[[#This Row],[PARTNUMBER]],"")</f>
        <v/>
      </c>
      <c r="B29" t="s">
        <v>480</v>
      </c>
      <c r="C29" s="22" t="b">
        <f>AND((Discrete_NFET[[#This Row],[VDSMAX]]&gt;=VDC_AVG*1.25),(Discrete_NFET[[#This Row],[VGSMAX]]&gt;=GDR_V*1.2))</f>
        <v>0</v>
      </c>
      <c r="D29" s="22" t="b">
        <f>AND(VDC_AVG&lt;=25,Discrete_NFET[[#This Row],[VDSMAX]]&lt;=30)</f>
        <v>1</v>
      </c>
      <c r="E29" s="22" t="b">
        <f>AND(VDC_AVG&lt;=33,VDC_AVG&gt;=12,Discrete_NFET[[#This Row],[VDSMAX]]=40)</f>
        <v>0</v>
      </c>
      <c r="F29" s="22" t="b">
        <f>AND(VDC_AVG&lt;=50,VDC_AVG&gt;=18,Discrete_NFET[[#This Row],[VDSMAX]]=60)</f>
        <v>0</v>
      </c>
      <c r="G29" s="22" t="b">
        <f>AND(VDC_AVG&lt;=66,VDC_AVG&gt;=24,Discrete_NFET[[#This Row],[VDSMAX]]=80)</f>
        <v>0</v>
      </c>
      <c r="H29" s="22" t="b">
        <f>AND(VDC_AVG&lt;=83,VDC_AVG&gt;=36,Discrete_NFET[[#This Row],[VDSMAX]]=100)</f>
        <v>0</v>
      </c>
      <c r="I29" s="22" t="b">
        <f t="shared" si="0"/>
        <v>1</v>
      </c>
      <c r="J29" s="22" t="b">
        <f>AND(((GDR_V)&lt;2.5),('FET Data'!$AC29&lt;&gt;"(Null)"))</f>
        <v>0</v>
      </c>
      <c r="K29" s="22" t="b">
        <f>AND(((GDR_V)&gt;=2.5),((GDR_V)&lt;3),OR(('FET Data'!$AD29&lt;&gt;"(Null)"),('FET Data'!$AC29&lt;&gt;"(Null)")))</f>
        <v>0</v>
      </c>
      <c r="L29" s="22" t="b">
        <f>AND(((GDR_V)&gt;=3),((GDR_V)&lt;4.5),OR(('FET Data'!$AE29&lt;&gt;"(Null)"),('FET Data'!$AD29&lt;&gt;"(Null)"),('FET Data'!$AC29&lt;&gt;"(Null)")))</f>
        <v>0</v>
      </c>
      <c r="M29" s="22" t="b">
        <f>AND(((GDR_V)&gt;=4.5),((GDR_V)&lt;6),OR(('FET Data'!$AF29&lt;&gt;"(Null)"),('FET Data'!$AE29&lt;&gt;"(Null)"),('FET Data'!$AD29&lt;&gt;"(Null)"),('FET Data'!$AC29&lt;&gt;"(Null)")))</f>
        <v>0</v>
      </c>
      <c r="N29" s="22" t="b">
        <f>AND(((GDR_V)&gt;=6),((GDR_V)&lt;8),OR(('FET Data'!$AG29&lt;&gt;"(Null)"),('FET Data'!$AF29&lt;&gt;"(Null)"),('FET Data'!$AE29&lt;&gt;"(Null)"),('FET Data'!$AD29&lt;&gt;"(Null)"),('FET Data'!$AC29&lt;&gt;"(Null)")))</f>
        <v>0</v>
      </c>
      <c r="O29" s="22" t="b">
        <f>AND(((GDR_V)&gt;=8),((GDR_V)&lt;10),OR(('FET Data'!$AH29&lt;&gt;"(Null)"),('FET Data'!$AG29&lt;&gt;"(Null)"),('FET Data'!$AF29&lt;&gt;"(Null)"),('FET Data'!$AE29&lt;&gt;"(Null)"),('FET Data'!$AD29&lt;&gt;"(Null)"),('FET Data'!$AC29&lt;&gt;"(Null)")))</f>
        <v>0</v>
      </c>
      <c r="P29" s="22" t="b">
        <f>AND(((GDR_V)&gt;=10),OR(('FET Data'!$AI29&lt;&gt;"(Null)"),('FET Data'!$AH29&lt;&gt;"(Null)"),('FET Data'!$AG29&lt;&gt;"(Null)"),('FET Data'!$AF29&lt;&gt;"(Null)"),('FET Data'!$AE29&lt;&gt;"(Null)"),('FET Data'!$AD29&lt;&gt;"(Null)"),('FET Data'!$AC29&lt;&gt;"(Null)")))</f>
        <v>1</v>
      </c>
      <c r="Q29" s="22" t="b">
        <f t="shared" si="1"/>
        <v>1</v>
      </c>
      <c r="R29" s="22" t="b">
        <f t="shared" si="2"/>
        <v>0</v>
      </c>
      <c r="V29" s="22" t="s">
        <v>415</v>
      </c>
    </row>
    <row r="30" spans="1:27" x14ac:dyDescent="0.25">
      <c r="A30" s="22" t="str">
        <f>IF(R30,Discrete_NFET[[#This Row],[PARTNUMBER]],"")</f>
        <v/>
      </c>
      <c r="B30" t="s">
        <v>482</v>
      </c>
      <c r="C30" s="22" t="b">
        <f>AND((Discrete_NFET[[#This Row],[VDSMAX]]&gt;=VDC_AVG*1.25),(Discrete_NFET[[#This Row],[VGSMAX]]&gt;=GDR_V*1.2))</f>
        <v>0</v>
      </c>
      <c r="D30" s="22" t="b">
        <f>AND(VDC_AVG&lt;=25,Discrete_NFET[[#This Row],[VDSMAX]]&lt;=30)</f>
        <v>1</v>
      </c>
      <c r="E30" s="22" t="b">
        <f>AND(VDC_AVG&lt;=33,VDC_AVG&gt;=12,Discrete_NFET[[#This Row],[VDSMAX]]=40)</f>
        <v>0</v>
      </c>
      <c r="F30" s="22" t="b">
        <f>AND(VDC_AVG&lt;=50,VDC_AVG&gt;=18,Discrete_NFET[[#This Row],[VDSMAX]]=60)</f>
        <v>0</v>
      </c>
      <c r="G30" s="22" t="b">
        <f>AND(VDC_AVG&lt;=66,VDC_AVG&gt;=24,Discrete_NFET[[#This Row],[VDSMAX]]=80)</f>
        <v>0</v>
      </c>
      <c r="H30" s="22" t="b">
        <f>AND(VDC_AVG&lt;=83,VDC_AVG&gt;=36,Discrete_NFET[[#This Row],[VDSMAX]]=100)</f>
        <v>0</v>
      </c>
      <c r="I30" s="22" t="b">
        <f t="shared" si="0"/>
        <v>1</v>
      </c>
      <c r="J30" s="22" t="b">
        <f>AND(((GDR_V)&lt;2.5),('FET Data'!$AC30&lt;&gt;"(Null)"))</f>
        <v>0</v>
      </c>
      <c r="K30" s="22" t="b">
        <f>AND(((GDR_V)&gt;=2.5),((GDR_V)&lt;3),OR(('FET Data'!$AD30&lt;&gt;"(Null)"),('FET Data'!$AC30&lt;&gt;"(Null)")))</f>
        <v>0</v>
      </c>
      <c r="L30" s="22" t="b">
        <f>AND(((GDR_V)&gt;=3),((GDR_V)&lt;4.5),OR(('FET Data'!$AE30&lt;&gt;"(Null)"),('FET Data'!$AD30&lt;&gt;"(Null)"),('FET Data'!$AC30&lt;&gt;"(Null)")))</f>
        <v>0</v>
      </c>
      <c r="M30" s="22" t="b">
        <f>AND(((GDR_V)&gt;=4.5),((GDR_V)&lt;6),OR(('FET Data'!$AF30&lt;&gt;"(Null)"),('FET Data'!$AE30&lt;&gt;"(Null)"),('FET Data'!$AD30&lt;&gt;"(Null)"),('FET Data'!$AC30&lt;&gt;"(Null)")))</f>
        <v>0</v>
      </c>
      <c r="N30" s="22" t="b">
        <f>AND(((GDR_V)&gt;=6),((GDR_V)&lt;8),OR(('FET Data'!$AG30&lt;&gt;"(Null)"),('FET Data'!$AF30&lt;&gt;"(Null)"),('FET Data'!$AE30&lt;&gt;"(Null)"),('FET Data'!$AD30&lt;&gt;"(Null)"),('FET Data'!$AC30&lt;&gt;"(Null)")))</f>
        <v>0</v>
      </c>
      <c r="O30" s="22" t="b">
        <f>AND(((GDR_V)&gt;=8),((GDR_V)&lt;10),OR(('FET Data'!$AH30&lt;&gt;"(Null)"),('FET Data'!$AG30&lt;&gt;"(Null)"),('FET Data'!$AF30&lt;&gt;"(Null)"),('FET Data'!$AE30&lt;&gt;"(Null)"),('FET Data'!$AD30&lt;&gt;"(Null)"),('FET Data'!$AC30&lt;&gt;"(Null)")))</f>
        <v>0</v>
      </c>
      <c r="P30" s="22" t="b">
        <f>AND(((GDR_V)&gt;=10),OR(('FET Data'!$AI30&lt;&gt;"(Null)"),('FET Data'!$AH30&lt;&gt;"(Null)"),('FET Data'!$AG30&lt;&gt;"(Null)"),('FET Data'!$AF30&lt;&gt;"(Null)"),('FET Data'!$AE30&lt;&gt;"(Null)"),('FET Data'!$AD30&lt;&gt;"(Null)"),('FET Data'!$AC30&lt;&gt;"(Null)")))</f>
        <v>1</v>
      </c>
      <c r="Q30" s="22" t="b">
        <f t="shared" si="1"/>
        <v>1</v>
      </c>
      <c r="R30" s="22" t="b">
        <f t="shared" si="2"/>
        <v>0</v>
      </c>
      <c r="U30" s="22" t="e">
        <f>AND((GDR_V&gt;=10),OR(('FET Data'!$AG2&lt;&gt;"(Null)"),('FET Data'!$AF2&lt;&gt;"(Null)"),('FET Data'!$AE2&lt;&gt;"(Null)"),('FET Data'!$AD2&lt;&gt;"(Null)"),('FET Data'!$AC2&lt;&gt;"(Null)"),('FET Data'!#REF!&lt;&gt;"(Null)")))</f>
        <v>#REF!</v>
      </c>
      <c r="V30" s="22" t="b">
        <f>('FET Data'!$AG2&lt;&gt;"(Null)")</f>
        <v>0</v>
      </c>
    </row>
    <row r="31" spans="1:27" x14ac:dyDescent="0.25">
      <c r="A31" s="22" t="str">
        <f>IF(R31,Discrete_NFET[[#This Row],[PARTNUMBER]],"")</f>
        <v/>
      </c>
      <c r="B31" t="s">
        <v>484</v>
      </c>
      <c r="C31" s="22" t="b">
        <f>AND((Discrete_NFET[[#This Row],[VDSMAX]]&gt;=VDC_AVG*1.25),(Discrete_NFET[[#This Row],[VGSMAX]]&gt;=GDR_V*1.2))</f>
        <v>0</v>
      </c>
      <c r="D31" s="22" t="b">
        <f>AND(VDC_AVG&lt;=25,Discrete_NFET[[#This Row],[VDSMAX]]&lt;=30)</f>
        <v>1</v>
      </c>
      <c r="E31" s="22" t="b">
        <f>AND(VDC_AVG&lt;=33,VDC_AVG&gt;=12,Discrete_NFET[[#This Row],[VDSMAX]]=40)</f>
        <v>0</v>
      </c>
      <c r="F31" s="22" t="b">
        <f>AND(VDC_AVG&lt;=50,VDC_AVG&gt;=18,Discrete_NFET[[#This Row],[VDSMAX]]=60)</f>
        <v>0</v>
      </c>
      <c r="G31" s="22" t="b">
        <f>AND(VDC_AVG&lt;=66,VDC_AVG&gt;=24,Discrete_NFET[[#This Row],[VDSMAX]]=80)</f>
        <v>0</v>
      </c>
      <c r="H31" s="22" t="b">
        <f>AND(VDC_AVG&lt;=83,VDC_AVG&gt;=36,Discrete_NFET[[#This Row],[VDSMAX]]=100)</f>
        <v>0</v>
      </c>
      <c r="I31" s="22" t="b">
        <f t="shared" si="0"/>
        <v>1</v>
      </c>
      <c r="J31" s="22" t="b">
        <f>AND(((GDR_V)&lt;2.5),('FET Data'!$AC31&lt;&gt;"(Null)"))</f>
        <v>0</v>
      </c>
      <c r="K31" s="22" t="b">
        <f>AND(((GDR_V)&gt;=2.5),((GDR_V)&lt;3),OR(('FET Data'!$AD31&lt;&gt;"(Null)"),('FET Data'!$AC31&lt;&gt;"(Null)")))</f>
        <v>0</v>
      </c>
      <c r="L31" s="22" t="b">
        <f>AND(((GDR_V)&gt;=3),((GDR_V)&lt;4.5),OR(('FET Data'!$AE31&lt;&gt;"(Null)"),('FET Data'!$AD31&lt;&gt;"(Null)"),('FET Data'!$AC31&lt;&gt;"(Null)")))</f>
        <v>0</v>
      </c>
      <c r="M31" s="22" t="b">
        <f>AND(((GDR_V)&gt;=4.5),((GDR_V)&lt;6),OR(('FET Data'!$AF31&lt;&gt;"(Null)"),('FET Data'!$AE31&lt;&gt;"(Null)"),('FET Data'!$AD31&lt;&gt;"(Null)"),('FET Data'!$AC31&lt;&gt;"(Null)")))</f>
        <v>0</v>
      </c>
      <c r="N31" s="22" t="b">
        <f>AND(((GDR_V)&gt;=6),((GDR_V)&lt;8),OR(('FET Data'!$AG31&lt;&gt;"(Null)"),('FET Data'!$AF31&lt;&gt;"(Null)"),('FET Data'!$AE31&lt;&gt;"(Null)"),('FET Data'!$AD31&lt;&gt;"(Null)"),('FET Data'!$AC31&lt;&gt;"(Null)")))</f>
        <v>0</v>
      </c>
      <c r="O31" s="22" t="b">
        <f>AND(((GDR_V)&gt;=8),((GDR_V)&lt;10),OR(('FET Data'!$AH31&lt;&gt;"(Null)"),('FET Data'!$AG31&lt;&gt;"(Null)"),('FET Data'!$AF31&lt;&gt;"(Null)"),('FET Data'!$AE31&lt;&gt;"(Null)"),('FET Data'!$AD31&lt;&gt;"(Null)"),('FET Data'!$AC31&lt;&gt;"(Null)")))</f>
        <v>0</v>
      </c>
      <c r="P31" s="22" t="b">
        <f>AND(((GDR_V)&gt;=10),OR(('FET Data'!$AI31&lt;&gt;"(Null)"),('FET Data'!$AH31&lt;&gt;"(Null)"),('FET Data'!$AG31&lt;&gt;"(Null)"),('FET Data'!$AF31&lt;&gt;"(Null)"),('FET Data'!$AE31&lt;&gt;"(Null)"),('FET Data'!$AD31&lt;&gt;"(Null)"),('FET Data'!$AC31&lt;&gt;"(Null)")))</f>
        <v>1</v>
      </c>
      <c r="Q31" s="22" t="b">
        <f t="shared" si="1"/>
        <v>1</v>
      </c>
      <c r="R31" s="22" t="b">
        <f t="shared" si="2"/>
        <v>0</v>
      </c>
      <c r="U31" s="22" t="e">
        <f>AND((GDR_V&gt;=8),(GDR_V&lt;10),OR(('FET Data'!$AF2&lt;&gt;"(Null)"),('FET Data'!$AE2&lt;&gt;"(Null)"),('FET Data'!$AD2&lt;&gt;"(Null)"),('FET Data'!$AC2&lt;&gt;"(Null)"),('FET Data'!#REF!&lt;&gt;"(Null)")))</f>
        <v>#REF!</v>
      </c>
      <c r="V31" s="22" t="b">
        <f>('FET Data'!$AF2&lt;&gt;"(Null)")</f>
        <v>1</v>
      </c>
    </row>
    <row r="32" spans="1:27" x14ac:dyDescent="0.25">
      <c r="A32" s="22" t="str">
        <f>IF(R32,Discrete_NFET[[#This Row],[PARTNUMBER]],"")</f>
        <v/>
      </c>
      <c r="B32" t="s">
        <v>486</v>
      </c>
      <c r="C32" s="22" t="b">
        <f>AND((Discrete_NFET[[#This Row],[VDSMAX]]&gt;=VDC_AVG*1.25),(Discrete_NFET[[#This Row],[VGSMAX]]&gt;=GDR_V*1.2))</f>
        <v>0</v>
      </c>
      <c r="D32" s="22" t="b">
        <f>AND(VDC_AVG&lt;=25,Discrete_NFET[[#This Row],[VDSMAX]]&lt;=30)</f>
        <v>1</v>
      </c>
      <c r="E32" s="22" t="b">
        <f>AND(VDC_AVG&lt;=33,VDC_AVG&gt;=12,Discrete_NFET[[#This Row],[VDSMAX]]=40)</f>
        <v>0</v>
      </c>
      <c r="F32" s="22" t="b">
        <f>AND(VDC_AVG&lt;=50,VDC_AVG&gt;=18,Discrete_NFET[[#This Row],[VDSMAX]]=60)</f>
        <v>0</v>
      </c>
      <c r="G32" s="22" t="b">
        <f>AND(VDC_AVG&lt;=66,VDC_AVG&gt;=24,Discrete_NFET[[#This Row],[VDSMAX]]=80)</f>
        <v>0</v>
      </c>
      <c r="H32" s="22" t="b">
        <f>AND(VDC_AVG&lt;=83,VDC_AVG&gt;=36,Discrete_NFET[[#This Row],[VDSMAX]]=100)</f>
        <v>0</v>
      </c>
      <c r="I32" s="22" t="b">
        <f t="shared" si="0"/>
        <v>1</v>
      </c>
      <c r="J32" s="22" t="b">
        <f>AND(((GDR_V)&lt;2.5),('FET Data'!$AC32&lt;&gt;"(Null)"))</f>
        <v>0</v>
      </c>
      <c r="K32" s="22" t="b">
        <f>AND(((GDR_V)&gt;=2.5),((GDR_V)&lt;3),OR(('FET Data'!$AD32&lt;&gt;"(Null)"),('FET Data'!$AC32&lt;&gt;"(Null)")))</f>
        <v>0</v>
      </c>
      <c r="L32" s="22" t="b">
        <f>AND(((GDR_V)&gt;=3),((GDR_V)&lt;4.5),OR(('FET Data'!$AE32&lt;&gt;"(Null)"),('FET Data'!$AD32&lt;&gt;"(Null)"),('FET Data'!$AC32&lt;&gt;"(Null)")))</f>
        <v>0</v>
      </c>
      <c r="M32" s="22" t="b">
        <f>AND(((GDR_V)&gt;=4.5),((GDR_V)&lt;6),OR(('FET Data'!$AF32&lt;&gt;"(Null)"),('FET Data'!$AE32&lt;&gt;"(Null)"),('FET Data'!$AD32&lt;&gt;"(Null)"),('FET Data'!$AC32&lt;&gt;"(Null)")))</f>
        <v>0</v>
      </c>
      <c r="N32" s="22" t="b">
        <f>AND(((GDR_V)&gt;=6),((GDR_V)&lt;8),OR(('FET Data'!$AG32&lt;&gt;"(Null)"),('FET Data'!$AF32&lt;&gt;"(Null)"),('FET Data'!$AE32&lt;&gt;"(Null)"),('FET Data'!$AD32&lt;&gt;"(Null)"),('FET Data'!$AC32&lt;&gt;"(Null)")))</f>
        <v>0</v>
      </c>
      <c r="O32" s="22" t="b">
        <f>AND(((GDR_V)&gt;=8),((GDR_V)&lt;10),OR(('FET Data'!$AH32&lt;&gt;"(Null)"),('FET Data'!$AG32&lt;&gt;"(Null)"),('FET Data'!$AF32&lt;&gt;"(Null)"),('FET Data'!$AE32&lt;&gt;"(Null)"),('FET Data'!$AD32&lt;&gt;"(Null)"),('FET Data'!$AC32&lt;&gt;"(Null)")))</f>
        <v>0</v>
      </c>
      <c r="P32" s="22" t="b">
        <f>AND(((GDR_V)&gt;=10),OR(('FET Data'!$AI32&lt;&gt;"(Null)"),('FET Data'!$AH32&lt;&gt;"(Null)"),('FET Data'!$AG32&lt;&gt;"(Null)"),('FET Data'!$AF32&lt;&gt;"(Null)"),('FET Data'!$AE32&lt;&gt;"(Null)"),('FET Data'!$AD32&lt;&gt;"(Null)"),('FET Data'!$AC32&lt;&gt;"(Null)")))</f>
        <v>1</v>
      </c>
      <c r="Q32" s="22" t="b">
        <f t="shared" si="1"/>
        <v>1</v>
      </c>
      <c r="R32" s="22" t="b">
        <f t="shared" si="2"/>
        <v>0</v>
      </c>
      <c r="U32" s="22" t="e">
        <f>AND((GDR_V&gt;=6),(GDR_V&lt;8),OR(('FET Data'!$AE2&lt;&gt;"(Null)"),('FET Data'!$AD2&lt;&gt;"(Null)"),('FET Data'!$AC2&lt;&gt;"(Null)"),('FET Data'!#REF!&lt;&gt;"(Null)")))</f>
        <v>#REF!</v>
      </c>
      <c r="V32" s="22" t="b">
        <f>('FET Data'!$AE2&lt;&gt;"(Null)")</f>
        <v>1</v>
      </c>
    </row>
    <row r="33" spans="1:22" x14ac:dyDescent="0.25">
      <c r="A33" s="22" t="str">
        <f>IF(R33,Discrete_NFET[[#This Row],[PARTNUMBER]],"")</f>
        <v/>
      </c>
      <c r="B33" t="s">
        <v>206</v>
      </c>
      <c r="C33" s="22" t="b">
        <f>AND((Discrete_NFET[[#This Row],[VDSMAX]]&gt;=VDC_AVG*1.25),(Discrete_NFET[[#This Row],[VGSMAX]]&gt;=GDR_V*1.2))</f>
        <v>0</v>
      </c>
      <c r="D33" s="22" t="b">
        <f>AND(VDC_AVG&lt;=25,Discrete_NFET[[#This Row],[VDSMAX]]&lt;=30)</f>
        <v>1</v>
      </c>
      <c r="E33" s="22" t="b">
        <f>AND(VDC_AVG&lt;=33,VDC_AVG&gt;=12,Discrete_NFET[[#This Row],[VDSMAX]]=40)</f>
        <v>0</v>
      </c>
      <c r="F33" s="22" t="b">
        <f>AND(VDC_AVG&lt;=50,VDC_AVG&gt;=18,Discrete_NFET[[#This Row],[VDSMAX]]=60)</f>
        <v>0</v>
      </c>
      <c r="G33" s="22" t="b">
        <f>AND(VDC_AVG&lt;=66,VDC_AVG&gt;=24,Discrete_NFET[[#This Row],[VDSMAX]]=80)</f>
        <v>0</v>
      </c>
      <c r="H33" s="22" t="b">
        <f>AND(VDC_AVG&lt;=83,VDC_AVG&gt;=36,Discrete_NFET[[#This Row],[VDSMAX]]=100)</f>
        <v>0</v>
      </c>
      <c r="I33" s="22" t="b">
        <f t="shared" si="0"/>
        <v>1</v>
      </c>
      <c r="J33" s="22" t="b">
        <f>AND(((GDR_V)&lt;2.5),('FET Data'!$AC33&lt;&gt;"(Null)"))</f>
        <v>0</v>
      </c>
      <c r="K33" s="22" t="b">
        <f>AND(((GDR_V)&gt;=2.5),((GDR_V)&lt;3),OR(('FET Data'!$AD33&lt;&gt;"(Null)"),('FET Data'!$AC33&lt;&gt;"(Null)")))</f>
        <v>0</v>
      </c>
      <c r="L33" s="22" t="b">
        <f>AND(((GDR_V)&gt;=3),((GDR_V)&lt;4.5),OR(('FET Data'!$AE33&lt;&gt;"(Null)"),('FET Data'!$AD33&lt;&gt;"(Null)"),('FET Data'!$AC33&lt;&gt;"(Null)")))</f>
        <v>0</v>
      </c>
      <c r="M33" s="22" t="b">
        <f>AND(((GDR_V)&gt;=4.5),((GDR_V)&lt;6),OR(('FET Data'!$AF33&lt;&gt;"(Null)"),('FET Data'!$AE33&lt;&gt;"(Null)"),('FET Data'!$AD33&lt;&gt;"(Null)"),('FET Data'!$AC33&lt;&gt;"(Null)")))</f>
        <v>0</v>
      </c>
      <c r="N33" s="22" t="b">
        <f>AND(((GDR_V)&gt;=6),((GDR_V)&lt;8),OR(('FET Data'!$AG33&lt;&gt;"(Null)"),('FET Data'!$AF33&lt;&gt;"(Null)"),('FET Data'!$AE33&lt;&gt;"(Null)"),('FET Data'!$AD33&lt;&gt;"(Null)"),('FET Data'!$AC33&lt;&gt;"(Null)")))</f>
        <v>0</v>
      </c>
      <c r="O33" s="22" t="b">
        <f>AND(((GDR_V)&gt;=8),((GDR_V)&lt;10),OR(('FET Data'!$AH33&lt;&gt;"(Null)"),('FET Data'!$AG33&lt;&gt;"(Null)"),('FET Data'!$AF33&lt;&gt;"(Null)"),('FET Data'!$AE33&lt;&gt;"(Null)"),('FET Data'!$AD33&lt;&gt;"(Null)"),('FET Data'!$AC33&lt;&gt;"(Null)")))</f>
        <v>0</v>
      </c>
      <c r="P33" s="22" t="b">
        <f>AND(((GDR_V)&gt;=10),OR(('FET Data'!$AI33&lt;&gt;"(Null)"),('FET Data'!$AH33&lt;&gt;"(Null)"),('FET Data'!$AG33&lt;&gt;"(Null)"),('FET Data'!$AF33&lt;&gt;"(Null)"),('FET Data'!$AE33&lt;&gt;"(Null)"),('FET Data'!$AD33&lt;&gt;"(Null)"),('FET Data'!$AC33&lt;&gt;"(Null)")))</f>
        <v>1</v>
      </c>
      <c r="Q33" s="22" t="b">
        <f t="shared" si="1"/>
        <v>1</v>
      </c>
      <c r="R33" s="22" t="b">
        <f t="shared" si="2"/>
        <v>0</v>
      </c>
      <c r="U33" s="22" t="e">
        <f>AND((GDR_V&gt;=4.5),(GDR_V&lt;6),OR(('FET Data'!$AD2&lt;&gt;"(Null)"),('FET Data'!$AC2&lt;&gt;"(Null)"),('FET Data'!#REF!&lt;&gt;"(Null)")))</f>
        <v>#REF!</v>
      </c>
      <c r="V33" s="22" t="b">
        <f>('FET Data'!$AD2&lt;&gt;"(Null)")</f>
        <v>1</v>
      </c>
    </row>
    <row r="34" spans="1:22" x14ac:dyDescent="0.25">
      <c r="A34" s="22" t="str">
        <f>IF(R34,Discrete_NFET[[#This Row],[PARTNUMBER]],"")</f>
        <v/>
      </c>
      <c r="B34" t="s">
        <v>210</v>
      </c>
      <c r="C34" s="22" t="b">
        <f>AND((Discrete_NFET[[#This Row],[VDSMAX]]&gt;=VDC_AVG*1.25),(Discrete_NFET[[#This Row],[VGSMAX]]&gt;=GDR_V*1.2))</f>
        <v>0</v>
      </c>
      <c r="D34" s="22" t="b">
        <f>AND(VDC_AVG&lt;=25,Discrete_NFET[[#This Row],[VDSMAX]]&lt;=30)</f>
        <v>1</v>
      </c>
      <c r="E34" s="22" t="b">
        <f>AND(VDC_AVG&lt;=33,VDC_AVG&gt;=12,Discrete_NFET[[#This Row],[VDSMAX]]=40)</f>
        <v>0</v>
      </c>
      <c r="F34" s="22" t="b">
        <f>AND(VDC_AVG&lt;=50,VDC_AVG&gt;=18,Discrete_NFET[[#This Row],[VDSMAX]]=60)</f>
        <v>0</v>
      </c>
      <c r="G34" s="22" t="b">
        <f>AND(VDC_AVG&lt;=66,VDC_AVG&gt;=24,Discrete_NFET[[#This Row],[VDSMAX]]=80)</f>
        <v>0</v>
      </c>
      <c r="H34" s="22" t="b">
        <f>AND(VDC_AVG&lt;=83,VDC_AVG&gt;=36,Discrete_NFET[[#This Row],[VDSMAX]]=100)</f>
        <v>0</v>
      </c>
      <c r="I34" s="22" t="b">
        <f t="shared" si="0"/>
        <v>1</v>
      </c>
      <c r="J34" s="22" t="b">
        <f>AND(((GDR_V)&lt;2.5),('FET Data'!$AC34&lt;&gt;"(Null)"))</f>
        <v>0</v>
      </c>
      <c r="K34" s="22" t="b">
        <f>AND(((GDR_V)&gt;=2.5),((GDR_V)&lt;3),OR(('FET Data'!$AD34&lt;&gt;"(Null)"),('FET Data'!$AC34&lt;&gt;"(Null)")))</f>
        <v>0</v>
      </c>
      <c r="L34" s="22" t="b">
        <f>AND(((GDR_V)&gt;=3),((GDR_V)&lt;4.5),OR(('FET Data'!$AE34&lt;&gt;"(Null)"),('FET Data'!$AD34&lt;&gt;"(Null)"),('FET Data'!$AC34&lt;&gt;"(Null)")))</f>
        <v>0</v>
      </c>
      <c r="M34" s="22" t="b">
        <f>AND(((GDR_V)&gt;=4.5),((GDR_V)&lt;6),OR(('FET Data'!$AF34&lt;&gt;"(Null)"),('FET Data'!$AE34&lt;&gt;"(Null)"),('FET Data'!$AD34&lt;&gt;"(Null)"),('FET Data'!$AC34&lt;&gt;"(Null)")))</f>
        <v>0</v>
      </c>
      <c r="N34" s="22" t="b">
        <f>AND(((GDR_V)&gt;=6),((GDR_V)&lt;8),OR(('FET Data'!$AG34&lt;&gt;"(Null)"),('FET Data'!$AF34&lt;&gt;"(Null)"),('FET Data'!$AE34&lt;&gt;"(Null)"),('FET Data'!$AD34&lt;&gt;"(Null)"),('FET Data'!$AC34&lt;&gt;"(Null)")))</f>
        <v>0</v>
      </c>
      <c r="O34" s="22" t="b">
        <f>AND(((GDR_V)&gt;=8),((GDR_V)&lt;10),OR(('FET Data'!$AH34&lt;&gt;"(Null)"),('FET Data'!$AG34&lt;&gt;"(Null)"),('FET Data'!$AF34&lt;&gt;"(Null)"),('FET Data'!$AE34&lt;&gt;"(Null)"),('FET Data'!$AD34&lt;&gt;"(Null)"),('FET Data'!$AC34&lt;&gt;"(Null)")))</f>
        <v>0</v>
      </c>
      <c r="P34" s="22" t="b">
        <f>AND(((GDR_V)&gt;=10),OR(('FET Data'!$AI34&lt;&gt;"(Null)"),('FET Data'!$AH34&lt;&gt;"(Null)"),('FET Data'!$AG34&lt;&gt;"(Null)"),('FET Data'!$AF34&lt;&gt;"(Null)"),('FET Data'!$AE34&lt;&gt;"(Null)"),('FET Data'!$AD34&lt;&gt;"(Null)"),('FET Data'!$AC34&lt;&gt;"(Null)")))</f>
        <v>1</v>
      </c>
      <c r="Q34" s="22" t="b">
        <f t="shared" si="1"/>
        <v>1</v>
      </c>
      <c r="R34" s="22" t="b">
        <f t="shared" si="2"/>
        <v>0</v>
      </c>
      <c r="U34" s="22" t="e">
        <f>AND((GDR_V&gt;=3),(GDR_V&lt;4.5),OR(('FET Data'!$AC2&lt;&gt;"(Null)"),('FET Data'!#REF!&lt;&gt;"(Null)")))</f>
        <v>#REF!</v>
      </c>
      <c r="V34" s="22" t="b">
        <f>('FET Data'!$AC2&lt;&gt;"(Null)")</f>
        <v>0</v>
      </c>
    </row>
    <row r="35" spans="1:22" x14ac:dyDescent="0.25">
      <c r="A35" s="22" t="str">
        <f>IF(R35,Discrete_NFET[[#This Row],[PARTNUMBER]],"")</f>
        <v/>
      </c>
      <c r="B35" t="s">
        <v>213</v>
      </c>
      <c r="C35" s="22" t="b">
        <f>AND((Discrete_NFET[[#This Row],[VDSMAX]]&gt;=VDC_AVG*1.25),(Discrete_NFET[[#This Row],[VGSMAX]]&gt;=GDR_V*1.2))</f>
        <v>0</v>
      </c>
      <c r="D35" s="22" t="b">
        <f>AND(VDC_AVG&lt;=25,Discrete_NFET[[#This Row],[VDSMAX]]&lt;=30)</f>
        <v>1</v>
      </c>
      <c r="E35" s="22" t="b">
        <f>AND(VDC_AVG&lt;=33,VDC_AVG&gt;=12,Discrete_NFET[[#This Row],[VDSMAX]]=40)</f>
        <v>0</v>
      </c>
      <c r="F35" s="22" t="b">
        <f>AND(VDC_AVG&lt;=50,VDC_AVG&gt;=18,Discrete_NFET[[#This Row],[VDSMAX]]=60)</f>
        <v>0</v>
      </c>
      <c r="G35" s="22" t="b">
        <f>AND(VDC_AVG&lt;=66,VDC_AVG&gt;=24,Discrete_NFET[[#This Row],[VDSMAX]]=80)</f>
        <v>0</v>
      </c>
      <c r="H35" s="22" t="b">
        <f>AND(VDC_AVG&lt;=83,VDC_AVG&gt;=36,Discrete_NFET[[#This Row],[VDSMAX]]=100)</f>
        <v>0</v>
      </c>
      <c r="I35" s="22" t="b">
        <f t="shared" si="0"/>
        <v>1</v>
      </c>
      <c r="J35" s="22" t="b">
        <f>AND(((GDR_V)&lt;2.5),('FET Data'!$AC35&lt;&gt;"(Null)"))</f>
        <v>0</v>
      </c>
      <c r="K35" s="22" t="b">
        <f>AND(((GDR_V)&gt;=2.5),((GDR_V)&lt;3),OR(('FET Data'!$AD35&lt;&gt;"(Null)"),('FET Data'!$AC35&lt;&gt;"(Null)")))</f>
        <v>0</v>
      </c>
      <c r="L35" s="22" t="b">
        <f>AND(((GDR_V)&gt;=3),((GDR_V)&lt;4.5),OR(('FET Data'!$AE35&lt;&gt;"(Null)"),('FET Data'!$AD35&lt;&gt;"(Null)"),('FET Data'!$AC35&lt;&gt;"(Null)")))</f>
        <v>0</v>
      </c>
      <c r="M35" s="22" t="b">
        <f>AND(((GDR_V)&gt;=4.5),((GDR_V)&lt;6),OR(('FET Data'!$AF35&lt;&gt;"(Null)"),('FET Data'!$AE35&lt;&gt;"(Null)"),('FET Data'!$AD35&lt;&gt;"(Null)"),('FET Data'!$AC35&lt;&gt;"(Null)")))</f>
        <v>0</v>
      </c>
      <c r="N35" s="22" t="b">
        <f>AND(((GDR_V)&gt;=6),((GDR_V)&lt;8),OR(('FET Data'!$AG35&lt;&gt;"(Null)"),('FET Data'!$AF35&lt;&gt;"(Null)"),('FET Data'!$AE35&lt;&gt;"(Null)"),('FET Data'!$AD35&lt;&gt;"(Null)"),('FET Data'!$AC35&lt;&gt;"(Null)")))</f>
        <v>0</v>
      </c>
      <c r="O35" s="22" t="b">
        <f>AND(((GDR_V)&gt;=8),((GDR_V)&lt;10),OR(('FET Data'!$AH35&lt;&gt;"(Null)"),('FET Data'!$AG35&lt;&gt;"(Null)"),('FET Data'!$AF35&lt;&gt;"(Null)"),('FET Data'!$AE35&lt;&gt;"(Null)"),('FET Data'!$AD35&lt;&gt;"(Null)"),('FET Data'!$AC35&lt;&gt;"(Null)")))</f>
        <v>0</v>
      </c>
      <c r="P35" s="22" t="b">
        <f>AND(((GDR_V)&gt;=10),OR(('FET Data'!$AI35&lt;&gt;"(Null)"),('FET Data'!$AH35&lt;&gt;"(Null)"),('FET Data'!$AG35&lt;&gt;"(Null)"),('FET Data'!$AF35&lt;&gt;"(Null)"),('FET Data'!$AE35&lt;&gt;"(Null)"),('FET Data'!$AD35&lt;&gt;"(Null)"),('FET Data'!$AC35&lt;&gt;"(Null)")))</f>
        <v>1</v>
      </c>
      <c r="Q35" s="22" t="b">
        <f t="shared" si="1"/>
        <v>1</v>
      </c>
      <c r="R35" s="22" t="b">
        <f t="shared" si="2"/>
        <v>0</v>
      </c>
      <c r="U35" s="22" t="e">
        <f>AND((GDR_V&lt;3),('FET Data'!#REF!&lt;&gt;"(Null)"))</f>
        <v>#REF!</v>
      </c>
      <c r="V35" s="22" t="e">
        <f>('FET Data'!#REF!&lt;&gt;"(Null)")</f>
        <v>#REF!</v>
      </c>
    </row>
    <row r="36" spans="1:22" x14ac:dyDescent="0.25">
      <c r="A36" s="22" t="str">
        <f>IF(R36,Discrete_NFET[[#This Row],[PARTNUMBER]],"")</f>
        <v/>
      </c>
      <c r="B36" t="s">
        <v>216</v>
      </c>
      <c r="C36" s="22" t="b">
        <f>AND((Discrete_NFET[[#This Row],[VDSMAX]]&gt;=VDC_AVG*1.25),(Discrete_NFET[[#This Row],[VGSMAX]]&gt;=GDR_V*1.2))</f>
        <v>0</v>
      </c>
      <c r="D36" s="22" t="b">
        <f>AND(VDC_AVG&lt;=25,Discrete_NFET[[#This Row],[VDSMAX]]&lt;=30)</f>
        <v>1</v>
      </c>
      <c r="E36" s="22" t="b">
        <f>AND(VDC_AVG&lt;=33,VDC_AVG&gt;=12,Discrete_NFET[[#This Row],[VDSMAX]]=40)</f>
        <v>0</v>
      </c>
      <c r="F36" s="22" t="b">
        <f>AND(VDC_AVG&lt;=50,VDC_AVG&gt;=18,Discrete_NFET[[#This Row],[VDSMAX]]=60)</f>
        <v>0</v>
      </c>
      <c r="G36" s="22" t="b">
        <f>AND(VDC_AVG&lt;=66,VDC_AVG&gt;=24,Discrete_NFET[[#This Row],[VDSMAX]]=80)</f>
        <v>0</v>
      </c>
      <c r="H36" s="22" t="b">
        <f>AND(VDC_AVG&lt;=83,VDC_AVG&gt;=36,Discrete_NFET[[#This Row],[VDSMAX]]=100)</f>
        <v>0</v>
      </c>
      <c r="I36" s="22" t="b">
        <f t="shared" si="0"/>
        <v>1</v>
      </c>
      <c r="J36" s="22" t="b">
        <f>AND(((GDR_V)&lt;2.5),('FET Data'!$AC36&lt;&gt;"(Null)"))</f>
        <v>0</v>
      </c>
      <c r="K36" s="22" t="b">
        <f>AND(((GDR_V)&gt;=2.5),((GDR_V)&lt;3),OR(('FET Data'!$AD36&lt;&gt;"(Null)"),('FET Data'!$AC36&lt;&gt;"(Null)")))</f>
        <v>0</v>
      </c>
      <c r="L36" s="22" t="b">
        <f>AND(((GDR_V)&gt;=3),((GDR_V)&lt;4.5),OR(('FET Data'!$AE36&lt;&gt;"(Null)"),('FET Data'!$AD36&lt;&gt;"(Null)"),('FET Data'!$AC36&lt;&gt;"(Null)")))</f>
        <v>0</v>
      </c>
      <c r="M36" s="22" t="b">
        <f>AND(((GDR_V)&gt;=4.5),((GDR_V)&lt;6),OR(('FET Data'!$AF36&lt;&gt;"(Null)"),('FET Data'!$AE36&lt;&gt;"(Null)"),('FET Data'!$AD36&lt;&gt;"(Null)"),('FET Data'!$AC36&lt;&gt;"(Null)")))</f>
        <v>0</v>
      </c>
      <c r="N36" s="22" t="b">
        <f>AND(((GDR_V)&gt;=6),((GDR_V)&lt;8),OR(('FET Data'!$AG36&lt;&gt;"(Null)"),('FET Data'!$AF36&lt;&gt;"(Null)"),('FET Data'!$AE36&lt;&gt;"(Null)"),('FET Data'!$AD36&lt;&gt;"(Null)"),('FET Data'!$AC36&lt;&gt;"(Null)")))</f>
        <v>0</v>
      </c>
      <c r="O36" s="22" t="b">
        <f>AND(((GDR_V)&gt;=8),((GDR_V)&lt;10),OR(('FET Data'!$AH36&lt;&gt;"(Null)"),('FET Data'!$AG36&lt;&gt;"(Null)"),('FET Data'!$AF36&lt;&gt;"(Null)"),('FET Data'!$AE36&lt;&gt;"(Null)"),('FET Data'!$AD36&lt;&gt;"(Null)"),('FET Data'!$AC36&lt;&gt;"(Null)")))</f>
        <v>0</v>
      </c>
      <c r="P36" s="22" t="b">
        <f>AND(((GDR_V)&gt;=10),OR(('FET Data'!$AI36&lt;&gt;"(Null)"),('FET Data'!$AH36&lt;&gt;"(Null)"),('FET Data'!$AG36&lt;&gt;"(Null)"),('FET Data'!$AF36&lt;&gt;"(Null)"),('FET Data'!$AE36&lt;&gt;"(Null)"),('FET Data'!$AD36&lt;&gt;"(Null)"),('FET Data'!$AC36&lt;&gt;"(Null)")))</f>
        <v>1</v>
      </c>
      <c r="Q36" s="22" t="b">
        <f t="shared" si="1"/>
        <v>1</v>
      </c>
      <c r="R36" s="22" t="b">
        <f t="shared" si="2"/>
        <v>0</v>
      </c>
      <c r="U36" s="22" t="e">
        <f>OR(U30:U35)</f>
        <v>#REF!</v>
      </c>
    </row>
    <row r="37" spans="1:22" x14ac:dyDescent="0.25">
      <c r="A37" s="22" t="str">
        <f>IF(R37,Discrete_NFET[[#This Row],[PARTNUMBER]],"")</f>
        <v/>
      </c>
      <c r="B37" t="s">
        <v>219</v>
      </c>
      <c r="C37" s="22" t="b">
        <f>AND((Discrete_NFET[[#This Row],[VDSMAX]]&gt;=VDC_AVG*1.25),(Discrete_NFET[[#This Row],[VGSMAX]]&gt;=GDR_V*1.2))</f>
        <v>0</v>
      </c>
      <c r="D37" s="22" t="b">
        <f>AND(VDC_AVG&lt;=25,Discrete_NFET[[#This Row],[VDSMAX]]&lt;=30)</f>
        <v>1</v>
      </c>
      <c r="E37" s="22" t="b">
        <f>AND(VDC_AVG&lt;=33,VDC_AVG&gt;=12,Discrete_NFET[[#This Row],[VDSMAX]]=40)</f>
        <v>0</v>
      </c>
      <c r="F37" s="22" t="b">
        <f>AND(VDC_AVG&lt;=50,VDC_AVG&gt;=18,Discrete_NFET[[#This Row],[VDSMAX]]=60)</f>
        <v>0</v>
      </c>
      <c r="G37" s="22" t="b">
        <f>AND(VDC_AVG&lt;=66,VDC_AVG&gt;=24,Discrete_NFET[[#This Row],[VDSMAX]]=80)</f>
        <v>0</v>
      </c>
      <c r="H37" s="22" t="b">
        <f>AND(VDC_AVG&lt;=83,VDC_AVG&gt;=36,Discrete_NFET[[#This Row],[VDSMAX]]=100)</f>
        <v>0</v>
      </c>
      <c r="I37" s="22" t="b">
        <f t="shared" si="0"/>
        <v>1</v>
      </c>
      <c r="J37" s="22" t="b">
        <f>AND(((GDR_V)&lt;2.5),('FET Data'!$AC37&lt;&gt;"(Null)"))</f>
        <v>0</v>
      </c>
      <c r="K37" s="22" t="b">
        <f>AND(((GDR_V)&gt;=2.5),((GDR_V)&lt;3),OR(('FET Data'!$AD37&lt;&gt;"(Null)"),('FET Data'!$AC37&lt;&gt;"(Null)")))</f>
        <v>0</v>
      </c>
      <c r="L37" s="22" t="b">
        <f>AND(((GDR_V)&gt;=3),((GDR_V)&lt;4.5),OR(('FET Data'!$AE37&lt;&gt;"(Null)"),('FET Data'!$AD37&lt;&gt;"(Null)"),('FET Data'!$AC37&lt;&gt;"(Null)")))</f>
        <v>0</v>
      </c>
      <c r="M37" s="22" t="b">
        <f>AND(((GDR_V)&gt;=4.5),((GDR_V)&lt;6),OR(('FET Data'!$AF37&lt;&gt;"(Null)"),('FET Data'!$AE37&lt;&gt;"(Null)"),('FET Data'!$AD37&lt;&gt;"(Null)"),('FET Data'!$AC37&lt;&gt;"(Null)")))</f>
        <v>0</v>
      </c>
      <c r="N37" s="22" t="b">
        <f>AND(((GDR_V)&gt;=6),((GDR_V)&lt;8),OR(('FET Data'!$AG37&lt;&gt;"(Null)"),('FET Data'!$AF37&lt;&gt;"(Null)"),('FET Data'!$AE37&lt;&gt;"(Null)"),('FET Data'!$AD37&lt;&gt;"(Null)"),('FET Data'!$AC37&lt;&gt;"(Null)")))</f>
        <v>0</v>
      </c>
      <c r="O37" s="22" t="b">
        <f>AND(((GDR_V)&gt;=8),((GDR_V)&lt;10),OR(('FET Data'!$AH37&lt;&gt;"(Null)"),('FET Data'!$AG37&lt;&gt;"(Null)"),('FET Data'!$AF37&lt;&gt;"(Null)"),('FET Data'!$AE37&lt;&gt;"(Null)"),('FET Data'!$AD37&lt;&gt;"(Null)"),('FET Data'!$AC37&lt;&gt;"(Null)")))</f>
        <v>0</v>
      </c>
      <c r="P37" s="22" t="b">
        <f>AND(((GDR_V)&gt;=10),OR(('FET Data'!$AI37&lt;&gt;"(Null)"),('FET Data'!$AH37&lt;&gt;"(Null)"),('FET Data'!$AG37&lt;&gt;"(Null)"),('FET Data'!$AF37&lt;&gt;"(Null)"),('FET Data'!$AE37&lt;&gt;"(Null)"),('FET Data'!$AD37&lt;&gt;"(Null)"),('FET Data'!$AC37&lt;&gt;"(Null)")))</f>
        <v>1</v>
      </c>
      <c r="Q37" s="22" t="b">
        <f t="shared" si="1"/>
        <v>1</v>
      </c>
      <c r="R37" s="22" t="b">
        <f t="shared" si="2"/>
        <v>0</v>
      </c>
    </row>
    <row r="38" spans="1:22" x14ac:dyDescent="0.25">
      <c r="A38" s="22" t="str">
        <f>IF(R38,Discrete_NFET[[#This Row],[PARTNUMBER]],"")</f>
        <v/>
      </c>
      <c r="B38" t="s">
        <v>222</v>
      </c>
      <c r="C38" s="22" t="b">
        <f>AND((Discrete_NFET[[#This Row],[VDSMAX]]&gt;=VDC_AVG*1.25),(Discrete_NFET[[#This Row],[VGSMAX]]&gt;=GDR_V*1.2))</f>
        <v>0</v>
      </c>
      <c r="D38" s="22" t="b">
        <f>AND(VDC_AVG&lt;=25,Discrete_NFET[[#This Row],[VDSMAX]]&lt;=30)</f>
        <v>1</v>
      </c>
      <c r="E38" s="22" t="b">
        <f>AND(VDC_AVG&lt;=33,VDC_AVG&gt;=12,Discrete_NFET[[#This Row],[VDSMAX]]=40)</f>
        <v>0</v>
      </c>
      <c r="F38" s="22" t="b">
        <f>AND(VDC_AVG&lt;=50,VDC_AVG&gt;=18,Discrete_NFET[[#This Row],[VDSMAX]]=60)</f>
        <v>0</v>
      </c>
      <c r="G38" s="22" t="b">
        <f>AND(VDC_AVG&lt;=66,VDC_AVG&gt;=24,Discrete_NFET[[#This Row],[VDSMAX]]=80)</f>
        <v>0</v>
      </c>
      <c r="H38" s="22" t="b">
        <f>AND(VDC_AVG&lt;=83,VDC_AVG&gt;=36,Discrete_NFET[[#This Row],[VDSMAX]]=100)</f>
        <v>0</v>
      </c>
      <c r="I38" s="22" t="b">
        <f t="shared" si="0"/>
        <v>1</v>
      </c>
      <c r="J38" s="22" t="b">
        <f>AND(((GDR_V)&lt;2.5),('FET Data'!$AC38&lt;&gt;"(Null)"))</f>
        <v>0</v>
      </c>
      <c r="K38" s="22" t="b">
        <f>AND(((GDR_V)&gt;=2.5),((GDR_V)&lt;3),OR(('FET Data'!$AD38&lt;&gt;"(Null)"),('FET Data'!$AC38&lt;&gt;"(Null)")))</f>
        <v>0</v>
      </c>
      <c r="L38" s="22" t="b">
        <f>AND(((GDR_V)&gt;=3),((GDR_V)&lt;4.5),OR(('FET Data'!$AE38&lt;&gt;"(Null)"),('FET Data'!$AD38&lt;&gt;"(Null)"),('FET Data'!$AC38&lt;&gt;"(Null)")))</f>
        <v>0</v>
      </c>
      <c r="M38" s="22" t="b">
        <f>AND(((GDR_V)&gt;=4.5),((GDR_V)&lt;6),OR(('FET Data'!$AF38&lt;&gt;"(Null)"),('FET Data'!$AE38&lt;&gt;"(Null)"),('FET Data'!$AD38&lt;&gt;"(Null)"),('FET Data'!$AC38&lt;&gt;"(Null)")))</f>
        <v>0</v>
      </c>
      <c r="N38" s="22" t="b">
        <f>AND(((GDR_V)&gt;=6),((GDR_V)&lt;8),OR(('FET Data'!$AG38&lt;&gt;"(Null)"),('FET Data'!$AF38&lt;&gt;"(Null)"),('FET Data'!$AE38&lt;&gt;"(Null)"),('FET Data'!$AD38&lt;&gt;"(Null)"),('FET Data'!$AC38&lt;&gt;"(Null)")))</f>
        <v>0</v>
      </c>
      <c r="O38" s="22" t="b">
        <f>AND(((GDR_V)&gt;=8),((GDR_V)&lt;10),OR(('FET Data'!$AH38&lt;&gt;"(Null)"),('FET Data'!$AG38&lt;&gt;"(Null)"),('FET Data'!$AF38&lt;&gt;"(Null)"),('FET Data'!$AE38&lt;&gt;"(Null)"),('FET Data'!$AD38&lt;&gt;"(Null)"),('FET Data'!$AC38&lt;&gt;"(Null)")))</f>
        <v>0</v>
      </c>
      <c r="P38" s="22" t="b">
        <f>AND(((GDR_V)&gt;=10),OR(('FET Data'!$AI38&lt;&gt;"(Null)"),('FET Data'!$AH38&lt;&gt;"(Null)"),('FET Data'!$AG38&lt;&gt;"(Null)"),('FET Data'!$AF38&lt;&gt;"(Null)"),('FET Data'!$AE38&lt;&gt;"(Null)"),('FET Data'!$AD38&lt;&gt;"(Null)"),('FET Data'!$AC38&lt;&gt;"(Null)")))</f>
        <v>1</v>
      </c>
      <c r="Q38" s="22" t="b">
        <f t="shared" si="1"/>
        <v>1</v>
      </c>
      <c r="R38" s="22" t="b">
        <f t="shared" si="2"/>
        <v>0</v>
      </c>
    </row>
    <row r="39" spans="1:22" x14ac:dyDescent="0.25">
      <c r="A39" s="22" t="str">
        <f>IF(R39,Discrete_NFET[[#This Row],[PARTNUMBER]],"")</f>
        <v/>
      </c>
      <c r="B39" t="s">
        <v>224</v>
      </c>
      <c r="C39" s="22" t="b">
        <f>AND((Discrete_NFET[[#This Row],[VDSMAX]]&gt;=VDC_AVG*1.25),(Discrete_NFET[[#This Row],[VGSMAX]]&gt;=GDR_V*1.2))</f>
        <v>0</v>
      </c>
      <c r="D39" s="22" t="b">
        <f>AND(VDC_AVG&lt;=25,Discrete_NFET[[#This Row],[VDSMAX]]&lt;=30)</f>
        <v>1</v>
      </c>
      <c r="E39" s="22" t="b">
        <f>AND(VDC_AVG&lt;=33,VDC_AVG&gt;=12,Discrete_NFET[[#This Row],[VDSMAX]]=40)</f>
        <v>0</v>
      </c>
      <c r="F39" s="22" t="b">
        <f>AND(VDC_AVG&lt;=50,VDC_AVG&gt;=18,Discrete_NFET[[#This Row],[VDSMAX]]=60)</f>
        <v>0</v>
      </c>
      <c r="G39" s="22" t="b">
        <f>AND(VDC_AVG&lt;=66,VDC_AVG&gt;=24,Discrete_NFET[[#This Row],[VDSMAX]]=80)</f>
        <v>0</v>
      </c>
      <c r="H39" s="22" t="b">
        <f>AND(VDC_AVG&lt;=83,VDC_AVG&gt;=36,Discrete_NFET[[#This Row],[VDSMAX]]=100)</f>
        <v>0</v>
      </c>
      <c r="I39" s="22" t="b">
        <f t="shared" si="0"/>
        <v>1</v>
      </c>
      <c r="J39" s="22" t="b">
        <f>AND(((GDR_V)&lt;2.5),('FET Data'!$AC39&lt;&gt;"(Null)"))</f>
        <v>0</v>
      </c>
      <c r="K39" s="22" t="b">
        <f>AND(((GDR_V)&gt;=2.5),((GDR_V)&lt;3),OR(('FET Data'!$AD39&lt;&gt;"(Null)"),('FET Data'!$AC39&lt;&gt;"(Null)")))</f>
        <v>0</v>
      </c>
      <c r="L39" s="22" t="b">
        <f>AND(((GDR_V)&gt;=3),((GDR_V)&lt;4.5),OR(('FET Data'!$AE39&lt;&gt;"(Null)"),('FET Data'!$AD39&lt;&gt;"(Null)"),('FET Data'!$AC39&lt;&gt;"(Null)")))</f>
        <v>0</v>
      </c>
      <c r="M39" s="22" t="b">
        <f>AND(((GDR_V)&gt;=4.5),((GDR_V)&lt;6),OR(('FET Data'!$AF39&lt;&gt;"(Null)"),('FET Data'!$AE39&lt;&gt;"(Null)"),('FET Data'!$AD39&lt;&gt;"(Null)"),('FET Data'!$AC39&lt;&gt;"(Null)")))</f>
        <v>0</v>
      </c>
      <c r="N39" s="22" t="b">
        <f>AND(((GDR_V)&gt;=6),((GDR_V)&lt;8),OR(('FET Data'!$AG39&lt;&gt;"(Null)"),('FET Data'!$AF39&lt;&gt;"(Null)"),('FET Data'!$AE39&lt;&gt;"(Null)"),('FET Data'!$AD39&lt;&gt;"(Null)"),('FET Data'!$AC39&lt;&gt;"(Null)")))</f>
        <v>0</v>
      </c>
      <c r="O39" s="22" t="b">
        <f>AND(((GDR_V)&gt;=8),((GDR_V)&lt;10),OR(('FET Data'!$AH39&lt;&gt;"(Null)"),('FET Data'!$AG39&lt;&gt;"(Null)"),('FET Data'!$AF39&lt;&gt;"(Null)"),('FET Data'!$AE39&lt;&gt;"(Null)"),('FET Data'!$AD39&lt;&gt;"(Null)"),('FET Data'!$AC39&lt;&gt;"(Null)")))</f>
        <v>0</v>
      </c>
      <c r="P39" s="22" t="b">
        <f>AND(((GDR_V)&gt;=10),OR(('FET Data'!$AI39&lt;&gt;"(Null)"),('FET Data'!$AH39&lt;&gt;"(Null)"),('FET Data'!$AG39&lt;&gt;"(Null)"),('FET Data'!$AF39&lt;&gt;"(Null)"),('FET Data'!$AE39&lt;&gt;"(Null)"),('FET Data'!$AD39&lt;&gt;"(Null)"),('FET Data'!$AC39&lt;&gt;"(Null)")))</f>
        <v>1</v>
      </c>
      <c r="Q39" s="22" t="b">
        <f t="shared" si="1"/>
        <v>1</v>
      </c>
      <c r="R39" s="22" t="b">
        <f t="shared" si="2"/>
        <v>0</v>
      </c>
    </row>
    <row r="40" spans="1:22" x14ac:dyDescent="0.25">
      <c r="A40" s="22" t="str">
        <f>IF(R40,Discrete_NFET[[#This Row],[PARTNUMBER]],"")</f>
        <v/>
      </c>
      <c r="B40" t="s">
        <v>228</v>
      </c>
      <c r="C40" s="22" t="b">
        <f>AND((Discrete_NFET[[#This Row],[VDSMAX]]&gt;=VDC_AVG*1.25),(Discrete_NFET[[#This Row],[VGSMAX]]&gt;=GDR_V*1.2))</f>
        <v>0</v>
      </c>
      <c r="D40" s="22" t="b">
        <f>AND(VDC_AVG&lt;=25,Discrete_NFET[[#This Row],[VDSMAX]]&lt;=30)</f>
        <v>1</v>
      </c>
      <c r="E40" s="22" t="b">
        <f>AND(VDC_AVG&lt;=33,VDC_AVG&gt;=12,Discrete_NFET[[#This Row],[VDSMAX]]=40)</f>
        <v>0</v>
      </c>
      <c r="F40" s="22" t="b">
        <f>AND(VDC_AVG&lt;=50,VDC_AVG&gt;=18,Discrete_NFET[[#This Row],[VDSMAX]]=60)</f>
        <v>0</v>
      </c>
      <c r="G40" s="22" t="b">
        <f>AND(VDC_AVG&lt;=66,VDC_AVG&gt;=24,Discrete_NFET[[#This Row],[VDSMAX]]=80)</f>
        <v>0</v>
      </c>
      <c r="H40" s="22" t="b">
        <f>AND(VDC_AVG&lt;=83,VDC_AVG&gt;=36,Discrete_NFET[[#This Row],[VDSMAX]]=100)</f>
        <v>0</v>
      </c>
      <c r="I40" s="22" t="b">
        <f t="shared" si="0"/>
        <v>1</v>
      </c>
      <c r="J40" s="22" t="b">
        <f>AND(((GDR_V)&lt;2.5),('FET Data'!$AC40&lt;&gt;"(Null)"))</f>
        <v>0</v>
      </c>
      <c r="K40" s="22" t="b">
        <f>AND(((GDR_V)&gt;=2.5),((GDR_V)&lt;3),OR(('FET Data'!$AD40&lt;&gt;"(Null)"),('FET Data'!$AC40&lt;&gt;"(Null)")))</f>
        <v>0</v>
      </c>
      <c r="L40" s="22" t="b">
        <f>AND(((GDR_V)&gt;=3),((GDR_V)&lt;4.5),OR(('FET Data'!$AE40&lt;&gt;"(Null)"),('FET Data'!$AD40&lt;&gt;"(Null)"),('FET Data'!$AC40&lt;&gt;"(Null)")))</f>
        <v>0</v>
      </c>
      <c r="M40" s="22" t="b">
        <f>AND(((GDR_V)&gt;=4.5),((GDR_V)&lt;6),OR(('FET Data'!$AF40&lt;&gt;"(Null)"),('FET Data'!$AE40&lt;&gt;"(Null)"),('FET Data'!$AD40&lt;&gt;"(Null)"),('FET Data'!$AC40&lt;&gt;"(Null)")))</f>
        <v>0</v>
      </c>
      <c r="N40" s="22" t="b">
        <f>AND(((GDR_V)&gt;=6),((GDR_V)&lt;8),OR(('FET Data'!$AG40&lt;&gt;"(Null)"),('FET Data'!$AF40&lt;&gt;"(Null)"),('FET Data'!$AE40&lt;&gt;"(Null)"),('FET Data'!$AD40&lt;&gt;"(Null)"),('FET Data'!$AC40&lt;&gt;"(Null)")))</f>
        <v>0</v>
      </c>
      <c r="O40" s="22" t="b">
        <f>AND(((GDR_V)&gt;=8),((GDR_V)&lt;10),OR(('FET Data'!$AH40&lt;&gt;"(Null)"),('FET Data'!$AG40&lt;&gt;"(Null)"),('FET Data'!$AF40&lt;&gt;"(Null)"),('FET Data'!$AE40&lt;&gt;"(Null)"),('FET Data'!$AD40&lt;&gt;"(Null)"),('FET Data'!$AC40&lt;&gt;"(Null)")))</f>
        <v>0</v>
      </c>
      <c r="P40" s="22" t="b">
        <f>AND(((GDR_V)&gt;=10),OR(('FET Data'!$AI40&lt;&gt;"(Null)"),('FET Data'!$AH40&lt;&gt;"(Null)"),('FET Data'!$AG40&lt;&gt;"(Null)"),('FET Data'!$AF40&lt;&gt;"(Null)"),('FET Data'!$AE40&lt;&gt;"(Null)"),('FET Data'!$AD40&lt;&gt;"(Null)"),('FET Data'!$AC40&lt;&gt;"(Null)")))</f>
        <v>1</v>
      </c>
      <c r="Q40" s="22" t="b">
        <f t="shared" si="1"/>
        <v>1</v>
      </c>
      <c r="R40" s="22" t="b">
        <f t="shared" si="2"/>
        <v>0</v>
      </c>
    </row>
    <row r="41" spans="1:22" x14ac:dyDescent="0.25">
      <c r="A41" s="22" t="str">
        <f>IF(R41,Discrete_NFET[[#This Row],[PARTNUMBER]],"")</f>
        <v/>
      </c>
      <c r="B41" t="s">
        <v>230</v>
      </c>
      <c r="C41" s="22" t="b">
        <f>AND((Discrete_NFET[[#This Row],[VDSMAX]]&gt;=VDC_AVG*1.25),(Discrete_NFET[[#This Row],[VGSMAX]]&gt;=GDR_V*1.2))</f>
        <v>0</v>
      </c>
      <c r="D41" s="22" t="b">
        <f>AND(VDC_AVG&lt;=25,Discrete_NFET[[#This Row],[VDSMAX]]&lt;=30)</f>
        <v>1</v>
      </c>
      <c r="E41" s="22" t="b">
        <f>AND(VDC_AVG&lt;=33,VDC_AVG&gt;=12,Discrete_NFET[[#This Row],[VDSMAX]]=40)</f>
        <v>0</v>
      </c>
      <c r="F41" s="22" t="b">
        <f>AND(VDC_AVG&lt;=50,VDC_AVG&gt;=18,Discrete_NFET[[#This Row],[VDSMAX]]=60)</f>
        <v>0</v>
      </c>
      <c r="G41" s="22" t="b">
        <f>AND(VDC_AVG&lt;=66,VDC_AVG&gt;=24,Discrete_NFET[[#This Row],[VDSMAX]]=80)</f>
        <v>0</v>
      </c>
      <c r="H41" s="22" t="b">
        <f>AND(VDC_AVG&lt;=83,VDC_AVG&gt;=36,Discrete_NFET[[#This Row],[VDSMAX]]=100)</f>
        <v>0</v>
      </c>
      <c r="I41" s="22" t="b">
        <f t="shared" si="0"/>
        <v>1</v>
      </c>
      <c r="J41" s="22" t="b">
        <f>AND(((GDR_V)&lt;2.5),('FET Data'!$AC41&lt;&gt;"(Null)"))</f>
        <v>0</v>
      </c>
      <c r="K41" s="22" t="b">
        <f>AND(((GDR_V)&gt;=2.5),((GDR_V)&lt;3),OR(('FET Data'!$AD41&lt;&gt;"(Null)"),('FET Data'!$AC41&lt;&gt;"(Null)")))</f>
        <v>0</v>
      </c>
      <c r="L41" s="22" t="b">
        <f>AND(((GDR_V)&gt;=3),((GDR_V)&lt;4.5),OR(('FET Data'!$AE41&lt;&gt;"(Null)"),('FET Data'!$AD41&lt;&gt;"(Null)"),('FET Data'!$AC41&lt;&gt;"(Null)")))</f>
        <v>0</v>
      </c>
      <c r="M41" s="22" t="b">
        <f>AND(((GDR_V)&gt;=4.5),((GDR_V)&lt;6),OR(('FET Data'!$AF41&lt;&gt;"(Null)"),('FET Data'!$AE41&lt;&gt;"(Null)"),('FET Data'!$AD41&lt;&gt;"(Null)"),('FET Data'!$AC41&lt;&gt;"(Null)")))</f>
        <v>0</v>
      </c>
      <c r="N41" s="22" t="b">
        <f>AND(((GDR_V)&gt;=6),((GDR_V)&lt;8),OR(('FET Data'!$AG41&lt;&gt;"(Null)"),('FET Data'!$AF41&lt;&gt;"(Null)"),('FET Data'!$AE41&lt;&gt;"(Null)"),('FET Data'!$AD41&lt;&gt;"(Null)"),('FET Data'!$AC41&lt;&gt;"(Null)")))</f>
        <v>0</v>
      </c>
      <c r="O41" s="22" t="b">
        <f>AND(((GDR_V)&gt;=8),((GDR_V)&lt;10),OR(('FET Data'!$AH41&lt;&gt;"(Null)"),('FET Data'!$AG41&lt;&gt;"(Null)"),('FET Data'!$AF41&lt;&gt;"(Null)"),('FET Data'!$AE41&lt;&gt;"(Null)"),('FET Data'!$AD41&lt;&gt;"(Null)"),('FET Data'!$AC41&lt;&gt;"(Null)")))</f>
        <v>0</v>
      </c>
      <c r="P41" s="22" t="b">
        <f>AND(((GDR_V)&gt;=10),OR(('FET Data'!$AI41&lt;&gt;"(Null)"),('FET Data'!$AH41&lt;&gt;"(Null)"),('FET Data'!$AG41&lt;&gt;"(Null)"),('FET Data'!$AF41&lt;&gt;"(Null)"),('FET Data'!$AE41&lt;&gt;"(Null)"),('FET Data'!$AD41&lt;&gt;"(Null)"),('FET Data'!$AC41&lt;&gt;"(Null)")))</f>
        <v>1</v>
      </c>
      <c r="Q41" s="22" t="b">
        <f t="shared" si="1"/>
        <v>1</v>
      </c>
      <c r="R41" s="22" t="b">
        <f t="shared" si="2"/>
        <v>0</v>
      </c>
    </row>
    <row r="42" spans="1:22" x14ac:dyDescent="0.25">
      <c r="A42" s="22" t="str">
        <f>IF(R42,Discrete_NFET[[#This Row],[PARTNUMBER]],"")</f>
        <v>CSD17501Q5A</v>
      </c>
      <c r="B42" t="s">
        <v>232</v>
      </c>
      <c r="C42" s="22" t="b">
        <f>AND((Discrete_NFET[[#This Row],[VDSMAX]]&gt;=VDC_AVG*1.25),(Discrete_NFET[[#This Row],[VGSMAX]]&gt;=GDR_V*1.2))</f>
        <v>1</v>
      </c>
      <c r="D42" s="22" t="b">
        <f>AND(VDC_AVG&lt;=25,Discrete_NFET[[#This Row],[VDSMAX]]&lt;=30)</f>
        <v>1</v>
      </c>
      <c r="E42" s="22" t="b">
        <f>AND(VDC_AVG&lt;=33,VDC_AVG&gt;=12,Discrete_NFET[[#This Row],[VDSMAX]]=40)</f>
        <v>0</v>
      </c>
      <c r="F42" s="22" t="b">
        <f>AND(VDC_AVG&lt;=50,VDC_AVG&gt;=18,Discrete_NFET[[#This Row],[VDSMAX]]=60)</f>
        <v>0</v>
      </c>
      <c r="G42" s="22" t="b">
        <f>AND(VDC_AVG&lt;=66,VDC_AVG&gt;=24,Discrete_NFET[[#This Row],[VDSMAX]]=80)</f>
        <v>0</v>
      </c>
      <c r="H42" s="22" t="b">
        <f>AND(VDC_AVG&lt;=83,VDC_AVG&gt;=36,Discrete_NFET[[#This Row],[VDSMAX]]=100)</f>
        <v>0</v>
      </c>
      <c r="I42" s="22" t="b">
        <f t="shared" si="0"/>
        <v>1</v>
      </c>
      <c r="J42" s="22" t="b">
        <f>AND(((GDR_V)&lt;2.5),('FET Data'!$AC42&lt;&gt;"(Null)"))</f>
        <v>0</v>
      </c>
      <c r="K42" s="22" t="b">
        <f>AND(((GDR_V)&gt;=2.5),((GDR_V)&lt;3),OR(('FET Data'!$AD42&lt;&gt;"(Null)"),('FET Data'!$AC42&lt;&gt;"(Null)")))</f>
        <v>0</v>
      </c>
      <c r="L42" s="22" t="b">
        <f>AND(((GDR_V)&gt;=3),((GDR_V)&lt;4.5),OR(('FET Data'!$AE42&lt;&gt;"(Null)"),('FET Data'!$AD42&lt;&gt;"(Null)"),('FET Data'!$AC42&lt;&gt;"(Null)")))</f>
        <v>0</v>
      </c>
      <c r="M42" s="22" t="b">
        <f>AND(((GDR_V)&gt;=4.5),((GDR_V)&lt;6),OR(('FET Data'!$AF42&lt;&gt;"(Null)"),('FET Data'!$AE42&lt;&gt;"(Null)"),('FET Data'!$AD42&lt;&gt;"(Null)"),('FET Data'!$AC42&lt;&gt;"(Null)")))</f>
        <v>0</v>
      </c>
      <c r="N42" s="22" t="b">
        <f>AND(((GDR_V)&gt;=6),((GDR_V)&lt;8),OR(('FET Data'!$AG42&lt;&gt;"(Null)"),('FET Data'!$AF42&lt;&gt;"(Null)"),('FET Data'!$AE42&lt;&gt;"(Null)"),('FET Data'!$AD42&lt;&gt;"(Null)"),('FET Data'!$AC42&lt;&gt;"(Null)")))</f>
        <v>0</v>
      </c>
      <c r="O42" s="22" t="b">
        <f>AND(((GDR_V)&gt;=8),((GDR_V)&lt;10),OR(('FET Data'!$AH42&lt;&gt;"(Null)"),('FET Data'!$AG42&lt;&gt;"(Null)"),('FET Data'!$AF42&lt;&gt;"(Null)"),('FET Data'!$AE42&lt;&gt;"(Null)"),('FET Data'!$AD42&lt;&gt;"(Null)"),('FET Data'!$AC42&lt;&gt;"(Null)")))</f>
        <v>0</v>
      </c>
      <c r="P42" s="22" t="b">
        <f>AND(((GDR_V)&gt;=10),OR(('FET Data'!$AI42&lt;&gt;"(Null)"),('FET Data'!$AH42&lt;&gt;"(Null)"),('FET Data'!$AG42&lt;&gt;"(Null)"),('FET Data'!$AF42&lt;&gt;"(Null)"),('FET Data'!$AE42&lt;&gt;"(Null)"),('FET Data'!$AD42&lt;&gt;"(Null)"),('FET Data'!$AC42&lt;&gt;"(Null)")))</f>
        <v>1</v>
      </c>
      <c r="Q42" s="22" t="b">
        <f t="shared" si="1"/>
        <v>1</v>
      </c>
      <c r="R42" s="22" t="b">
        <f t="shared" si="2"/>
        <v>1</v>
      </c>
    </row>
    <row r="43" spans="1:22" x14ac:dyDescent="0.25">
      <c r="A43" s="22" t="str">
        <f>IF(R43,Discrete_NFET[[#This Row],[PARTNUMBER]],"")</f>
        <v>CSD17505Q5A</v>
      </c>
      <c r="B43" t="s">
        <v>234</v>
      </c>
      <c r="C43" s="22" t="b">
        <f>AND((Discrete_NFET[[#This Row],[VDSMAX]]&gt;=VDC_AVG*1.25),(Discrete_NFET[[#This Row],[VGSMAX]]&gt;=GDR_V*1.2))</f>
        <v>1</v>
      </c>
      <c r="D43" s="22" t="b">
        <f>AND(VDC_AVG&lt;=25,Discrete_NFET[[#This Row],[VDSMAX]]&lt;=30)</f>
        <v>1</v>
      </c>
      <c r="E43" s="22" t="b">
        <f>AND(VDC_AVG&lt;=33,VDC_AVG&gt;=12,Discrete_NFET[[#This Row],[VDSMAX]]=40)</f>
        <v>0</v>
      </c>
      <c r="F43" s="22" t="b">
        <f>AND(VDC_AVG&lt;=50,VDC_AVG&gt;=18,Discrete_NFET[[#This Row],[VDSMAX]]=60)</f>
        <v>0</v>
      </c>
      <c r="G43" s="22" t="b">
        <f>AND(VDC_AVG&lt;=66,VDC_AVG&gt;=24,Discrete_NFET[[#This Row],[VDSMAX]]=80)</f>
        <v>0</v>
      </c>
      <c r="H43" s="22" t="b">
        <f>AND(VDC_AVG&lt;=83,VDC_AVG&gt;=36,Discrete_NFET[[#This Row],[VDSMAX]]=100)</f>
        <v>0</v>
      </c>
      <c r="I43" s="22" t="b">
        <f t="shared" si="0"/>
        <v>1</v>
      </c>
      <c r="J43" s="22" t="b">
        <f>AND(((GDR_V)&lt;2.5),('FET Data'!$AC43&lt;&gt;"(Null)"))</f>
        <v>0</v>
      </c>
      <c r="K43" s="22" t="b">
        <f>AND(((GDR_V)&gt;=2.5),((GDR_V)&lt;3),OR(('FET Data'!$AD43&lt;&gt;"(Null)"),('FET Data'!$AC43&lt;&gt;"(Null)")))</f>
        <v>0</v>
      </c>
      <c r="L43" s="22" t="b">
        <f>AND(((GDR_V)&gt;=3),((GDR_V)&lt;4.5),OR(('FET Data'!$AE43&lt;&gt;"(Null)"),('FET Data'!$AD43&lt;&gt;"(Null)"),('FET Data'!$AC43&lt;&gt;"(Null)")))</f>
        <v>0</v>
      </c>
      <c r="M43" s="22" t="b">
        <f>AND(((GDR_V)&gt;=4.5),((GDR_V)&lt;6),OR(('FET Data'!$AF43&lt;&gt;"(Null)"),('FET Data'!$AE43&lt;&gt;"(Null)"),('FET Data'!$AD43&lt;&gt;"(Null)"),('FET Data'!$AC43&lt;&gt;"(Null)")))</f>
        <v>0</v>
      </c>
      <c r="N43" s="22" t="b">
        <f>AND(((GDR_V)&gt;=6),((GDR_V)&lt;8),OR(('FET Data'!$AG43&lt;&gt;"(Null)"),('FET Data'!$AF43&lt;&gt;"(Null)"),('FET Data'!$AE43&lt;&gt;"(Null)"),('FET Data'!$AD43&lt;&gt;"(Null)"),('FET Data'!$AC43&lt;&gt;"(Null)")))</f>
        <v>0</v>
      </c>
      <c r="O43" s="22" t="b">
        <f>AND(((GDR_V)&gt;=8),((GDR_V)&lt;10),OR(('FET Data'!$AH43&lt;&gt;"(Null)"),('FET Data'!$AG43&lt;&gt;"(Null)"),('FET Data'!$AF43&lt;&gt;"(Null)"),('FET Data'!$AE43&lt;&gt;"(Null)"),('FET Data'!$AD43&lt;&gt;"(Null)"),('FET Data'!$AC43&lt;&gt;"(Null)")))</f>
        <v>0</v>
      </c>
      <c r="P43" s="22" t="b">
        <f>AND(((GDR_V)&gt;=10),OR(('FET Data'!$AI43&lt;&gt;"(Null)"),('FET Data'!$AH43&lt;&gt;"(Null)"),('FET Data'!$AG43&lt;&gt;"(Null)"),('FET Data'!$AF43&lt;&gt;"(Null)"),('FET Data'!$AE43&lt;&gt;"(Null)"),('FET Data'!$AD43&lt;&gt;"(Null)"),('FET Data'!$AC43&lt;&gt;"(Null)")))</f>
        <v>1</v>
      </c>
      <c r="Q43" s="22" t="b">
        <f t="shared" si="1"/>
        <v>1</v>
      </c>
      <c r="R43" s="22" t="b">
        <f t="shared" si="2"/>
        <v>1</v>
      </c>
    </row>
    <row r="44" spans="1:22" x14ac:dyDescent="0.25">
      <c r="A44" s="22" t="str">
        <f>IF(R44,Discrete_NFET[[#This Row],[PARTNUMBER]],"")</f>
        <v>CSD17506Q5A</v>
      </c>
      <c r="B44" t="s">
        <v>236</v>
      </c>
      <c r="C44" s="22" t="b">
        <f>AND((Discrete_NFET[[#This Row],[VDSMAX]]&gt;=VDC_AVG*1.25),(Discrete_NFET[[#This Row],[VGSMAX]]&gt;=GDR_V*1.2))</f>
        <v>1</v>
      </c>
      <c r="D44" s="22" t="b">
        <f>AND(VDC_AVG&lt;=25,Discrete_NFET[[#This Row],[VDSMAX]]&lt;=30)</f>
        <v>1</v>
      </c>
      <c r="E44" s="22" t="b">
        <f>AND(VDC_AVG&lt;=33,VDC_AVG&gt;=12,Discrete_NFET[[#This Row],[VDSMAX]]=40)</f>
        <v>0</v>
      </c>
      <c r="F44" s="22" t="b">
        <f>AND(VDC_AVG&lt;=50,VDC_AVG&gt;=18,Discrete_NFET[[#This Row],[VDSMAX]]=60)</f>
        <v>0</v>
      </c>
      <c r="G44" s="22" t="b">
        <f>AND(VDC_AVG&lt;=66,VDC_AVG&gt;=24,Discrete_NFET[[#This Row],[VDSMAX]]=80)</f>
        <v>0</v>
      </c>
      <c r="H44" s="22" t="b">
        <f>AND(VDC_AVG&lt;=83,VDC_AVG&gt;=36,Discrete_NFET[[#This Row],[VDSMAX]]=100)</f>
        <v>0</v>
      </c>
      <c r="I44" s="22" t="b">
        <f t="shared" si="0"/>
        <v>1</v>
      </c>
      <c r="J44" s="22" t="b">
        <f>AND(((GDR_V)&lt;2.5),('FET Data'!$AC44&lt;&gt;"(Null)"))</f>
        <v>0</v>
      </c>
      <c r="K44" s="22" t="b">
        <f>AND(((GDR_V)&gt;=2.5),((GDR_V)&lt;3),OR(('FET Data'!$AD44&lt;&gt;"(Null)"),('FET Data'!$AC44&lt;&gt;"(Null)")))</f>
        <v>0</v>
      </c>
      <c r="L44" s="22" t="b">
        <f>AND(((GDR_V)&gt;=3),((GDR_V)&lt;4.5),OR(('FET Data'!$AE44&lt;&gt;"(Null)"),('FET Data'!$AD44&lt;&gt;"(Null)"),('FET Data'!$AC44&lt;&gt;"(Null)")))</f>
        <v>0</v>
      </c>
      <c r="M44" s="22" t="b">
        <f>AND(((GDR_V)&gt;=4.5),((GDR_V)&lt;6),OR(('FET Data'!$AF44&lt;&gt;"(Null)"),('FET Data'!$AE44&lt;&gt;"(Null)"),('FET Data'!$AD44&lt;&gt;"(Null)"),('FET Data'!$AC44&lt;&gt;"(Null)")))</f>
        <v>0</v>
      </c>
      <c r="N44" s="22" t="b">
        <f>AND(((GDR_V)&gt;=6),((GDR_V)&lt;8),OR(('FET Data'!$AG44&lt;&gt;"(Null)"),('FET Data'!$AF44&lt;&gt;"(Null)"),('FET Data'!$AE44&lt;&gt;"(Null)"),('FET Data'!$AD44&lt;&gt;"(Null)"),('FET Data'!$AC44&lt;&gt;"(Null)")))</f>
        <v>0</v>
      </c>
      <c r="O44" s="22" t="b">
        <f>AND(((GDR_V)&gt;=8),((GDR_V)&lt;10),OR(('FET Data'!$AH44&lt;&gt;"(Null)"),('FET Data'!$AG44&lt;&gt;"(Null)"),('FET Data'!$AF44&lt;&gt;"(Null)"),('FET Data'!$AE44&lt;&gt;"(Null)"),('FET Data'!$AD44&lt;&gt;"(Null)"),('FET Data'!$AC44&lt;&gt;"(Null)")))</f>
        <v>0</v>
      </c>
      <c r="P44" s="22" t="b">
        <f>AND(((GDR_V)&gt;=10),OR(('FET Data'!$AI44&lt;&gt;"(Null)"),('FET Data'!$AH44&lt;&gt;"(Null)"),('FET Data'!$AG44&lt;&gt;"(Null)"),('FET Data'!$AF44&lt;&gt;"(Null)"),('FET Data'!$AE44&lt;&gt;"(Null)"),('FET Data'!$AD44&lt;&gt;"(Null)"),('FET Data'!$AC44&lt;&gt;"(Null)")))</f>
        <v>1</v>
      </c>
      <c r="Q44" s="22" t="b">
        <f t="shared" si="1"/>
        <v>1</v>
      </c>
      <c r="R44" s="22" t="b">
        <f t="shared" si="2"/>
        <v>1</v>
      </c>
    </row>
    <row r="45" spans="1:22" x14ac:dyDescent="0.25">
      <c r="A45" s="22" t="str">
        <f>IF(R45,Discrete_NFET[[#This Row],[PARTNUMBER]],"")</f>
        <v>CSD17507Q5A</v>
      </c>
      <c r="B45" t="s">
        <v>238</v>
      </c>
      <c r="C45" s="22" t="b">
        <f>AND((Discrete_NFET[[#This Row],[VDSMAX]]&gt;=VDC_AVG*1.25),(Discrete_NFET[[#This Row],[VGSMAX]]&gt;=GDR_V*1.2))</f>
        <v>1</v>
      </c>
      <c r="D45" s="22" t="b">
        <f>AND(VDC_AVG&lt;=25,Discrete_NFET[[#This Row],[VDSMAX]]&lt;=30)</f>
        <v>1</v>
      </c>
      <c r="E45" s="22" t="b">
        <f>AND(VDC_AVG&lt;=33,VDC_AVG&gt;=12,Discrete_NFET[[#This Row],[VDSMAX]]=40)</f>
        <v>0</v>
      </c>
      <c r="F45" s="22" t="b">
        <f>AND(VDC_AVG&lt;=50,VDC_AVG&gt;=18,Discrete_NFET[[#This Row],[VDSMAX]]=60)</f>
        <v>0</v>
      </c>
      <c r="G45" s="22" t="b">
        <f>AND(VDC_AVG&lt;=66,VDC_AVG&gt;=24,Discrete_NFET[[#This Row],[VDSMAX]]=80)</f>
        <v>0</v>
      </c>
      <c r="H45" s="22" t="b">
        <f>AND(VDC_AVG&lt;=83,VDC_AVG&gt;=36,Discrete_NFET[[#This Row],[VDSMAX]]=100)</f>
        <v>0</v>
      </c>
      <c r="I45" s="22" t="b">
        <f t="shared" si="0"/>
        <v>1</v>
      </c>
      <c r="J45" s="22" t="b">
        <f>AND(((GDR_V)&lt;2.5),('FET Data'!$AC45&lt;&gt;"(Null)"))</f>
        <v>0</v>
      </c>
      <c r="K45" s="22" t="b">
        <f>AND(((GDR_V)&gt;=2.5),((GDR_V)&lt;3),OR(('FET Data'!$AD45&lt;&gt;"(Null)"),('FET Data'!$AC45&lt;&gt;"(Null)")))</f>
        <v>0</v>
      </c>
      <c r="L45" s="22" t="b">
        <f>AND(((GDR_V)&gt;=3),((GDR_V)&lt;4.5),OR(('FET Data'!$AE45&lt;&gt;"(Null)"),('FET Data'!$AD45&lt;&gt;"(Null)"),('FET Data'!$AC45&lt;&gt;"(Null)")))</f>
        <v>0</v>
      </c>
      <c r="M45" s="22" t="b">
        <f>AND(((GDR_V)&gt;=4.5),((GDR_V)&lt;6),OR(('FET Data'!$AF45&lt;&gt;"(Null)"),('FET Data'!$AE45&lt;&gt;"(Null)"),('FET Data'!$AD45&lt;&gt;"(Null)"),('FET Data'!$AC45&lt;&gt;"(Null)")))</f>
        <v>0</v>
      </c>
      <c r="N45" s="22" t="b">
        <f>AND(((GDR_V)&gt;=6),((GDR_V)&lt;8),OR(('FET Data'!$AG45&lt;&gt;"(Null)"),('FET Data'!$AF45&lt;&gt;"(Null)"),('FET Data'!$AE45&lt;&gt;"(Null)"),('FET Data'!$AD45&lt;&gt;"(Null)"),('FET Data'!$AC45&lt;&gt;"(Null)")))</f>
        <v>0</v>
      </c>
      <c r="O45" s="22" t="b">
        <f>AND(((GDR_V)&gt;=8),((GDR_V)&lt;10),OR(('FET Data'!$AH45&lt;&gt;"(Null)"),('FET Data'!$AG45&lt;&gt;"(Null)"),('FET Data'!$AF45&lt;&gt;"(Null)"),('FET Data'!$AE45&lt;&gt;"(Null)"),('FET Data'!$AD45&lt;&gt;"(Null)"),('FET Data'!$AC45&lt;&gt;"(Null)")))</f>
        <v>0</v>
      </c>
      <c r="P45" s="22" t="b">
        <f>AND(((GDR_V)&gt;=10),OR(('FET Data'!$AI45&lt;&gt;"(Null)"),('FET Data'!$AH45&lt;&gt;"(Null)"),('FET Data'!$AG45&lt;&gt;"(Null)"),('FET Data'!$AF45&lt;&gt;"(Null)"),('FET Data'!$AE45&lt;&gt;"(Null)"),('FET Data'!$AD45&lt;&gt;"(Null)"),('FET Data'!$AC45&lt;&gt;"(Null)")))</f>
        <v>1</v>
      </c>
      <c r="Q45" s="22" t="b">
        <f t="shared" si="1"/>
        <v>1</v>
      </c>
      <c r="R45" s="22" t="b">
        <f t="shared" si="2"/>
        <v>1</v>
      </c>
    </row>
    <row r="46" spans="1:22" x14ac:dyDescent="0.25">
      <c r="A46" s="22" t="str">
        <f>IF(R46,Discrete_NFET[[#This Row],[PARTNUMBER]],"")</f>
        <v>CSD17510Q5A</v>
      </c>
      <c r="B46" t="s">
        <v>382</v>
      </c>
      <c r="C46" s="22" t="b">
        <f>AND((Discrete_NFET[[#This Row],[VDSMAX]]&gt;=VDC_AVG*1.25),(Discrete_NFET[[#This Row],[VGSMAX]]&gt;=GDR_V*1.2))</f>
        <v>1</v>
      </c>
      <c r="D46" s="22" t="b">
        <f>AND(VDC_AVG&lt;=25,Discrete_NFET[[#This Row],[VDSMAX]]&lt;=30)</f>
        <v>1</v>
      </c>
      <c r="E46" s="22" t="b">
        <f>AND(VDC_AVG&lt;=33,VDC_AVG&gt;=12,Discrete_NFET[[#This Row],[VDSMAX]]=40)</f>
        <v>0</v>
      </c>
      <c r="F46" s="22" t="b">
        <f>AND(VDC_AVG&lt;=50,VDC_AVG&gt;=18,Discrete_NFET[[#This Row],[VDSMAX]]=60)</f>
        <v>0</v>
      </c>
      <c r="G46" s="22" t="b">
        <f>AND(VDC_AVG&lt;=66,VDC_AVG&gt;=24,Discrete_NFET[[#This Row],[VDSMAX]]=80)</f>
        <v>0</v>
      </c>
      <c r="H46" s="22" t="b">
        <f>AND(VDC_AVG&lt;=83,VDC_AVG&gt;=36,Discrete_NFET[[#This Row],[VDSMAX]]=100)</f>
        <v>0</v>
      </c>
      <c r="I46" s="22" t="b">
        <f t="shared" si="0"/>
        <v>1</v>
      </c>
      <c r="J46" s="22" t="b">
        <f>AND(((GDR_V)&lt;2.5),('FET Data'!$AC46&lt;&gt;"(Null)"))</f>
        <v>0</v>
      </c>
      <c r="K46" s="22" t="b">
        <f>AND(((GDR_V)&gt;=2.5),((GDR_V)&lt;3),OR(('FET Data'!$AD46&lt;&gt;"(Null)"),('FET Data'!$AC46&lt;&gt;"(Null)")))</f>
        <v>0</v>
      </c>
      <c r="L46" s="22" t="b">
        <f>AND(((GDR_V)&gt;=3),((GDR_V)&lt;4.5),OR(('FET Data'!$AE46&lt;&gt;"(Null)"),('FET Data'!$AD46&lt;&gt;"(Null)"),('FET Data'!$AC46&lt;&gt;"(Null)")))</f>
        <v>0</v>
      </c>
      <c r="M46" s="22" t="b">
        <f>AND(((GDR_V)&gt;=4.5),((GDR_V)&lt;6),OR(('FET Data'!$AF46&lt;&gt;"(Null)"),('FET Data'!$AE46&lt;&gt;"(Null)"),('FET Data'!$AD46&lt;&gt;"(Null)"),('FET Data'!$AC46&lt;&gt;"(Null)")))</f>
        <v>0</v>
      </c>
      <c r="N46" s="22" t="b">
        <f>AND(((GDR_V)&gt;=6),((GDR_V)&lt;8),OR(('FET Data'!$AG46&lt;&gt;"(Null)"),('FET Data'!$AF46&lt;&gt;"(Null)"),('FET Data'!$AE46&lt;&gt;"(Null)"),('FET Data'!$AD46&lt;&gt;"(Null)"),('FET Data'!$AC46&lt;&gt;"(Null)")))</f>
        <v>0</v>
      </c>
      <c r="O46" s="22" t="b">
        <f>AND(((GDR_V)&gt;=8),((GDR_V)&lt;10),OR(('FET Data'!$AH46&lt;&gt;"(Null)"),('FET Data'!$AG46&lt;&gt;"(Null)"),('FET Data'!$AF46&lt;&gt;"(Null)"),('FET Data'!$AE46&lt;&gt;"(Null)"),('FET Data'!$AD46&lt;&gt;"(Null)"),('FET Data'!$AC46&lt;&gt;"(Null)")))</f>
        <v>0</v>
      </c>
      <c r="P46" s="22" t="b">
        <f>AND(((GDR_V)&gt;=10),OR(('FET Data'!$AI46&lt;&gt;"(Null)"),('FET Data'!$AH46&lt;&gt;"(Null)"),('FET Data'!$AG46&lt;&gt;"(Null)"),('FET Data'!$AF46&lt;&gt;"(Null)"),('FET Data'!$AE46&lt;&gt;"(Null)"),('FET Data'!$AD46&lt;&gt;"(Null)"),('FET Data'!$AC46&lt;&gt;"(Null)")))</f>
        <v>1</v>
      </c>
      <c r="Q46" s="22" t="b">
        <f t="shared" si="1"/>
        <v>1</v>
      </c>
      <c r="R46" s="22" t="b">
        <f t="shared" si="2"/>
        <v>1</v>
      </c>
    </row>
    <row r="47" spans="1:22" x14ac:dyDescent="0.25">
      <c r="A47" s="22" t="str">
        <f>IF(R47,Discrete_NFET[[#This Row],[PARTNUMBER]],"")</f>
        <v>CSD17522Q5A</v>
      </c>
      <c r="B47" t="s">
        <v>242</v>
      </c>
      <c r="C47" s="22" t="b">
        <f>AND((Discrete_NFET[[#This Row],[VDSMAX]]&gt;=VDC_AVG*1.25),(Discrete_NFET[[#This Row],[VGSMAX]]&gt;=GDR_V*1.2))</f>
        <v>1</v>
      </c>
      <c r="D47" s="22" t="b">
        <f>AND(VDC_AVG&lt;=25,Discrete_NFET[[#This Row],[VDSMAX]]&lt;=30)</f>
        <v>1</v>
      </c>
      <c r="E47" s="22" t="b">
        <f>AND(VDC_AVG&lt;=33,VDC_AVG&gt;=12,Discrete_NFET[[#This Row],[VDSMAX]]=40)</f>
        <v>0</v>
      </c>
      <c r="F47" s="22" t="b">
        <f>AND(VDC_AVG&lt;=50,VDC_AVG&gt;=18,Discrete_NFET[[#This Row],[VDSMAX]]=60)</f>
        <v>0</v>
      </c>
      <c r="G47" s="22" t="b">
        <f>AND(VDC_AVG&lt;=66,VDC_AVG&gt;=24,Discrete_NFET[[#This Row],[VDSMAX]]=80)</f>
        <v>0</v>
      </c>
      <c r="H47" s="22" t="b">
        <f>AND(VDC_AVG&lt;=83,VDC_AVG&gt;=36,Discrete_NFET[[#This Row],[VDSMAX]]=100)</f>
        <v>0</v>
      </c>
      <c r="I47" s="22" t="b">
        <f t="shared" si="0"/>
        <v>1</v>
      </c>
      <c r="J47" s="22" t="b">
        <f>AND(((GDR_V)&lt;2.5),('FET Data'!$AC47&lt;&gt;"(Null)"))</f>
        <v>0</v>
      </c>
      <c r="K47" s="22" t="b">
        <f>AND(((GDR_V)&gt;=2.5),((GDR_V)&lt;3),OR(('FET Data'!$AD47&lt;&gt;"(Null)"),('FET Data'!$AC47&lt;&gt;"(Null)")))</f>
        <v>0</v>
      </c>
      <c r="L47" s="22" t="b">
        <f>AND(((GDR_V)&gt;=3),((GDR_V)&lt;4.5),OR(('FET Data'!$AE47&lt;&gt;"(Null)"),('FET Data'!$AD47&lt;&gt;"(Null)"),('FET Data'!$AC47&lt;&gt;"(Null)")))</f>
        <v>0</v>
      </c>
      <c r="M47" s="22" t="b">
        <f>AND(((GDR_V)&gt;=4.5),((GDR_V)&lt;6),OR(('FET Data'!$AF47&lt;&gt;"(Null)"),('FET Data'!$AE47&lt;&gt;"(Null)"),('FET Data'!$AD47&lt;&gt;"(Null)"),('FET Data'!$AC47&lt;&gt;"(Null)")))</f>
        <v>0</v>
      </c>
      <c r="N47" s="22" t="b">
        <f>AND(((GDR_V)&gt;=6),((GDR_V)&lt;8),OR(('FET Data'!$AG47&lt;&gt;"(Null)"),('FET Data'!$AF47&lt;&gt;"(Null)"),('FET Data'!$AE47&lt;&gt;"(Null)"),('FET Data'!$AD47&lt;&gt;"(Null)"),('FET Data'!$AC47&lt;&gt;"(Null)")))</f>
        <v>0</v>
      </c>
      <c r="O47" s="22" t="b">
        <f>AND(((GDR_V)&gt;=8),((GDR_V)&lt;10),OR(('FET Data'!$AH47&lt;&gt;"(Null)"),('FET Data'!$AG47&lt;&gt;"(Null)"),('FET Data'!$AF47&lt;&gt;"(Null)"),('FET Data'!$AE47&lt;&gt;"(Null)"),('FET Data'!$AD47&lt;&gt;"(Null)"),('FET Data'!$AC47&lt;&gt;"(Null)")))</f>
        <v>0</v>
      </c>
      <c r="P47" s="22" t="b">
        <f>AND(((GDR_V)&gt;=10),OR(('FET Data'!$AI47&lt;&gt;"(Null)"),('FET Data'!$AH47&lt;&gt;"(Null)"),('FET Data'!$AG47&lt;&gt;"(Null)"),('FET Data'!$AF47&lt;&gt;"(Null)"),('FET Data'!$AE47&lt;&gt;"(Null)"),('FET Data'!$AD47&lt;&gt;"(Null)"),('FET Data'!$AC47&lt;&gt;"(Null)")))</f>
        <v>1</v>
      </c>
      <c r="Q47" s="22" t="b">
        <f t="shared" si="1"/>
        <v>1</v>
      </c>
      <c r="R47" s="22" t="b">
        <f t="shared" si="2"/>
        <v>1</v>
      </c>
    </row>
    <row r="48" spans="1:22" x14ac:dyDescent="0.25">
      <c r="A48" s="22" t="str">
        <f>IF(R48,Discrete_NFET[[#This Row],[PARTNUMBER]],"")</f>
        <v>CSD17527Q5A</v>
      </c>
      <c r="B48" t="s">
        <v>244</v>
      </c>
      <c r="C48" s="22" t="b">
        <f>AND((Discrete_NFET[[#This Row],[VDSMAX]]&gt;=VDC_AVG*1.25),(Discrete_NFET[[#This Row],[VGSMAX]]&gt;=GDR_V*1.2))</f>
        <v>1</v>
      </c>
      <c r="D48" s="22" t="b">
        <f>AND(VDC_AVG&lt;=25,Discrete_NFET[[#This Row],[VDSMAX]]&lt;=30)</f>
        <v>1</v>
      </c>
      <c r="E48" s="22" t="b">
        <f>AND(VDC_AVG&lt;=33,VDC_AVG&gt;=12,Discrete_NFET[[#This Row],[VDSMAX]]=40)</f>
        <v>0</v>
      </c>
      <c r="F48" s="22" t="b">
        <f>AND(VDC_AVG&lt;=50,VDC_AVG&gt;=18,Discrete_NFET[[#This Row],[VDSMAX]]=60)</f>
        <v>0</v>
      </c>
      <c r="G48" s="22" t="b">
        <f>AND(VDC_AVG&lt;=66,VDC_AVG&gt;=24,Discrete_NFET[[#This Row],[VDSMAX]]=80)</f>
        <v>0</v>
      </c>
      <c r="H48" s="22" t="b">
        <f>AND(VDC_AVG&lt;=83,VDC_AVG&gt;=36,Discrete_NFET[[#This Row],[VDSMAX]]=100)</f>
        <v>0</v>
      </c>
      <c r="I48" s="22" t="b">
        <f t="shared" si="0"/>
        <v>1</v>
      </c>
      <c r="J48" s="22" t="b">
        <f>AND(((GDR_V)&lt;2.5),('FET Data'!$AC48&lt;&gt;"(Null)"))</f>
        <v>0</v>
      </c>
      <c r="K48" s="22" t="b">
        <f>AND(((GDR_V)&gt;=2.5),((GDR_V)&lt;3),OR(('FET Data'!$AD48&lt;&gt;"(Null)"),('FET Data'!$AC48&lt;&gt;"(Null)")))</f>
        <v>0</v>
      </c>
      <c r="L48" s="22" t="b">
        <f>AND(((GDR_V)&gt;=3),((GDR_V)&lt;4.5),OR(('FET Data'!$AE48&lt;&gt;"(Null)"),('FET Data'!$AD48&lt;&gt;"(Null)"),('FET Data'!$AC48&lt;&gt;"(Null)")))</f>
        <v>0</v>
      </c>
      <c r="M48" s="22" t="b">
        <f>AND(((GDR_V)&gt;=4.5),((GDR_V)&lt;6),OR(('FET Data'!$AF48&lt;&gt;"(Null)"),('FET Data'!$AE48&lt;&gt;"(Null)"),('FET Data'!$AD48&lt;&gt;"(Null)"),('FET Data'!$AC48&lt;&gt;"(Null)")))</f>
        <v>0</v>
      </c>
      <c r="N48" s="22" t="b">
        <f>AND(((GDR_V)&gt;=6),((GDR_V)&lt;8),OR(('FET Data'!$AG48&lt;&gt;"(Null)"),('FET Data'!$AF48&lt;&gt;"(Null)"),('FET Data'!$AE48&lt;&gt;"(Null)"),('FET Data'!$AD48&lt;&gt;"(Null)"),('FET Data'!$AC48&lt;&gt;"(Null)")))</f>
        <v>0</v>
      </c>
      <c r="O48" s="22" t="b">
        <f>AND(((GDR_V)&gt;=8),((GDR_V)&lt;10),OR(('FET Data'!$AH48&lt;&gt;"(Null)"),('FET Data'!$AG48&lt;&gt;"(Null)"),('FET Data'!$AF48&lt;&gt;"(Null)"),('FET Data'!$AE48&lt;&gt;"(Null)"),('FET Data'!$AD48&lt;&gt;"(Null)"),('FET Data'!$AC48&lt;&gt;"(Null)")))</f>
        <v>0</v>
      </c>
      <c r="P48" s="22" t="b">
        <f>AND(((GDR_V)&gt;=10),OR(('FET Data'!$AI48&lt;&gt;"(Null)"),('FET Data'!$AH48&lt;&gt;"(Null)"),('FET Data'!$AG48&lt;&gt;"(Null)"),('FET Data'!$AF48&lt;&gt;"(Null)"),('FET Data'!$AE48&lt;&gt;"(Null)"),('FET Data'!$AD48&lt;&gt;"(Null)"),('FET Data'!$AC48&lt;&gt;"(Null)")))</f>
        <v>1</v>
      </c>
      <c r="Q48" s="22" t="b">
        <f t="shared" si="1"/>
        <v>1</v>
      </c>
      <c r="R48" s="22" t="b">
        <f t="shared" si="2"/>
        <v>1</v>
      </c>
    </row>
    <row r="49" spans="1:18" x14ac:dyDescent="0.25">
      <c r="A49" s="22" t="str">
        <f>IF(R49,Discrete_NFET[[#This Row],[PARTNUMBER]],"")</f>
        <v>CSD17551Q3A</v>
      </c>
      <c r="B49" t="s">
        <v>250</v>
      </c>
      <c r="C49" s="22" t="b">
        <f>AND((Discrete_NFET[[#This Row],[VDSMAX]]&gt;=VDC_AVG*1.25),(Discrete_NFET[[#This Row],[VGSMAX]]&gt;=GDR_V*1.2))</f>
        <v>1</v>
      </c>
      <c r="D49" s="22" t="b">
        <f>AND(VDC_AVG&lt;=25,Discrete_NFET[[#This Row],[VDSMAX]]&lt;=30)</f>
        <v>1</v>
      </c>
      <c r="E49" s="22" t="b">
        <f>AND(VDC_AVG&lt;=33,VDC_AVG&gt;=12,Discrete_NFET[[#This Row],[VDSMAX]]=40)</f>
        <v>0</v>
      </c>
      <c r="F49" s="22" t="b">
        <f>AND(VDC_AVG&lt;=50,VDC_AVG&gt;=18,Discrete_NFET[[#This Row],[VDSMAX]]=60)</f>
        <v>0</v>
      </c>
      <c r="G49" s="22" t="b">
        <f>AND(VDC_AVG&lt;=66,VDC_AVG&gt;=24,Discrete_NFET[[#This Row],[VDSMAX]]=80)</f>
        <v>0</v>
      </c>
      <c r="H49" s="22" t="b">
        <f>AND(VDC_AVG&lt;=83,VDC_AVG&gt;=36,Discrete_NFET[[#This Row],[VDSMAX]]=100)</f>
        <v>0</v>
      </c>
      <c r="I49" s="22" t="b">
        <f t="shared" si="0"/>
        <v>1</v>
      </c>
      <c r="J49" s="22" t="b">
        <f>AND(((GDR_V)&lt;2.5),('FET Data'!$AC49&lt;&gt;"(Null)"))</f>
        <v>0</v>
      </c>
      <c r="K49" s="22" t="b">
        <f>AND(((GDR_V)&gt;=2.5),((GDR_V)&lt;3),OR(('FET Data'!$AD49&lt;&gt;"(Null)"),('FET Data'!$AC49&lt;&gt;"(Null)")))</f>
        <v>0</v>
      </c>
      <c r="L49" s="22" t="b">
        <f>AND(((GDR_V)&gt;=3),((GDR_V)&lt;4.5),OR(('FET Data'!$AE49&lt;&gt;"(Null)"),('FET Data'!$AD49&lt;&gt;"(Null)"),('FET Data'!$AC49&lt;&gt;"(Null)")))</f>
        <v>0</v>
      </c>
      <c r="M49" s="22" t="b">
        <f>AND(((GDR_V)&gt;=4.5),((GDR_V)&lt;6),OR(('FET Data'!$AF49&lt;&gt;"(Null)"),('FET Data'!$AE49&lt;&gt;"(Null)"),('FET Data'!$AD49&lt;&gt;"(Null)"),('FET Data'!$AC49&lt;&gt;"(Null)")))</f>
        <v>0</v>
      </c>
      <c r="N49" s="22" t="b">
        <f>AND(((GDR_V)&gt;=6),((GDR_V)&lt;8),OR(('FET Data'!$AG49&lt;&gt;"(Null)"),('FET Data'!$AF49&lt;&gt;"(Null)"),('FET Data'!$AE49&lt;&gt;"(Null)"),('FET Data'!$AD49&lt;&gt;"(Null)"),('FET Data'!$AC49&lt;&gt;"(Null)")))</f>
        <v>0</v>
      </c>
      <c r="O49" s="22" t="b">
        <f>AND(((GDR_V)&gt;=8),((GDR_V)&lt;10),OR(('FET Data'!$AH49&lt;&gt;"(Null)"),('FET Data'!$AG49&lt;&gt;"(Null)"),('FET Data'!$AF49&lt;&gt;"(Null)"),('FET Data'!$AE49&lt;&gt;"(Null)"),('FET Data'!$AD49&lt;&gt;"(Null)"),('FET Data'!$AC49&lt;&gt;"(Null)")))</f>
        <v>0</v>
      </c>
      <c r="P49" s="22" t="b">
        <f>AND(((GDR_V)&gt;=10),OR(('FET Data'!$AI49&lt;&gt;"(Null)"),('FET Data'!$AH49&lt;&gt;"(Null)"),('FET Data'!$AG49&lt;&gt;"(Null)"),('FET Data'!$AF49&lt;&gt;"(Null)"),('FET Data'!$AE49&lt;&gt;"(Null)"),('FET Data'!$AD49&lt;&gt;"(Null)"),('FET Data'!$AC49&lt;&gt;"(Null)")))</f>
        <v>1</v>
      </c>
      <c r="Q49" s="22" t="b">
        <f t="shared" si="1"/>
        <v>1</v>
      </c>
      <c r="R49" s="22" t="b">
        <f t="shared" si="2"/>
        <v>1</v>
      </c>
    </row>
    <row r="50" spans="1:18" x14ac:dyDescent="0.25">
      <c r="A50" s="22" t="str">
        <f>IF(R50,Discrete_NFET[[#This Row],[PARTNUMBER]],"")</f>
        <v>CSD17551Q5A</v>
      </c>
      <c r="B50" t="s">
        <v>252</v>
      </c>
      <c r="C50" s="22" t="b">
        <f>AND((Discrete_NFET[[#This Row],[VDSMAX]]&gt;=VDC_AVG*1.25),(Discrete_NFET[[#This Row],[VGSMAX]]&gt;=GDR_V*1.2))</f>
        <v>1</v>
      </c>
      <c r="D50" s="22" t="b">
        <f>AND(VDC_AVG&lt;=25,Discrete_NFET[[#This Row],[VDSMAX]]&lt;=30)</f>
        <v>1</v>
      </c>
      <c r="E50" s="22" t="b">
        <f>AND(VDC_AVG&lt;=33,VDC_AVG&gt;=12,Discrete_NFET[[#This Row],[VDSMAX]]=40)</f>
        <v>0</v>
      </c>
      <c r="F50" s="22" t="b">
        <f>AND(VDC_AVG&lt;=50,VDC_AVG&gt;=18,Discrete_NFET[[#This Row],[VDSMAX]]=60)</f>
        <v>0</v>
      </c>
      <c r="G50" s="22" t="b">
        <f>AND(VDC_AVG&lt;=66,VDC_AVG&gt;=24,Discrete_NFET[[#This Row],[VDSMAX]]=80)</f>
        <v>0</v>
      </c>
      <c r="H50" s="22" t="b">
        <f>AND(VDC_AVG&lt;=83,VDC_AVG&gt;=36,Discrete_NFET[[#This Row],[VDSMAX]]=100)</f>
        <v>0</v>
      </c>
      <c r="I50" s="22" t="b">
        <f t="shared" si="0"/>
        <v>1</v>
      </c>
      <c r="J50" s="22" t="b">
        <f>AND(((GDR_V)&lt;2.5),('FET Data'!$AC50&lt;&gt;"(Null)"))</f>
        <v>0</v>
      </c>
      <c r="K50" s="22" t="b">
        <f>AND(((GDR_V)&gt;=2.5),((GDR_V)&lt;3),OR(('FET Data'!$AD50&lt;&gt;"(Null)"),('FET Data'!$AC50&lt;&gt;"(Null)")))</f>
        <v>0</v>
      </c>
      <c r="L50" s="22" t="b">
        <f>AND(((GDR_V)&gt;=3),((GDR_V)&lt;4.5),OR(('FET Data'!$AE50&lt;&gt;"(Null)"),('FET Data'!$AD50&lt;&gt;"(Null)"),('FET Data'!$AC50&lt;&gt;"(Null)")))</f>
        <v>0</v>
      </c>
      <c r="M50" s="22" t="b">
        <f>AND(((GDR_V)&gt;=4.5),((GDR_V)&lt;6),OR(('FET Data'!$AF50&lt;&gt;"(Null)"),('FET Data'!$AE50&lt;&gt;"(Null)"),('FET Data'!$AD50&lt;&gt;"(Null)"),('FET Data'!$AC50&lt;&gt;"(Null)")))</f>
        <v>0</v>
      </c>
      <c r="N50" s="22" t="b">
        <f>AND(((GDR_V)&gt;=6),((GDR_V)&lt;8),OR(('FET Data'!$AG50&lt;&gt;"(Null)"),('FET Data'!$AF50&lt;&gt;"(Null)"),('FET Data'!$AE50&lt;&gt;"(Null)"),('FET Data'!$AD50&lt;&gt;"(Null)"),('FET Data'!$AC50&lt;&gt;"(Null)")))</f>
        <v>0</v>
      </c>
      <c r="O50" s="22" t="b">
        <f>AND(((GDR_V)&gt;=8),((GDR_V)&lt;10),OR(('FET Data'!$AH50&lt;&gt;"(Null)"),('FET Data'!$AG50&lt;&gt;"(Null)"),('FET Data'!$AF50&lt;&gt;"(Null)"),('FET Data'!$AE50&lt;&gt;"(Null)"),('FET Data'!$AD50&lt;&gt;"(Null)"),('FET Data'!$AC50&lt;&gt;"(Null)")))</f>
        <v>0</v>
      </c>
      <c r="P50" s="22" t="b">
        <f>AND(((GDR_V)&gt;=10),OR(('FET Data'!$AI50&lt;&gt;"(Null)"),('FET Data'!$AH50&lt;&gt;"(Null)"),('FET Data'!$AG50&lt;&gt;"(Null)"),('FET Data'!$AF50&lt;&gt;"(Null)"),('FET Data'!$AE50&lt;&gt;"(Null)"),('FET Data'!$AD50&lt;&gt;"(Null)"),('FET Data'!$AC50&lt;&gt;"(Null)")))</f>
        <v>1</v>
      </c>
      <c r="Q50" s="22" t="b">
        <f t="shared" si="1"/>
        <v>1</v>
      </c>
      <c r="R50" s="22" t="b">
        <f t="shared" si="2"/>
        <v>1</v>
      </c>
    </row>
    <row r="51" spans="1:18" x14ac:dyDescent="0.25">
      <c r="A51" s="22" t="str">
        <f>IF(R51,Discrete_NFET[[#This Row],[PARTNUMBER]],"")</f>
        <v>CSD17552Q3A</v>
      </c>
      <c r="B51" t="s">
        <v>254</v>
      </c>
      <c r="C51" s="22" t="b">
        <f>AND((Discrete_NFET[[#This Row],[VDSMAX]]&gt;=VDC_AVG*1.25),(Discrete_NFET[[#This Row],[VGSMAX]]&gt;=GDR_V*1.2))</f>
        <v>1</v>
      </c>
      <c r="D51" s="22" t="b">
        <f>AND(VDC_AVG&lt;=25,Discrete_NFET[[#This Row],[VDSMAX]]&lt;=30)</f>
        <v>1</v>
      </c>
      <c r="E51" s="22" t="b">
        <f>AND(VDC_AVG&lt;=33,VDC_AVG&gt;=12,Discrete_NFET[[#This Row],[VDSMAX]]=40)</f>
        <v>0</v>
      </c>
      <c r="F51" s="22" t="b">
        <f>AND(VDC_AVG&lt;=50,VDC_AVG&gt;=18,Discrete_NFET[[#This Row],[VDSMAX]]=60)</f>
        <v>0</v>
      </c>
      <c r="G51" s="22" t="b">
        <f>AND(VDC_AVG&lt;=66,VDC_AVG&gt;=24,Discrete_NFET[[#This Row],[VDSMAX]]=80)</f>
        <v>0</v>
      </c>
      <c r="H51" s="22" t="b">
        <f>AND(VDC_AVG&lt;=83,VDC_AVG&gt;=36,Discrete_NFET[[#This Row],[VDSMAX]]=100)</f>
        <v>0</v>
      </c>
      <c r="I51" s="22" t="b">
        <f t="shared" si="0"/>
        <v>1</v>
      </c>
      <c r="J51" s="22" t="b">
        <f>AND(((GDR_V)&lt;2.5),('FET Data'!$AC51&lt;&gt;"(Null)"))</f>
        <v>0</v>
      </c>
      <c r="K51" s="22" t="b">
        <f>AND(((GDR_V)&gt;=2.5),((GDR_V)&lt;3),OR(('FET Data'!$AD51&lt;&gt;"(Null)"),('FET Data'!$AC51&lt;&gt;"(Null)")))</f>
        <v>0</v>
      </c>
      <c r="L51" s="22" t="b">
        <f>AND(((GDR_V)&gt;=3),((GDR_V)&lt;4.5),OR(('FET Data'!$AE51&lt;&gt;"(Null)"),('FET Data'!$AD51&lt;&gt;"(Null)"),('FET Data'!$AC51&lt;&gt;"(Null)")))</f>
        <v>0</v>
      </c>
      <c r="M51" s="22" t="b">
        <f>AND(((GDR_V)&gt;=4.5),((GDR_V)&lt;6),OR(('FET Data'!$AF51&lt;&gt;"(Null)"),('FET Data'!$AE51&lt;&gt;"(Null)"),('FET Data'!$AD51&lt;&gt;"(Null)"),('FET Data'!$AC51&lt;&gt;"(Null)")))</f>
        <v>0</v>
      </c>
      <c r="N51" s="22" t="b">
        <f>AND(((GDR_V)&gt;=6),((GDR_V)&lt;8),OR(('FET Data'!$AG51&lt;&gt;"(Null)"),('FET Data'!$AF51&lt;&gt;"(Null)"),('FET Data'!$AE51&lt;&gt;"(Null)"),('FET Data'!$AD51&lt;&gt;"(Null)"),('FET Data'!$AC51&lt;&gt;"(Null)")))</f>
        <v>0</v>
      </c>
      <c r="O51" s="22" t="b">
        <f>AND(((GDR_V)&gt;=8),((GDR_V)&lt;10),OR(('FET Data'!$AH51&lt;&gt;"(Null)"),('FET Data'!$AG51&lt;&gt;"(Null)"),('FET Data'!$AF51&lt;&gt;"(Null)"),('FET Data'!$AE51&lt;&gt;"(Null)"),('FET Data'!$AD51&lt;&gt;"(Null)"),('FET Data'!$AC51&lt;&gt;"(Null)")))</f>
        <v>0</v>
      </c>
      <c r="P51" s="22" t="b">
        <f>AND(((GDR_V)&gt;=10),OR(('FET Data'!$AI51&lt;&gt;"(Null)"),('FET Data'!$AH51&lt;&gt;"(Null)"),('FET Data'!$AG51&lt;&gt;"(Null)"),('FET Data'!$AF51&lt;&gt;"(Null)"),('FET Data'!$AE51&lt;&gt;"(Null)"),('FET Data'!$AD51&lt;&gt;"(Null)"),('FET Data'!$AC51&lt;&gt;"(Null)")))</f>
        <v>1</v>
      </c>
      <c r="Q51" s="22" t="b">
        <f t="shared" si="1"/>
        <v>1</v>
      </c>
      <c r="R51" s="22" t="b">
        <f t="shared" si="2"/>
        <v>1</v>
      </c>
    </row>
    <row r="52" spans="1:18" x14ac:dyDescent="0.25">
      <c r="A52" s="22" t="str">
        <f>IF(R52,Discrete_NFET[[#This Row],[PARTNUMBER]],"")</f>
        <v>CSD17552Q5A</v>
      </c>
      <c r="B52" t="s">
        <v>258</v>
      </c>
      <c r="C52" s="22" t="b">
        <f>AND((Discrete_NFET[[#This Row],[VDSMAX]]&gt;=VDC_AVG*1.25),(Discrete_NFET[[#This Row],[VGSMAX]]&gt;=GDR_V*1.2))</f>
        <v>1</v>
      </c>
      <c r="D52" s="22" t="b">
        <f>AND(VDC_AVG&lt;=25,Discrete_NFET[[#This Row],[VDSMAX]]&lt;=30)</f>
        <v>1</v>
      </c>
      <c r="E52" s="22" t="b">
        <f>AND(VDC_AVG&lt;=33,VDC_AVG&gt;=12,Discrete_NFET[[#This Row],[VDSMAX]]=40)</f>
        <v>0</v>
      </c>
      <c r="F52" s="22" t="b">
        <f>AND(VDC_AVG&lt;=50,VDC_AVG&gt;=18,Discrete_NFET[[#This Row],[VDSMAX]]=60)</f>
        <v>0</v>
      </c>
      <c r="G52" s="22" t="b">
        <f>AND(VDC_AVG&lt;=66,VDC_AVG&gt;=24,Discrete_NFET[[#This Row],[VDSMAX]]=80)</f>
        <v>0</v>
      </c>
      <c r="H52" s="22" t="b">
        <f>AND(VDC_AVG&lt;=83,VDC_AVG&gt;=36,Discrete_NFET[[#This Row],[VDSMAX]]=100)</f>
        <v>0</v>
      </c>
      <c r="I52" s="22" t="b">
        <f t="shared" si="0"/>
        <v>1</v>
      </c>
      <c r="J52" s="22" t="b">
        <f>AND(((GDR_V)&lt;2.5),('FET Data'!$AC52&lt;&gt;"(Null)"))</f>
        <v>0</v>
      </c>
      <c r="K52" s="22" t="b">
        <f>AND(((GDR_V)&gt;=2.5),((GDR_V)&lt;3),OR(('FET Data'!$AD52&lt;&gt;"(Null)"),('FET Data'!$AC52&lt;&gt;"(Null)")))</f>
        <v>0</v>
      </c>
      <c r="L52" s="22" t="b">
        <f>AND(((GDR_V)&gt;=3),((GDR_V)&lt;4.5),OR(('FET Data'!$AE52&lt;&gt;"(Null)"),('FET Data'!$AD52&lt;&gt;"(Null)"),('FET Data'!$AC52&lt;&gt;"(Null)")))</f>
        <v>0</v>
      </c>
      <c r="M52" s="22" t="b">
        <f>AND(((GDR_V)&gt;=4.5),((GDR_V)&lt;6),OR(('FET Data'!$AF52&lt;&gt;"(Null)"),('FET Data'!$AE52&lt;&gt;"(Null)"),('FET Data'!$AD52&lt;&gt;"(Null)"),('FET Data'!$AC52&lt;&gt;"(Null)")))</f>
        <v>0</v>
      </c>
      <c r="N52" s="22" t="b">
        <f>AND(((GDR_V)&gt;=6),((GDR_V)&lt;8),OR(('FET Data'!$AG52&lt;&gt;"(Null)"),('FET Data'!$AF52&lt;&gt;"(Null)"),('FET Data'!$AE52&lt;&gt;"(Null)"),('FET Data'!$AD52&lt;&gt;"(Null)"),('FET Data'!$AC52&lt;&gt;"(Null)")))</f>
        <v>0</v>
      </c>
      <c r="O52" s="22" t="b">
        <f>AND(((GDR_V)&gt;=8),((GDR_V)&lt;10),OR(('FET Data'!$AH52&lt;&gt;"(Null)"),('FET Data'!$AG52&lt;&gt;"(Null)"),('FET Data'!$AF52&lt;&gt;"(Null)"),('FET Data'!$AE52&lt;&gt;"(Null)"),('FET Data'!$AD52&lt;&gt;"(Null)"),('FET Data'!$AC52&lt;&gt;"(Null)")))</f>
        <v>0</v>
      </c>
      <c r="P52" s="22" t="b">
        <f>AND(((GDR_V)&gt;=10),OR(('FET Data'!$AI52&lt;&gt;"(Null)"),('FET Data'!$AH52&lt;&gt;"(Null)"),('FET Data'!$AG52&lt;&gt;"(Null)"),('FET Data'!$AF52&lt;&gt;"(Null)"),('FET Data'!$AE52&lt;&gt;"(Null)"),('FET Data'!$AD52&lt;&gt;"(Null)"),('FET Data'!$AC52&lt;&gt;"(Null)")))</f>
        <v>1</v>
      </c>
      <c r="Q52" s="22" t="b">
        <f t="shared" si="1"/>
        <v>1</v>
      </c>
      <c r="R52" s="22" t="b">
        <f t="shared" si="2"/>
        <v>1</v>
      </c>
    </row>
    <row r="53" spans="1:18" x14ac:dyDescent="0.25">
      <c r="A53" s="22" t="str">
        <f>IF(R53,Discrete_NFET[[#This Row],[PARTNUMBER]],"")</f>
        <v>CSD17553Q5A</v>
      </c>
      <c r="B53" t="s">
        <v>262</v>
      </c>
      <c r="C53" s="22" t="b">
        <f>AND((Discrete_NFET[[#This Row],[VDSMAX]]&gt;=VDC_AVG*1.25),(Discrete_NFET[[#This Row],[VGSMAX]]&gt;=GDR_V*1.2))</f>
        <v>1</v>
      </c>
      <c r="D53" s="22" t="b">
        <f>AND(VDC_AVG&lt;=25,Discrete_NFET[[#This Row],[VDSMAX]]&lt;=30)</f>
        <v>1</v>
      </c>
      <c r="E53" s="22" t="b">
        <f>AND(VDC_AVG&lt;=33,VDC_AVG&gt;=12,Discrete_NFET[[#This Row],[VDSMAX]]=40)</f>
        <v>0</v>
      </c>
      <c r="F53" s="22" t="b">
        <f>AND(VDC_AVG&lt;=50,VDC_AVG&gt;=18,Discrete_NFET[[#This Row],[VDSMAX]]=60)</f>
        <v>0</v>
      </c>
      <c r="G53" s="22" t="b">
        <f>AND(VDC_AVG&lt;=66,VDC_AVG&gt;=24,Discrete_NFET[[#This Row],[VDSMAX]]=80)</f>
        <v>0</v>
      </c>
      <c r="H53" s="22" t="b">
        <f>AND(VDC_AVG&lt;=83,VDC_AVG&gt;=36,Discrete_NFET[[#This Row],[VDSMAX]]=100)</f>
        <v>0</v>
      </c>
      <c r="I53" s="22" t="b">
        <f t="shared" si="0"/>
        <v>1</v>
      </c>
      <c r="J53" s="22" t="b">
        <f>AND(((GDR_V)&lt;2.5),('FET Data'!$AC53&lt;&gt;"(Null)"))</f>
        <v>0</v>
      </c>
      <c r="K53" s="22" t="b">
        <f>AND(((GDR_V)&gt;=2.5),((GDR_V)&lt;3),OR(('FET Data'!$AD53&lt;&gt;"(Null)"),('FET Data'!$AC53&lt;&gt;"(Null)")))</f>
        <v>0</v>
      </c>
      <c r="L53" s="22" t="b">
        <f>AND(((GDR_V)&gt;=3),((GDR_V)&lt;4.5),OR(('FET Data'!$AE53&lt;&gt;"(Null)"),('FET Data'!$AD53&lt;&gt;"(Null)"),('FET Data'!$AC53&lt;&gt;"(Null)")))</f>
        <v>0</v>
      </c>
      <c r="M53" s="22" t="b">
        <f>AND(((GDR_V)&gt;=4.5),((GDR_V)&lt;6),OR(('FET Data'!$AF53&lt;&gt;"(Null)"),('FET Data'!$AE53&lt;&gt;"(Null)"),('FET Data'!$AD53&lt;&gt;"(Null)"),('FET Data'!$AC53&lt;&gt;"(Null)")))</f>
        <v>0</v>
      </c>
      <c r="N53" s="22" t="b">
        <f>AND(((GDR_V)&gt;=6),((GDR_V)&lt;8),OR(('FET Data'!$AG53&lt;&gt;"(Null)"),('FET Data'!$AF53&lt;&gt;"(Null)"),('FET Data'!$AE53&lt;&gt;"(Null)"),('FET Data'!$AD53&lt;&gt;"(Null)"),('FET Data'!$AC53&lt;&gt;"(Null)")))</f>
        <v>0</v>
      </c>
      <c r="O53" s="22" t="b">
        <f>AND(((GDR_V)&gt;=8),((GDR_V)&lt;10),OR(('FET Data'!$AH53&lt;&gt;"(Null)"),('FET Data'!$AG53&lt;&gt;"(Null)"),('FET Data'!$AF53&lt;&gt;"(Null)"),('FET Data'!$AE53&lt;&gt;"(Null)"),('FET Data'!$AD53&lt;&gt;"(Null)"),('FET Data'!$AC53&lt;&gt;"(Null)")))</f>
        <v>0</v>
      </c>
      <c r="P53" s="22" t="b">
        <f>AND(((GDR_V)&gt;=10),OR(('FET Data'!$AI53&lt;&gt;"(Null)"),('FET Data'!$AH53&lt;&gt;"(Null)"),('FET Data'!$AG53&lt;&gt;"(Null)"),('FET Data'!$AF53&lt;&gt;"(Null)"),('FET Data'!$AE53&lt;&gt;"(Null)"),('FET Data'!$AD53&lt;&gt;"(Null)"),('FET Data'!$AC53&lt;&gt;"(Null)")))</f>
        <v>1</v>
      </c>
      <c r="Q53" s="22" t="b">
        <f t="shared" si="1"/>
        <v>1</v>
      </c>
      <c r="R53" s="22" t="b">
        <f t="shared" si="2"/>
        <v>1</v>
      </c>
    </row>
    <row r="54" spans="1:18" x14ac:dyDescent="0.25">
      <c r="A54" s="22" t="str">
        <f>IF(R54,Discrete_NFET[[#This Row],[PARTNUMBER]],"")</f>
        <v>CSD17555Q5A</v>
      </c>
      <c r="B54" t="s">
        <v>264</v>
      </c>
      <c r="C54" s="22" t="b">
        <f>AND((Discrete_NFET[[#This Row],[VDSMAX]]&gt;=VDC_AVG*1.25),(Discrete_NFET[[#This Row],[VGSMAX]]&gt;=GDR_V*1.2))</f>
        <v>1</v>
      </c>
      <c r="D54" s="22" t="b">
        <f>AND(VDC_AVG&lt;=25,Discrete_NFET[[#This Row],[VDSMAX]]&lt;=30)</f>
        <v>1</v>
      </c>
      <c r="E54" s="22" t="b">
        <f>AND(VDC_AVG&lt;=33,VDC_AVG&gt;=12,Discrete_NFET[[#This Row],[VDSMAX]]=40)</f>
        <v>0</v>
      </c>
      <c r="F54" s="22" t="b">
        <f>AND(VDC_AVG&lt;=50,VDC_AVG&gt;=18,Discrete_NFET[[#This Row],[VDSMAX]]=60)</f>
        <v>0</v>
      </c>
      <c r="G54" s="22" t="b">
        <f>AND(VDC_AVG&lt;=66,VDC_AVG&gt;=24,Discrete_NFET[[#This Row],[VDSMAX]]=80)</f>
        <v>0</v>
      </c>
      <c r="H54" s="22" t="b">
        <f>AND(VDC_AVG&lt;=83,VDC_AVG&gt;=36,Discrete_NFET[[#This Row],[VDSMAX]]=100)</f>
        <v>0</v>
      </c>
      <c r="I54" s="22" t="b">
        <f t="shared" si="0"/>
        <v>1</v>
      </c>
      <c r="J54" s="22" t="b">
        <f>AND(((GDR_V)&lt;2.5),('FET Data'!$AC54&lt;&gt;"(Null)"))</f>
        <v>0</v>
      </c>
      <c r="K54" s="22" t="b">
        <f>AND(((GDR_V)&gt;=2.5),((GDR_V)&lt;3),OR(('FET Data'!$AD54&lt;&gt;"(Null)"),('FET Data'!$AC54&lt;&gt;"(Null)")))</f>
        <v>0</v>
      </c>
      <c r="L54" s="22" t="b">
        <f>AND(((GDR_V)&gt;=3),((GDR_V)&lt;4.5),OR(('FET Data'!$AE54&lt;&gt;"(Null)"),('FET Data'!$AD54&lt;&gt;"(Null)"),('FET Data'!$AC54&lt;&gt;"(Null)")))</f>
        <v>0</v>
      </c>
      <c r="M54" s="22" t="b">
        <f>AND(((GDR_V)&gt;=4.5),((GDR_V)&lt;6),OR(('FET Data'!$AF54&lt;&gt;"(Null)"),('FET Data'!$AE54&lt;&gt;"(Null)"),('FET Data'!$AD54&lt;&gt;"(Null)"),('FET Data'!$AC54&lt;&gt;"(Null)")))</f>
        <v>0</v>
      </c>
      <c r="N54" s="22" t="b">
        <f>AND(((GDR_V)&gt;=6),((GDR_V)&lt;8),OR(('FET Data'!$AG54&lt;&gt;"(Null)"),('FET Data'!$AF54&lt;&gt;"(Null)"),('FET Data'!$AE54&lt;&gt;"(Null)"),('FET Data'!$AD54&lt;&gt;"(Null)"),('FET Data'!$AC54&lt;&gt;"(Null)")))</f>
        <v>0</v>
      </c>
      <c r="O54" s="22" t="b">
        <f>AND(((GDR_V)&gt;=8),((GDR_V)&lt;10),OR(('FET Data'!$AH54&lt;&gt;"(Null)"),('FET Data'!$AG54&lt;&gt;"(Null)"),('FET Data'!$AF54&lt;&gt;"(Null)"),('FET Data'!$AE54&lt;&gt;"(Null)"),('FET Data'!$AD54&lt;&gt;"(Null)"),('FET Data'!$AC54&lt;&gt;"(Null)")))</f>
        <v>0</v>
      </c>
      <c r="P54" s="22" t="b">
        <f>AND(((GDR_V)&gt;=10),OR(('FET Data'!$AI54&lt;&gt;"(Null)"),('FET Data'!$AH54&lt;&gt;"(Null)"),('FET Data'!$AG54&lt;&gt;"(Null)"),('FET Data'!$AF54&lt;&gt;"(Null)"),('FET Data'!$AE54&lt;&gt;"(Null)"),('FET Data'!$AD54&lt;&gt;"(Null)"),('FET Data'!$AC54&lt;&gt;"(Null)")))</f>
        <v>1</v>
      </c>
      <c r="Q54" s="22" t="b">
        <f t="shared" si="1"/>
        <v>1</v>
      </c>
      <c r="R54" s="22" t="b">
        <f t="shared" si="2"/>
        <v>1</v>
      </c>
    </row>
    <row r="55" spans="1:18" x14ac:dyDescent="0.25">
      <c r="A55" s="22" t="str">
        <f>IF(R55,Discrete_NFET[[#This Row],[PARTNUMBER]],"")</f>
        <v>CSD17556Q5B</v>
      </c>
      <c r="B55" t="s">
        <v>384</v>
      </c>
      <c r="C55" s="22" t="b">
        <f>AND((Discrete_NFET[[#This Row],[VDSMAX]]&gt;=VDC_AVG*1.25),(Discrete_NFET[[#This Row],[VGSMAX]]&gt;=GDR_V*1.2))</f>
        <v>1</v>
      </c>
      <c r="D55" s="22" t="b">
        <f>AND(VDC_AVG&lt;=25,Discrete_NFET[[#This Row],[VDSMAX]]&lt;=30)</f>
        <v>1</v>
      </c>
      <c r="E55" s="22" t="b">
        <f>AND(VDC_AVG&lt;=33,VDC_AVG&gt;=12,Discrete_NFET[[#This Row],[VDSMAX]]=40)</f>
        <v>0</v>
      </c>
      <c r="F55" s="22" t="b">
        <f>AND(VDC_AVG&lt;=50,VDC_AVG&gt;=18,Discrete_NFET[[#This Row],[VDSMAX]]=60)</f>
        <v>0</v>
      </c>
      <c r="G55" s="22" t="b">
        <f>AND(VDC_AVG&lt;=66,VDC_AVG&gt;=24,Discrete_NFET[[#This Row],[VDSMAX]]=80)</f>
        <v>0</v>
      </c>
      <c r="H55" s="22" t="b">
        <f>AND(VDC_AVG&lt;=83,VDC_AVG&gt;=36,Discrete_NFET[[#This Row],[VDSMAX]]=100)</f>
        <v>0</v>
      </c>
      <c r="I55" s="22" t="b">
        <f t="shared" si="0"/>
        <v>1</v>
      </c>
      <c r="J55" s="22" t="b">
        <f>AND(((GDR_V)&lt;2.5),('FET Data'!$AC55&lt;&gt;"(Null)"))</f>
        <v>0</v>
      </c>
      <c r="K55" s="22" t="b">
        <f>AND(((GDR_V)&gt;=2.5),((GDR_V)&lt;3),OR(('FET Data'!$AD55&lt;&gt;"(Null)"),('FET Data'!$AC55&lt;&gt;"(Null)")))</f>
        <v>0</v>
      </c>
      <c r="L55" s="22" t="b">
        <f>AND(((GDR_V)&gt;=3),((GDR_V)&lt;4.5),OR(('FET Data'!$AE55&lt;&gt;"(Null)"),('FET Data'!$AD55&lt;&gt;"(Null)"),('FET Data'!$AC55&lt;&gt;"(Null)")))</f>
        <v>0</v>
      </c>
      <c r="M55" s="22" t="b">
        <f>AND(((GDR_V)&gt;=4.5),((GDR_V)&lt;6),OR(('FET Data'!$AF55&lt;&gt;"(Null)"),('FET Data'!$AE55&lt;&gt;"(Null)"),('FET Data'!$AD55&lt;&gt;"(Null)"),('FET Data'!$AC55&lt;&gt;"(Null)")))</f>
        <v>0</v>
      </c>
      <c r="N55" s="22" t="b">
        <f>AND(((GDR_V)&gt;=6),((GDR_V)&lt;8),OR(('FET Data'!$AG55&lt;&gt;"(Null)"),('FET Data'!$AF55&lt;&gt;"(Null)"),('FET Data'!$AE55&lt;&gt;"(Null)"),('FET Data'!$AD55&lt;&gt;"(Null)"),('FET Data'!$AC55&lt;&gt;"(Null)")))</f>
        <v>0</v>
      </c>
      <c r="O55" s="22" t="b">
        <f>AND(((GDR_V)&gt;=8),((GDR_V)&lt;10),OR(('FET Data'!$AH55&lt;&gt;"(Null)"),('FET Data'!$AG55&lt;&gt;"(Null)"),('FET Data'!$AF55&lt;&gt;"(Null)"),('FET Data'!$AE55&lt;&gt;"(Null)"),('FET Data'!$AD55&lt;&gt;"(Null)"),('FET Data'!$AC55&lt;&gt;"(Null)")))</f>
        <v>0</v>
      </c>
      <c r="P55" s="22" t="b">
        <f>AND(((GDR_V)&gt;=10),OR(('FET Data'!$AI55&lt;&gt;"(Null)"),('FET Data'!$AH55&lt;&gt;"(Null)"),('FET Data'!$AG55&lt;&gt;"(Null)"),('FET Data'!$AF55&lt;&gt;"(Null)"),('FET Data'!$AE55&lt;&gt;"(Null)"),('FET Data'!$AD55&lt;&gt;"(Null)"),('FET Data'!$AC55&lt;&gt;"(Null)")))</f>
        <v>1</v>
      </c>
      <c r="Q55" s="22" t="b">
        <f t="shared" si="1"/>
        <v>1</v>
      </c>
      <c r="R55" s="22" t="b">
        <f t="shared" si="2"/>
        <v>1</v>
      </c>
    </row>
    <row r="56" spans="1:18" x14ac:dyDescent="0.25">
      <c r="A56" s="22" t="str">
        <f>IF(R56,Discrete_NFET[[#This Row],[PARTNUMBER]],"")</f>
        <v>CSD17559Q5</v>
      </c>
      <c r="B56" t="s">
        <v>385</v>
      </c>
      <c r="C56" s="22" t="b">
        <f>AND((Discrete_NFET[[#This Row],[VDSMAX]]&gt;=VDC_AVG*1.25),(Discrete_NFET[[#This Row],[VGSMAX]]&gt;=GDR_V*1.2))</f>
        <v>1</v>
      </c>
      <c r="D56" s="22" t="b">
        <f>AND(VDC_AVG&lt;=25,Discrete_NFET[[#This Row],[VDSMAX]]&lt;=30)</f>
        <v>1</v>
      </c>
      <c r="E56" s="22" t="b">
        <f>AND(VDC_AVG&lt;=33,VDC_AVG&gt;=12,Discrete_NFET[[#This Row],[VDSMAX]]=40)</f>
        <v>0</v>
      </c>
      <c r="F56" s="22" t="b">
        <f>AND(VDC_AVG&lt;=50,VDC_AVG&gt;=18,Discrete_NFET[[#This Row],[VDSMAX]]=60)</f>
        <v>0</v>
      </c>
      <c r="G56" s="22" t="b">
        <f>AND(VDC_AVG&lt;=66,VDC_AVG&gt;=24,Discrete_NFET[[#This Row],[VDSMAX]]=80)</f>
        <v>0</v>
      </c>
      <c r="H56" s="22" t="b">
        <f>AND(VDC_AVG&lt;=83,VDC_AVG&gt;=36,Discrete_NFET[[#This Row],[VDSMAX]]=100)</f>
        <v>0</v>
      </c>
      <c r="I56" s="22" t="b">
        <f t="shared" si="0"/>
        <v>1</v>
      </c>
      <c r="J56" s="22" t="b">
        <f>AND(((GDR_V)&lt;2.5),('FET Data'!$AC56&lt;&gt;"(Null)"))</f>
        <v>0</v>
      </c>
      <c r="K56" s="22" t="b">
        <f>AND(((GDR_V)&gt;=2.5),((GDR_V)&lt;3),OR(('FET Data'!$AD56&lt;&gt;"(Null)"),('FET Data'!$AC56&lt;&gt;"(Null)")))</f>
        <v>0</v>
      </c>
      <c r="L56" s="22" t="b">
        <f>AND(((GDR_V)&gt;=3),((GDR_V)&lt;4.5),OR(('FET Data'!$AE56&lt;&gt;"(Null)"),('FET Data'!$AD56&lt;&gt;"(Null)"),('FET Data'!$AC56&lt;&gt;"(Null)")))</f>
        <v>0</v>
      </c>
      <c r="M56" s="22" t="b">
        <f>AND(((GDR_V)&gt;=4.5),((GDR_V)&lt;6),OR(('FET Data'!$AF56&lt;&gt;"(Null)"),('FET Data'!$AE56&lt;&gt;"(Null)"),('FET Data'!$AD56&lt;&gt;"(Null)"),('FET Data'!$AC56&lt;&gt;"(Null)")))</f>
        <v>0</v>
      </c>
      <c r="N56" s="22" t="b">
        <f>AND(((GDR_V)&gt;=6),((GDR_V)&lt;8),OR(('FET Data'!$AG56&lt;&gt;"(Null)"),('FET Data'!$AF56&lt;&gt;"(Null)"),('FET Data'!$AE56&lt;&gt;"(Null)"),('FET Data'!$AD56&lt;&gt;"(Null)"),('FET Data'!$AC56&lt;&gt;"(Null)")))</f>
        <v>0</v>
      </c>
      <c r="O56" s="22" t="b">
        <f>AND(((GDR_V)&gt;=8),((GDR_V)&lt;10),OR(('FET Data'!$AH56&lt;&gt;"(Null)"),('FET Data'!$AG56&lt;&gt;"(Null)"),('FET Data'!$AF56&lt;&gt;"(Null)"),('FET Data'!$AE56&lt;&gt;"(Null)"),('FET Data'!$AD56&lt;&gt;"(Null)"),('FET Data'!$AC56&lt;&gt;"(Null)")))</f>
        <v>0</v>
      </c>
      <c r="P56" s="22" t="b">
        <f>AND(((GDR_V)&gt;=10),OR(('FET Data'!$AI56&lt;&gt;"(Null)"),('FET Data'!$AH56&lt;&gt;"(Null)"),('FET Data'!$AG56&lt;&gt;"(Null)"),('FET Data'!$AF56&lt;&gt;"(Null)"),('FET Data'!$AE56&lt;&gt;"(Null)"),('FET Data'!$AD56&lt;&gt;"(Null)"),('FET Data'!$AC56&lt;&gt;"(Null)")))</f>
        <v>1</v>
      </c>
      <c r="Q56" s="22" t="b">
        <f t="shared" si="1"/>
        <v>1</v>
      </c>
      <c r="R56" s="22" t="b">
        <f t="shared" si="2"/>
        <v>1</v>
      </c>
    </row>
    <row r="57" spans="1:18" x14ac:dyDescent="0.25">
      <c r="A57" s="22" t="str">
        <f>IF(R57,Discrete_NFET[[#This Row],[PARTNUMBER]],"")</f>
        <v>CSD17571Q2</v>
      </c>
      <c r="B57" t="s">
        <v>388</v>
      </c>
      <c r="C57" s="22" t="b">
        <f>AND((Discrete_NFET[[#This Row],[VDSMAX]]&gt;=VDC_AVG*1.25),(Discrete_NFET[[#This Row],[VGSMAX]]&gt;=GDR_V*1.2))</f>
        <v>1</v>
      </c>
      <c r="D57" s="22" t="b">
        <f>AND(VDC_AVG&lt;=25,Discrete_NFET[[#This Row],[VDSMAX]]&lt;=30)</f>
        <v>1</v>
      </c>
      <c r="E57" s="22" t="b">
        <f>AND(VDC_AVG&lt;=33,VDC_AVG&gt;=12,Discrete_NFET[[#This Row],[VDSMAX]]=40)</f>
        <v>0</v>
      </c>
      <c r="F57" s="22" t="b">
        <f>AND(VDC_AVG&lt;=50,VDC_AVG&gt;=18,Discrete_NFET[[#This Row],[VDSMAX]]=60)</f>
        <v>0</v>
      </c>
      <c r="G57" s="22" t="b">
        <f>AND(VDC_AVG&lt;=66,VDC_AVG&gt;=24,Discrete_NFET[[#This Row],[VDSMAX]]=80)</f>
        <v>0</v>
      </c>
      <c r="H57" s="22" t="b">
        <f>AND(VDC_AVG&lt;=83,VDC_AVG&gt;=36,Discrete_NFET[[#This Row],[VDSMAX]]=100)</f>
        <v>0</v>
      </c>
      <c r="I57" s="22" t="b">
        <f t="shared" si="0"/>
        <v>1</v>
      </c>
      <c r="J57" s="22" t="b">
        <f>AND(((GDR_V)&lt;2.5),('FET Data'!$AC57&lt;&gt;"(Null)"))</f>
        <v>0</v>
      </c>
      <c r="K57" s="22" t="b">
        <f>AND(((GDR_V)&gt;=2.5),((GDR_V)&lt;3),OR(('FET Data'!$AD57&lt;&gt;"(Null)"),('FET Data'!$AC57&lt;&gt;"(Null)")))</f>
        <v>0</v>
      </c>
      <c r="L57" s="22" t="b">
        <f>AND(((GDR_V)&gt;=3),((GDR_V)&lt;4.5),OR(('FET Data'!$AE57&lt;&gt;"(Null)"),('FET Data'!$AD57&lt;&gt;"(Null)"),('FET Data'!$AC57&lt;&gt;"(Null)")))</f>
        <v>0</v>
      </c>
      <c r="M57" s="22" t="b">
        <f>AND(((GDR_V)&gt;=4.5),((GDR_V)&lt;6),OR(('FET Data'!$AF57&lt;&gt;"(Null)"),('FET Data'!$AE57&lt;&gt;"(Null)"),('FET Data'!$AD57&lt;&gt;"(Null)"),('FET Data'!$AC57&lt;&gt;"(Null)")))</f>
        <v>0</v>
      </c>
      <c r="N57" s="22" t="b">
        <f>AND(((GDR_V)&gt;=6),((GDR_V)&lt;8),OR(('FET Data'!$AG57&lt;&gt;"(Null)"),('FET Data'!$AF57&lt;&gt;"(Null)"),('FET Data'!$AE57&lt;&gt;"(Null)"),('FET Data'!$AD57&lt;&gt;"(Null)"),('FET Data'!$AC57&lt;&gt;"(Null)")))</f>
        <v>0</v>
      </c>
      <c r="O57" s="22" t="b">
        <f>AND(((GDR_V)&gt;=8),((GDR_V)&lt;10),OR(('FET Data'!$AH57&lt;&gt;"(Null)"),('FET Data'!$AG57&lt;&gt;"(Null)"),('FET Data'!$AF57&lt;&gt;"(Null)"),('FET Data'!$AE57&lt;&gt;"(Null)"),('FET Data'!$AD57&lt;&gt;"(Null)"),('FET Data'!$AC57&lt;&gt;"(Null)")))</f>
        <v>0</v>
      </c>
      <c r="P57" s="22" t="b">
        <f>AND(((GDR_V)&gt;=10),OR(('FET Data'!$AI57&lt;&gt;"(Null)"),('FET Data'!$AH57&lt;&gt;"(Null)"),('FET Data'!$AG57&lt;&gt;"(Null)"),('FET Data'!$AF57&lt;&gt;"(Null)"),('FET Data'!$AE57&lt;&gt;"(Null)"),('FET Data'!$AD57&lt;&gt;"(Null)"),('FET Data'!$AC57&lt;&gt;"(Null)")))</f>
        <v>1</v>
      </c>
      <c r="Q57" s="22" t="b">
        <f t="shared" si="1"/>
        <v>1</v>
      </c>
      <c r="R57" s="22" t="b">
        <f t="shared" si="2"/>
        <v>1</v>
      </c>
    </row>
    <row r="58" spans="1:18" x14ac:dyDescent="0.25">
      <c r="A58" s="22" t="str">
        <f>IF(R58,Discrete_NFET[[#This Row],[PARTNUMBER]],"")</f>
        <v>CSD17573Q5B</v>
      </c>
      <c r="B58" t="s">
        <v>386</v>
      </c>
      <c r="C58" s="22" t="b">
        <f>AND((Discrete_NFET[[#This Row],[VDSMAX]]&gt;=VDC_AVG*1.25),(Discrete_NFET[[#This Row],[VGSMAX]]&gt;=GDR_V*1.2))</f>
        <v>1</v>
      </c>
      <c r="D58" s="22" t="b">
        <f>AND(VDC_AVG&lt;=25,Discrete_NFET[[#This Row],[VDSMAX]]&lt;=30)</f>
        <v>1</v>
      </c>
      <c r="E58" s="22" t="b">
        <f>AND(VDC_AVG&lt;=33,VDC_AVG&gt;=12,Discrete_NFET[[#This Row],[VDSMAX]]=40)</f>
        <v>0</v>
      </c>
      <c r="F58" s="22" t="b">
        <f>AND(VDC_AVG&lt;=50,VDC_AVG&gt;=18,Discrete_NFET[[#This Row],[VDSMAX]]=60)</f>
        <v>0</v>
      </c>
      <c r="G58" s="22" t="b">
        <f>AND(VDC_AVG&lt;=66,VDC_AVG&gt;=24,Discrete_NFET[[#This Row],[VDSMAX]]=80)</f>
        <v>0</v>
      </c>
      <c r="H58" s="22" t="b">
        <f>AND(VDC_AVG&lt;=83,VDC_AVG&gt;=36,Discrete_NFET[[#This Row],[VDSMAX]]=100)</f>
        <v>0</v>
      </c>
      <c r="I58" s="22" t="b">
        <f t="shared" si="0"/>
        <v>1</v>
      </c>
      <c r="J58" s="22" t="b">
        <f>AND(((GDR_V)&lt;2.5),('FET Data'!$AC58&lt;&gt;"(Null)"))</f>
        <v>0</v>
      </c>
      <c r="K58" s="22" t="b">
        <f>AND(((GDR_V)&gt;=2.5),((GDR_V)&lt;3),OR(('FET Data'!$AD58&lt;&gt;"(Null)"),('FET Data'!$AC58&lt;&gt;"(Null)")))</f>
        <v>0</v>
      </c>
      <c r="L58" s="22" t="b">
        <f>AND(((GDR_V)&gt;=3),((GDR_V)&lt;4.5),OR(('FET Data'!$AE58&lt;&gt;"(Null)"),('FET Data'!$AD58&lt;&gt;"(Null)"),('FET Data'!$AC58&lt;&gt;"(Null)")))</f>
        <v>0</v>
      </c>
      <c r="M58" s="22" t="b">
        <f>AND(((GDR_V)&gt;=4.5),((GDR_V)&lt;6),OR(('FET Data'!$AF58&lt;&gt;"(Null)"),('FET Data'!$AE58&lt;&gt;"(Null)"),('FET Data'!$AD58&lt;&gt;"(Null)"),('FET Data'!$AC58&lt;&gt;"(Null)")))</f>
        <v>0</v>
      </c>
      <c r="N58" s="22" t="b">
        <f>AND(((GDR_V)&gt;=6),((GDR_V)&lt;8),OR(('FET Data'!$AG58&lt;&gt;"(Null)"),('FET Data'!$AF58&lt;&gt;"(Null)"),('FET Data'!$AE58&lt;&gt;"(Null)"),('FET Data'!$AD58&lt;&gt;"(Null)"),('FET Data'!$AC58&lt;&gt;"(Null)")))</f>
        <v>0</v>
      </c>
      <c r="O58" s="22" t="b">
        <f>AND(((GDR_V)&gt;=8),((GDR_V)&lt;10),OR(('FET Data'!$AH58&lt;&gt;"(Null)"),('FET Data'!$AG58&lt;&gt;"(Null)"),('FET Data'!$AF58&lt;&gt;"(Null)"),('FET Data'!$AE58&lt;&gt;"(Null)"),('FET Data'!$AD58&lt;&gt;"(Null)"),('FET Data'!$AC58&lt;&gt;"(Null)")))</f>
        <v>0</v>
      </c>
      <c r="P58" s="22" t="b">
        <f>AND(((GDR_V)&gt;=10),OR(('FET Data'!$AI58&lt;&gt;"(Null)"),('FET Data'!$AH58&lt;&gt;"(Null)"),('FET Data'!$AG58&lt;&gt;"(Null)"),('FET Data'!$AF58&lt;&gt;"(Null)"),('FET Data'!$AE58&lt;&gt;"(Null)"),('FET Data'!$AD58&lt;&gt;"(Null)"),('FET Data'!$AC58&lt;&gt;"(Null)")))</f>
        <v>1</v>
      </c>
      <c r="Q58" s="22" t="b">
        <f t="shared" si="1"/>
        <v>1</v>
      </c>
      <c r="R58" s="22" t="b">
        <f t="shared" si="2"/>
        <v>1</v>
      </c>
    </row>
    <row r="59" spans="1:18" x14ac:dyDescent="0.25">
      <c r="A59" s="22" t="str">
        <f>IF(R59,Discrete_NFET[[#This Row],[PARTNUMBER]],"")</f>
        <v>CSD17575Q3</v>
      </c>
      <c r="B59" t="s">
        <v>387</v>
      </c>
      <c r="C59" s="22" t="b">
        <f>AND((Discrete_NFET[[#This Row],[VDSMAX]]&gt;=VDC_AVG*1.25),(Discrete_NFET[[#This Row],[VGSMAX]]&gt;=GDR_V*1.2))</f>
        <v>1</v>
      </c>
      <c r="D59" s="22" t="b">
        <f>AND(VDC_AVG&lt;=25,Discrete_NFET[[#This Row],[VDSMAX]]&lt;=30)</f>
        <v>1</v>
      </c>
      <c r="E59" s="22" t="b">
        <f>AND(VDC_AVG&lt;=33,VDC_AVG&gt;=12,Discrete_NFET[[#This Row],[VDSMAX]]=40)</f>
        <v>0</v>
      </c>
      <c r="F59" s="22" t="b">
        <f>AND(VDC_AVG&lt;=50,VDC_AVG&gt;=18,Discrete_NFET[[#This Row],[VDSMAX]]=60)</f>
        <v>0</v>
      </c>
      <c r="G59" s="22" t="b">
        <f>AND(VDC_AVG&lt;=66,VDC_AVG&gt;=24,Discrete_NFET[[#This Row],[VDSMAX]]=80)</f>
        <v>0</v>
      </c>
      <c r="H59" s="22" t="b">
        <f>AND(VDC_AVG&lt;=83,VDC_AVG&gt;=36,Discrete_NFET[[#This Row],[VDSMAX]]=100)</f>
        <v>0</v>
      </c>
      <c r="I59" s="22" t="b">
        <f t="shared" si="0"/>
        <v>1</v>
      </c>
      <c r="J59" s="22" t="b">
        <f>AND(((GDR_V)&lt;2.5),('FET Data'!$AC59&lt;&gt;"(Null)"))</f>
        <v>0</v>
      </c>
      <c r="K59" s="22" t="b">
        <f>AND(((GDR_V)&gt;=2.5),((GDR_V)&lt;3),OR(('FET Data'!$AD59&lt;&gt;"(Null)"),('FET Data'!$AC59&lt;&gt;"(Null)")))</f>
        <v>0</v>
      </c>
      <c r="L59" s="22" t="b">
        <f>AND(((GDR_V)&gt;=3),((GDR_V)&lt;4.5),OR(('FET Data'!$AE59&lt;&gt;"(Null)"),('FET Data'!$AD59&lt;&gt;"(Null)"),('FET Data'!$AC59&lt;&gt;"(Null)")))</f>
        <v>0</v>
      </c>
      <c r="M59" s="22" t="b">
        <f>AND(((GDR_V)&gt;=4.5),((GDR_V)&lt;6),OR(('FET Data'!$AF59&lt;&gt;"(Null)"),('FET Data'!$AE59&lt;&gt;"(Null)"),('FET Data'!$AD59&lt;&gt;"(Null)"),('FET Data'!$AC59&lt;&gt;"(Null)")))</f>
        <v>0</v>
      </c>
      <c r="N59" s="22" t="b">
        <f>AND(((GDR_V)&gt;=6),((GDR_V)&lt;8),OR(('FET Data'!$AG59&lt;&gt;"(Null)"),('FET Data'!$AF59&lt;&gt;"(Null)"),('FET Data'!$AE59&lt;&gt;"(Null)"),('FET Data'!$AD59&lt;&gt;"(Null)"),('FET Data'!$AC59&lt;&gt;"(Null)")))</f>
        <v>0</v>
      </c>
      <c r="O59" s="22" t="b">
        <f>AND(((GDR_V)&gt;=8),((GDR_V)&lt;10),OR(('FET Data'!$AH59&lt;&gt;"(Null)"),('FET Data'!$AG59&lt;&gt;"(Null)"),('FET Data'!$AF59&lt;&gt;"(Null)"),('FET Data'!$AE59&lt;&gt;"(Null)"),('FET Data'!$AD59&lt;&gt;"(Null)"),('FET Data'!$AC59&lt;&gt;"(Null)")))</f>
        <v>0</v>
      </c>
      <c r="P59" s="22" t="b">
        <f>AND(((GDR_V)&gt;=10),OR(('FET Data'!$AI59&lt;&gt;"(Null)"),('FET Data'!$AH59&lt;&gt;"(Null)"),('FET Data'!$AG59&lt;&gt;"(Null)"),('FET Data'!$AF59&lt;&gt;"(Null)"),('FET Data'!$AE59&lt;&gt;"(Null)"),('FET Data'!$AD59&lt;&gt;"(Null)"),('FET Data'!$AC59&lt;&gt;"(Null)")))</f>
        <v>1</v>
      </c>
      <c r="Q59" s="22" t="b">
        <f t="shared" si="1"/>
        <v>1</v>
      </c>
      <c r="R59" s="22" t="b">
        <f t="shared" si="2"/>
        <v>1</v>
      </c>
    </row>
    <row r="60" spans="1:18" x14ac:dyDescent="0.25">
      <c r="A60" s="22" t="str">
        <f>IF(R60,Discrete_NFET[[#This Row],[PARTNUMBER]],"")</f>
        <v>CSD17576Q5B</v>
      </c>
      <c r="B60" t="s">
        <v>268</v>
      </c>
      <c r="C60" s="22" t="b">
        <f>AND((Discrete_NFET[[#This Row],[VDSMAX]]&gt;=VDC_AVG*1.25),(Discrete_NFET[[#This Row],[VGSMAX]]&gt;=GDR_V*1.2))</f>
        <v>1</v>
      </c>
      <c r="D60" s="22" t="b">
        <f>AND(VDC_AVG&lt;=25,Discrete_NFET[[#This Row],[VDSMAX]]&lt;=30)</f>
        <v>1</v>
      </c>
      <c r="E60" s="22" t="b">
        <f>AND(VDC_AVG&lt;=33,VDC_AVG&gt;=12,Discrete_NFET[[#This Row],[VDSMAX]]=40)</f>
        <v>0</v>
      </c>
      <c r="F60" s="22" t="b">
        <f>AND(VDC_AVG&lt;=50,VDC_AVG&gt;=18,Discrete_NFET[[#This Row],[VDSMAX]]=60)</f>
        <v>0</v>
      </c>
      <c r="G60" s="22" t="b">
        <f>AND(VDC_AVG&lt;=66,VDC_AVG&gt;=24,Discrete_NFET[[#This Row],[VDSMAX]]=80)</f>
        <v>0</v>
      </c>
      <c r="H60" s="22" t="b">
        <f>AND(VDC_AVG&lt;=83,VDC_AVG&gt;=36,Discrete_NFET[[#This Row],[VDSMAX]]=100)</f>
        <v>0</v>
      </c>
      <c r="I60" s="22" t="b">
        <f t="shared" si="0"/>
        <v>1</v>
      </c>
      <c r="J60" s="22" t="b">
        <f>AND(((GDR_V)&lt;2.5),('FET Data'!$AC60&lt;&gt;"(Null)"))</f>
        <v>0</v>
      </c>
      <c r="K60" s="22" t="b">
        <f>AND(((GDR_V)&gt;=2.5),((GDR_V)&lt;3),OR(('FET Data'!$AD60&lt;&gt;"(Null)"),('FET Data'!$AC60&lt;&gt;"(Null)")))</f>
        <v>0</v>
      </c>
      <c r="L60" s="22" t="b">
        <f>AND(((GDR_V)&gt;=3),((GDR_V)&lt;4.5),OR(('FET Data'!$AE60&lt;&gt;"(Null)"),('FET Data'!$AD60&lt;&gt;"(Null)"),('FET Data'!$AC60&lt;&gt;"(Null)")))</f>
        <v>0</v>
      </c>
      <c r="M60" s="22" t="b">
        <f>AND(((GDR_V)&gt;=4.5),((GDR_V)&lt;6),OR(('FET Data'!$AF60&lt;&gt;"(Null)"),('FET Data'!$AE60&lt;&gt;"(Null)"),('FET Data'!$AD60&lt;&gt;"(Null)"),('FET Data'!$AC60&lt;&gt;"(Null)")))</f>
        <v>0</v>
      </c>
      <c r="N60" s="22" t="b">
        <f>AND(((GDR_V)&gt;=6),((GDR_V)&lt;8),OR(('FET Data'!$AG60&lt;&gt;"(Null)"),('FET Data'!$AF60&lt;&gt;"(Null)"),('FET Data'!$AE60&lt;&gt;"(Null)"),('FET Data'!$AD60&lt;&gt;"(Null)"),('FET Data'!$AC60&lt;&gt;"(Null)")))</f>
        <v>0</v>
      </c>
      <c r="O60" s="22" t="b">
        <f>AND(((GDR_V)&gt;=8),((GDR_V)&lt;10),OR(('FET Data'!$AH60&lt;&gt;"(Null)"),('FET Data'!$AG60&lt;&gt;"(Null)"),('FET Data'!$AF60&lt;&gt;"(Null)"),('FET Data'!$AE60&lt;&gt;"(Null)"),('FET Data'!$AD60&lt;&gt;"(Null)"),('FET Data'!$AC60&lt;&gt;"(Null)")))</f>
        <v>0</v>
      </c>
      <c r="P60" s="22" t="b">
        <f>AND(((GDR_V)&gt;=10),OR(('FET Data'!$AI60&lt;&gt;"(Null)"),('FET Data'!$AH60&lt;&gt;"(Null)"),('FET Data'!$AG60&lt;&gt;"(Null)"),('FET Data'!$AF60&lt;&gt;"(Null)"),('FET Data'!$AE60&lt;&gt;"(Null)"),('FET Data'!$AD60&lt;&gt;"(Null)"),('FET Data'!$AC60&lt;&gt;"(Null)")))</f>
        <v>1</v>
      </c>
      <c r="Q60" s="22" t="b">
        <f t="shared" si="1"/>
        <v>1</v>
      </c>
      <c r="R60" s="22" t="b">
        <f t="shared" si="2"/>
        <v>1</v>
      </c>
    </row>
    <row r="61" spans="1:18" x14ac:dyDescent="0.25">
      <c r="A61" s="22" t="str">
        <f>IF(R61,Discrete_NFET[[#This Row],[PARTNUMBER]],"")</f>
        <v>CSD17577Q3A</v>
      </c>
      <c r="B61" t="s">
        <v>271</v>
      </c>
      <c r="C61" s="22" t="b">
        <f>AND((Discrete_NFET[[#This Row],[VDSMAX]]&gt;=VDC_AVG*1.25),(Discrete_NFET[[#This Row],[VGSMAX]]&gt;=GDR_V*1.2))</f>
        <v>1</v>
      </c>
      <c r="D61" s="22" t="b">
        <f>AND(VDC_AVG&lt;=25,Discrete_NFET[[#This Row],[VDSMAX]]&lt;=30)</f>
        <v>1</v>
      </c>
      <c r="E61" s="22" t="b">
        <f>AND(VDC_AVG&lt;=33,VDC_AVG&gt;=12,Discrete_NFET[[#This Row],[VDSMAX]]=40)</f>
        <v>0</v>
      </c>
      <c r="F61" s="22" t="b">
        <f>AND(VDC_AVG&lt;=50,VDC_AVG&gt;=18,Discrete_NFET[[#This Row],[VDSMAX]]=60)</f>
        <v>0</v>
      </c>
      <c r="G61" s="22" t="b">
        <f>AND(VDC_AVG&lt;=66,VDC_AVG&gt;=24,Discrete_NFET[[#This Row],[VDSMAX]]=80)</f>
        <v>0</v>
      </c>
      <c r="H61" s="22" t="b">
        <f>AND(VDC_AVG&lt;=83,VDC_AVG&gt;=36,Discrete_NFET[[#This Row],[VDSMAX]]=100)</f>
        <v>0</v>
      </c>
      <c r="I61" s="22" t="b">
        <f t="shared" si="0"/>
        <v>1</v>
      </c>
      <c r="J61" s="22" t="b">
        <f>AND(((GDR_V)&lt;2.5),('FET Data'!$AC61&lt;&gt;"(Null)"))</f>
        <v>0</v>
      </c>
      <c r="K61" s="22" t="b">
        <f>AND(((GDR_V)&gt;=2.5),((GDR_V)&lt;3),OR(('FET Data'!$AD61&lt;&gt;"(Null)"),('FET Data'!$AC61&lt;&gt;"(Null)")))</f>
        <v>0</v>
      </c>
      <c r="L61" s="22" t="b">
        <f>AND(((GDR_V)&gt;=3),((GDR_V)&lt;4.5),OR(('FET Data'!$AE61&lt;&gt;"(Null)"),('FET Data'!$AD61&lt;&gt;"(Null)"),('FET Data'!$AC61&lt;&gt;"(Null)")))</f>
        <v>0</v>
      </c>
      <c r="M61" s="22" t="b">
        <f>AND(((GDR_V)&gt;=4.5),((GDR_V)&lt;6),OR(('FET Data'!$AF61&lt;&gt;"(Null)"),('FET Data'!$AE61&lt;&gt;"(Null)"),('FET Data'!$AD61&lt;&gt;"(Null)"),('FET Data'!$AC61&lt;&gt;"(Null)")))</f>
        <v>0</v>
      </c>
      <c r="N61" s="22" t="b">
        <f>AND(((GDR_V)&gt;=6),((GDR_V)&lt;8),OR(('FET Data'!$AG61&lt;&gt;"(Null)"),('FET Data'!$AF61&lt;&gt;"(Null)"),('FET Data'!$AE61&lt;&gt;"(Null)"),('FET Data'!$AD61&lt;&gt;"(Null)"),('FET Data'!$AC61&lt;&gt;"(Null)")))</f>
        <v>0</v>
      </c>
      <c r="O61" s="22" t="b">
        <f>AND(((GDR_V)&gt;=8),((GDR_V)&lt;10),OR(('FET Data'!$AH61&lt;&gt;"(Null)"),('FET Data'!$AG61&lt;&gt;"(Null)"),('FET Data'!$AF61&lt;&gt;"(Null)"),('FET Data'!$AE61&lt;&gt;"(Null)"),('FET Data'!$AD61&lt;&gt;"(Null)"),('FET Data'!$AC61&lt;&gt;"(Null)")))</f>
        <v>0</v>
      </c>
      <c r="P61" s="22" t="b">
        <f>AND(((GDR_V)&gt;=10),OR(('FET Data'!$AI61&lt;&gt;"(Null)"),('FET Data'!$AH61&lt;&gt;"(Null)"),('FET Data'!$AG61&lt;&gt;"(Null)"),('FET Data'!$AF61&lt;&gt;"(Null)"),('FET Data'!$AE61&lt;&gt;"(Null)"),('FET Data'!$AD61&lt;&gt;"(Null)"),('FET Data'!$AC61&lt;&gt;"(Null)")))</f>
        <v>1</v>
      </c>
      <c r="Q61" s="22" t="b">
        <f t="shared" si="1"/>
        <v>1</v>
      </c>
      <c r="R61" s="22" t="b">
        <f t="shared" si="2"/>
        <v>1</v>
      </c>
    </row>
    <row r="62" spans="1:18" x14ac:dyDescent="0.25">
      <c r="A62" s="22" t="str">
        <f>IF(R62,Discrete_NFET[[#This Row],[PARTNUMBER]],"")</f>
        <v>CSD17577Q5A</v>
      </c>
      <c r="B62" t="s">
        <v>274</v>
      </c>
      <c r="C62" s="22" t="b">
        <f>AND((Discrete_NFET[[#This Row],[VDSMAX]]&gt;=VDC_AVG*1.25),(Discrete_NFET[[#This Row],[VGSMAX]]&gt;=GDR_V*1.2))</f>
        <v>1</v>
      </c>
      <c r="D62" s="22" t="b">
        <f>AND(VDC_AVG&lt;=25,Discrete_NFET[[#This Row],[VDSMAX]]&lt;=30)</f>
        <v>1</v>
      </c>
      <c r="E62" s="22" t="b">
        <f>AND(VDC_AVG&lt;=33,VDC_AVG&gt;=12,Discrete_NFET[[#This Row],[VDSMAX]]=40)</f>
        <v>0</v>
      </c>
      <c r="F62" s="22" t="b">
        <f>AND(VDC_AVG&lt;=50,VDC_AVG&gt;=18,Discrete_NFET[[#This Row],[VDSMAX]]=60)</f>
        <v>0</v>
      </c>
      <c r="G62" s="22" t="b">
        <f>AND(VDC_AVG&lt;=66,VDC_AVG&gt;=24,Discrete_NFET[[#This Row],[VDSMAX]]=80)</f>
        <v>0</v>
      </c>
      <c r="H62" s="22" t="b">
        <f>AND(VDC_AVG&lt;=83,VDC_AVG&gt;=36,Discrete_NFET[[#This Row],[VDSMAX]]=100)</f>
        <v>0</v>
      </c>
      <c r="I62" s="22" t="b">
        <f t="shared" si="0"/>
        <v>1</v>
      </c>
      <c r="J62" s="22" t="b">
        <f>AND(((GDR_V)&lt;2.5),('FET Data'!$AC62&lt;&gt;"(Null)"))</f>
        <v>0</v>
      </c>
      <c r="K62" s="22" t="b">
        <f>AND(((GDR_V)&gt;=2.5),((GDR_V)&lt;3),OR(('FET Data'!$AD62&lt;&gt;"(Null)"),('FET Data'!$AC62&lt;&gt;"(Null)")))</f>
        <v>0</v>
      </c>
      <c r="L62" s="22" t="b">
        <f>AND(((GDR_V)&gt;=3),((GDR_V)&lt;4.5),OR(('FET Data'!$AE62&lt;&gt;"(Null)"),('FET Data'!$AD62&lt;&gt;"(Null)"),('FET Data'!$AC62&lt;&gt;"(Null)")))</f>
        <v>0</v>
      </c>
      <c r="M62" s="22" t="b">
        <f>AND(((GDR_V)&gt;=4.5),((GDR_V)&lt;6),OR(('FET Data'!$AF62&lt;&gt;"(Null)"),('FET Data'!$AE62&lt;&gt;"(Null)"),('FET Data'!$AD62&lt;&gt;"(Null)"),('FET Data'!$AC62&lt;&gt;"(Null)")))</f>
        <v>0</v>
      </c>
      <c r="N62" s="22" t="b">
        <f>AND(((GDR_V)&gt;=6),((GDR_V)&lt;8),OR(('FET Data'!$AG62&lt;&gt;"(Null)"),('FET Data'!$AF62&lt;&gt;"(Null)"),('FET Data'!$AE62&lt;&gt;"(Null)"),('FET Data'!$AD62&lt;&gt;"(Null)"),('FET Data'!$AC62&lt;&gt;"(Null)")))</f>
        <v>0</v>
      </c>
      <c r="O62" s="22" t="b">
        <f>AND(((GDR_V)&gt;=8),((GDR_V)&lt;10),OR(('FET Data'!$AH62&lt;&gt;"(Null)"),('FET Data'!$AG62&lt;&gt;"(Null)"),('FET Data'!$AF62&lt;&gt;"(Null)"),('FET Data'!$AE62&lt;&gt;"(Null)"),('FET Data'!$AD62&lt;&gt;"(Null)"),('FET Data'!$AC62&lt;&gt;"(Null)")))</f>
        <v>0</v>
      </c>
      <c r="P62" s="22" t="b">
        <f>AND(((GDR_V)&gt;=10),OR(('FET Data'!$AI62&lt;&gt;"(Null)"),('FET Data'!$AH62&lt;&gt;"(Null)"),('FET Data'!$AG62&lt;&gt;"(Null)"),('FET Data'!$AF62&lt;&gt;"(Null)"),('FET Data'!$AE62&lt;&gt;"(Null)"),('FET Data'!$AD62&lt;&gt;"(Null)"),('FET Data'!$AC62&lt;&gt;"(Null)")))</f>
        <v>1</v>
      </c>
      <c r="Q62" s="22" t="b">
        <f t="shared" si="1"/>
        <v>1</v>
      </c>
      <c r="R62" s="22" t="b">
        <f t="shared" si="2"/>
        <v>1</v>
      </c>
    </row>
    <row r="63" spans="1:18" x14ac:dyDescent="0.25">
      <c r="A63" s="22" t="str">
        <f>IF(R63,Discrete_NFET[[#This Row],[PARTNUMBER]],"")</f>
        <v>CSD17578Q3A</v>
      </c>
      <c r="B63" t="s">
        <v>276</v>
      </c>
      <c r="C63" s="22" t="b">
        <f>AND((Discrete_NFET[[#This Row],[VDSMAX]]&gt;=VDC_AVG*1.25),(Discrete_NFET[[#This Row],[VGSMAX]]&gt;=GDR_V*1.2))</f>
        <v>1</v>
      </c>
      <c r="D63" s="22" t="b">
        <f>AND(VDC_AVG&lt;=25,Discrete_NFET[[#This Row],[VDSMAX]]&lt;=30)</f>
        <v>1</v>
      </c>
      <c r="E63" s="22" t="b">
        <f>AND(VDC_AVG&lt;=33,VDC_AVG&gt;=12,Discrete_NFET[[#This Row],[VDSMAX]]=40)</f>
        <v>0</v>
      </c>
      <c r="F63" s="22" t="b">
        <f>AND(VDC_AVG&lt;=50,VDC_AVG&gt;=18,Discrete_NFET[[#This Row],[VDSMAX]]=60)</f>
        <v>0</v>
      </c>
      <c r="G63" s="22" t="b">
        <f>AND(VDC_AVG&lt;=66,VDC_AVG&gt;=24,Discrete_NFET[[#This Row],[VDSMAX]]=80)</f>
        <v>0</v>
      </c>
      <c r="H63" s="22" t="b">
        <f>AND(VDC_AVG&lt;=83,VDC_AVG&gt;=36,Discrete_NFET[[#This Row],[VDSMAX]]=100)</f>
        <v>0</v>
      </c>
      <c r="I63" s="22" t="b">
        <f t="shared" si="0"/>
        <v>1</v>
      </c>
      <c r="J63" s="22" t="b">
        <f>AND(((GDR_V)&lt;2.5),('FET Data'!$AC63&lt;&gt;"(Null)"))</f>
        <v>0</v>
      </c>
      <c r="K63" s="22" t="b">
        <f>AND(((GDR_V)&gt;=2.5),((GDR_V)&lt;3),OR(('FET Data'!$AD63&lt;&gt;"(Null)"),('FET Data'!$AC63&lt;&gt;"(Null)")))</f>
        <v>0</v>
      </c>
      <c r="L63" s="22" t="b">
        <f>AND(((GDR_V)&gt;=3),((GDR_V)&lt;4.5),OR(('FET Data'!$AE63&lt;&gt;"(Null)"),('FET Data'!$AD63&lt;&gt;"(Null)"),('FET Data'!$AC63&lt;&gt;"(Null)")))</f>
        <v>0</v>
      </c>
      <c r="M63" s="22" t="b">
        <f>AND(((GDR_V)&gt;=4.5),((GDR_V)&lt;6),OR(('FET Data'!$AF63&lt;&gt;"(Null)"),('FET Data'!$AE63&lt;&gt;"(Null)"),('FET Data'!$AD63&lt;&gt;"(Null)"),('FET Data'!$AC63&lt;&gt;"(Null)")))</f>
        <v>0</v>
      </c>
      <c r="N63" s="22" t="b">
        <f>AND(((GDR_V)&gt;=6),((GDR_V)&lt;8),OR(('FET Data'!$AG63&lt;&gt;"(Null)"),('FET Data'!$AF63&lt;&gt;"(Null)"),('FET Data'!$AE63&lt;&gt;"(Null)"),('FET Data'!$AD63&lt;&gt;"(Null)"),('FET Data'!$AC63&lt;&gt;"(Null)")))</f>
        <v>0</v>
      </c>
      <c r="O63" s="22" t="b">
        <f>AND(((GDR_V)&gt;=8),((GDR_V)&lt;10),OR(('FET Data'!$AH63&lt;&gt;"(Null)"),('FET Data'!$AG63&lt;&gt;"(Null)"),('FET Data'!$AF63&lt;&gt;"(Null)"),('FET Data'!$AE63&lt;&gt;"(Null)"),('FET Data'!$AD63&lt;&gt;"(Null)"),('FET Data'!$AC63&lt;&gt;"(Null)")))</f>
        <v>0</v>
      </c>
      <c r="P63" s="22" t="b">
        <f>AND(((GDR_V)&gt;=10),OR(('FET Data'!$AI63&lt;&gt;"(Null)"),('FET Data'!$AH63&lt;&gt;"(Null)"),('FET Data'!$AG63&lt;&gt;"(Null)"),('FET Data'!$AF63&lt;&gt;"(Null)"),('FET Data'!$AE63&lt;&gt;"(Null)"),('FET Data'!$AD63&lt;&gt;"(Null)"),('FET Data'!$AC63&lt;&gt;"(Null)")))</f>
        <v>1</v>
      </c>
      <c r="Q63" s="22" t="b">
        <f t="shared" si="1"/>
        <v>1</v>
      </c>
      <c r="R63" s="22" t="b">
        <f t="shared" si="2"/>
        <v>1</v>
      </c>
    </row>
    <row r="64" spans="1:18" x14ac:dyDescent="0.25">
      <c r="A64" s="22" t="str">
        <f>IF(R64,Discrete_NFET[[#This Row],[PARTNUMBER]],"")</f>
        <v>CSD17578Q5A</v>
      </c>
      <c r="B64" t="s">
        <v>278</v>
      </c>
      <c r="C64" s="22" t="b">
        <f>AND((Discrete_NFET[[#This Row],[VDSMAX]]&gt;=VDC_AVG*1.25),(Discrete_NFET[[#This Row],[VGSMAX]]&gt;=GDR_V*1.2))</f>
        <v>1</v>
      </c>
      <c r="D64" s="22" t="b">
        <f>AND(VDC_AVG&lt;=25,Discrete_NFET[[#This Row],[VDSMAX]]&lt;=30)</f>
        <v>1</v>
      </c>
      <c r="E64" s="22" t="b">
        <f>AND(VDC_AVG&lt;=33,VDC_AVG&gt;=12,Discrete_NFET[[#This Row],[VDSMAX]]=40)</f>
        <v>0</v>
      </c>
      <c r="F64" s="22" t="b">
        <f>AND(VDC_AVG&lt;=50,VDC_AVG&gt;=18,Discrete_NFET[[#This Row],[VDSMAX]]=60)</f>
        <v>0</v>
      </c>
      <c r="G64" s="22" t="b">
        <f>AND(VDC_AVG&lt;=66,VDC_AVG&gt;=24,Discrete_NFET[[#This Row],[VDSMAX]]=80)</f>
        <v>0</v>
      </c>
      <c r="H64" s="22" t="b">
        <f>AND(VDC_AVG&lt;=83,VDC_AVG&gt;=36,Discrete_NFET[[#This Row],[VDSMAX]]=100)</f>
        <v>0</v>
      </c>
      <c r="I64" s="22" t="b">
        <f t="shared" si="0"/>
        <v>1</v>
      </c>
      <c r="J64" s="22" t="b">
        <f>AND(((GDR_V)&lt;2.5),('FET Data'!$AC64&lt;&gt;"(Null)"))</f>
        <v>0</v>
      </c>
      <c r="K64" s="22" t="b">
        <f>AND(((GDR_V)&gt;=2.5),((GDR_V)&lt;3),OR(('FET Data'!$AD64&lt;&gt;"(Null)"),('FET Data'!$AC64&lt;&gt;"(Null)")))</f>
        <v>0</v>
      </c>
      <c r="L64" s="22" t="b">
        <f>AND(((GDR_V)&gt;=3),((GDR_V)&lt;4.5),OR(('FET Data'!$AE64&lt;&gt;"(Null)"),('FET Data'!$AD64&lt;&gt;"(Null)"),('FET Data'!$AC64&lt;&gt;"(Null)")))</f>
        <v>0</v>
      </c>
      <c r="M64" s="22" t="b">
        <f>AND(((GDR_V)&gt;=4.5),((GDR_V)&lt;6),OR(('FET Data'!$AF64&lt;&gt;"(Null)"),('FET Data'!$AE64&lt;&gt;"(Null)"),('FET Data'!$AD64&lt;&gt;"(Null)"),('FET Data'!$AC64&lt;&gt;"(Null)")))</f>
        <v>0</v>
      </c>
      <c r="N64" s="22" t="b">
        <f>AND(((GDR_V)&gt;=6),((GDR_V)&lt;8),OR(('FET Data'!$AG64&lt;&gt;"(Null)"),('FET Data'!$AF64&lt;&gt;"(Null)"),('FET Data'!$AE64&lt;&gt;"(Null)"),('FET Data'!$AD64&lt;&gt;"(Null)"),('FET Data'!$AC64&lt;&gt;"(Null)")))</f>
        <v>0</v>
      </c>
      <c r="O64" s="22" t="b">
        <f>AND(((GDR_V)&gt;=8),((GDR_V)&lt;10),OR(('FET Data'!$AH64&lt;&gt;"(Null)"),('FET Data'!$AG64&lt;&gt;"(Null)"),('FET Data'!$AF64&lt;&gt;"(Null)"),('FET Data'!$AE64&lt;&gt;"(Null)"),('FET Data'!$AD64&lt;&gt;"(Null)"),('FET Data'!$AC64&lt;&gt;"(Null)")))</f>
        <v>0</v>
      </c>
      <c r="P64" s="22" t="b">
        <f>AND(((GDR_V)&gt;=10),OR(('FET Data'!$AI64&lt;&gt;"(Null)"),('FET Data'!$AH64&lt;&gt;"(Null)"),('FET Data'!$AG64&lt;&gt;"(Null)"),('FET Data'!$AF64&lt;&gt;"(Null)"),('FET Data'!$AE64&lt;&gt;"(Null)"),('FET Data'!$AD64&lt;&gt;"(Null)"),('FET Data'!$AC64&lt;&gt;"(Null)")))</f>
        <v>1</v>
      </c>
      <c r="Q64" s="22" t="b">
        <f t="shared" si="1"/>
        <v>1</v>
      </c>
      <c r="R64" s="22" t="b">
        <f t="shared" si="2"/>
        <v>1</v>
      </c>
    </row>
    <row r="65" spans="1:18" x14ac:dyDescent="0.25">
      <c r="A65" s="22" t="str">
        <f>IF(R65,Discrete_NFET[[#This Row],[PARTNUMBER]],"")</f>
        <v>CSD17579Q3A</v>
      </c>
      <c r="B65" t="s">
        <v>280</v>
      </c>
      <c r="C65" s="22" t="b">
        <f>AND((Discrete_NFET[[#This Row],[VDSMAX]]&gt;=VDC_AVG*1.25),(Discrete_NFET[[#This Row],[VGSMAX]]&gt;=GDR_V*1.2))</f>
        <v>1</v>
      </c>
      <c r="D65" s="22" t="b">
        <f>AND(VDC_AVG&lt;=25,Discrete_NFET[[#This Row],[VDSMAX]]&lt;=30)</f>
        <v>1</v>
      </c>
      <c r="E65" s="22" t="b">
        <f>AND(VDC_AVG&lt;=33,VDC_AVG&gt;=12,Discrete_NFET[[#This Row],[VDSMAX]]=40)</f>
        <v>0</v>
      </c>
      <c r="F65" s="22" t="b">
        <f>AND(VDC_AVG&lt;=50,VDC_AVG&gt;=18,Discrete_NFET[[#This Row],[VDSMAX]]=60)</f>
        <v>0</v>
      </c>
      <c r="G65" s="22" t="b">
        <f>AND(VDC_AVG&lt;=66,VDC_AVG&gt;=24,Discrete_NFET[[#This Row],[VDSMAX]]=80)</f>
        <v>0</v>
      </c>
      <c r="H65" s="22" t="b">
        <f>AND(VDC_AVG&lt;=83,VDC_AVG&gt;=36,Discrete_NFET[[#This Row],[VDSMAX]]=100)</f>
        <v>0</v>
      </c>
      <c r="I65" s="22" t="b">
        <f t="shared" si="0"/>
        <v>1</v>
      </c>
      <c r="J65" s="22" t="b">
        <f>AND(((GDR_V)&lt;2.5),('FET Data'!$AC65&lt;&gt;"(Null)"))</f>
        <v>0</v>
      </c>
      <c r="K65" s="22" t="b">
        <f>AND(((GDR_V)&gt;=2.5),((GDR_V)&lt;3),OR(('FET Data'!$AD65&lt;&gt;"(Null)"),('FET Data'!$AC65&lt;&gt;"(Null)")))</f>
        <v>0</v>
      </c>
      <c r="L65" s="22" t="b">
        <f>AND(((GDR_V)&gt;=3),((GDR_V)&lt;4.5),OR(('FET Data'!$AE65&lt;&gt;"(Null)"),('FET Data'!$AD65&lt;&gt;"(Null)"),('FET Data'!$AC65&lt;&gt;"(Null)")))</f>
        <v>0</v>
      </c>
      <c r="M65" s="22" t="b">
        <f>AND(((GDR_V)&gt;=4.5),((GDR_V)&lt;6),OR(('FET Data'!$AF65&lt;&gt;"(Null)"),('FET Data'!$AE65&lt;&gt;"(Null)"),('FET Data'!$AD65&lt;&gt;"(Null)"),('FET Data'!$AC65&lt;&gt;"(Null)")))</f>
        <v>0</v>
      </c>
      <c r="N65" s="22" t="b">
        <f>AND(((GDR_V)&gt;=6),((GDR_V)&lt;8),OR(('FET Data'!$AG65&lt;&gt;"(Null)"),('FET Data'!$AF65&lt;&gt;"(Null)"),('FET Data'!$AE65&lt;&gt;"(Null)"),('FET Data'!$AD65&lt;&gt;"(Null)"),('FET Data'!$AC65&lt;&gt;"(Null)")))</f>
        <v>0</v>
      </c>
      <c r="O65" s="22" t="b">
        <f>AND(((GDR_V)&gt;=8),((GDR_V)&lt;10),OR(('FET Data'!$AH65&lt;&gt;"(Null)"),('FET Data'!$AG65&lt;&gt;"(Null)"),('FET Data'!$AF65&lt;&gt;"(Null)"),('FET Data'!$AE65&lt;&gt;"(Null)"),('FET Data'!$AD65&lt;&gt;"(Null)"),('FET Data'!$AC65&lt;&gt;"(Null)")))</f>
        <v>0</v>
      </c>
      <c r="P65" s="22" t="b">
        <f>AND(((GDR_V)&gt;=10),OR(('FET Data'!$AI65&lt;&gt;"(Null)"),('FET Data'!$AH65&lt;&gt;"(Null)"),('FET Data'!$AG65&lt;&gt;"(Null)"),('FET Data'!$AF65&lt;&gt;"(Null)"),('FET Data'!$AE65&lt;&gt;"(Null)"),('FET Data'!$AD65&lt;&gt;"(Null)"),('FET Data'!$AC65&lt;&gt;"(Null)")))</f>
        <v>1</v>
      </c>
      <c r="Q65" s="22" t="b">
        <f t="shared" si="1"/>
        <v>1</v>
      </c>
      <c r="R65" s="22" t="b">
        <f t="shared" si="2"/>
        <v>1</v>
      </c>
    </row>
    <row r="66" spans="1:18" x14ac:dyDescent="0.25">
      <c r="A66" s="22" t="str">
        <f>IF(R66,Discrete_NFET[[#This Row],[PARTNUMBER]],"")</f>
        <v>CSD17579Q5A</v>
      </c>
      <c r="B66" t="s">
        <v>283</v>
      </c>
      <c r="C66" s="22" t="b">
        <f>AND((Discrete_NFET[[#This Row],[VDSMAX]]&gt;=VDC_AVG*1.25),(Discrete_NFET[[#This Row],[VGSMAX]]&gt;=GDR_V*1.2))</f>
        <v>1</v>
      </c>
      <c r="D66" s="22" t="b">
        <f>AND(VDC_AVG&lt;=25,Discrete_NFET[[#This Row],[VDSMAX]]&lt;=30)</f>
        <v>1</v>
      </c>
      <c r="E66" s="22" t="b">
        <f>AND(VDC_AVG&lt;=33,VDC_AVG&gt;=12,Discrete_NFET[[#This Row],[VDSMAX]]=40)</f>
        <v>0</v>
      </c>
      <c r="F66" s="22" t="b">
        <f>AND(VDC_AVG&lt;=50,VDC_AVG&gt;=18,Discrete_NFET[[#This Row],[VDSMAX]]=60)</f>
        <v>0</v>
      </c>
      <c r="G66" s="22" t="b">
        <f>AND(VDC_AVG&lt;=66,VDC_AVG&gt;=24,Discrete_NFET[[#This Row],[VDSMAX]]=80)</f>
        <v>0</v>
      </c>
      <c r="H66" s="22" t="b">
        <f>AND(VDC_AVG&lt;=83,VDC_AVG&gt;=36,Discrete_NFET[[#This Row],[VDSMAX]]=100)</f>
        <v>0</v>
      </c>
      <c r="I66" s="22" t="b">
        <f t="shared" si="0"/>
        <v>1</v>
      </c>
      <c r="J66" s="22" t="b">
        <f>AND(((GDR_V)&lt;2.5),('FET Data'!$AC66&lt;&gt;"(Null)"))</f>
        <v>0</v>
      </c>
      <c r="K66" s="22" t="b">
        <f>AND(((GDR_V)&gt;=2.5),((GDR_V)&lt;3),OR(('FET Data'!$AD66&lt;&gt;"(Null)"),('FET Data'!$AC66&lt;&gt;"(Null)")))</f>
        <v>0</v>
      </c>
      <c r="L66" s="22" t="b">
        <f>AND(((GDR_V)&gt;=3),((GDR_V)&lt;4.5),OR(('FET Data'!$AE66&lt;&gt;"(Null)"),('FET Data'!$AD66&lt;&gt;"(Null)"),('FET Data'!$AC66&lt;&gt;"(Null)")))</f>
        <v>0</v>
      </c>
      <c r="M66" s="22" t="b">
        <f>AND(((GDR_V)&gt;=4.5),((GDR_V)&lt;6),OR(('FET Data'!$AF66&lt;&gt;"(Null)"),('FET Data'!$AE66&lt;&gt;"(Null)"),('FET Data'!$AD66&lt;&gt;"(Null)"),('FET Data'!$AC66&lt;&gt;"(Null)")))</f>
        <v>0</v>
      </c>
      <c r="N66" s="22" t="b">
        <f>AND(((GDR_V)&gt;=6),((GDR_V)&lt;8),OR(('FET Data'!$AG66&lt;&gt;"(Null)"),('FET Data'!$AF66&lt;&gt;"(Null)"),('FET Data'!$AE66&lt;&gt;"(Null)"),('FET Data'!$AD66&lt;&gt;"(Null)"),('FET Data'!$AC66&lt;&gt;"(Null)")))</f>
        <v>0</v>
      </c>
      <c r="O66" s="22" t="b">
        <f>AND(((GDR_V)&gt;=8),((GDR_V)&lt;10),OR(('FET Data'!$AH66&lt;&gt;"(Null)"),('FET Data'!$AG66&lt;&gt;"(Null)"),('FET Data'!$AF66&lt;&gt;"(Null)"),('FET Data'!$AE66&lt;&gt;"(Null)"),('FET Data'!$AD66&lt;&gt;"(Null)"),('FET Data'!$AC66&lt;&gt;"(Null)")))</f>
        <v>0</v>
      </c>
      <c r="P66" s="22" t="b">
        <f>AND(((GDR_V)&gt;=10),OR(('FET Data'!$AI66&lt;&gt;"(Null)"),('FET Data'!$AH66&lt;&gt;"(Null)"),('FET Data'!$AG66&lt;&gt;"(Null)"),('FET Data'!$AF66&lt;&gt;"(Null)"),('FET Data'!$AE66&lt;&gt;"(Null)"),('FET Data'!$AD66&lt;&gt;"(Null)"),('FET Data'!$AC66&lt;&gt;"(Null)")))</f>
        <v>1</v>
      </c>
      <c r="Q66" s="22" t="b">
        <f t="shared" si="1"/>
        <v>1</v>
      </c>
      <c r="R66" s="22" t="b">
        <f t="shared" si="2"/>
        <v>1</v>
      </c>
    </row>
    <row r="67" spans="1:18" x14ac:dyDescent="0.25">
      <c r="A67" s="22" t="str">
        <f>IF(R67,Discrete_NFET[[#This Row],[PARTNUMBER]],"")</f>
        <v>CSD17581Q3A</v>
      </c>
      <c r="B67" t="s">
        <v>286</v>
      </c>
      <c r="C67" s="22" t="b">
        <f>AND((Discrete_NFET[[#This Row],[VDSMAX]]&gt;=VDC_AVG*1.25),(Discrete_NFET[[#This Row],[VGSMAX]]&gt;=GDR_V*1.2))</f>
        <v>1</v>
      </c>
      <c r="D67" s="22" t="b">
        <f>AND(VDC_AVG&lt;=25,Discrete_NFET[[#This Row],[VDSMAX]]&lt;=30)</f>
        <v>1</v>
      </c>
      <c r="E67" s="22" t="b">
        <f>AND(VDC_AVG&lt;=33,VDC_AVG&gt;=12,Discrete_NFET[[#This Row],[VDSMAX]]=40)</f>
        <v>0</v>
      </c>
      <c r="F67" s="22" t="b">
        <f>AND(VDC_AVG&lt;=50,VDC_AVG&gt;=18,Discrete_NFET[[#This Row],[VDSMAX]]=60)</f>
        <v>0</v>
      </c>
      <c r="G67" s="22" t="b">
        <f>AND(VDC_AVG&lt;=66,VDC_AVG&gt;=24,Discrete_NFET[[#This Row],[VDSMAX]]=80)</f>
        <v>0</v>
      </c>
      <c r="H67" s="22" t="b">
        <f>AND(VDC_AVG&lt;=83,VDC_AVG&gt;=36,Discrete_NFET[[#This Row],[VDSMAX]]=100)</f>
        <v>0</v>
      </c>
      <c r="I67" s="22" t="b">
        <f t="shared" ref="I67:I128" si="7">OR(D67:H67)</f>
        <v>1</v>
      </c>
      <c r="J67" s="22" t="b">
        <f>AND(((GDR_V)&lt;2.5),('FET Data'!$AC67&lt;&gt;"(Null)"))</f>
        <v>0</v>
      </c>
      <c r="K67" s="22" t="b">
        <f>AND(((GDR_V)&gt;=2.5),((GDR_V)&lt;3),OR(('FET Data'!$AD67&lt;&gt;"(Null)"),('FET Data'!$AC67&lt;&gt;"(Null)")))</f>
        <v>0</v>
      </c>
      <c r="L67" s="22" t="b">
        <f>AND(((GDR_V)&gt;=3),((GDR_V)&lt;4.5),OR(('FET Data'!$AE67&lt;&gt;"(Null)"),('FET Data'!$AD67&lt;&gt;"(Null)"),('FET Data'!$AC67&lt;&gt;"(Null)")))</f>
        <v>0</v>
      </c>
      <c r="M67" s="22" t="b">
        <f>AND(((GDR_V)&gt;=4.5),((GDR_V)&lt;6),OR(('FET Data'!$AF67&lt;&gt;"(Null)"),('FET Data'!$AE67&lt;&gt;"(Null)"),('FET Data'!$AD67&lt;&gt;"(Null)"),('FET Data'!$AC67&lt;&gt;"(Null)")))</f>
        <v>0</v>
      </c>
      <c r="N67" s="22" t="b">
        <f>AND(((GDR_V)&gt;=6),((GDR_V)&lt;8),OR(('FET Data'!$AG67&lt;&gt;"(Null)"),('FET Data'!$AF67&lt;&gt;"(Null)"),('FET Data'!$AE67&lt;&gt;"(Null)"),('FET Data'!$AD67&lt;&gt;"(Null)"),('FET Data'!$AC67&lt;&gt;"(Null)")))</f>
        <v>0</v>
      </c>
      <c r="O67" s="22" t="b">
        <f>AND(((GDR_V)&gt;=8),((GDR_V)&lt;10),OR(('FET Data'!$AH67&lt;&gt;"(Null)"),('FET Data'!$AG67&lt;&gt;"(Null)"),('FET Data'!$AF67&lt;&gt;"(Null)"),('FET Data'!$AE67&lt;&gt;"(Null)"),('FET Data'!$AD67&lt;&gt;"(Null)"),('FET Data'!$AC67&lt;&gt;"(Null)")))</f>
        <v>0</v>
      </c>
      <c r="P67" s="22" t="b">
        <f>AND(((GDR_V)&gt;=10),OR(('FET Data'!$AI67&lt;&gt;"(Null)"),('FET Data'!$AH67&lt;&gt;"(Null)"),('FET Data'!$AG67&lt;&gt;"(Null)"),('FET Data'!$AF67&lt;&gt;"(Null)"),('FET Data'!$AE67&lt;&gt;"(Null)"),('FET Data'!$AD67&lt;&gt;"(Null)"),('FET Data'!$AC67&lt;&gt;"(Null)")))</f>
        <v>1</v>
      </c>
      <c r="Q67" s="22" t="b">
        <f t="shared" ref="Q67:Q128" si="8">OR(J67:P67)</f>
        <v>1</v>
      </c>
      <c r="R67" s="22" t="b">
        <f t="shared" ref="R67:R128" si="9">AND(C67,I67,Q67)</f>
        <v>1</v>
      </c>
    </row>
    <row r="68" spans="1:18" x14ac:dyDescent="0.25">
      <c r="A68" s="22" t="str">
        <f>IF(R68,Discrete_NFET[[#This Row],[PARTNUMBER]],"")</f>
        <v>CSD17581Q5A</v>
      </c>
      <c r="B68" t="s">
        <v>288</v>
      </c>
      <c r="C68" s="22" t="b">
        <f>AND((Discrete_NFET[[#This Row],[VDSMAX]]&gt;=VDC_AVG*1.25),(Discrete_NFET[[#This Row],[VGSMAX]]&gt;=GDR_V*1.2))</f>
        <v>1</v>
      </c>
      <c r="D68" s="22" t="b">
        <f>AND(VDC_AVG&lt;=25,Discrete_NFET[[#This Row],[VDSMAX]]&lt;=30)</f>
        <v>1</v>
      </c>
      <c r="E68" s="22" t="b">
        <f>AND(VDC_AVG&lt;=33,VDC_AVG&gt;=12,Discrete_NFET[[#This Row],[VDSMAX]]=40)</f>
        <v>0</v>
      </c>
      <c r="F68" s="22" t="b">
        <f>AND(VDC_AVG&lt;=50,VDC_AVG&gt;=18,Discrete_NFET[[#This Row],[VDSMAX]]=60)</f>
        <v>0</v>
      </c>
      <c r="G68" s="22" t="b">
        <f>AND(VDC_AVG&lt;=66,VDC_AVG&gt;=24,Discrete_NFET[[#This Row],[VDSMAX]]=80)</f>
        <v>0</v>
      </c>
      <c r="H68" s="22" t="b">
        <f>AND(VDC_AVG&lt;=83,VDC_AVG&gt;=36,Discrete_NFET[[#This Row],[VDSMAX]]=100)</f>
        <v>0</v>
      </c>
      <c r="I68" s="22" t="b">
        <f t="shared" si="7"/>
        <v>1</v>
      </c>
      <c r="J68" s="22" t="b">
        <f>AND(((GDR_V)&lt;2.5),('FET Data'!$AC68&lt;&gt;"(Null)"))</f>
        <v>0</v>
      </c>
      <c r="K68" s="22" t="b">
        <f>AND(((GDR_V)&gt;=2.5),((GDR_V)&lt;3),OR(('FET Data'!$AD68&lt;&gt;"(Null)"),('FET Data'!$AC68&lt;&gt;"(Null)")))</f>
        <v>0</v>
      </c>
      <c r="L68" s="22" t="b">
        <f>AND(((GDR_V)&gt;=3),((GDR_V)&lt;4.5),OR(('FET Data'!$AE68&lt;&gt;"(Null)"),('FET Data'!$AD68&lt;&gt;"(Null)"),('FET Data'!$AC68&lt;&gt;"(Null)")))</f>
        <v>0</v>
      </c>
      <c r="M68" s="22" t="b">
        <f>AND(((GDR_V)&gt;=4.5),((GDR_V)&lt;6),OR(('FET Data'!$AF68&lt;&gt;"(Null)"),('FET Data'!$AE68&lt;&gt;"(Null)"),('FET Data'!$AD68&lt;&gt;"(Null)"),('FET Data'!$AC68&lt;&gt;"(Null)")))</f>
        <v>0</v>
      </c>
      <c r="N68" s="22" t="b">
        <f>AND(((GDR_V)&gt;=6),((GDR_V)&lt;8),OR(('FET Data'!$AG68&lt;&gt;"(Null)"),('FET Data'!$AF68&lt;&gt;"(Null)"),('FET Data'!$AE68&lt;&gt;"(Null)"),('FET Data'!$AD68&lt;&gt;"(Null)"),('FET Data'!$AC68&lt;&gt;"(Null)")))</f>
        <v>0</v>
      </c>
      <c r="O68" s="22" t="b">
        <f>AND(((GDR_V)&gt;=8),((GDR_V)&lt;10),OR(('FET Data'!$AH68&lt;&gt;"(Null)"),('FET Data'!$AG68&lt;&gt;"(Null)"),('FET Data'!$AF68&lt;&gt;"(Null)"),('FET Data'!$AE68&lt;&gt;"(Null)"),('FET Data'!$AD68&lt;&gt;"(Null)"),('FET Data'!$AC68&lt;&gt;"(Null)")))</f>
        <v>0</v>
      </c>
      <c r="P68" s="22" t="b">
        <f>AND(((GDR_V)&gt;=10),OR(('FET Data'!$AI68&lt;&gt;"(Null)"),('FET Data'!$AH68&lt;&gt;"(Null)"),('FET Data'!$AG68&lt;&gt;"(Null)"),('FET Data'!$AF68&lt;&gt;"(Null)"),('FET Data'!$AE68&lt;&gt;"(Null)"),('FET Data'!$AD68&lt;&gt;"(Null)"),('FET Data'!$AC68&lt;&gt;"(Null)")))</f>
        <v>1</v>
      </c>
      <c r="Q68" s="22" t="b">
        <f t="shared" si="8"/>
        <v>1</v>
      </c>
      <c r="R68" s="22" t="b">
        <f t="shared" si="9"/>
        <v>1</v>
      </c>
    </row>
    <row r="69" spans="1:18" x14ac:dyDescent="0.25">
      <c r="A69" s="22" t="str">
        <f>IF(R69,Discrete_NFET[[#This Row],[PARTNUMBER]],"")</f>
        <v>CSD18501Q5A</v>
      </c>
      <c r="B69" t="s">
        <v>290</v>
      </c>
      <c r="C69" s="22" t="b">
        <f>AND((Discrete_NFET[[#This Row],[VDSMAX]]&gt;=VDC_AVG*1.25),(Discrete_NFET[[#This Row],[VGSMAX]]&gt;=GDR_V*1.2))</f>
        <v>1</v>
      </c>
      <c r="D69" s="22" t="b">
        <f>AND(VDC_AVG&lt;=25,Discrete_NFET[[#This Row],[VDSMAX]]&lt;=30)</f>
        <v>0</v>
      </c>
      <c r="E69" s="22" t="b">
        <f>AND(VDC_AVG&lt;=33,VDC_AVG&gt;=12,Discrete_NFET[[#This Row],[VDSMAX]]=40)</f>
        <v>1</v>
      </c>
      <c r="F69" s="22" t="b">
        <f>AND(VDC_AVG&lt;=50,VDC_AVG&gt;=18,Discrete_NFET[[#This Row],[VDSMAX]]=60)</f>
        <v>0</v>
      </c>
      <c r="G69" s="22" t="b">
        <f>AND(VDC_AVG&lt;=66,VDC_AVG&gt;=24,Discrete_NFET[[#This Row],[VDSMAX]]=80)</f>
        <v>0</v>
      </c>
      <c r="H69" s="22" t="b">
        <f>AND(VDC_AVG&lt;=83,VDC_AVG&gt;=36,Discrete_NFET[[#This Row],[VDSMAX]]=100)</f>
        <v>0</v>
      </c>
      <c r="I69" s="22" t="b">
        <f t="shared" si="7"/>
        <v>1</v>
      </c>
      <c r="J69" s="22" t="b">
        <f>AND(((GDR_V)&lt;2.5),('FET Data'!$AC69&lt;&gt;"(Null)"))</f>
        <v>0</v>
      </c>
      <c r="K69" s="22" t="b">
        <f>AND(((GDR_V)&gt;=2.5),((GDR_V)&lt;3),OR(('FET Data'!$AD69&lt;&gt;"(Null)"),('FET Data'!$AC69&lt;&gt;"(Null)")))</f>
        <v>0</v>
      </c>
      <c r="L69" s="22" t="b">
        <f>AND(((GDR_V)&gt;=3),((GDR_V)&lt;4.5),OR(('FET Data'!$AE69&lt;&gt;"(Null)"),('FET Data'!$AD69&lt;&gt;"(Null)"),('FET Data'!$AC69&lt;&gt;"(Null)")))</f>
        <v>0</v>
      </c>
      <c r="M69" s="22" t="b">
        <f>AND(((GDR_V)&gt;=4.5),((GDR_V)&lt;6),OR(('FET Data'!$AF69&lt;&gt;"(Null)"),('FET Data'!$AE69&lt;&gt;"(Null)"),('FET Data'!$AD69&lt;&gt;"(Null)"),('FET Data'!$AC69&lt;&gt;"(Null)")))</f>
        <v>0</v>
      </c>
      <c r="N69" s="22" t="b">
        <f>AND(((GDR_V)&gt;=6),((GDR_V)&lt;8),OR(('FET Data'!$AG69&lt;&gt;"(Null)"),('FET Data'!$AF69&lt;&gt;"(Null)"),('FET Data'!$AE69&lt;&gt;"(Null)"),('FET Data'!$AD69&lt;&gt;"(Null)"),('FET Data'!$AC69&lt;&gt;"(Null)")))</f>
        <v>0</v>
      </c>
      <c r="O69" s="22" t="b">
        <f>AND(((GDR_V)&gt;=8),((GDR_V)&lt;10),OR(('FET Data'!$AH69&lt;&gt;"(Null)"),('FET Data'!$AG69&lt;&gt;"(Null)"),('FET Data'!$AF69&lt;&gt;"(Null)"),('FET Data'!$AE69&lt;&gt;"(Null)"),('FET Data'!$AD69&lt;&gt;"(Null)"),('FET Data'!$AC69&lt;&gt;"(Null)")))</f>
        <v>0</v>
      </c>
      <c r="P69" s="22" t="b">
        <f>AND(((GDR_V)&gt;=10),OR(('FET Data'!$AI69&lt;&gt;"(Null)"),('FET Data'!$AH69&lt;&gt;"(Null)"),('FET Data'!$AG69&lt;&gt;"(Null)"),('FET Data'!$AF69&lt;&gt;"(Null)"),('FET Data'!$AE69&lt;&gt;"(Null)"),('FET Data'!$AD69&lt;&gt;"(Null)"),('FET Data'!$AC69&lt;&gt;"(Null)")))</f>
        <v>1</v>
      </c>
      <c r="Q69" s="22" t="b">
        <f t="shared" si="8"/>
        <v>1</v>
      </c>
      <c r="R69" s="22" t="b">
        <f t="shared" si="9"/>
        <v>1</v>
      </c>
    </row>
    <row r="70" spans="1:18" x14ac:dyDescent="0.25">
      <c r="A70" s="22" t="str">
        <f>IF(R70,Discrete_NFET[[#This Row],[PARTNUMBER]],"")</f>
        <v>CSD18502KCS</v>
      </c>
      <c r="B70" t="s">
        <v>293</v>
      </c>
      <c r="C70" s="22" t="b">
        <f>AND((Discrete_NFET[[#This Row],[VDSMAX]]&gt;=VDC_AVG*1.25),(Discrete_NFET[[#This Row],[VGSMAX]]&gt;=GDR_V*1.2))</f>
        <v>1</v>
      </c>
      <c r="D70" s="22" t="b">
        <f>AND(VDC_AVG&lt;=25,Discrete_NFET[[#This Row],[VDSMAX]]&lt;=30)</f>
        <v>0</v>
      </c>
      <c r="E70" s="22" t="b">
        <f>AND(VDC_AVG&lt;=33,VDC_AVG&gt;=12,Discrete_NFET[[#This Row],[VDSMAX]]=40)</f>
        <v>1</v>
      </c>
      <c r="F70" s="22" t="b">
        <f>AND(VDC_AVG&lt;=50,VDC_AVG&gt;=18,Discrete_NFET[[#This Row],[VDSMAX]]=60)</f>
        <v>0</v>
      </c>
      <c r="G70" s="22" t="b">
        <f>AND(VDC_AVG&lt;=66,VDC_AVG&gt;=24,Discrete_NFET[[#This Row],[VDSMAX]]=80)</f>
        <v>0</v>
      </c>
      <c r="H70" s="22" t="b">
        <f>AND(VDC_AVG&lt;=83,VDC_AVG&gt;=36,Discrete_NFET[[#This Row],[VDSMAX]]=100)</f>
        <v>0</v>
      </c>
      <c r="I70" s="22" t="b">
        <f t="shared" si="7"/>
        <v>1</v>
      </c>
      <c r="J70" s="22" t="b">
        <f>AND(((GDR_V)&lt;2.5),('FET Data'!$AC70&lt;&gt;"(Null)"))</f>
        <v>0</v>
      </c>
      <c r="K70" s="22" t="b">
        <f>AND(((GDR_V)&gt;=2.5),((GDR_V)&lt;3),OR(('FET Data'!$AD70&lt;&gt;"(Null)"),('FET Data'!$AC70&lt;&gt;"(Null)")))</f>
        <v>0</v>
      </c>
      <c r="L70" s="22" t="b">
        <f>AND(((GDR_V)&gt;=3),((GDR_V)&lt;4.5),OR(('FET Data'!$AE70&lt;&gt;"(Null)"),('FET Data'!$AD70&lt;&gt;"(Null)"),('FET Data'!$AC70&lt;&gt;"(Null)")))</f>
        <v>0</v>
      </c>
      <c r="M70" s="22" t="b">
        <f>AND(((GDR_V)&gt;=4.5),((GDR_V)&lt;6),OR(('FET Data'!$AF70&lt;&gt;"(Null)"),('FET Data'!$AE70&lt;&gt;"(Null)"),('FET Data'!$AD70&lt;&gt;"(Null)"),('FET Data'!$AC70&lt;&gt;"(Null)")))</f>
        <v>0</v>
      </c>
      <c r="N70" s="22" t="b">
        <f>AND(((GDR_V)&gt;=6),((GDR_V)&lt;8),OR(('FET Data'!$AG70&lt;&gt;"(Null)"),('FET Data'!$AF70&lt;&gt;"(Null)"),('FET Data'!$AE70&lt;&gt;"(Null)"),('FET Data'!$AD70&lt;&gt;"(Null)"),('FET Data'!$AC70&lt;&gt;"(Null)")))</f>
        <v>0</v>
      </c>
      <c r="O70" s="22" t="b">
        <f>AND(((GDR_V)&gt;=8),((GDR_V)&lt;10),OR(('FET Data'!$AH70&lt;&gt;"(Null)"),('FET Data'!$AG70&lt;&gt;"(Null)"),('FET Data'!$AF70&lt;&gt;"(Null)"),('FET Data'!$AE70&lt;&gt;"(Null)"),('FET Data'!$AD70&lt;&gt;"(Null)"),('FET Data'!$AC70&lt;&gt;"(Null)")))</f>
        <v>0</v>
      </c>
      <c r="P70" s="22" t="b">
        <f>AND(((GDR_V)&gt;=10),OR(('FET Data'!$AI70&lt;&gt;"(Null)"),('FET Data'!$AH70&lt;&gt;"(Null)"),('FET Data'!$AG70&lt;&gt;"(Null)"),('FET Data'!$AF70&lt;&gt;"(Null)"),('FET Data'!$AE70&lt;&gt;"(Null)"),('FET Data'!$AD70&lt;&gt;"(Null)"),('FET Data'!$AC70&lt;&gt;"(Null)")))</f>
        <v>1</v>
      </c>
      <c r="Q70" s="22" t="b">
        <f t="shared" si="8"/>
        <v>1</v>
      </c>
      <c r="R70" s="22" t="b">
        <f t="shared" si="9"/>
        <v>1</v>
      </c>
    </row>
    <row r="71" spans="1:18" x14ac:dyDescent="0.25">
      <c r="A71" s="22" t="str">
        <f>IF(R71,Discrete_NFET[[#This Row],[PARTNUMBER]],"")</f>
        <v>CSD18502Q5B</v>
      </c>
      <c r="B71" t="s">
        <v>296</v>
      </c>
      <c r="C71" s="22" t="b">
        <f>AND((Discrete_NFET[[#This Row],[VDSMAX]]&gt;=VDC_AVG*1.25),(Discrete_NFET[[#This Row],[VGSMAX]]&gt;=GDR_V*1.2))</f>
        <v>1</v>
      </c>
      <c r="D71" s="22" t="b">
        <f>AND(VDC_AVG&lt;=25,Discrete_NFET[[#This Row],[VDSMAX]]&lt;=30)</f>
        <v>0</v>
      </c>
      <c r="E71" s="22" t="b">
        <f>AND(VDC_AVG&lt;=33,VDC_AVG&gt;=12,Discrete_NFET[[#This Row],[VDSMAX]]=40)</f>
        <v>1</v>
      </c>
      <c r="F71" s="22" t="b">
        <f>AND(VDC_AVG&lt;=50,VDC_AVG&gt;=18,Discrete_NFET[[#This Row],[VDSMAX]]=60)</f>
        <v>0</v>
      </c>
      <c r="G71" s="22" t="b">
        <f>AND(VDC_AVG&lt;=66,VDC_AVG&gt;=24,Discrete_NFET[[#This Row],[VDSMAX]]=80)</f>
        <v>0</v>
      </c>
      <c r="H71" s="22" t="b">
        <f>AND(VDC_AVG&lt;=83,VDC_AVG&gt;=36,Discrete_NFET[[#This Row],[VDSMAX]]=100)</f>
        <v>0</v>
      </c>
      <c r="I71" s="22" t="b">
        <f t="shared" si="7"/>
        <v>1</v>
      </c>
      <c r="J71" s="22" t="b">
        <f>AND(((GDR_V)&lt;2.5),('FET Data'!$AC71&lt;&gt;"(Null)"))</f>
        <v>0</v>
      </c>
      <c r="K71" s="22" t="b">
        <f>AND(((GDR_V)&gt;=2.5),((GDR_V)&lt;3),OR(('FET Data'!$AD71&lt;&gt;"(Null)"),('FET Data'!$AC71&lt;&gt;"(Null)")))</f>
        <v>0</v>
      </c>
      <c r="L71" s="22" t="b">
        <f>AND(((GDR_V)&gt;=3),((GDR_V)&lt;4.5),OR(('FET Data'!$AE71&lt;&gt;"(Null)"),('FET Data'!$AD71&lt;&gt;"(Null)"),('FET Data'!$AC71&lt;&gt;"(Null)")))</f>
        <v>0</v>
      </c>
      <c r="M71" s="22" t="b">
        <f>AND(((GDR_V)&gt;=4.5),((GDR_V)&lt;6),OR(('FET Data'!$AF71&lt;&gt;"(Null)"),('FET Data'!$AE71&lt;&gt;"(Null)"),('FET Data'!$AD71&lt;&gt;"(Null)"),('FET Data'!$AC71&lt;&gt;"(Null)")))</f>
        <v>0</v>
      </c>
      <c r="N71" s="22" t="b">
        <f>AND(((GDR_V)&gt;=6),((GDR_V)&lt;8),OR(('FET Data'!$AG71&lt;&gt;"(Null)"),('FET Data'!$AF71&lt;&gt;"(Null)"),('FET Data'!$AE71&lt;&gt;"(Null)"),('FET Data'!$AD71&lt;&gt;"(Null)"),('FET Data'!$AC71&lt;&gt;"(Null)")))</f>
        <v>0</v>
      </c>
      <c r="O71" s="22" t="b">
        <f>AND(((GDR_V)&gt;=8),((GDR_V)&lt;10),OR(('FET Data'!$AH71&lt;&gt;"(Null)"),('FET Data'!$AG71&lt;&gt;"(Null)"),('FET Data'!$AF71&lt;&gt;"(Null)"),('FET Data'!$AE71&lt;&gt;"(Null)"),('FET Data'!$AD71&lt;&gt;"(Null)"),('FET Data'!$AC71&lt;&gt;"(Null)")))</f>
        <v>0</v>
      </c>
      <c r="P71" s="22" t="b">
        <f>AND(((GDR_V)&gt;=10),OR(('FET Data'!$AI71&lt;&gt;"(Null)"),('FET Data'!$AH71&lt;&gt;"(Null)"),('FET Data'!$AG71&lt;&gt;"(Null)"),('FET Data'!$AF71&lt;&gt;"(Null)"),('FET Data'!$AE71&lt;&gt;"(Null)"),('FET Data'!$AD71&lt;&gt;"(Null)"),('FET Data'!$AC71&lt;&gt;"(Null)")))</f>
        <v>1</v>
      </c>
      <c r="Q71" s="22" t="b">
        <f t="shared" si="8"/>
        <v>1</v>
      </c>
      <c r="R71" s="22" t="b">
        <f t="shared" si="9"/>
        <v>1</v>
      </c>
    </row>
    <row r="72" spans="1:18" x14ac:dyDescent="0.25">
      <c r="A72" s="22" t="str">
        <f>IF(R72,Discrete_NFET[[#This Row],[PARTNUMBER]],"")</f>
        <v>CSD18503KCS</v>
      </c>
      <c r="B72" t="s">
        <v>298</v>
      </c>
      <c r="C72" s="22" t="b">
        <f>AND((Discrete_NFET[[#This Row],[VDSMAX]]&gt;=VDC_AVG*1.25),(Discrete_NFET[[#This Row],[VGSMAX]]&gt;=GDR_V*1.2))</f>
        <v>1</v>
      </c>
      <c r="D72" s="22" t="b">
        <f>AND(VDC_AVG&lt;=25,Discrete_NFET[[#This Row],[VDSMAX]]&lt;=30)</f>
        <v>0</v>
      </c>
      <c r="E72" s="22" t="b">
        <f>AND(VDC_AVG&lt;=33,VDC_AVG&gt;=12,Discrete_NFET[[#This Row],[VDSMAX]]=40)</f>
        <v>1</v>
      </c>
      <c r="F72" s="22" t="b">
        <f>AND(VDC_AVG&lt;=50,VDC_AVG&gt;=18,Discrete_NFET[[#This Row],[VDSMAX]]=60)</f>
        <v>0</v>
      </c>
      <c r="G72" s="22" t="b">
        <f>AND(VDC_AVG&lt;=66,VDC_AVG&gt;=24,Discrete_NFET[[#This Row],[VDSMAX]]=80)</f>
        <v>0</v>
      </c>
      <c r="H72" s="22" t="b">
        <f>AND(VDC_AVG&lt;=83,VDC_AVG&gt;=36,Discrete_NFET[[#This Row],[VDSMAX]]=100)</f>
        <v>0</v>
      </c>
      <c r="I72" s="22" t="b">
        <f t="shared" si="7"/>
        <v>1</v>
      </c>
      <c r="J72" s="22" t="b">
        <f>AND(((GDR_V)&lt;2.5),('FET Data'!$AC72&lt;&gt;"(Null)"))</f>
        <v>0</v>
      </c>
      <c r="K72" s="22" t="b">
        <f>AND(((GDR_V)&gt;=2.5),((GDR_V)&lt;3),OR(('FET Data'!$AD72&lt;&gt;"(Null)"),('FET Data'!$AC72&lt;&gt;"(Null)")))</f>
        <v>0</v>
      </c>
      <c r="L72" s="22" t="b">
        <f>AND(((GDR_V)&gt;=3),((GDR_V)&lt;4.5),OR(('FET Data'!$AE72&lt;&gt;"(Null)"),('FET Data'!$AD72&lt;&gt;"(Null)"),('FET Data'!$AC72&lt;&gt;"(Null)")))</f>
        <v>0</v>
      </c>
      <c r="M72" s="22" t="b">
        <f>AND(((GDR_V)&gt;=4.5),((GDR_V)&lt;6),OR(('FET Data'!$AF72&lt;&gt;"(Null)"),('FET Data'!$AE72&lt;&gt;"(Null)"),('FET Data'!$AD72&lt;&gt;"(Null)"),('FET Data'!$AC72&lt;&gt;"(Null)")))</f>
        <v>0</v>
      </c>
      <c r="N72" s="22" t="b">
        <f>AND(((GDR_V)&gt;=6),((GDR_V)&lt;8),OR(('FET Data'!$AG72&lt;&gt;"(Null)"),('FET Data'!$AF72&lt;&gt;"(Null)"),('FET Data'!$AE72&lt;&gt;"(Null)"),('FET Data'!$AD72&lt;&gt;"(Null)"),('FET Data'!$AC72&lt;&gt;"(Null)")))</f>
        <v>0</v>
      </c>
      <c r="O72" s="22" t="b">
        <f>AND(((GDR_V)&gt;=8),((GDR_V)&lt;10),OR(('FET Data'!$AH72&lt;&gt;"(Null)"),('FET Data'!$AG72&lt;&gt;"(Null)"),('FET Data'!$AF72&lt;&gt;"(Null)"),('FET Data'!$AE72&lt;&gt;"(Null)"),('FET Data'!$AD72&lt;&gt;"(Null)"),('FET Data'!$AC72&lt;&gt;"(Null)")))</f>
        <v>0</v>
      </c>
      <c r="P72" s="22" t="b">
        <f>AND(((GDR_V)&gt;=10),OR(('FET Data'!$AI72&lt;&gt;"(Null)"),('FET Data'!$AH72&lt;&gt;"(Null)"),('FET Data'!$AG72&lt;&gt;"(Null)"),('FET Data'!$AF72&lt;&gt;"(Null)"),('FET Data'!$AE72&lt;&gt;"(Null)"),('FET Data'!$AD72&lt;&gt;"(Null)"),('FET Data'!$AC72&lt;&gt;"(Null)")))</f>
        <v>1</v>
      </c>
      <c r="Q72" s="22" t="b">
        <f t="shared" si="8"/>
        <v>1</v>
      </c>
      <c r="R72" s="22" t="b">
        <f t="shared" si="9"/>
        <v>1</v>
      </c>
    </row>
    <row r="73" spans="1:18" x14ac:dyDescent="0.25">
      <c r="A73" s="22" t="str">
        <f>IF(R73,Discrete_NFET[[#This Row],[PARTNUMBER]],"")</f>
        <v>CSD18503Q5A</v>
      </c>
      <c r="B73" t="s">
        <v>301</v>
      </c>
      <c r="C73" s="22" t="b">
        <f>AND((Discrete_NFET[[#This Row],[VDSMAX]]&gt;=VDC_AVG*1.25),(Discrete_NFET[[#This Row],[VGSMAX]]&gt;=GDR_V*1.2))</f>
        <v>1</v>
      </c>
      <c r="D73" s="22" t="b">
        <f>AND(VDC_AVG&lt;=25,Discrete_NFET[[#This Row],[VDSMAX]]&lt;=30)</f>
        <v>0</v>
      </c>
      <c r="E73" s="22" t="b">
        <f>AND(VDC_AVG&lt;=33,VDC_AVG&gt;=12,Discrete_NFET[[#This Row],[VDSMAX]]=40)</f>
        <v>1</v>
      </c>
      <c r="F73" s="22" t="b">
        <f>AND(VDC_AVG&lt;=50,VDC_AVG&gt;=18,Discrete_NFET[[#This Row],[VDSMAX]]=60)</f>
        <v>0</v>
      </c>
      <c r="G73" s="22" t="b">
        <f>AND(VDC_AVG&lt;=66,VDC_AVG&gt;=24,Discrete_NFET[[#This Row],[VDSMAX]]=80)</f>
        <v>0</v>
      </c>
      <c r="H73" s="22" t="b">
        <f>AND(VDC_AVG&lt;=83,VDC_AVG&gt;=36,Discrete_NFET[[#This Row],[VDSMAX]]=100)</f>
        <v>0</v>
      </c>
      <c r="I73" s="22" t="b">
        <f t="shared" si="7"/>
        <v>1</v>
      </c>
      <c r="J73" s="22" t="b">
        <f>AND(((GDR_V)&lt;2.5),('FET Data'!$AC73&lt;&gt;"(Null)"))</f>
        <v>0</v>
      </c>
      <c r="K73" s="22" t="b">
        <f>AND(((GDR_V)&gt;=2.5),((GDR_V)&lt;3),OR(('FET Data'!$AD73&lt;&gt;"(Null)"),('FET Data'!$AC73&lt;&gt;"(Null)")))</f>
        <v>0</v>
      </c>
      <c r="L73" s="22" t="b">
        <f>AND(((GDR_V)&gt;=3),((GDR_V)&lt;4.5),OR(('FET Data'!$AE73&lt;&gt;"(Null)"),('FET Data'!$AD73&lt;&gt;"(Null)"),('FET Data'!$AC73&lt;&gt;"(Null)")))</f>
        <v>0</v>
      </c>
      <c r="M73" s="22" t="b">
        <f>AND(((GDR_V)&gt;=4.5),((GDR_V)&lt;6),OR(('FET Data'!$AF73&lt;&gt;"(Null)"),('FET Data'!$AE73&lt;&gt;"(Null)"),('FET Data'!$AD73&lt;&gt;"(Null)"),('FET Data'!$AC73&lt;&gt;"(Null)")))</f>
        <v>0</v>
      </c>
      <c r="N73" s="22" t="b">
        <f>AND(((GDR_V)&gt;=6),((GDR_V)&lt;8),OR(('FET Data'!$AG73&lt;&gt;"(Null)"),('FET Data'!$AF73&lt;&gt;"(Null)"),('FET Data'!$AE73&lt;&gt;"(Null)"),('FET Data'!$AD73&lt;&gt;"(Null)"),('FET Data'!$AC73&lt;&gt;"(Null)")))</f>
        <v>0</v>
      </c>
      <c r="O73" s="22" t="b">
        <f>AND(((GDR_V)&gt;=8),((GDR_V)&lt;10),OR(('FET Data'!$AH73&lt;&gt;"(Null)"),('FET Data'!$AG73&lt;&gt;"(Null)"),('FET Data'!$AF73&lt;&gt;"(Null)"),('FET Data'!$AE73&lt;&gt;"(Null)"),('FET Data'!$AD73&lt;&gt;"(Null)"),('FET Data'!$AC73&lt;&gt;"(Null)")))</f>
        <v>0</v>
      </c>
      <c r="P73" s="22" t="b">
        <f>AND(((GDR_V)&gt;=10),OR(('FET Data'!$AI73&lt;&gt;"(Null)"),('FET Data'!$AH73&lt;&gt;"(Null)"),('FET Data'!$AG73&lt;&gt;"(Null)"),('FET Data'!$AF73&lt;&gt;"(Null)"),('FET Data'!$AE73&lt;&gt;"(Null)"),('FET Data'!$AD73&lt;&gt;"(Null)"),('FET Data'!$AC73&lt;&gt;"(Null)")))</f>
        <v>1</v>
      </c>
      <c r="Q73" s="22" t="b">
        <f t="shared" si="8"/>
        <v>1</v>
      </c>
      <c r="R73" s="22" t="b">
        <f t="shared" si="9"/>
        <v>1</v>
      </c>
    </row>
    <row r="74" spans="1:18" x14ac:dyDescent="0.25">
      <c r="A74" s="22" t="str">
        <f>IF(R74,Discrete_NFET[[#This Row],[PARTNUMBER]],"")</f>
        <v>CSD18504KCS</v>
      </c>
      <c r="B74" t="s">
        <v>304</v>
      </c>
      <c r="C74" s="22" t="b">
        <f>AND((Discrete_NFET[[#This Row],[VDSMAX]]&gt;=VDC_AVG*1.25),(Discrete_NFET[[#This Row],[VGSMAX]]&gt;=GDR_V*1.2))</f>
        <v>1</v>
      </c>
      <c r="D74" s="22" t="b">
        <f>AND(VDC_AVG&lt;=25,Discrete_NFET[[#This Row],[VDSMAX]]&lt;=30)</f>
        <v>0</v>
      </c>
      <c r="E74" s="22" t="b">
        <f>AND(VDC_AVG&lt;=33,VDC_AVG&gt;=12,Discrete_NFET[[#This Row],[VDSMAX]]=40)</f>
        <v>1</v>
      </c>
      <c r="F74" s="22" t="b">
        <f>AND(VDC_AVG&lt;=50,VDC_AVG&gt;=18,Discrete_NFET[[#This Row],[VDSMAX]]=60)</f>
        <v>0</v>
      </c>
      <c r="G74" s="22" t="b">
        <f>AND(VDC_AVG&lt;=66,VDC_AVG&gt;=24,Discrete_NFET[[#This Row],[VDSMAX]]=80)</f>
        <v>0</v>
      </c>
      <c r="H74" s="22" t="b">
        <f>AND(VDC_AVG&lt;=83,VDC_AVG&gt;=36,Discrete_NFET[[#This Row],[VDSMAX]]=100)</f>
        <v>0</v>
      </c>
      <c r="I74" s="22" t="b">
        <f t="shared" si="7"/>
        <v>1</v>
      </c>
      <c r="J74" s="22" t="b">
        <f>AND(((GDR_V)&lt;2.5),('FET Data'!$AC74&lt;&gt;"(Null)"))</f>
        <v>0</v>
      </c>
      <c r="K74" s="22" t="b">
        <f>AND(((GDR_V)&gt;=2.5),((GDR_V)&lt;3),OR(('FET Data'!$AD74&lt;&gt;"(Null)"),('FET Data'!$AC74&lt;&gt;"(Null)")))</f>
        <v>0</v>
      </c>
      <c r="L74" s="22" t="b">
        <f>AND(((GDR_V)&gt;=3),((GDR_V)&lt;4.5),OR(('FET Data'!$AE74&lt;&gt;"(Null)"),('FET Data'!$AD74&lt;&gt;"(Null)"),('FET Data'!$AC74&lt;&gt;"(Null)")))</f>
        <v>0</v>
      </c>
      <c r="M74" s="22" t="b">
        <f>AND(((GDR_V)&gt;=4.5),((GDR_V)&lt;6),OR(('FET Data'!$AF74&lt;&gt;"(Null)"),('FET Data'!$AE74&lt;&gt;"(Null)"),('FET Data'!$AD74&lt;&gt;"(Null)"),('FET Data'!$AC74&lt;&gt;"(Null)")))</f>
        <v>0</v>
      </c>
      <c r="N74" s="22" t="b">
        <f>AND(((GDR_V)&gt;=6),((GDR_V)&lt;8),OR(('FET Data'!$AG74&lt;&gt;"(Null)"),('FET Data'!$AF74&lt;&gt;"(Null)"),('FET Data'!$AE74&lt;&gt;"(Null)"),('FET Data'!$AD74&lt;&gt;"(Null)"),('FET Data'!$AC74&lt;&gt;"(Null)")))</f>
        <v>0</v>
      </c>
      <c r="O74" s="22" t="b">
        <f>AND(((GDR_V)&gt;=8),((GDR_V)&lt;10),OR(('FET Data'!$AH74&lt;&gt;"(Null)"),('FET Data'!$AG74&lt;&gt;"(Null)"),('FET Data'!$AF74&lt;&gt;"(Null)"),('FET Data'!$AE74&lt;&gt;"(Null)"),('FET Data'!$AD74&lt;&gt;"(Null)"),('FET Data'!$AC74&lt;&gt;"(Null)")))</f>
        <v>0</v>
      </c>
      <c r="P74" s="22" t="b">
        <f>AND(((GDR_V)&gt;=10),OR(('FET Data'!$AI74&lt;&gt;"(Null)"),('FET Data'!$AH74&lt;&gt;"(Null)"),('FET Data'!$AG74&lt;&gt;"(Null)"),('FET Data'!$AF74&lt;&gt;"(Null)"),('FET Data'!$AE74&lt;&gt;"(Null)"),('FET Data'!$AD74&lt;&gt;"(Null)"),('FET Data'!$AC74&lt;&gt;"(Null)")))</f>
        <v>1</v>
      </c>
      <c r="Q74" s="22" t="b">
        <f t="shared" si="8"/>
        <v>1</v>
      </c>
      <c r="R74" s="22" t="b">
        <f t="shared" si="9"/>
        <v>1</v>
      </c>
    </row>
    <row r="75" spans="1:18" x14ac:dyDescent="0.25">
      <c r="A75" s="22" t="str">
        <f>IF(R75,Discrete_NFET[[#This Row],[PARTNUMBER]],"")</f>
        <v>CSD18504Q5A</v>
      </c>
      <c r="B75" t="s">
        <v>307</v>
      </c>
      <c r="C75" s="22" t="b">
        <f>AND((Discrete_NFET[[#This Row],[VDSMAX]]&gt;=VDC_AVG*1.25),(Discrete_NFET[[#This Row],[VGSMAX]]&gt;=GDR_V*1.2))</f>
        <v>1</v>
      </c>
      <c r="D75" s="22" t="b">
        <f>AND(VDC_AVG&lt;=25,Discrete_NFET[[#This Row],[VDSMAX]]&lt;=30)</f>
        <v>0</v>
      </c>
      <c r="E75" s="22" t="b">
        <f>AND(VDC_AVG&lt;=33,VDC_AVG&gt;=12,Discrete_NFET[[#This Row],[VDSMAX]]=40)</f>
        <v>1</v>
      </c>
      <c r="F75" s="22" t="b">
        <f>AND(VDC_AVG&lt;=50,VDC_AVG&gt;=18,Discrete_NFET[[#This Row],[VDSMAX]]=60)</f>
        <v>0</v>
      </c>
      <c r="G75" s="22" t="b">
        <f>AND(VDC_AVG&lt;=66,VDC_AVG&gt;=24,Discrete_NFET[[#This Row],[VDSMAX]]=80)</f>
        <v>0</v>
      </c>
      <c r="H75" s="22" t="b">
        <f>AND(VDC_AVG&lt;=83,VDC_AVG&gt;=36,Discrete_NFET[[#This Row],[VDSMAX]]=100)</f>
        <v>0</v>
      </c>
      <c r="I75" s="22" t="b">
        <f t="shared" si="7"/>
        <v>1</v>
      </c>
      <c r="J75" s="22" t="b">
        <f>AND(((GDR_V)&lt;2.5),('FET Data'!$AC75&lt;&gt;"(Null)"))</f>
        <v>0</v>
      </c>
      <c r="K75" s="22" t="b">
        <f>AND(((GDR_V)&gt;=2.5),((GDR_V)&lt;3),OR(('FET Data'!$AD75&lt;&gt;"(Null)"),('FET Data'!$AC75&lt;&gt;"(Null)")))</f>
        <v>0</v>
      </c>
      <c r="L75" s="22" t="b">
        <f>AND(((GDR_V)&gt;=3),((GDR_V)&lt;4.5),OR(('FET Data'!$AE75&lt;&gt;"(Null)"),('FET Data'!$AD75&lt;&gt;"(Null)"),('FET Data'!$AC75&lt;&gt;"(Null)")))</f>
        <v>0</v>
      </c>
      <c r="M75" s="22" t="b">
        <f>AND(((GDR_V)&gt;=4.5),((GDR_V)&lt;6),OR(('FET Data'!$AF75&lt;&gt;"(Null)"),('FET Data'!$AE75&lt;&gt;"(Null)"),('FET Data'!$AD75&lt;&gt;"(Null)"),('FET Data'!$AC75&lt;&gt;"(Null)")))</f>
        <v>0</v>
      </c>
      <c r="N75" s="22" t="b">
        <f>AND(((GDR_V)&gt;=6),((GDR_V)&lt;8),OR(('FET Data'!$AG75&lt;&gt;"(Null)"),('FET Data'!$AF75&lt;&gt;"(Null)"),('FET Data'!$AE75&lt;&gt;"(Null)"),('FET Data'!$AD75&lt;&gt;"(Null)"),('FET Data'!$AC75&lt;&gt;"(Null)")))</f>
        <v>0</v>
      </c>
      <c r="O75" s="22" t="b">
        <f>AND(((GDR_V)&gt;=8),((GDR_V)&lt;10),OR(('FET Data'!$AH75&lt;&gt;"(Null)"),('FET Data'!$AG75&lt;&gt;"(Null)"),('FET Data'!$AF75&lt;&gt;"(Null)"),('FET Data'!$AE75&lt;&gt;"(Null)"),('FET Data'!$AD75&lt;&gt;"(Null)"),('FET Data'!$AC75&lt;&gt;"(Null)")))</f>
        <v>0</v>
      </c>
      <c r="P75" s="22" t="b">
        <f>AND(((GDR_V)&gt;=10),OR(('FET Data'!$AI75&lt;&gt;"(Null)"),('FET Data'!$AH75&lt;&gt;"(Null)"),('FET Data'!$AG75&lt;&gt;"(Null)"),('FET Data'!$AF75&lt;&gt;"(Null)"),('FET Data'!$AE75&lt;&gt;"(Null)"),('FET Data'!$AD75&lt;&gt;"(Null)"),('FET Data'!$AC75&lt;&gt;"(Null)")))</f>
        <v>1</v>
      </c>
      <c r="Q75" s="22" t="b">
        <f t="shared" si="8"/>
        <v>1</v>
      </c>
      <c r="R75" s="22" t="b">
        <f t="shared" si="9"/>
        <v>1</v>
      </c>
    </row>
    <row r="76" spans="1:18" x14ac:dyDescent="0.25">
      <c r="A76" s="22" t="str">
        <f>IF(R76,Discrete_NFET[[#This Row],[PARTNUMBER]],"")</f>
        <v>CSD18509Q5B</v>
      </c>
      <c r="B76" t="s">
        <v>309</v>
      </c>
      <c r="C76" s="22" t="b">
        <f>AND((Discrete_NFET[[#This Row],[VDSMAX]]&gt;=VDC_AVG*1.25),(Discrete_NFET[[#This Row],[VGSMAX]]&gt;=GDR_V*1.2))</f>
        <v>1</v>
      </c>
      <c r="D76" s="22" t="b">
        <f>AND(VDC_AVG&lt;=25,Discrete_NFET[[#This Row],[VDSMAX]]&lt;=30)</f>
        <v>0</v>
      </c>
      <c r="E76" s="22" t="b">
        <f>AND(VDC_AVG&lt;=33,VDC_AVG&gt;=12,Discrete_NFET[[#This Row],[VDSMAX]]=40)</f>
        <v>1</v>
      </c>
      <c r="F76" s="22" t="b">
        <f>AND(VDC_AVG&lt;=50,VDC_AVG&gt;=18,Discrete_NFET[[#This Row],[VDSMAX]]=60)</f>
        <v>0</v>
      </c>
      <c r="G76" s="22" t="b">
        <f>AND(VDC_AVG&lt;=66,VDC_AVG&gt;=24,Discrete_NFET[[#This Row],[VDSMAX]]=80)</f>
        <v>0</v>
      </c>
      <c r="H76" s="22" t="b">
        <f>AND(VDC_AVG&lt;=83,VDC_AVG&gt;=36,Discrete_NFET[[#This Row],[VDSMAX]]=100)</f>
        <v>0</v>
      </c>
      <c r="I76" s="22" t="b">
        <f t="shared" si="7"/>
        <v>1</v>
      </c>
      <c r="J76" s="22" t="b">
        <f>AND(((GDR_V)&lt;2.5),('FET Data'!$AC76&lt;&gt;"(Null)"))</f>
        <v>0</v>
      </c>
      <c r="K76" s="22" t="b">
        <f>AND(((GDR_V)&gt;=2.5),((GDR_V)&lt;3),OR(('FET Data'!$AD76&lt;&gt;"(Null)"),('FET Data'!$AC76&lt;&gt;"(Null)")))</f>
        <v>0</v>
      </c>
      <c r="L76" s="22" t="b">
        <f>AND(((GDR_V)&gt;=3),((GDR_V)&lt;4.5),OR(('FET Data'!$AE76&lt;&gt;"(Null)"),('FET Data'!$AD76&lt;&gt;"(Null)"),('FET Data'!$AC76&lt;&gt;"(Null)")))</f>
        <v>0</v>
      </c>
      <c r="M76" s="22" t="b">
        <f>AND(((GDR_V)&gt;=4.5),((GDR_V)&lt;6),OR(('FET Data'!$AF76&lt;&gt;"(Null)"),('FET Data'!$AE76&lt;&gt;"(Null)"),('FET Data'!$AD76&lt;&gt;"(Null)"),('FET Data'!$AC76&lt;&gt;"(Null)")))</f>
        <v>0</v>
      </c>
      <c r="N76" s="22" t="b">
        <f>AND(((GDR_V)&gt;=6),((GDR_V)&lt;8),OR(('FET Data'!$AG76&lt;&gt;"(Null)"),('FET Data'!$AF76&lt;&gt;"(Null)"),('FET Data'!$AE76&lt;&gt;"(Null)"),('FET Data'!$AD76&lt;&gt;"(Null)"),('FET Data'!$AC76&lt;&gt;"(Null)")))</f>
        <v>0</v>
      </c>
      <c r="O76" s="22" t="b">
        <f>AND(((GDR_V)&gt;=8),((GDR_V)&lt;10),OR(('FET Data'!$AH76&lt;&gt;"(Null)"),('FET Data'!$AG76&lt;&gt;"(Null)"),('FET Data'!$AF76&lt;&gt;"(Null)"),('FET Data'!$AE76&lt;&gt;"(Null)"),('FET Data'!$AD76&lt;&gt;"(Null)"),('FET Data'!$AC76&lt;&gt;"(Null)")))</f>
        <v>0</v>
      </c>
      <c r="P76" s="22" t="b">
        <f>AND(((GDR_V)&gt;=10),OR(('FET Data'!$AI76&lt;&gt;"(Null)"),('FET Data'!$AH76&lt;&gt;"(Null)"),('FET Data'!$AG76&lt;&gt;"(Null)"),('FET Data'!$AF76&lt;&gt;"(Null)"),('FET Data'!$AE76&lt;&gt;"(Null)"),('FET Data'!$AD76&lt;&gt;"(Null)"),('FET Data'!$AC76&lt;&gt;"(Null)")))</f>
        <v>1</v>
      </c>
      <c r="Q76" s="22" t="b">
        <f t="shared" si="8"/>
        <v>1</v>
      </c>
      <c r="R76" s="22" t="b">
        <f t="shared" si="9"/>
        <v>1</v>
      </c>
    </row>
    <row r="77" spans="1:18" x14ac:dyDescent="0.25">
      <c r="A77" s="22" t="str">
        <f>IF(R77,Discrete_NFET[[#This Row],[PARTNUMBER]],"")</f>
        <v>CSD18510KCS</v>
      </c>
      <c r="B77" t="s">
        <v>312</v>
      </c>
      <c r="C77" s="22" t="b">
        <f>AND((Discrete_NFET[[#This Row],[VDSMAX]]&gt;=VDC_AVG*1.25),(Discrete_NFET[[#This Row],[VGSMAX]]&gt;=GDR_V*1.2))</f>
        <v>1</v>
      </c>
      <c r="D77" s="22" t="b">
        <f>AND(VDC_AVG&lt;=25,Discrete_NFET[[#This Row],[VDSMAX]]&lt;=30)</f>
        <v>0</v>
      </c>
      <c r="E77" s="22" t="b">
        <f>AND(VDC_AVG&lt;=33,VDC_AVG&gt;=12,Discrete_NFET[[#This Row],[VDSMAX]]=40)</f>
        <v>1</v>
      </c>
      <c r="F77" s="22" t="b">
        <f>AND(VDC_AVG&lt;=50,VDC_AVG&gt;=18,Discrete_NFET[[#This Row],[VDSMAX]]=60)</f>
        <v>0</v>
      </c>
      <c r="G77" s="22" t="b">
        <f>AND(VDC_AVG&lt;=66,VDC_AVG&gt;=24,Discrete_NFET[[#This Row],[VDSMAX]]=80)</f>
        <v>0</v>
      </c>
      <c r="H77" s="22" t="b">
        <f>AND(VDC_AVG&lt;=83,VDC_AVG&gt;=36,Discrete_NFET[[#This Row],[VDSMAX]]=100)</f>
        <v>0</v>
      </c>
      <c r="I77" s="22" t="b">
        <f t="shared" si="7"/>
        <v>1</v>
      </c>
      <c r="J77" s="22" t="b">
        <f>AND(((GDR_V)&lt;2.5),('FET Data'!$AC77&lt;&gt;"(Null)"))</f>
        <v>0</v>
      </c>
      <c r="K77" s="22" t="b">
        <f>AND(((GDR_V)&gt;=2.5),((GDR_V)&lt;3),OR(('FET Data'!$AD77&lt;&gt;"(Null)"),('FET Data'!$AC77&lt;&gt;"(Null)")))</f>
        <v>0</v>
      </c>
      <c r="L77" s="22" t="b">
        <f>AND(((GDR_V)&gt;=3),((GDR_V)&lt;4.5),OR(('FET Data'!$AE77&lt;&gt;"(Null)"),('FET Data'!$AD77&lt;&gt;"(Null)"),('FET Data'!$AC77&lt;&gt;"(Null)")))</f>
        <v>0</v>
      </c>
      <c r="M77" s="22" t="b">
        <f>AND(((GDR_V)&gt;=4.5),((GDR_V)&lt;6),OR(('FET Data'!$AF77&lt;&gt;"(Null)"),('FET Data'!$AE77&lt;&gt;"(Null)"),('FET Data'!$AD77&lt;&gt;"(Null)"),('FET Data'!$AC77&lt;&gt;"(Null)")))</f>
        <v>0</v>
      </c>
      <c r="N77" s="22" t="b">
        <f>AND(((GDR_V)&gt;=6),((GDR_V)&lt;8),OR(('FET Data'!$AG77&lt;&gt;"(Null)"),('FET Data'!$AF77&lt;&gt;"(Null)"),('FET Data'!$AE77&lt;&gt;"(Null)"),('FET Data'!$AD77&lt;&gt;"(Null)"),('FET Data'!$AC77&lt;&gt;"(Null)")))</f>
        <v>0</v>
      </c>
      <c r="O77" s="22" t="b">
        <f>AND(((GDR_V)&gt;=8),((GDR_V)&lt;10),OR(('FET Data'!$AH77&lt;&gt;"(Null)"),('FET Data'!$AG77&lt;&gt;"(Null)"),('FET Data'!$AF77&lt;&gt;"(Null)"),('FET Data'!$AE77&lt;&gt;"(Null)"),('FET Data'!$AD77&lt;&gt;"(Null)"),('FET Data'!$AC77&lt;&gt;"(Null)")))</f>
        <v>0</v>
      </c>
      <c r="P77" s="22" t="b">
        <f>AND(((GDR_V)&gt;=10),OR(('FET Data'!$AI77&lt;&gt;"(Null)"),('FET Data'!$AH77&lt;&gt;"(Null)"),('FET Data'!$AG77&lt;&gt;"(Null)"),('FET Data'!$AF77&lt;&gt;"(Null)"),('FET Data'!$AE77&lt;&gt;"(Null)"),('FET Data'!$AD77&lt;&gt;"(Null)"),('FET Data'!$AC77&lt;&gt;"(Null)")))</f>
        <v>1</v>
      </c>
      <c r="Q77" s="22" t="b">
        <f t="shared" si="8"/>
        <v>1</v>
      </c>
      <c r="R77" s="22" t="b">
        <f t="shared" si="9"/>
        <v>1</v>
      </c>
    </row>
    <row r="78" spans="1:18" x14ac:dyDescent="0.25">
      <c r="A78" s="22" t="str">
        <f>IF(R78,Discrete_NFET[[#This Row],[PARTNUMBER]],"")</f>
        <v>CSD18510KTT</v>
      </c>
      <c r="B78" t="s">
        <v>315</v>
      </c>
      <c r="C78" s="22" t="b">
        <f>AND((Discrete_NFET[[#This Row],[VDSMAX]]&gt;=VDC_AVG*1.25),(Discrete_NFET[[#This Row],[VGSMAX]]&gt;=GDR_V*1.2))</f>
        <v>1</v>
      </c>
      <c r="D78" s="22" t="b">
        <f>AND(VDC_AVG&lt;=25,Discrete_NFET[[#This Row],[VDSMAX]]&lt;=30)</f>
        <v>0</v>
      </c>
      <c r="E78" s="22" t="b">
        <f>AND(VDC_AVG&lt;=33,VDC_AVG&gt;=12,Discrete_NFET[[#This Row],[VDSMAX]]=40)</f>
        <v>1</v>
      </c>
      <c r="F78" s="22" t="b">
        <f>AND(VDC_AVG&lt;=50,VDC_AVG&gt;=18,Discrete_NFET[[#This Row],[VDSMAX]]=60)</f>
        <v>0</v>
      </c>
      <c r="G78" s="22" t="b">
        <f>AND(VDC_AVG&lt;=66,VDC_AVG&gt;=24,Discrete_NFET[[#This Row],[VDSMAX]]=80)</f>
        <v>0</v>
      </c>
      <c r="H78" s="22" t="b">
        <f>AND(VDC_AVG&lt;=83,VDC_AVG&gt;=36,Discrete_NFET[[#This Row],[VDSMAX]]=100)</f>
        <v>0</v>
      </c>
      <c r="I78" s="22" t="b">
        <f t="shared" si="7"/>
        <v>1</v>
      </c>
      <c r="J78" s="22" t="b">
        <f>AND(((GDR_V)&lt;2.5),('FET Data'!$AC78&lt;&gt;"(Null)"))</f>
        <v>0</v>
      </c>
      <c r="K78" s="22" t="b">
        <f>AND(((GDR_V)&gt;=2.5),((GDR_V)&lt;3),OR(('FET Data'!$AD78&lt;&gt;"(Null)"),('FET Data'!$AC78&lt;&gt;"(Null)")))</f>
        <v>0</v>
      </c>
      <c r="L78" s="22" t="b">
        <f>AND(((GDR_V)&gt;=3),((GDR_V)&lt;4.5),OR(('FET Data'!$AE78&lt;&gt;"(Null)"),('FET Data'!$AD78&lt;&gt;"(Null)"),('FET Data'!$AC78&lt;&gt;"(Null)")))</f>
        <v>0</v>
      </c>
      <c r="M78" s="22" t="b">
        <f>AND(((GDR_V)&gt;=4.5),((GDR_V)&lt;6),OR(('FET Data'!$AF78&lt;&gt;"(Null)"),('FET Data'!$AE78&lt;&gt;"(Null)"),('FET Data'!$AD78&lt;&gt;"(Null)"),('FET Data'!$AC78&lt;&gt;"(Null)")))</f>
        <v>0</v>
      </c>
      <c r="N78" s="22" t="b">
        <f>AND(((GDR_V)&gt;=6),((GDR_V)&lt;8),OR(('FET Data'!$AG78&lt;&gt;"(Null)"),('FET Data'!$AF78&lt;&gt;"(Null)"),('FET Data'!$AE78&lt;&gt;"(Null)"),('FET Data'!$AD78&lt;&gt;"(Null)"),('FET Data'!$AC78&lt;&gt;"(Null)")))</f>
        <v>0</v>
      </c>
      <c r="O78" s="22" t="b">
        <f>AND(((GDR_V)&gt;=8),((GDR_V)&lt;10),OR(('FET Data'!$AH78&lt;&gt;"(Null)"),('FET Data'!$AG78&lt;&gt;"(Null)"),('FET Data'!$AF78&lt;&gt;"(Null)"),('FET Data'!$AE78&lt;&gt;"(Null)"),('FET Data'!$AD78&lt;&gt;"(Null)"),('FET Data'!$AC78&lt;&gt;"(Null)")))</f>
        <v>0</v>
      </c>
      <c r="P78" s="22" t="b">
        <f>AND(((GDR_V)&gt;=10),OR(('FET Data'!$AI78&lt;&gt;"(Null)"),('FET Data'!$AH78&lt;&gt;"(Null)"),('FET Data'!$AG78&lt;&gt;"(Null)"),('FET Data'!$AF78&lt;&gt;"(Null)"),('FET Data'!$AE78&lt;&gt;"(Null)"),('FET Data'!$AD78&lt;&gt;"(Null)"),('FET Data'!$AC78&lt;&gt;"(Null)")))</f>
        <v>1</v>
      </c>
      <c r="Q78" s="22" t="b">
        <f t="shared" si="8"/>
        <v>1</v>
      </c>
      <c r="R78" s="22" t="b">
        <f t="shared" si="9"/>
        <v>1</v>
      </c>
    </row>
    <row r="79" spans="1:18" x14ac:dyDescent="0.25">
      <c r="A79" s="22" t="str">
        <f>IF(R79,Discrete_NFET[[#This Row],[PARTNUMBER]],"")</f>
        <v>CSD18510Q5B</v>
      </c>
      <c r="B79" t="s">
        <v>319</v>
      </c>
      <c r="C79" s="22" t="b">
        <f>AND((Discrete_NFET[[#This Row],[VDSMAX]]&gt;=VDC_AVG*1.25),(Discrete_NFET[[#This Row],[VGSMAX]]&gt;=GDR_V*1.2))</f>
        <v>1</v>
      </c>
      <c r="D79" s="22" t="b">
        <f>AND(VDC_AVG&lt;=25,Discrete_NFET[[#This Row],[VDSMAX]]&lt;=30)</f>
        <v>0</v>
      </c>
      <c r="E79" s="22" t="b">
        <f>AND(VDC_AVG&lt;=33,VDC_AVG&gt;=12,Discrete_NFET[[#This Row],[VDSMAX]]=40)</f>
        <v>1</v>
      </c>
      <c r="F79" s="22" t="b">
        <f>AND(VDC_AVG&lt;=50,VDC_AVG&gt;=18,Discrete_NFET[[#This Row],[VDSMAX]]=60)</f>
        <v>0</v>
      </c>
      <c r="G79" s="22" t="b">
        <f>AND(VDC_AVG&lt;=66,VDC_AVG&gt;=24,Discrete_NFET[[#This Row],[VDSMAX]]=80)</f>
        <v>0</v>
      </c>
      <c r="H79" s="22" t="b">
        <f>AND(VDC_AVG&lt;=83,VDC_AVG&gt;=36,Discrete_NFET[[#This Row],[VDSMAX]]=100)</f>
        <v>0</v>
      </c>
      <c r="I79" s="22" t="b">
        <f t="shared" si="7"/>
        <v>1</v>
      </c>
      <c r="J79" s="22" t="b">
        <f>AND(((GDR_V)&lt;2.5),('FET Data'!$AC79&lt;&gt;"(Null)"))</f>
        <v>0</v>
      </c>
      <c r="K79" s="22" t="b">
        <f>AND(((GDR_V)&gt;=2.5),((GDR_V)&lt;3),OR(('FET Data'!$AD79&lt;&gt;"(Null)"),('FET Data'!$AC79&lt;&gt;"(Null)")))</f>
        <v>0</v>
      </c>
      <c r="L79" s="22" t="b">
        <f>AND(((GDR_V)&gt;=3),((GDR_V)&lt;4.5),OR(('FET Data'!$AE79&lt;&gt;"(Null)"),('FET Data'!$AD79&lt;&gt;"(Null)"),('FET Data'!$AC79&lt;&gt;"(Null)")))</f>
        <v>0</v>
      </c>
      <c r="M79" s="22" t="b">
        <f>AND(((GDR_V)&gt;=4.5),((GDR_V)&lt;6),OR(('FET Data'!$AF79&lt;&gt;"(Null)"),('FET Data'!$AE79&lt;&gt;"(Null)"),('FET Data'!$AD79&lt;&gt;"(Null)"),('FET Data'!$AC79&lt;&gt;"(Null)")))</f>
        <v>0</v>
      </c>
      <c r="N79" s="22" t="b">
        <f>AND(((GDR_V)&gt;=6),((GDR_V)&lt;8),OR(('FET Data'!$AG79&lt;&gt;"(Null)"),('FET Data'!$AF79&lt;&gt;"(Null)"),('FET Data'!$AE79&lt;&gt;"(Null)"),('FET Data'!$AD79&lt;&gt;"(Null)"),('FET Data'!$AC79&lt;&gt;"(Null)")))</f>
        <v>0</v>
      </c>
      <c r="O79" s="22" t="b">
        <f>AND(((GDR_V)&gt;=8),((GDR_V)&lt;10),OR(('FET Data'!$AH79&lt;&gt;"(Null)"),('FET Data'!$AG79&lt;&gt;"(Null)"),('FET Data'!$AF79&lt;&gt;"(Null)"),('FET Data'!$AE79&lt;&gt;"(Null)"),('FET Data'!$AD79&lt;&gt;"(Null)"),('FET Data'!$AC79&lt;&gt;"(Null)")))</f>
        <v>0</v>
      </c>
      <c r="P79" s="22" t="b">
        <f>AND(((GDR_V)&gt;=10),OR(('FET Data'!$AI79&lt;&gt;"(Null)"),('FET Data'!$AH79&lt;&gt;"(Null)"),('FET Data'!$AG79&lt;&gt;"(Null)"),('FET Data'!$AF79&lt;&gt;"(Null)"),('FET Data'!$AE79&lt;&gt;"(Null)"),('FET Data'!$AD79&lt;&gt;"(Null)"),('FET Data'!$AC79&lt;&gt;"(Null)")))</f>
        <v>1</v>
      </c>
      <c r="Q79" s="22" t="b">
        <f t="shared" si="8"/>
        <v>1</v>
      </c>
      <c r="R79" s="22" t="b">
        <f t="shared" si="9"/>
        <v>1</v>
      </c>
    </row>
    <row r="80" spans="1:18" x14ac:dyDescent="0.25">
      <c r="A80" s="22" t="str">
        <f>IF(R80,Discrete_NFET[[#This Row],[PARTNUMBER]],"")</f>
        <v>CSD18511KCS</v>
      </c>
      <c r="B80" t="s">
        <v>321</v>
      </c>
      <c r="C80" s="22" t="b">
        <f>AND((Discrete_NFET[[#This Row],[VDSMAX]]&gt;=VDC_AVG*1.25),(Discrete_NFET[[#This Row],[VGSMAX]]&gt;=GDR_V*1.2))</f>
        <v>1</v>
      </c>
      <c r="D80" s="22" t="b">
        <f>AND(VDC_AVG&lt;=25,Discrete_NFET[[#This Row],[VDSMAX]]&lt;=30)</f>
        <v>0</v>
      </c>
      <c r="E80" s="22" t="b">
        <f>AND(VDC_AVG&lt;=33,VDC_AVG&gt;=12,Discrete_NFET[[#This Row],[VDSMAX]]=40)</f>
        <v>1</v>
      </c>
      <c r="F80" s="22" t="b">
        <f>AND(VDC_AVG&lt;=50,VDC_AVG&gt;=18,Discrete_NFET[[#This Row],[VDSMAX]]=60)</f>
        <v>0</v>
      </c>
      <c r="G80" s="22" t="b">
        <f>AND(VDC_AVG&lt;=66,VDC_AVG&gt;=24,Discrete_NFET[[#This Row],[VDSMAX]]=80)</f>
        <v>0</v>
      </c>
      <c r="H80" s="22" t="b">
        <f>AND(VDC_AVG&lt;=83,VDC_AVG&gt;=36,Discrete_NFET[[#This Row],[VDSMAX]]=100)</f>
        <v>0</v>
      </c>
      <c r="I80" s="22" t="b">
        <f t="shared" si="7"/>
        <v>1</v>
      </c>
      <c r="J80" s="22" t="b">
        <f>AND(((GDR_V)&lt;2.5),('FET Data'!$AC80&lt;&gt;"(Null)"))</f>
        <v>0</v>
      </c>
      <c r="K80" s="22" t="b">
        <f>AND(((GDR_V)&gt;=2.5),((GDR_V)&lt;3),OR(('FET Data'!$AD80&lt;&gt;"(Null)"),('FET Data'!$AC80&lt;&gt;"(Null)")))</f>
        <v>0</v>
      </c>
      <c r="L80" s="22" t="b">
        <f>AND(((GDR_V)&gt;=3),((GDR_V)&lt;4.5),OR(('FET Data'!$AE80&lt;&gt;"(Null)"),('FET Data'!$AD80&lt;&gt;"(Null)"),('FET Data'!$AC80&lt;&gt;"(Null)")))</f>
        <v>0</v>
      </c>
      <c r="M80" s="22" t="b">
        <f>AND(((GDR_V)&gt;=4.5),((GDR_V)&lt;6),OR(('FET Data'!$AF80&lt;&gt;"(Null)"),('FET Data'!$AE80&lt;&gt;"(Null)"),('FET Data'!$AD80&lt;&gt;"(Null)"),('FET Data'!$AC80&lt;&gt;"(Null)")))</f>
        <v>0</v>
      </c>
      <c r="N80" s="22" t="b">
        <f>AND(((GDR_V)&gt;=6),((GDR_V)&lt;8),OR(('FET Data'!$AG80&lt;&gt;"(Null)"),('FET Data'!$AF80&lt;&gt;"(Null)"),('FET Data'!$AE80&lt;&gt;"(Null)"),('FET Data'!$AD80&lt;&gt;"(Null)"),('FET Data'!$AC80&lt;&gt;"(Null)")))</f>
        <v>0</v>
      </c>
      <c r="O80" s="22" t="b">
        <f>AND(((GDR_V)&gt;=8),((GDR_V)&lt;10),OR(('FET Data'!$AH80&lt;&gt;"(Null)"),('FET Data'!$AG80&lt;&gt;"(Null)"),('FET Data'!$AF80&lt;&gt;"(Null)"),('FET Data'!$AE80&lt;&gt;"(Null)"),('FET Data'!$AD80&lt;&gt;"(Null)"),('FET Data'!$AC80&lt;&gt;"(Null)")))</f>
        <v>0</v>
      </c>
      <c r="P80" s="22" t="b">
        <f>AND(((GDR_V)&gt;=10),OR(('FET Data'!$AI80&lt;&gt;"(Null)"),('FET Data'!$AH80&lt;&gt;"(Null)"),('FET Data'!$AG80&lt;&gt;"(Null)"),('FET Data'!$AF80&lt;&gt;"(Null)"),('FET Data'!$AE80&lt;&gt;"(Null)"),('FET Data'!$AD80&lt;&gt;"(Null)"),('FET Data'!$AC80&lt;&gt;"(Null)")))</f>
        <v>1</v>
      </c>
      <c r="Q80" s="22" t="b">
        <f t="shared" si="8"/>
        <v>1</v>
      </c>
      <c r="R80" s="22" t="b">
        <f t="shared" si="9"/>
        <v>1</v>
      </c>
    </row>
    <row r="81" spans="1:18" x14ac:dyDescent="0.25">
      <c r="A81" s="22" t="str">
        <f>IF(R81,Discrete_NFET[[#This Row],[PARTNUMBER]],"")</f>
        <v>CSD18511KTT</v>
      </c>
      <c r="B81" t="s">
        <v>389</v>
      </c>
      <c r="C81" s="22" t="b">
        <f>AND((Discrete_NFET[[#This Row],[VDSMAX]]&gt;=VDC_AVG*1.25),(Discrete_NFET[[#This Row],[VGSMAX]]&gt;=GDR_V*1.2))</f>
        <v>1</v>
      </c>
      <c r="D81" s="22" t="b">
        <f>AND(VDC_AVG&lt;=25,Discrete_NFET[[#This Row],[VDSMAX]]&lt;=30)</f>
        <v>0</v>
      </c>
      <c r="E81" s="22" t="b">
        <f>AND(VDC_AVG&lt;=33,VDC_AVG&gt;=12,Discrete_NFET[[#This Row],[VDSMAX]]=40)</f>
        <v>1</v>
      </c>
      <c r="F81" s="22" t="b">
        <f>AND(VDC_AVG&lt;=50,VDC_AVG&gt;=18,Discrete_NFET[[#This Row],[VDSMAX]]=60)</f>
        <v>0</v>
      </c>
      <c r="G81" s="22" t="b">
        <f>AND(VDC_AVG&lt;=66,VDC_AVG&gt;=24,Discrete_NFET[[#This Row],[VDSMAX]]=80)</f>
        <v>0</v>
      </c>
      <c r="H81" s="22" t="b">
        <f>AND(VDC_AVG&lt;=83,VDC_AVG&gt;=36,Discrete_NFET[[#This Row],[VDSMAX]]=100)</f>
        <v>0</v>
      </c>
      <c r="I81" s="22" t="b">
        <f t="shared" si="7"/>
        <v>1</v>
      </c>
      <c r="J81" s="22" t="b">
        <f>AND(((GDR_V)&lt;2.5),('FET Data'!$AC81&lt;&gt;"(Null)"))</f>
        <v>0</v>
      </c>
      <c r="K81" s="22" t="b">
        <f>AND(((GDR_V)&gt;=2.5),((GDR_V)&lt;3),OR(('FET Data'!$AD81&lt;&gt;"(Null)"),('FET Data'!$AC81&lt;&gt;"(Null)")))</f>
        <v>0</v>
      </c>
      <c r="L81" s="22" t="b">
        <f>AND(((GDR_V)&gt;=3),((GDR_V)&lt;4.5),OR(('FET Data'!$AE81&lt;&gt;"(Null)"),('FET Data'!$AD81&lt;&gt;"(Null)"),('FET Data'!$AC81&lt;&gt;"(Null)")))</f>
        <v>0</v>
      </c>
      <c r="M81" s="22" t="b">
        <f>AND(((GDR_V)&gt;=4.5),((GDR_V)&lt;6),OR(('FET Data'!$AF81&lt;&gt;"(Null)"),('FET Data'!$AE81&lt;&gt;"(Null)"),('FET Data'!$AD81&lt;&gt;"(Null)"),('FET Data'!$AC81&lt;&gt;"(Null)")))</f>
        <v>0</v>
      </c>
      <c r="N81" s="22" t="b">
        <f>AND(((GDR_V)&gt;=6),((GDR_V)&lt;8),OR(('FET Data'!$AG81&lt;&gt;"(Null)"),('FET Data'!$AF81&lt;&gt;"(Null)"),('FET Data'!$AE81&lt;&gt;"(Null)"),('FET Data'!$AD81&lt;&gt;"(Null)"),('FET Data'!$AC81&lt;&gt;"(Null)")))</f>
        <v>0</v>
      </c>
      <c r="O81" s="22" t="b">
        <f>AND(((GDR_V)&gt;=8),((GDR_V)&lt;10),OR(('FET Data'!$AH81&lt;&gt;"(Null)"),('FET Data'!$AG81&lt;&gt;"(Null)"),('FET Data'!$AF81&lt;&gt;"(Null)"),('FET Data'!$AE81&lt;&gt;"(Null)"),('FET Data'!$AD81&lt;&gt;"(Null)"),('FET Data'!$AC81&lt;&gt;"(Null)")))</f>
        <v>0</v>
      </c>
      <c r="P81" s="22" t="b">
        <f>AND(((GDR_V)&gt;=10),OR(('FET Data'!$AI81&lt;&gt;"(Null)"),('FET Data'!$AH81&lt;&gt;"(Null)"),('FET Data'!$AG81&lt;&gt;"(Null)"),('FET Data'!$AF81&lt;&gt;"(Null)"),('FET Data'!$AE81&lt;&gt;"(Null)"),('FET Data'!$AD81&lt;&gt;"(Null)"),('FET Data'!$AC81&lt;&gt;"(Null)")))</f>
        <v>1</v>
      </c>
      <c r="Q81" s="22" t="b">
        <f t="shared" si="8"/>
        <v>1</v>
      </c>
      <c r="R81" s="22" t="b">
        <f t="shared" si="9"/>
        <v>1</v>
      </c>
    </row>
    <row r="82" spans="1:18" x14ac:dyDescent="0.25">
      <c r="A82" s="22" t="str">
        <f>IF(R82,Discrete_NFET[[#This Row],[PARTNUMBER]],"")</f>
        <v>CSD18511Q5A</v>
      </c>
      <c r="B82" t="s">
        <v>323</v>
      </c>
      <c r="C82" s="22" t="b">
        <f>AND((Discrete_NFET[[#This Row],[VDSMAX]]&gt;=VDC_AVG*1.25),(Discrete_NFET[[#This Row],[VGSMAX]]&gt;=GDR_V*1.2))</f>
        <v>1</v>
      </c>
      <c r="D82" s="22" t="b">
        <f>AND(VDC_AVG&lt;=25,Discrete_NFET[[#This Row],[VDSMAX]]&lt;=30)</f>
        <v>0</v>
      </c>
      <c r="E82" s="22" t="b">
        <f>AND(VDC_AVG&lt;=33,VDC_AVG&gt;=12,Discrete_NFET[[#This Row],[VDSMAX]]=40)</f>
        <v>1</v>
      </c>
      <c r="F82" s="22" t="b">
        <f>AND(VDC_AVG&lt;=50,VDC_AVG&gt;=18,Discrete_NFET[[#This Row],[VDSMAX]]=60)</f>
        <v>0</v>
      </c>
      <c r="G82" s="22" t="b">
        <f>AND(VDC_AVG&lt;=66,VDC_AVG&gt;=24,Discrete_NFET[[#This Row],[VDSMAX]]=80)</f>
        <v>0</v>
      </c>
      <c r="H82" s="22" t="b">
        <f>AND(VDC_AVG&lt;=83,VDC_AVG&gt;=36,Discrete_NFET[[#This Row],[VDSMAX]]=100)</f>
        <v>0</v>
      </c>
      <c r="I82" s="22" t="b">
        <f t="shared" si="7"/>
        <v>1</v>
      </c>
      <c r="J82" s="22" t="b">
        <f>AND(((GDR_V)&lt;2.5),('FET Data'!$AC82&lt;&gt;"(Null)"))</f>
        <v>0</v>
      </c>
      <c r="K82" s="22" t="b">
        <f>AND(((GDR_V)&gt;=2.5),((GDR_V)&lt;3),OR(('FET Data'!$AD82&lt;&gt;"(Null)"),('FET Data'!$AC82&lt;&gt;"(Null)")))</f>
        <v>0</v>
      </c>
      <c r="L82" s="22" t="b">
        <f>AND(((GDR_V)&gt;=3),((GDR_V)&lt;4.5),OR(('FET Data'!$AE82&lt;&gt;"(Null)"),('FET Data'!$AD82&lt;&gt;"(Null)"),('FET Data'!$AC82&lt;&gt;"(Null)")))</f>
        <v>0</v>
      </c>
      <c r="M82" s="22" t="b">
        <f>AND(((GDR_V)&gt;=4.5),((GDR_V)&lt;6),OR(('FET Data'!$AF82&lt;&gt;"(Null)"),('FET Data'!$AE82&lt;&gt;"(Null)"),('FET Data'!$AD82&lt;&gt;"(Null)"),('FET Data'!$AC82&lt;&gt;"(Null)")))</f>
        <v>0</v>
      </c>
      <c r="N82" s="22" t="b">
        <f>AND(((GDR_V)&gt;=6),((GDR_V)&lt;8),OR(('FET Data'!$AG82&lt;&gt;"(Null)"),('FET Data'!$AF82&lt;&gt;"(Null)"),('FET Data'!$AE82&lt;&gt;"(Null)"),('FET Data'!$AD82&lt;&gt;"(Null)"),('FET Data'!$AC82&lt;&gt;"(Null)")))</f>
        <v>0</v>
      </c>
      <c r="O82" s="22" t="b">
        <f>AND(((GDR_V)&gt;=8),((GDR_V)&lt;10),OR(('FET Data'!$AH82&lt;&gt;"(Null)"),('FET Data'!$AG82&lt;&gt;"(Null)"),('FET Data'!$AF82&lt;&gt;"(Null)"),('FET Data'!$AE82&lt;&gt;"(Null)"),('FET Data'!$AD82&lt;&gt;"(Null)"),('FET Data'!$AC82&lt;&gt;"(Null)")))</f>
        <v>0</v>
      </c>
      <c r="P82" s="22" t="b">
        <f>AND(((GDR_V)&gt;=10),OR(('FET Data'!$AI82&lt;&gt;"(Null)"),('FET Data'!$AH82&lt;&gt;"(Null)"),('FET Data'!$AG82&lt;&gt;"(Null)"),('FET Data'!$AF82&lt;&gt;"(Null)"),('FET Data'!$AE82&lt;&gt;"(Null)"),('FET Data'!$AD82&lt;&gt;"(Null)"),('FET Data'!$AC82&lt;&gt;"(Null)")))</f>
        <v>1</v>
      </c>
      <c r="Q82" s="22" t="b">
        <f t="shared" si="8"/>
        <v>1</v>
      </c>
      <c r="R82" s="22" t="b">
        <f t="shared" si="9"/>
        <v>1</v>
      </c>
    </row>
    <row r="83" spans="1:18" x14ac:dyDescent="0.25">
      <c r="A83" s="22" t="str">
        <f>IF(R83,Discrete_NFET[[#This Row],[PARTNUMBER]],"")</f>
        <v>CSD18512Q5B</v>
      </c>
      <c r="B83" t="s">
        <v>325</v>
      </c>
      <c r="C83" s="22" t="b">
        <f>AND((Discrete_NFET[[#This Row],[VDSMAX]]&gt;=VDC_AVG*1.25),(Discrete_NFET[[#This Row],[VGSMAX]]&gt;=GDR_V*1.2))</f>
        <v>1</v>
      </c>
      <c r="D83" s="22" t="b">
        <f>AND(VDC_AVG&lt;=25,Discrete_NFET[[#This Row],[VDSMAX]]&lt;=30)</f>
        <v>0</v>
      </c>
      <c r="E83" s="22" t="b">
        <f>AND(VDC_AVG&lt;=33,VDC_AVG&gt;=12,Discrete_NFET[[#This Row],[VDSMAX]]=40)</f>
        <v>1</v>
      </c>
      <c r="F83" s="22" t="b">
        <f>AND(VDC_AVG&lt;=50,VDC_AVG&gt;=18,Discrete_NFET[[#This Row],[VDSMAX]]=60)</f>
        <v>0</v>
      </c>
      <c r="G83" s="22" t="b">
        <f>AND(VDC_AVG&lt;=66,VDC_AVG&gt;=24,Discrete_NFET[[#This Row],[VDSMAX]]=80)</f>
        <v>0</v>
      </c>
      <c r="H83" s="22" t="b">
        <f>AND(VDC_AVG&lt;=83,VDC_AVG&gt;=36,Discrete_NFET[[#This Row],[VDSMAX]]=100)</f>
        <v>0</v>
      </c>
      <c r="I83" s="22" t="b">
        <f t="shared" si="7"/>
        <v>1</v>
      </c>
      <c r="J83" s="22" t="b">
        <f>AND(((GDR_V)&lt;2.5),('FET Data'!$AC83&lt;&gt;"(Null)"))</f>
        <v>0</v>
      </c>
      <c r="K83" s="22" t="b">
        <f>AND(((GDR_V)&gt;=2.5),((GDR_V)&lt;3),OR(('FET Data'!$AD83&lt;&gt;"(Null)"),('FET Data'!$AC83&lt;&gt;"(Null)")))</f>
        <v>0</v>
      </c>
      <c r="L83" s="22" t="b">
        <f>AND(((GDR_V)&gt;=3),((GDR_V)&lt;4.5),OR(('FET Data'!$AE83&lt;&gt;"(Null)"),('FET Data'!$AD83&lt;&gt;"(Null)"),('FET Data'!$AC83&lt;&gt;"(Null)")))</f>
        <v>0</v>
      </c>
      <c r="M83" s="22" t="b">
        <f>AND(((GDR_V)&gt;=4.5),((GDR_V)&lt;6),OR(('FET Data'!$AF83&lt;&gt;"(Null)"),('FET Data'!$AE83&lt;&gt;"(Null)"),('FET Data'!$AD83&lt;&gt;"(Null)"),('FET Data'!$AC83&lt;&gt;"(Null)")))</f>
        <v>0</v>
      </c>
      <c r="N83" s="22" t="b">
        <f>AND(((GDR_V)&gt;=6),((GDR_V)&lt;8),OR(('FET Data'!$AG83&lt;&gt;"(Null)"),('FET Data'!$AF83&lt;&gt;"(Null)"),('FET Data'!$AE83&lt;&gt;"(Null)"),('FET Data'!$AD83&lt;&gt;"(Null)"),('FET Data'!$AC83&lt;&gt;"(Null)")))</f>
        <v>0</v>
      </c>
      <c r="O83" s="22" t="b">
        <f>AND(((GDR_V)&gt;=8),((GDR_V)&lt;10),OR(('FET Data'!$AH83&lt;&gt;"(Null)"),('FET Data'!$AG83&lt;&gt;"(Null)"),('FET Data'!$AF83&lt;&gt;"(Null)"),('FET Data'!$AE83&lt;&gt;"(Null)"),('FET Data'!$AD83&lt;&gt;"(Null)"),('FET Data'!$AC83&lt;&gt;"(Null)")))</f>
        <v>0</v>
      </c>
      <c r="P83" s="22" t="b">
        <f>AND(((GDR_V)&gt;=10),OR(('FET Data'!$AI83&lt;&gt;"(Null)"),('FET Data'!$AH83&lt;&gt;"(Null)"),('FET Data'!$AG83&lt;&gt;"(Null)"),('FET Data'!$AF83&lt;&gt;"(Null)"),('FET Data'!$AE83&lt;&gt;"(Null)"),('FET Data'!$AD83&lt;&gt;"(Null)"),('FET Data'!$AC83&lt;&gt;"(Null)")))</f>
        <v>1</v>
      </c>
      <c r="Q83" s="22" t="b">
        <f t="shared" si="8"/>
        <v>1</v>
      </c>
      <c r="R83" s="22" t="b">
        <f t="shared" si="9"/>
        <v>1</v>
      </c>
    </row>
    <row r="84" spans="1:18" x14ac:dyDescent="0.25">
      <c r="A84" s="22" t="str">
        <f>IF(R84,Discrete_NFET[[#This Row],[PARTNUMBER]],"")</f>
        <v>CSD18513Q5A</v>
      </c>
      <c r="B84" t="s">
        <v>328</v>
      </c>
      <c r="C84" s="22" t="b">
        <f>AND((Discrete_NFET[[#This Row],[VDSMAX]]&gt;=VDC_AVG*1.25),(Discrete_NFET[[#This Row],[VGSMAX]]&gt;=GDR_V*1.2))</f>
        <v>1</v>
      </c>
      <c r="D84" s="22" t="b">
        <f>AND(VDC_AVG&lt;=25,Discrete_NFET[[#This Row],[VDSMAX]]&lt;=30)</f>
        <v>0</v>
      </c>
      <c r="E84" s="22" t="b">
        <f>AND(VDC_AVG&lt;=33,VDC_AVG&gt;=12,Discrete_NFET[[#This Row],[VDSMAX]]=40)</f>
        <v>1</v>
      </c>
      <c r="F84" s="22" t="b">
        <f>AND(VDC_AVG&lt;=50,VDC_AVG&gt;=18,Discrete_NFET[[#This Row],[VDSMAX]]=60)</f>
        <v>0</v>
      </c>
      <c r="G84" s="22" t="b">
        <f>AND(VDC_AVG&lt;=66,VDC_AVG&gt;=24,Discrete_NFET[[#This Row],[VDSMAX]]=80)</f>
        <v>0</v>
      </c>
      <c r="H84" s="22" t="b">
        <f>AND(VDC_AVG&lt;=83,VDC_AVG&gt;=36,Discrete_NFET[[#This Row],[VDSMAX]]=100)</f>
        <v>0</v>
      </c>
      <c r="I84" s="22" t="b">
        <f t="shared" si="7"/>
        <v>1</v>
      </c>
      <c r="J84" s="22" t="b">
        <f>AND(((GDR_V)&lt;2.5),('FET Data'!$AC84&lt;&gt;"(Null)"))</f>
        <v>0</v>
      </c>
      <c r="K84" s="22" t="b">
        <f>AND(((GDR_V)&gt;=2.5),((GDR_V)&lt;3),OR(('FET Data'!$AD84&lt;&gt;"(Null)"),('FET Data'!$AC84&lt;&gt;"(Null)")))</f>
        <v>0</v>
      </c>
      <c r="L84" s="22" t="b">
        <f>AND(((GDR_V)&gt;=3),((GDR_V)&lt;4.5),OR(('FET Data'!$AE84&lt;&gt;"(Null)"),('FET Data'!$AD84&lt;&gt;"(Null)"),('FET Data'!$AC84&lt;&gt;"(Null)")))</f>
        <v>0</v>
      </c>
      <c r="M84" s="22" t="b">
        <f>AND(((GDR_V)&gt;=4.5),((GDR_V)&lt;6),OR(('FET Data'!$AF84&lt;&gt;"(Null)"),('FET Data'!$AE84&lt;&gt;"(Null)"),('FET Data'!$AD84&lt;&gt;"(Null)"),('FET Data'!$AC84&lt;&gt;"(Null)")))</f>
        <v>0</v>
      </c>
      <c r="N84" s="22" t="b">
        <f>AND(((GDR_V)&gt;=6),((GDR_V)&lt;8),OR(('FET Data'!$AG84&lt;&gt;"(Null)"),('FET Data'!$AF84&lt;&gt;"(Null)"),('FET Data'!$AE84&lt;&gt;"(Null)"),('FET Data'!$AD84&lt;&gt;"(Null)"),('FET Data'!$AC84&lt;&gt;"(Null)")))</f>
        <v>0</v>
      </c>
      <c r="O84" s="22" t="b">
        <f>AND(((GDR_V)&gt;=8),((GDR_V)&lt;10),OR(('FET Data'!$AH84&lt;&gt;"(Null)"),('FET Data'!$AG84&lt;&gt;"(Null)"),('FET Data'!$AF84&lt;&gt;"(Null)"),('FET Data'!$AE84&lt;&gt;"(Null)"),('FET Data'!$AD84&lt;&gt;"(Null)"),('FET Data'!$AC84&lt;&gt;"(Null)")))</f>
        <v>0</v>
      </c>
      <c r="P84" s="22" t="b">
        <f>AND(((GDR_V)&gt;=10),OR(('FET Data'!$AI84&lt;&gt;"(Null)"),('FET Data'!$AH84&lt;&gt;"(Null)"),('FET Data'!$AG84&lt;&gt;"(Null)"),('FET Data'!$AF84&lt;&gt;"(Null)"),('FET Data'!$AE84&lt;&gt;"(Null)"),('FET Data'!$AD84&lt;&gt;"(Null)"),('FET Data'!$AC84&lt;&gt;"(Null)")))</f>
        <v>1</v>
      </c>
      <c r="Q84" s="22" t="b">
        <f t="shared" si="8"/>
        <v>1</v>
      </c>
      <c r="R84" s="22" t="b">
        <f t="shared" si="9"/>
        <v>1</v>
      </c>
    </row>
    <row r="85" spans="1:18" x14ac:dyDescent="0.25">
      <c r="A85" s="22" t="str">
        <f>IF(R85,Discrete_NFET[[#This Row],[PARTNUMBER]],"")</f>
        <v>CSD18514Q5A</v>
      </c>
      <c r="B85" t="s">
        <v>331</v>
      </c>
      <c r="C85" s="22" t="b">
        <f>AND((Discrete_NFET[[#This Row],[VDSMAX]]&gt;=VDC_AVG*1.25),(Discrete_NFET[[#This Row],[VGSMAX]]&gt;=GDR_V*1.2))</f>
        <v>1</v>
      </c>
      <c r="D85" s="22" t="b">
        <f>AND(VDC_AVG&lt;=25,Discrete_NFET[[#This Row],[VDSMAX]]&lt;=30)</f>
        <v>0</v>
      </c>
      <c r="E85" s="22" t="b">
        <f>AND(VDC_AVG&lt;=33,VDC_AVG&gt;=12,Discrete_NFET[[#This Row],[VDSMAX]]=40)</f>
        <v>1</v>
      </c>
      <c r="F85" s="22" t="b">
        <f>AND(VDC_AVG&lt;=50,VDC_AVG&gt;=18,Discrete_NFET[[#This Row],[VDSMAX]]=60)</f>
        <v>0</v>
      </c>
      <c r="G85" s="22" t="b">
        <f>AND(VDC_AVG&lt;=66,VDC_AVG&gt;=24,Discrete_NFET[[#This Row],[VDSMAX]]=80)</f>
        <v>0</v>
      </c>
      <c r="H85" s="22" t="b">
        <f>AND(VDC_AVG&lt;=83,VDC_AVG&gt;=36,Discrete_NFET[[#This Row],[VDSMAX]]=100)</f>
        <v>0</v>
      </c>
      <c r="I85" s="22" t="b">
        <f t="shared" si="7"/>
        <v>1</v>
      </c>
      <c r="J85" s="22" t="b">
        <f>AND(((GDR_V)&lt;2.5),('FET Data'!$AC85&lt;&gt;"(Null)"))</f>
        <v>0</v>
      </c>
      <c r="K85" s="22" t="b">
        <f>AND(((GDR_V)&gt;=2.5),((GDR_V)&lt;3),OR(('FET Data'!$AD85&lt;&gt;"(Null)"),('FET Data'!$AC85&lt;&gt;"(Null)")))</f>
        <v>0</v>
      </c>
      <c r="L85" s="22" t="b">
        <f>AND(((GDR_V)&gt;=3),((GDR_V)&lt;4.5),OR(('FET Data'!$AE85&lt;&gt;"(Null)"),('FET Data'!$AD85&lt;&gt;"(Null)"),('FET Data'!$AC85&lt;&gt;"(Null)")))</f>
        <v>0</v>
      </c>
      <c r="M85" s="22" t="b">
        <f>AND(((GDR_V)&gt;=4.5),((GDR_V)&lt;6),OR(('FET Data'!$AF85&lt;&gt;"(Null)"),('FET Data'!$AE85&lt;&gt;"(Null)"),('FET Data'!$AD85&lt;&gt;"(Null)"),('FET Data'!$AC85&lt;&gt;"(Null)")))</f>
        <v>0</v>
      </c>
      <c r="N85" s="22" t="b">
        <f>AND(((GDR_V)&gt;=6),((GDR_V)&lt;8),OR(('FET Data'!$AG85&lt;&gt;"(Null)"),('FET Data'!$AF85&lt;&gt;"(Null)"),('FET Data'!$AE85&lt;&gt;"(Null)"),('FET Data'!$AD85&lt;&gt;"(Null)"),('FET Data'!$AC85&lt;&gt;"(Null)")))</f>
        <v>0</v>
      </c>
      <c r="O85" s="22" t="b">
        <f>AND(((GDR_V)&gt;=8),((GDR_V)&lt;10),OR(('FET Data'!$AH85&lt;&gt;"(Null)"),('FET Data'!$AG85&lt;&gt;"(Null)"),('FET Data'!$AF85&lt;&gt;"(Null)"),('FET Data'!$AE85&lt;&gt;"(Null)"),('FET Data'!$AD85&lt;&gt;"(Null)"),('FET Data'!$AC85&lt;&gt;"(Null)")))</f>
        <v>0</v>
      </c>
      <c r="P85" s="22" t="b">
        <f>AND(((GDR_V)&gt;=10),OR(('FET Data'!$AI85&lt;&gt;"(Null)"),('FET Data'!$AH85&lt;&gt;"(Null)"),('FET Data'!$AG85&lt;&gt;"(Null)"),('FET Data'!$AF85&lt;&gt;"(Null)"),('FET Data'!$AE85&lt;&gt;"(Null)"),('FET Data'!$AD85&lt;&gt;"(Null)"),('FET Data'!$AC85&lt;&gt;"(Null)")))</f>
        <v>1</v>
      </c>
      <c r="Q85" s="22" t="b">
        <f t="shared" si="8"/>
        <v>1</v>
      </c>
      <c r="R85" s="22" t="b">
        <f t="shared" si="9"/>
        <v>1</v>
      </c>
    </row>
    <row r="86" spans="1:18" x14ac:dyDescent="0.25">
      <c r="A86" s="22" t="str">
        <f>IF(R86,Discrete_NFET[[#This Row],[PARTNUMBER]],"")</f>
        <v/>
      </c>
      <c r="B86" t="s">
        <v>333</v>
      </c>
      <c r="C86" s="22" t="b">
        <f>AND((Discrete_NFET[[#This Row],[VDSMAX]]&gt;=VDC_AVG*1.25),(Discrete_NFET[[#This Row],[VGSMAX]]&gt;=GDR_V*1.2))</f>
        <v>1</v>
      </c>
      <c r="D86" s="22" t="b">
        <f>AND(VDC_AVG&lt;=25,Discrete_NFET[[#This Row],[VDSMAX]]&lt;=30)</f>
        <v>0</v>
      </c>
      <c r="E86" s="22" t="b">
        <f>AND(VDC_AVG&lt;=33,VDC_AVG&gt;=12,Discrete_NFET[[#This Row],[VDSMAX]]=40)</f>
        <v>0</v>
      </c>
      <c r="F86" s="22" t="b">
        <f>AND(VDC_AVG&lt;=50,VDC_AVG&gt;=18,Discrete_NFET[[#This Row],[VDSMAX]]=60)</f>
        <v>0</v>
      </c>
      <c r="G86" s="22" t="b">
        <f>AND(VDC_AVG&lt;=66,VDC_AVG&gt;=24,Discrete_NFET[[#This Row],[VDSMAX]]=80)</f>
        <v>0</v>
      </c>
      <c r="H86" s="22" t="b">
        <f>AND(VDC_AVG&lt;=83,VDC_AVG&gt;=36,Discrete_NFET[[#This Row],[VDSMAX]]=100)</f>
        <v>0</v>
      </c>
      <c r="I86" s="22" t="b">
        <f t="shared" si="7"/>
        <v>0</v>
      </c>
      <c r="J86" s="22" t="b">
        <f>AND(((GDR_V)&lt;2.5),('FET Data'!$AC86&lt;&gt;"(Null)"))</f>
        <v>0</v>
      </c>
      <c r="K86" s="22" t="b">
        <f>AND(((GDR_V)&gt;=2.5),((GDR_V)&lt;3),OR(('FET Data'!$AD86&lt;&gt;"(Null)"),('FET Data'!$AC86&lt;&gt;"(Null)")))</f>
        <v>0</v>
      </c>
      <c r="L86" s="22" t="b">
        <f>AND(((GDR_V)&gt;=3),((GDR_V)&lt;4.5),OR(('FET Data'!$AE86&lt;&gt;"(Null)"),('FET Data'!$AD86&lt;&gt;"(Null)"),('FET Data'!$AC86&lt;&gt;"(Null)")))</f>
        <v>0</v>
      </c>
      <c r="M86" s="22" t="b">
        <f>AND(((GDR_V)&gt;=4.5),((GDR_V)&lt;6),OR(('FET Data'!$AF86&lt;&gt;"(Null)"),('FET Data'!$AE86&lt;&gt;"(Null)"),('FET Data'!$AD86&lt;&gt;"(Null)"),('FET Data'!$AC86&lt;&gt;"(Null)")))</f>
        <v>0</v>
      </c>
      <c r="N86" s="22" t="b">
        <f>AND(((GDR_V)&gt;=6),((GDR_V)&lt;8),OR(('FET Data'!$AG86&lt;&gt;"(Null)"),('FET Data'!$AF86&lt;&gt;"(Null)"),('FET Data'!$AE86&lt;&gt;"(Null)"),('FET Data'!$AD86&lt;&gt;"(Null)"),('FET Data'!$AC86&lt;&gt;"(Null)")))</f>
        <v>0</v>
      </c>
      <c r="O86" s="22" t="b">
        <f>AND(((GDR_V)&gt;=8),((GDR_V)&lt;10),OR(('FET Data'!$AH86&lt;&gt;"(Null)"),('FET Data'!$AG86&lt;&gt;"(Null)"),('FET Data'!$AF86&lt;&gt;"(Null)"),('FET Data'!$AE86&lt;&gt;"(Null)"),('FET Data'!$AD86&lt;&gt;"(Null)"),('FET Data'!$AC86&lt;&gt;"(Null)")))</f>
        <v>0</v>
      </c>
      <c r="P86" s="22" t="b">
        <f>AND(((GDR_V)&gt;=10),OR(('FET Data'!$AI86&lt;&gt;"(Null)"),('FET Data'!$AH86&lt;&gt;"(Null)"),('FET Data'!$AG86&lt;&gt;"(Null)"),('FET Data'!$AF86&lt;&gt;"(Null)"),('FET Data'!$AE86&lt;&gt;"(Null)"),('FET Data'!$AD86&lt;&gt;"(Null)"),('FET Data'!$AC86&lt;&gt;"(Null)")))</f>
        <v>1</v>
      </c>
      <c r="Q86" s="22" t="b">
        <f t="shared" si="8"/>
        <v>1</v>
      </c>
      <c r="R86" s="22" t="b">
        <f t="shared" si="9"/>
        <v>0</v>
      </c>
    </row>
    <row r="87" spans="1:18" x14ac:dyDescent="0.25">
      <c r="A87" s="22" t="str">
        <f>IF(R87,Discrete_NFET[[#This Row],[PARTNUMBER]],"")</f>
        <v/>
      </c>
      <c r="B87" t="s">
        <v>335</v>
      </c>
      <c r="C87" s="22" t="b">
        <f>AND((Discrete_NFET[[#This Row],[VDSMAX]]&gt;=VDC_AVG*1.25),(Discrete_NFET[[#This Row],[VGSMAX]]&gt;=GDR_V*1.2))</f>
        <v>1</v>
      </c>
      <c r="D87" s="22" t="b">
        <f>AND(VDC_AVG&lt;=25,Discrete_NFET[[#This Row],[VDSMAX]]&lt;=30)</f>
        <v>0</v>
      </c>
      <c r="E87" s="22" t="b">
        <f>AND(VDC_AVG&lt;=33,VDC_AVG&gt;=12,Discrete_NFET[[#This Row],[VDSMAX]]=40)</f>
        <v>0</v>
      </c>
      <c r="F87" s="22" t="b">
        <f>AND(VDC_AVG&lt;=50,VDC_AVG&gt;=18,Discrete_NFET[[#This Row],[VDSMAX]]=60)</f>
        <v>0</v>
      </c>
      <c r="G87" s="22" t="b">
        <f>AND(VDC_AVG&lt;=66,VDC_AVG&gt;=24,Discrete_NFET[[#This Row],[VDSMAX]]=80)</f>
        <v>0</v>
      </c>
      <c r="H87" s="22" t="b">
        <f>AND(VDC_AVG&lt;=83,VDC_AVG&gt;=36,Discrete_NFET[[#This Row],[VDSMAX]]=100)</f>
        <v>0</v>
      </c>
      <c r="I87" s="22" t="b">
        <f t="shared" si="7"/>
        <v>0</v>
      </c>
      <c r="J87" s="22" t="b">
        <f>AND(((GDR_V)&lt;2.5),('FET Data'!$AC87&lt;&gt;"(Null)"))</f>
        <v>0</v>
      </c>
      <c r="K87" s="22" t="b">
        <f>AND(((GDR_V)&gt;=2.5),((GDR_V)&lt;3),OR(('FET Data'!$AD87&lt;&gt;"(Null)"),('FET Data'!$AC87&lt;&gt;"(Null)")))</f>
        <v>0</v>
      </c>
      <c r="L87" s="22" t="b">
        <f>AND(((GDR_V)&gt;=3),((GDR_V)&lt;4.5),OR(('FET Data'!$AE87&lt;&gt;"(Null)"),('FET Data'!$AD87&lt;&gt;"(Null)"),('FET Data'!$AC87&lt;&gt;"(Null)")))</f>
        <v>0</v>
      </c>
      <c r="M87" s="22" t="b">
        <f>AND(((GDR_V)&gt;=4.5),((GDR_V)&lt;6),OR(('FET Data'!$AF87&lt;&gt;"(Null)"),('FET Data'!$AE87&lt;&gt;"(Null)"),('FET Data'!$AD87&lt;&gt;"(Null)"),('FET Data'!$AC87&lt;&gt;"(Null)")))</f>
        <v>0</v>
      </c>
      <c r="N87" s="22" t="b">
        <f>AND(((GDR_V)&gt;=6),((GDR_V)&lt;8),OR(('FET Data'!$AG87&lt;&gt;"(Null)"),('FET Data'!$AF87&lt;&gt;"(Null)"),('FET Data'!$AE87&lt;&gt;"(Null)"),('FET Data'!$AD87&lt;&gt;"(Null)"),('FET Data'!$AC87&lt;&gt;"(Null)")))</f>
        <v>0</v>
      </c>
      <c r="O87" s="22" t="b">
        <f>AND(((GDR_V)&gt;=8),((GDR_V)&lt;10),OR(('FET Data'!$AH87&lt;&gt;"(Null)"),('FET Data'!$AG87&lt;&gt;"(Null)"),('FET Data'!$AF87&lt;&gt;"(Null)"),('FET Data'!$AE87&lt;&gt;"(Null)"),('FET Data'!$AD87&lt;&gt;"(Null)"),('FET Data'!$AC87&lt;&gt;"(Null)")))</f>
        <v>0</v>
      </c>
      <c r="P87" s="22" t="b">
        <f>AND(((GDR_V)&gt;=10),OR(('FET Data'!$AI87&lt;&gt;"(Null)"),('FET Data'!$AH87&lt;&gt;"(Null)"),('FET Data'!$AG87&lt;&gt;"(Null)"),('FET Data'!$AF87&lt;&gt;"(Null)"),('FET Data'!$AE87&lt;&gt;"(Null)"),('FET Data'!$AD87&lt;&gt;"(Null)"),('FET Data'!$AC87&lt;&gt;"(Null)")))</f>
        <v>1</v>
      </c>
      <c r="Q87" s="22" t="b">
        <f t="shared" si="8"/>
        <v>1</v>
      </c>
      <c r="R87" s="22" t="b">
        <f t="shared" si="9"/>
        <v>0</v>
      </c>
    </row>
    <row r="88" spans="1:18" x14ac:dyDescent="0.25">
      <c r="A88" s="22" t="str">
        <f>IF(R88,Discrete_NFET[[#This Row],[PARTNUMBER]],"")</f>
        <v/>
      </c>
      <c r="B88" t="s">
        <v>337</v>
      </c>
      <c r="C88" s="22" t="b">
        <f>AND((Discrete_NFET[[#This Row],[VDSMAX]]&gt;=VDC_AVG*1.25),(Discrete_NFET[[#This Row],[VGSMAX]]&gt;=GDR_V*1.2))</f>
        <v>1</v>
      </c>
      <c r="D88" s="22" t="b">
        <f>AND(VDC_AVG&lt;=25,Discrete_NFET[[#This Row],[VDSMAX]]&lt;=30)</f>
        <v>0</v>
      </c>
      <c r="E88" s="22" t="b">
        <f>AND(VDC_AVG&lt;=33,VDC_AVG&gt;=12,Discrete_NFET[[#This Row],[VDSMAX]]=40)</f>
        <v>0</v>
      </c>
      <c r="F88" s="22" t="b">
        <f>AND(VDC_AVG&lt;=50,VDC_AVG&gt;=18,Discrete_NFET[[#This Row],[VDSMAX]]=60)</f>
        <v>0</v>
      </c>
      <c r="G88" s="22" t="b">
        <f>AND(VDC_AVG&lt;=66,VDC_AVG&gt;=24,Discrete_NFET[[#This Row],[VDSMAX]]=80)</f>
        <v>0</v>
      </c>
      <c r="H88" s="22" t="b">
        <f>AND(VDC_AVG&lt;=83,VDC_AVG&gt;=36,Discrete_NFET[[#This Row],[VDSMAX]]=100)</f>
        <v>0</v>
      </c>
      <c r="I88" s="22" t="b">
        <f t="shared" si="7"/>
        <v>0</v>
      </c>
      <c r="J88" s="22" t="b">
        <f>AND(((GDR_V)&lt;2.5),('FET Data'!$AC88&lt;&gt;"(Null)"))</f>
        <v>0</v>
      </c>
      <c r="K88" s="22" t="b">
        <f>AND(((GDR_V)&gt;=2.5),((GDR_V)&lt;3),OR(('FET Data'!$AD88&lt;&gt;"(Null)"),('FET Data'!$AC88&lt;&gt;"(Null)")))</f>
        <v>0</v>
      </c>
      <c r="L88" s="22" t="b">
        <f>AND(((GDR_V)&gt;=3),((GDR_V)&lt;4.5),OR(('FET Data'!$AE88&lt;&gt;"(Null)"),('FET Data'!$AD88&lt;&gt;"(Null)"),('FET Data'!$AC88&lt;&gt;"(Null)")))</f>
        <v>0</v>
      </c>
      <c r="M88" s="22" t="b">
        <f>AND(((GDR_V)&gt;=4.5),((GDR_V)&lt;6),OR(('FET Data'!$AF88&lt;&gt;"(Null)"),('FET Data'!$AE88&lt;&gt;"(Null)"),('FET Data'!$AD88&lt;&gt;"(Null)"),('FET Data'!$AC88&lt;&gt;"(Null)")))</f>
        <v>0</v>
      </c>
      <c r="N88" s="22" t="b">
        <f>AND(((GDR_V)&gt;=6),((GDR_V)&lt;8),OR(('FET Data'!$AG88&lt;&gt;"(Null)"),('FET Data'!$AF88&lt;&gt;"(Null)"),('FET Data'!$AE88&lt;&gt;"(Null)"),('FET Data'!$AD88&lt;&gt;"(Null)"),('FET Data'!$AC88&lt;&gt;"(Null)")))</f>
        <v>0</v>
      </c>
      <c r="O88" s="22" t="b">
        <f>AND(((GDR_V)&gt;=8),((GDR_V)&lt;10),OR(('FET Data'!$AH88&lt;&gt;"(Null)"),('FET Data'!$AG88&lt;&gt;"(Null)"),('FET Data'!$AF88&lt;&gt;"(Null)"),('FET Data'!$AE88&lt;&gt;"(Null)"),('FET Data'!$AD88&lt;&gt;"(Null)"),('FET Data'!$AC88&lt;&gt;"(Null)")))</f>
        <v>0</v>
      </c>
      <c r="P88" s="22" t="b">
        <f>AND(((GDR_V)&gt;=10),OR(('FET Data'!$AI88&lt;&gt;"(Null)"),('FET Data'!$AH88&lt;&gt;"(Null)"),('FET Data'!$AG88&lt;&gt;"(Null)"),('FET Data'!$AF88&lt;&gt;"(Null)"),('FET Data'!$AE88&lt;&gt;"(Null)"),('FET Data'!$AD88&lt;&gt;"(Null)"),('FET Data'!$AC88&lt;&gt;"(Null)")))</f>
        <v>1</v>
      </c>
      <c r="Q88" s="22" t="b">
        <f t="shared" si="8"/>
        <v>1</v>
      </c>
      <c r="R88" s="22" t="b">
        <f t="shared" si="9"/>
        <v>0</v>
      </c>
    </row>
    <row r="89" spans="1:18" x14ac:dyDescent="0.25">
      <c r="A89" s="22" t="str">
        <f>IF(R89,Discrete_NFET[[#This Row],[PARTNUMBER]],"")</f>
        <v/>
      </c>
      <c r="B89" t="s">
        <v>339</v>
      </c>
      <c r="C89" s="22" t="b">
        <f>AND((Discrete_NFET[[#This Row],[VDSMAX]]&gt;=VDC_AVG*1.25),(Discrete_NFET[[#This Row],[VGSMAX]]&gt;=GDR_V*1.2))</f>
        <v>1</v>
      </c>
      <c r="D89" s="22" t="b">
        <f>AND(VDC_AVG&lt;=25,Discrete_NFET[[#This Row],[VDSMAX]]&lt;=30)</f>
        <v>0</v>
      </c>
      <c r="E89" s="22" t="b">
        <f>AND(VDC_AVG&lt;=33,VDC_AVG&gt;=12,Discrete_NFET[[#This Row],[VDSMAX]]=40)</f>
        <v>0</v>
      </c>
      <c r="F89" s="22" t="b">
        <f>AND(VDC_AVG&lt;=50,VDC_AVG&gt;=18,Discrete_NFET[[#This Row],[VDSMAX]]=60)</f>
        <v>0</v>
      </c>
      <c r="G89" s="22" t="b">
        <f>AND(VDC_AVG&lt;=66,VDC_AVG&gt;=24,Discrete_NFET[[#This Row],[VDSMAX]]=80)</f>
        <v>0</v>
      </c>
      <c r="H89" s="22" t="b">
        <f>AND(VDC_AVG&lt;=83,VDC_AVG&gt;=36,Discrete_NFET[[#This Row],[VDSMAX]]=100)</f>
        <v>0</v>
      </c>
      <c r="I89" s="22" t="b">
        <f t="shared" si="7"/>
        <v>0</v>
      </c>
      <c r="J89" s="22" t="b">
        <f>AND(((GDR_V)&lt;2.5),('FET Data'!$AC89&lt;&gt;"(Null)"))</f>
        <v>0</v>
      </c>
      <c r="K89" s="22" t="b">
        <f>AND(((GDR_V)&gt;=2.5),((GDR_V)&lt;3),OR(('FET Data'!$AD89&lt;&gt;"(Null)"),('FET Data'!$AC89&lt;&gt;"(Null)")))</f>
        <v>0</v>
      </c>
      <c r="L89" s="22" t="b">
        <f>AND(((GDR_V)&gt;=3),((GDR_V)&lt;4.5),OR(('FET Data'!$AE89&lt;&gt;"(Null)"),('FET Data'!$AD89&lt;&gt;"(Null)"),('FET Data'!$AC89&lt;&gt;"(Null)")))</f>
        <v>0</v>
      </c>
      <c r="M89" s="22" t="b">
        <f>AND(((GDR_V)&gt;=4.5),((GDR_V)&lt;6),OR(('FET Data'!$AF89&lt;&gt;"(Null)"),('FET Data'!$AE89&lt;&gt;"(Null)"),('FET Data'!$AD89&lt;&gt;"(Null)"),('FET Data'!$AC89&lt;&gt;"(Null)")))</f>
        <v>0</v>
      </c>
      <c r="N89" s="22" t="b">
        <f>AND(((GDR_V)&gt;=6),((GDR_V)&lt;8),OR(('FET Data'!$AG89&lt;&gt;"(Null)"),('FET Data'!$AF89&lt;&gt;"(Null)"),('FET Data'!$AE89&lt;&gt;"(Null)"),('FET Data'!$AD89&lt;&gt;"(Null)"),('FET Data'!$AC89&lt;&gt;"(Null)")))</f>
        <v>0</v>
      </c>
      <c r="O89" s="22" t="b">
        <f>AND(((GDR_V)&gt;=8),((GDR_V)&lt;10),OR(('FET Data'!$AH89&lt;&gt;"(Null)"),('FET Data'!$AG89&lt;&gt;"(Null)"),('FET Data'!$AF89&lt;&gt;"(Null)"),('FET Data'!$AE89&lt;&gt;"(Null)"),('FET Data'!$AD89&lt;&gt;"(Null)"),('FET Data'!$AC89&lt;&gt;"(Null)")))</f>
        <v>0</v>
      </c>
      <c r="P89" s="22" t="b">
        <f>AND(((GDR_V)&gt;=10),OR(('FET Data'!$AI89&lt;&gt;"(Null)"),('FET Data'!$AH89&lt;&gt;"(Null)"),('FET Data'!$AG89&lt;&gt;"(Null)"),('FET Data'!$AF89&lt;&gt;"(Null)"),('FET Data'!$AE89&lt;&gt;"(Null)"),('FET Data'!$AD89&lt;&gt;"(Null)"),('FET Data'!$AC89&lt;&gt;"(Null)")))</f>
        <v>1</v>
      </c>
      <c r="Q89" s="22" t="b">
        <f t="shared" si="8"/>
        <v>1</v>
      </c>
      <c r="R89" s="22" t="b">
        <f t="shared" si="9"/>
        <v>0</v>
      </c>
    </row>
    <row r="90" spans="1:18" x14ac:dyDescent="0.25">
      <c r="A90" s="22" t="str">
        <f>IF(R90,Discrete_NFET[[#This Row],[PARTNUMBER]],"")</f>
        <v/>
      </c>
      <c r="B90" t="s">
        <v>543</v>
      </c>
      <c r="C90" s="22" t="b">
        <f>AND((Discrete_NFET[[#This Row],[VDSMAX]]&gt;=VDC_AVG*1.25),(Discrete_NFET[[#This Row],[VGSMAX]]&gt;=GDR_V*1.2))</f>
        <v>1</v>
      </c>
      <c r="D90" s="22" t="b">
        <f>AND(VDC_AVG&lt;=25,Discrete_NFET[[#This Row],[VDSMAX]]&lt;=30)</f>
        <v>0</v>
      </c>
      <c r="E90" s="22" t="b">
        <f>AND(VDC_AVG&lt;=33,VDC_AVG&gt;=12,Discrete_NFET[[#This Row],[VDSMAX]]=40)</f>
        <v>0</v>
      </c>
      <c r="F90" s="22" t="b">
        <f>AND(VDC_AVG&lt;=50,VDC_AVG&gt;=18,Discrete_NFET[[#This Row],[VDSMAX]]=60)</f>
        <v>0</v>
      </c>
      <c r="G90" s="22" t="b">
        <f>AND(VDC_AVG&lt;=66,VDC_AVG&gt;=24,Discrete_NFET[[#This Row],[VDSMAX]]=80)</f>
        <v>0</v>
      </c>
      <c r="H90" s="22" t="b">
        <f>AND(VDC_AVG&lt;=83,VDC_AVG&gt;=36,Discrete_NFET[[#This Row],[VDSMAX]]=100)</f>
        <v>0</v>
      </c>
      <c r="I90" s="22" t="b">
        <f t="shared" si="7"/>
        <v>0</v>
      </c>
      <c r="J90" s="22" t="b">
        <f>AND(((GDR_V)&lt;2.5),('FET Data'!$AC90&lt;&gt;"(Null)"))</f>
        <v>0</v>
      </c>
      <c r="K90" s="22" t="b">
        <f>AND(((GDR_V)&gt;=2.5),((GDR_V)&lt;3),OR(('FET Data'!$AD90&lt;&gt;"(Null)"),('FET Data'!$AC90&lt;&gt;"(Null)")))</f>
        <v>0</v>
      </c>
      <c r="L90" s="22" t="b">
        <f>AND(((GDR_V)&gt;=3),((GDR_V)&lt;4.5),OR(('FET Data'!$AE90&lt;&gt;"(Null)"),('FET Data'!$AD90&lt;&gt;"(Null)"),('FET Data'!$AC90&lt;&gt;"(Null)")))</f>
        <v>0</v>
      </c>
      <c r="M90" s="22" t="b">
        <f>AND(((GDR_V)&gt;=4.5),((GDR_V)&lt;6),OR(('FET Data'!$AF90&lt;&gt;"(Null)"),('FET Data'!$AE90&lt;&gt;"(Null)"),('FET Data'!$AD90&lt;&gt;"(Null)"),('FET Data'!$AC90&lt;&gt;"(Null)")))</f>
        <v>0</v>
      </c>
      <c r="N90" s="22" t="b">
        <f>AND(((GDR_V)&gt;=6),((GDR_V)&lt;8),OR(('FET Data'!$AG90&lt;&gt;"(Null)"),('FET Data'!$AF90&lt;&gt;"(Null)"),('FET Data'!$AE90&lt;&gt;"(Null)"),('FET Data'!$AD90&lt;&gt;"(Null)"),('FET Data'!$AC90&lt;&gt;"(Null)")))</f>
        <v>0</v>
      </c>
      <c r="O90" s="22" t="b">
        <f>AND(((GDR_V)&gt;=8),((GDR_V)&lt;10),OR(('FET Data'!$AH90&lt;&gt;"(Null)"),('FET Data'!$AG90&lt;&gt;"(Null)"),('FET Data'!$AF90&lt;&gt;"(Null)"),('FET Data'!$AE90&lt;&gt;"(Null)"),('FET Data'!$AD90&lt;&gt;"(Null)"),('FET Data'!$AC90&lt;&gt;"(Null)")))</f>
        <v>0</v>
      </c>
      <c r="P90" s="22" t="b">
        <f>AND(((GDR_V)&gt;=10),OR(('FET Data'!$AI90&lt;&gt;"(Null)"),('FET Data'!$AH90&lt;&gt;"(Null)"),('FET Data'!$AG90&lt;&gt;"(Null)"),('FET Data'!$AF90&lt;&gt;"(Null)"),('FET Data'!$AE90&lt;&gt;"(Null)"),('FET Data'!$AD90&lt;&gt;"(Null)"),('FET Data'!$AC90&lt;&gt;"(Null)")))</f>
        <v>1</v>
      </c>
      <c r="Q90" s="22" t="b">
        <f t="shared" si="8"/>
        <v>1</v>
      </c>
      <c r="R90" s="22" t="b">
        <f t="shared" si="9"/>
        <v>0</v>
      </c>
    </row>
    <row r="91" spans="1:18" x14ac:dyDescent="0.25">
      <c r="A91" s="22" t="str">
        <f>IF(R91,Discrete_NFET[[#This Row],[PARTNUMBER]],"")</f>
        <v/>
      </c>
      <c r="B91" t="s">
        <v>538</v>
      </c>
      <c r="C91" s="22" t="b">
        <f>AND((Discrete_NFET[[#This Row],[VDSMAX]]&gt;=VDC_AVG*1.25),(Discrete_NFET[[#This Row],[VGSMAX]]&gt;=GDR_V*1.2))</f>
        <v>1</v>
      </c>
      <c r="D91" s="22" t="b">
        <f>AND(VDC_AVG&lt;=25,Discrete_NFET[[#This Row],[VDSMAX]]&lt;=30)</f>
        <v>0</v>
      </c>
      <c r="E91" s="22" t="b">
        <f>AND(VDC_AVG&lt;=33,VDC_AVG&gt;=12,Discrete_NFET[[#This Row],[VDSMAX]]=40)</f>
        <v>0</v>
      </c>
      <c r="F91" s="22" t="b">
        <f>AND(VDC_AVG&lt;=50,VDC_AVG&gt;=18,Discrete_NFET[[#This Row],[VDSMAX]]=60)</f>
        <v>0</v>
      </c>
      <c r="G91" s="22" t="b">
        <f>AND(VDC_AVG&lt;=66,VDC_AVG&gt;=24,Discrete_NFET[[#This Row],[VDSMAX]]=80)</f>
        <v>0</v>
      </c>
      <c r="H91" s="22" t="b">
        <f>AND(VDC_AVG&lt;=83,VDC_AVG&gt;=36,Discrete_NFET[[#This Row],[VDSMAX]]=100)</f>
        <v>0</v>
      </c>
      <c r="I91" s="22" t="b">
        <f t="shared" si="7"/>
        <v>0</v>
      </c>
      <c r="J91" s="22" t="b">
        <f>AND(((GDR_V)&lt;2.5),('FET Data'!$AC91&lt;&gt;"(Null)"))</f>
        <v>0</v>
      </c>
      <c r="K91" s="22" t="b">
        <f>AND(((GDR_V)&gt;=2.5),((GDR_V)&lt;3),OR(('FET Data'!$AD91&lt;&gt;"(Null)"),('FET Data'!$AC91&lt;&gt;"(Null)")))</f>
        <v>0</v>
      </c>
      <c r="L91" s="22" t="b">
        <f>AND(((GDR_V)&gt;=3),((GDR_V)&lt;4.5),OR(('FET Data'!$AE91&lt;&gt;"(Null)"),('FET Data'!$AD91&lt;&gt;"(Null)"),('FET Data'!$AC91&lt;&gt;"(Null)")))</f>
        <v>0</v>
      </c>
      <c r="M91" s="22" t="b">
        <f>AND(((GDR_V)&gt;=4.5),((GDR_V)&lt;6),OR(('FET Data'!$AF91&lt;&gt;"(Null)"),('FET Data'!$AE91&lt;&gt;"(Null)"),('FET Data'!$AD91&lt;&gt;"(Null)"),('FET Data'!$AC91&lt;&gt;"(Null)")))</f>
        <v>0</v>
      </c>
      <c r="N91" s="22" t="b">
        <f>AND(((GDR_V)&gt;=6),((GDR_V)&lt;8),OR(('FET Data'!$AG91&lt;&gt;"(Null)"),('FET Data'!$AF91&lt;&gt;"(Null)"),('FET Data'!$AE91&lt;&gt;"(Null)"),('FET Data'!$AD91&lt;&gt;"(Null)"),('FET Data'!$AC91&lt;&gt;"(Null)")))</f>
        <v>0</v>
      </c>
      <c r="O91" s="22" t="b">
        <f>AND(((GDR_V)&gt;=8),((GDR_V)&lt;10),OR(('FET Data'!$AH91&lt;&gt;"(Null)"),('FET Data'!$AG91&lt;&gt;"(Null)"),('FET Data'!$AF91&lt;&gt;"(Null)"),('FET Data'!$AE91&lt;&gt;"(Null)"),('FET Data'!$AD91&lt;&gt;"(Null)"),('FET Data'!$AC91&lt;&gt;"(Null)")))</f>
        <v>0</v>
      </c>
      <c r="P91" s="22" t="b">
        <f>AND(((GDR_V)&gt;=10),OR(('FET Data'!$AI91&lt;&gt;"(Null)"),('FET Data'!$AH91&lt;&gt;"(Null)"),('FET Data'!$AG91&lt;&gt;"(Null)"),('FET Data'!$AF91&lt;&gt;"(Null)"),('FET Data'!$AE91&lt;&gt;"(Null)"),('FET Data'!$AD91&lt;&gt;"(Null)"),('FET Data'!$AC91&lt;&gt;"(Null)")))</f>
        <v>1</v>
      </c>
      <c r="Q91" s="22" t="b">
        <f t="shared" si="8"/>
        <v>1</v>
      </c>
      <c r="R91" s="22" t="b">
        <f t="shared" si="9"/>
        <v>0</v>
      </c>
    </row>
    <row r="92" spans="1:18" x14ac:dyDescent="0.25">
      <c r="A92" s="22" t="str">
        <f>IF(R92,Discrete_NFET[[#This Row],[PARTNUMBER]],"")</f>
        <v/>
      </c>
      <c r="B92" t="s">
        <v>544</v>
      </c>
      <c r="C92" s="22" t="b">
        <f>AND((Discrete_NFET[[#This Row],[VDSMAX]]&gt;=VDC_AVG*1.25),(Discrete_NFET[[#This Row],[VGSMAX]]&gt;=GDR_V*1.2))</f>
        <v>1</v>
      </c>
      <c r="D92" s="22" t="b">
        <f>AND(VDC_AVG&lt;=25,Discrete_NFET[[#This Row],[VDSMAX]]&lt;=30)</f>
        <v>0</v>
      </c>
      <c r="E92" s="22" t="b">
        <f>AND(VDC_AVG&lt;=33,VDC_AVG&gt;=12,Discrete_NFET[[#This Row],[VDSMAX]]=40)</f>
        <v>0</v>
      </c>
      <c r="F92" s="22" t="b">
        <f>AND(VDC_AVG&lt;=50,VDC_AVG&gt;=18,Discrete_NFET[[#This Row],[VDSMAX]]=60)</f>
        <v>0</v>
      </c>
      <c r="G92" s="22" t="b">
        <f>AND(VDC_AVG&lt;=66,VDC_AVG&gt;=24,Discrete_NFET[[#This Row],[VDSMAX]]=80)</f>
        <v>0</v>
      </c>
      <c r="H92" s="22" t="b">
        <f>AND(VDC_AVG&lt;=83,VDC_AVG&gt;=36,Discrete_NFET[[#This Row],[VDSMAX]]=100)</f>
        <v>0</v>
      </c>
      <c r="I92" s="22" t="b">
        <f t="shared" si="7"/>
        <v>0</v>
      </c>
      <c r="J92" s="22" t="b">
        <f>AND(((GDR_V)&lt;2.5),('FET Data'!$AC92&lt;&gt;"(Null)"))</f>
        <v>0</v>
      </c>
      <c r="K92" s="22" t="b">
        <f>AND(((GDR_V)&gt;=2.5),((GDR_V)&lt;3),OR(('FET Data'!$AD92&lt;&gt;"(Null)"),('FET Data'!$AC92&lt;&gt;"(Null)")))</f>
        <v>0</v>
      </c>
      <c r="L92" s="22" t="b">
        <f>AND(((GDR_V)&gt;=3),((GDR_V)&lt;4.5),OR(('FET Data'!$AE92&lt;&gt;"(Null)"),('FET Data'!$AD92&lt;&gt;"(Null)"),('FET Data'!$AC92&lt;&gt;"(Null)")))</f>
        <v>0</v>
      </c>
      <c r="M92" s="22" t="b">
        <f>AND(((GDR_V)&gt;=4.5),((GDR_V)&lt;6),OR(('FET Data'!$AF92&lt;&gt;"(Null)"),('FET Data'!$AE92&lt;&gt;"(Null)"),('FET Data'!$AD92&lt;&gt;"(Null)"),('FET Data'!$AC92&lt;&gt;"(Null)")))</f>
        <v>0</v>
      </c>
      <c r="N92" s="22" t="b">
        <f>AND(((GDR_V)&gt;=6),((GDR_V)&lt;8),OR(('FET Data'!$AG92&lt;&gt;"(Null)"),('FET Data'!$AF92&lt;&gt;"(Null)"),('FET Data'!$AE92&lt;&gt;"(Null)"),('FET Data'!$AD92&lt;&gt;"(Null)"),('FET Data'!$AC92&lt;&gt;"(Null)")))</f>
        <v>0</v>
      </c>
      <c r="O92" s="22" t="b">
        <f>AND(((GDR_V)&gt;=8),((GDR_V)&lt;10),OR(('FET Data'!$AH92&lt;&gt;"(Null)"),('FET Data'!$AG92&lt;&gt;"(Null)"),('FET Data'!$AF92&lt;&gt;"(Null)"),('FET Data'!$AE92&lt;&gt;"(Null)"),('FET Data'!$AD92&lt;&gt;"(Null)"),('FET Data'!$AC92&lt;&gt;"(Null)")))</f>
        <v>0</v>
      </c>
      <c r="P92" s="22" t="b">
        <f>AND(((GDR_V)&gt;=10),OR(('FET Data'!$AI92&lt;&gt;"(Null)"),('FET Data'!$AH92&lt;&gt;"(Null)"),('FET Data'!$AG92&lt;&gt;"(Null)"),('FET Data'!$AF92&lt;&gt;"(Null)"),('FET Data'!$AE92&lt;&gt;"(Null)"),('FET Data'!$AD92&lt;&gt;"(Null)"),('FET Data'!$AC92&lt;&gt;"(Null)")))</f>
        <v>1</v>
      </c>
      <c r="Q92" s="22" t="b">
        <f t="shared" si="8"/>
        <v>1</v>
      </c>
      <c r="R92" s="22" t="b">
        <f t="shared" si="9"/>
        <v>0</v>
      </c>
    </row>
    <row r="93" spans="1:18" x14ac:dyDescent="0.25">
      <c r="A93" s="22" t="str">
        <f>IF(R93,Discrete_NFET[[#This Row],[PARTNUMBER]],"")</f>
        <v/>
      </c>
      <c r="B93" t="s">
        <v>539</v>
      </c>
      <c r="C93" s="22" t="b">
        <f>AND((Discrete_NFET[[#This Row],[VDSMAX]]&gt;=VDC_AVG*1.25),(Discrete_NFET[[#This Row],[VGSMAX]]&gt;=GDR_V*1.2))</f>
        <v>1</v>
      </c>
      <c r="D93" s="22" t="b">
        <f>AND(VDC_AVG&lt;=25,Discrete_NFET[[#This Row],[VDSMAX]]&lt;=30)</f>
        <v>0</v>
      </c>
      <c r="E93" s="22" t="b">
        <f>AND(VDC_AVG&lt;=33,VDC_AVG&gt;=12,Discrete_NFET[[#This Row],[VDSMAX]]=40)</f>
        <v>0</v>
      </c>
      <c r="F93" s="22" t="b">
        <f>AND(VDC_AVG&lt;=50,VDC_AVG&gt;=18,Discrete_NFET[[#This Row],[VDSMAX]]=60)</f>
        <v>0</v>
      </c>
      <c r="G93" s="22" t="b">
        <f>AND(VDC_AVG&lt;=66,VDC_AVG&gt;=24,Discrete_NFET[[#This Row],[VDSMAX]]=80)</f>
        <v>0</v>
      </c>
      <c r="H93" s="22" t="b">
        <f>AND(VDC_AVG&lt;=83,VDC_AVG&gt;=36,Discrete_NFET[[#This Row],[VDSMAX]]=100)</f>
        <v>0</v>
      </c>
      <c r="I93" s="22" t="b">
        <f t="shared" si="7"/>
        <v>0</v>
      </c>
      <c r="J93" s="22" t="b">
        <f>AND(((GDR_V)&lt;2.5),('FET Data'!$AC93&lt;&gt;"(Null)"))</f>
        <v>0</v>
      </c>
      <c r="K93" s="22" t="b">
        <f>AND(((GDR_V)&gt;=2.5),((GDR_V)&lt;3),OR(('FET Data'!$AD93&lt;&gt;"(Null)"),('FET Data'!$AC93&lt;&gt;"(Null)")))</f>
        <v>0</v>
      </c>
      <c r="L93" s="22" t="b">
        <f>AND(((GDR_V)&gt;=3),((GDR_V)&lt;4.5),OR(('FET Data'!$AE93&lt;&gt;"(Null)"),('FET Data'!$AD93&lt;&gt;"(Null)"),('FET Data'!$AC93&lt;&gt;"(Null)")))</f>
        <v>0</v>
      </c>
      <c r="M93" s="22" t="b">
        <f>AND(((GDR_V)&gt;=4.5),((GDR_V)&lt;6),OR(('FET Data'!$AF93&lt;&gt;"(Null)"),('FET Data'!$AE93&lt;&gt;"(Null)"),('FET Data'!$AD93&lt;&gt;"(Null)"),('FET Data'!$AC93&lt;&gt;"(Null)")))</f>
        <v>0</v>
      </c>
      <c r="N93" s="22" t="b">
        <f>AND(((GDR_V)&gt;=6),((GDR_V)&lt;8),OR(('FET Data'!$AG93&lt;&gt;"(Null)"),('FET Data'!$AF93&lt;&gt;"(Null)"),('FET Data'!$AE93&lt;&gt;"(Null)"),('FET Data'!$AD93&lt;&gt;"(Null)"),('FET Data'!$AC93&lt;&gt;"(Null)")))</f>
        <v>0</v>
      </c>
      <c r="O93" s="22" t="b">
        <f>AND(((GDR_V)&gt;=8),((GDR_V)&lt;10),OR(('FET Data'!$AH93&lt;&gt;"(Null)"),('FET Data'!$AG93&lt;&gt;"(Null)"),('FET Data'!$AF93&lt;&gt;"(Null)"),('FET Data'!$AE93&lt;&gt;"(Null)"),('FET Data'!$AD93&lt;&gt;"(Null)"),('FET Data'!$AC93&lt;&gt;"(Null)")))</f>
        <v>0</v>
      </c>
      <c r="P93" s="22" t="b">
        <f>AND(((GDR_V)&gt;=10),OR(('FET Data'!$AI93&lt;&gt;"(Null)"),('FET Data'!$AH93&lt;&gt;"(Null)"),('FET Data'!$AG93&lt;&gt;"(Null)"),('FET Data'!$AF93&lt;&gt;"(Null)"),('FET Data'!$AE93&lt;&gt;"(Null)"),('FET Data'!$AD93&lt;&gt;"(Null)"),('FET Data'!$AC93&lt;&gt;"(Null)")))</f>
        <v>1</v>
      </c>
      <c r="Q93" s="22" t="b">
        <f t="shared" si="8"/>
        <v>1</v>
      </c>
      <c r="R93" s="22" t="b">
        <f t="shared" si="9"/>
        <v>0</v>
      </c>
    </row>
    <row r="94" spans="1:18" x14ac:dyDescent="0.25">
      <c r="A94" s="22" t="str">
        <f>IF(R94,Discrete_NFET[[#This Row],[PARTNUMBER]],"")</f>
        <v/>
      </c>
      <c r="B94" t="s">
        <v>545</v>
      </c>
      <c r="C94" s="22" t="b">
        <f>AND((Discrete_NFET[[#This Row],[VDSMAX]]&gt;=VDC_AVG*1.25),(Discrete_NFET[[#This Row],[VGSMAX]]&gt;=GDR_V*1.2))</f>
        <v>1</v>
      </c>
      <c r="D94" s="22" t="b">
        <f>AND(VDC_AVG&lt;=25,Discrete_NFET[[#This Row],[VDSMAX]]&lt;=30)</f>
        <v>0</v>
      </c>
      <c r="E94" s="22" t="b">
        <f>AND(VDC_AVG&lt;=33,VDC_AVG&gt;=12,Discrete_NFET[[#This Row],[VDSMAX]]=40)</f>
        <v>0</v>
      </c>
      <c r="F94" s="22" t="b">
        <f>AND(VDC_AVG&lt;=50,VDC_AVG&gt;=18,Discrete_NFET[[#This Row],[VDSMAX]]=60)</f>
        <v>0</v>
      </c>
      <c r="G94" s="22" t="b">
        <f>AND(VDC_AVG&lt;=66,VDC_AVG&gt;=24,Discrete_NFET[[#This Row],[VDSMAX]]=80)</f>
        <v>0</v>
      </c>
      <c r="H94" s="22" t="b">
        <f>AND(VDC_AVG&lt;=83,VDC_AVG&gt;=36,Discrete_NFET[[#This Row],[VDSMAX]]=100)</f>
        <v>0</v>
      </c>
      <c r="I94" s="22" t="b">
        <f t="shared" si="7"/>
        <v>0</v>
      </c>
      <c r="J94" s="22" t="b">
        <f>AND(((GDR_V)&lt;2.5),('FET Data'!$AC94&lt;&gt;"(Null)"))</f>
        <v>0</v>
      </c>
      <c r="K94" s="22" t="b">
        <f>AND(((GDR_V)&gt;=2.5),((GDR_V)&lt;3),OR(('FET Data'!$AD94&lt;&gt;"(Null)"),('FET Data'!$AC94&lt;&gt;"(Null)")))</f>
        <v>0</v>
      </c>
      <c r="L94" s="22" t="b">
        <f>AND(((GDR_V)&gt;=3),((GDR_V)&lt;4.5),OR(('FET Data'!$AE94&lt;&gt;"(Null)"),('FET Data'!$AD94&lt;&gt;"(Null)"),('FET Data'!$AC94&lt;&gt;"(Null)")))</f>
        <v>0</v>
      </c>
      <c r="M94" s="22" t="b">
        <f>AND(((GDR_V)&gt;=4.5),((GDR_V)&lt;6),OR(('FET Data'!$AF94&lt;&gt;"(Null)"),('FET Data'!$AE94&lt;&gt;"(Null)"),('FET Data'!$AD94&lt;&gt;"(Null)"),('FET Data'!$AC94&lt;&gt;"(Null)")))</f>
        <v>0</v>
      </c>
      <c r="N94" s="22" t="b">
        <f>AND(((GDR_V)&gt;=6),((GDR_V)&lt;8),OR(('FET Data'!$AG94&lt;&gt;"(Null)"),('FET Data'!$AF94&lt;&gt;"(Null)"),('FET Data'!$AE94&lt;&gt;"(Null)"),('FET Data'!$AD94&lt;&gt;"(Null)"),('FET Data'!$AC94&lt;&gt;"(Null)")))</f>
        <v>0</v>
      </c>
      <c r="O94" s="22" t="b">
        <f>AND(((GDR_V)&gt;=8),((GDR_V)&lt;10),OR(('FET Data'!$AH94&lt;&gt;"(Null)"),('FET Data'!$AG94&lt;&gt;"(Null)"),('FET Data'!$AF94&lt;&gt;"(Null)"),('FET Data'!$AE94&lt;&gt;"(Null)"),('FET Data'!$AD94&lt;&gt;"(Null)"),('FET Data'!$AC94&lt;&gt;"(Null)")))</f>
        <v>0</v>
      </c>
      <c r="P94" s="22" t="b">
        <f>AND(((GDR_V)&gt;=10),OR(('FET Data'!$AI94&lt;&gt;"(Null)"),('FET Data'!$AH94&lt;&gt;"(Null)"),('FET Data'!$AG94&lt;&gt;"(Null)"),('FET Data'!$AF94&lt;&gt;"(Null)"),('FET Data'!$AE94&lt;&gt;"(Null)"),('FET Data'!$AD94&lt;&gt;"(Null)"),('FET Data'!$AC94&lt;&gt;"(Null)")))</f>
        <v>1</v>
      </c>
      <c r="Q94" s="22" t="b">
        <f t="shared" si="8"/>
        <v>1</v>
      </c>
      <c r="R94" s="22" t="b">
        <f t="shared" si="9"/>
        <v>0</v>
      </c>
    </row>
    <row r="95" spans="1:18" x14ac:dyDescent="0.25">
      <c r="A95" s="22" t="str">
        <f>IF(R95,Discrete_NFET[[#This Row],[PARTNUMBER]],"")</f>
        <v/>
      </c>
      <c r="B95" t="s">
        <v>540</v>
      </c>
      <c r="C95" s="22" t="b">
        <f>AND((Discrete_NFET[[#This Row],[VDSMAX]]&gt;=VDC_AVG*1.25),(Discrete_NFET[[#This Row],[VGSMAX]]&gt;=GDR_V*1.2))</f>
        <v>1</v>
      </c>
      <c r="D95" s="22" t="b">
        <f>AND(VDC_AVG&lt;=25,Discrete_NFET[[#This Row],[VDSMAX]]&lt;=30)</f>
        <v>0</v>
      </c>
      <c r="E95" s="22" t="b">
        <f>AND(VDC_AVG&lt;=33,VDC_AVG&gt;=12,Discrete_NFET[[#This Row],[VDSMAX]]=40)</f>
        <v>0</v>
      </c>
      <c r="F95" s="22" t="b">
        <f>AND(VDC_AVG&lt;=50,VDC_AVG&gt;=18,Discrete_NFET[[#This Row],[VDSMAX]]=60)</f>
        <v>0</v>
      </c>
      <c r="G95" s="22" t="b">
        <f>AND(VDC_AVG&lt;=66,VDC_AVG&gt;=24,Discrete_NFET[[#This Row],[VDSMAX]]=80)</f>
        <v>0</v>
      </c>
      <c r="H95" s="22" t="b">
        <f>AND(VDC_AVG&lt;=83,VDC_AVG&gt;=36,Discrete_NFET[[#This Row],[VDSMAX]]=100)</f>
        <v>0</v>
      </c>
      <c r="I95" s="22" t="b">
        <f t="shared" si="7"/>
        <v>0</v>
      </c>
      <c r="J95" s="22" t="b">
        <f>AND(((GDR_V)&lt;2.5),('FET Data'!$AC95&lt;&gt;"(Null)"))</f>
        <v>0</v>
      </c>
      <c r="K95" s="22" t="b">
        <f>AND(((GDR_V)&gt;=2.5),((GDR_V)&lt;3),OR(('FET Data'!$AD95&lt;&gt;"(Null)"),('FET Data'!$AC95&lt;&gt;"(Null)")))</f>
        <v>0</v>
      </c>
      <c r="L95" s="22" t="b">
        <f>AND(((GDR_V)&gt;=3),((GDR_V)&lt;4.5),OR(('FET Data'!$AE95&lt;&gt;"(Null)"),('FET Data'!$AD95&lt;&gt;"(Null)"),('FET Data'!$AC95&lt;&gt;"(Null)")))</f>
        <v>0</v>
      </c>
      <c r="M95" s="22" t="b">
        <f>AND(((GDR_V)&gt;=4.5),((GDR_V)&lt;6),OR(('FET Data'!$AF95&lt;&gt;"(Null)"),('FET Data'!$AE95&lt;&gt;"(Null)"),('FET Data'!$AD95&lt;&gt;"(Null)"),('FET Data'!$AC95&lt;&gt;"(Null)")))</f>
        <v>0</v>
      </c>
      <c r="N95" s="22" t="b">
        <f>AND(((GDR_V)&gt;=6),((GDR_V)&lt;8),OR(('FET Data'!$AG95&lt;&gt;"(Null)"),('FET Data'!$AF95&lt;&gt;"(Null)"),('FET Data'!$AE95&lt;&gt;"(Null)"),('FET Data'!$AD95&lt;&gt;"(Null)"),('FET Data'!$AC95&lt;&gt;"(Null)")))</f>
        <v>0</v>
      </c>
      <c r="O95" s="22" t="b">
        <f>AND(((GDR_V)&gt;=8),((GDR_V)&lt;10),OR(('FET Data'!$AH95&lt;&gt;"(Null)"),('FET Data'!$AG95&lt;&gt;"(Null)"),('FET Data'!$AF95&lt;&gt;"(Null)"),('FET Data'!$AE95&lt;&gt;"(Null)"),('FET Data'!$AD95&lt;&gt;"(Null)"),('FET Data'!$AC95&lt;&gt;"(Null)")))</f>
        <v>0</v>
      </c>
      <c r="P95" s="22" t="b">
        <f>AND(((GDR_V)&gt;=10),OR(('FET Data'!$AI95&lt;&gt;"(Null)"),('FET Data'!$AH95&lt;&gt;"(Null)"),('FET Data'!$AG95&lt;&gt;"(Null)"),('FET Data'!$AF95&lt;&gt;"(Null)"),('FET Data'!$AE95&lt;&gt;"(Null)"),('FET Data'!$AD95&lt;&gt;"(Null)"),('FET Data'!$AC95&lt;&gt;"(Null)")))</f>
        <v>1</v>
      </c>
      <c r="Q95" s="22" t="b">
        <f t="shared" si="8"/>
        <v>1</v>
      </c>
      <c r="R95" s="22" t="b">
        <f t="shared" si="9"/>
        <v>0</v>
      </c>
    </row>
    <row r="96" spans="1:18" x14ac:dyDescent="0.25">
      <c r="A96" s="22" t="str">
        <f>IF(R96,Discrete_NFET[[#This Row],[PARTNUMBER]],"")</f>
        <v/>
      </c>
      <c r="B96" t="s">
        <v>549</v>
      </c>
      <c r="C96" s="22" t="b">
        <f>AND((Discrete_NFET[[#This Row],[VDSMAX]]&gt;=VDC_AVG*1.25),(Discrete_NFET[[#This Row],[VGSMAX]]&gt;=GDR_V*1.2))</f>
        <v>1</v>
      </c>
      <c r="D96" s="22" t="b">
        <f>AND(VDC_AVG&lt;=25,Discrete_NFET[[#This Row],[VDSMAX]]&lt;=30)</f>
        <v>0</v>
      </c>
      <c r="E96" s="22" t="b">
        <f>AND(VDC_AVG&lt;=33,VDC_AVG&gt;=12,Discrete_NFET[[#This Row],[VDSMAX]]=40)</f>
        <v>0</v>
      </c>
      <c r="F96" s="22" t="b">
        <f>AND(VDC_AVG&lt;=50,VDC_AVG&gt;=18,Discrete_NFET[[#This Row],[VDSMAX]]=60)</f>
        <v>0</v>
      </c>
      <c r="G96" s="22" t="b">
        <f>AND(VDC_AVG&lt;=66,VDC_AVG&gt;=24,Discrete_NFET[[#This Row],[VDSMAX]]=80)</f>
        <v>0</v>
      </c>
      <c r="H96" s="22" t="b">
        <f>AND(VDC_AVG&lt;=83,VDC_AVG&gt;=36,Discrete_NFET[[#This Row],[VDSMAX]]=100)</f>
        <v>0</v>
      </c>
      <c r="I96" s="22" t="b">
        <f t="shared" si="7"/>
        <v>0</v>
      </c>
      <c r="J96" s="22" t="b">
        <f>AND(((GDR_V)&lt;2.5),('FET Data'!$AC96&lt;&gt;"(Null)"))</f>
        <v>0</v>
      </c>
      <c r="K96" s="22" t="b">
        <f>AND(((GDR_V)&gt;=2.5),((GDR_V)&lt;3),OR(('FET Data'!$AD96&lt;&gt;"(Null)"),('FET Data'!$AC96&lt;&gt;"(Null)")))</f>
        <v>0</v>
      </c>
      <c r="L96" s="22" t="b">
        <f>AND(((GDR_V)&gt;=3),((GDR_V)&lt;4.5),OR(('FET Data'!$AE96&lt;&gt;"(Null)"),('FET Data'!$AD96&lt;&gt;"(Null)"),('FET Data'!$AC96&lt;&gt;"(Null)")))</f>
        <v>0</v>
      </c>
      <c r="M96" s="22" t="b">
        <f>AND(((GDR_V)&gt;=4.5),((GDR_V)&lt;6),OR(('FET Data'!$AF96&lt;&gt;"(Null)"),('FET Data'!$AE96&lt;&gt;"(Null)"),('FET Data'!$AD96&lt;&gt;"(Null)"),('FET Data'!$AC96&lt;&gt;"(Null)")))</f>
        <v>0</v>
      </c>
      <c r="N96" s="22" t="b">
        <f>AND(((GDR_V)&gt;=6),((GDR_V)&lt;8),OR(('FET Data'!$AG96&lt;&gt;"(Null)"),('FET Data'!$AF96&lt;&gt;"(Null)"),('FET Data'!$AE96&lt;&gt;"(Null)"),('FET Data'!$AD96&lt;&gt;"(Null)"),('FET Data'!$AC96&lt;&gt;"(Null)")))</f>
        <v>0</v>
      </c>
      <c r="O96" s="22" t="b">
        <f>AND(((GDR_V)&gt;=8),((GDR_V)&lt;10),OR(('FET Data'!$AH96&lt;&gt;"(Null)"),('FET Data'!$AG96&lt;&gt;"(Null)"),('FET Data'!$AF96&lt;&gt;"(Null)"),('FET Data'!$AE96&lt;&gt;"(Null)"),('FET Data'!$AD96&lt;&gt;"(Null)"),('FET Data'!$AC96&lt;&gt;"(Null)")))</f>
        <v>0</v>
      </c>
      <c r="P96" s="22" t="b">
        <f>AND(((GDR_V)&gt;=10),OR(('FET Data'!$AI96&lt;&gt;"(Null)"),('FET Data'!$AH96&lt;&gt;"(Null)"),('FET Data'!$AG96&lt;&gt;"(Null)"),('FET Data'!$AF96&lt;&gt;"(Null)"),('FET Data'!$AE96&lt;&gt;"(Null)"),('FET Data'!$AD96&lt;&gt;"(Null)"),('FET Data'!$AC96&lt;&gt;"(Null)")))</f>
        <v>1</v>
      </c>
      <c r="Q96" s="22" t="b">
        <f t="shared" si="8"/>
        <v>1</v>
      </c>
      <c r="R96" s="22" t="b">
        <f t="shared" si="9"/>
        <v>0</v>
      </c>
    </row>
    <row r="97" spans="1:18" x14ac:dyDescent="0.25">
      <c r="A97" s="22" t="str">
        <f>IF(R97,Discrete_NFET[[#This Row],[PARTNUMBER]],"")</f>
        <v/>
      </c>
      <c r="B97" t="s">
        <v>551</v>
      </c>
      <c r="C97" s="22" t="b">
        <f>AND((Discrete_NFET[[#This Row],[VDSMAX]]&gt;=VDC_AVG*1.25),(Discrete_NFET[[#This Row],[VGSMAX]]&gt;=GDR_V*1.2))</f>
        <v>1</v>
      </c>
      <c r="D97" s="22" t="b">
        <f>AND(VDC_AVG&lt;=25,Discrete_NFET[[#This Row],[VDSMAX]]&lt;=30)</f>
        <v>0</v>
      </c>
      <c r="E97" s="22" t="b">
        <f>AND(VDC_AVG&lt;=33,VDC_AVG&gt;=12,Discrete_NFET[[#This Row],[VDSMAX]]=40)</f>
        <v>0</v>
      </c>
      <c r="F97" s="22" t="b">
        <f>AND(VDC_AVG&lt;=50,VDC_AVG&gt;=18,Discrete_NFET[[#This Row],[VDSMAX]]=60)</f>
        <v>0</v>
      </c>
      <c r="G97" s="22" t="b">
        <f>AND(VDC_AVG&lt;=66,VDC_AVG&gt;=24,Discrete_NFET[[#This Row],[VDSMAX]]=80)</f>
        <v>0</v>
      </c>
      <c r="H97" s="22" t="b">
        <f>AND(VDC_AVG&lt;=83,VDC_AVG&gt;=36,Discrete_NFET[[#This Row],[VDSMAX]]=100)</f>
        <v>0</v>
      </c>
      <c r="I97" s="22" t="b">
        <f t="shared" si="7"/>
        <v>0</v>
      </c>
      <c r="J97" s="22" t="b">
        <f>AND(((GDR_V)&lt;2.5),('FET Data'!$AC97&lt;&gt;"(Null)"))</f>
        <v>0</v>
      </c>
      <c r="K97" s="22" t="b">
        <f>AND(((GDR_V)&gt;=2.5),((GDR_V)&lt;3),OR(('FET Data'!$AD97&lt;&gt;"(Null)"),('FET Data'!$AC97&lt;&gt;"(Null)")))</f>
        <v>0</v>
      </c>
      <c r="L97" s="22" t="b">
        <f>AND(((GDR_V)&gt;=3),((GDR_V)&lt;4.5),OR(('FET Data'!$AE97&lt;&gt;"(Null)"),('FET Data'!$AD97&lt;&gt;"(Null)"),('FET Data'!$AC97&lt;&gt;"(Null)")))</f>
        <v>0</v>
      </c>
      <c r="M97" s="22" t="b">
        <f>AND(((GDR_V)&gt;=4.5),((GDR_V)&lt;6),OR(('FET Data'!$AF97&lt;&gt;"(Null)"),('FET Data'!$AE97&lt;&gt;"(Null)"),('FET Data'!$AD97&lt;&gt;"(Null)"),('FET Data'!$AC97&lt;&gt;"(Null)")))</f>
        <v>0</v>
      </c>
      <c r="N97" s="22" t="b">
        <f>AND(((GDR_V)&gt;=6),((GDR_V)&lt;8),OR(('FET Data'!$AG97&lt;&gt;"(Null)"),('FET Data'!$AF97&lt;&gt;"(Null)"),('FET Data'!$AE97&lt;&gt;"(Null)"),('FET Data'!$AD97&lt;&gt;"(Null)"),('FET Data'!$AC97&lt;&gt;"(Null)")))</f>
        <v>0</v>
      </c>
      <c r="O97" s="22" t="b">
        <f>AND(((GDR_V)&gt;=8),((GDR_V)&lt;10),OR(('FET Data'!$AH97&lt;&gt;"(Null)"),('FET Data'!$AG97&lt;&gt;"(Null)"),('FET Data'!$AF97&lt;&gt;"(Null)"),('FET Data'!$AE97&lt;&gt;"(Null)"),('FET Data'!$AD97&lt;&gt;"(Null)"),('FET Data'!$AC97&lt;&gt;"(Null)")))</f>
        <v>0</v>
      </c>
      <c r="P97" s="22" t="b">
        <f>AND(((GDR_V)&gt;=10),OR(('FET Data'!$AI97&lt;&gt;"(Null)"),('FET Data'!$AH97&lt;&gt;"(Null)"),('FET Data'!$AG97&lt;&gt;"(Null)"),('FET Data'!$AF97&lt;&gt;"(Null)"),('FET Data'!$AE97&lt;&gt;"(Null)"),('FET Data'!$AD97&lt;&gt;"(Null)"),('FET Data'!$AC97&lt;&gt;"(Null)")))</f>
        <v>1</v>
      </c>
      <c r="Q97" s="22" t="b">
        <f t="shared" si="8"/>
        <v>1</v>
      </c>
      <c r="R97" s="22" t="b">
        <f t="shared" si="9"/>
        <v>0</v>
      </c>
    </row>
    <row r="98" spans="1:18" x14ac:dyDescent="0.25">
      <c r="A98" s="22" t="str">
        <f>IF(R98,Discrete_NFET[[#This Row],[PARTNUMBER]],"")</f>
        <v/>
      </c>
      <c r="B98" t="s">
        <v>546</v>
      </c>
      <c r="C98" s="22" t="b">
        <f>AND((Discrete_NFET[[#This Row],[VDSMAX]]&gt;=VDC_AVG*1.25),(Discrete_NFET[[#This Row],[VGSMAX]]&gt;=GDR_V*1.2))</f>
        <v>1</v>
      </c>
      <c r="D98" s="22" t="b">
        <f>AND(VDC_AVG&lt;=25,Discrete_NFET[[#This Row],[VDSMAX]]&lt;=30)</f>
        <v>0</v>
      </c>
      <c r="E98" s="22" t="b">
        <f>AND(VDC_AVG&lt;=33,VDC_AVG&gt;=12,Discrete_NFET[[#This Row],[VDSMAX]]=40)</f>
        <v>0</v>
      </c>
      <c r="F98" s="22" t="b">
        <f>AND(VDC_AVG&lt;=50,VDC_AVG&gt;=18,Discrete_NFET[[#This Row],[VDSMAX]]=60)</f>
        <v>0</v>
      </c>
      <c r="G98" s="22" t="b">
        <f>AND(VDC_AVG&lt;=66,VDC_AVG&gt;=24,Discrete_NFET[[#This Row],[VDSMAX]]=80)</f>
        <v>0</v>
      </c>
      <c r="H98" s="22" t="b">
        <f>AND(VDC_AVG&lt;=83,VDC_AVG&gt;=36,Discrete_NFET[[#This Row],[VDSMAX]]=100)</f>
        <v>0</v>
      </c>
      <c r="I98" s="22" t="b">
        <f t="shared" si="7"/>
        <v>0</v>
      </c>
      <c r="J98" s="22" t="b">
        <f>AND(((GDR_V)&lt;2.5),('FET Data'!$AC98&lt;&gt;"(Null)"))</f>
        <v>0</v>
      </c>
      <c r="K98" s="22" t="b">
        <f>AND(((GDR_V)&gt;=2.5),((GDR_V)&lt;3),OR(('FET Data'!$AD98&lt;&gt;"(Null)"),('FET Data'!$AC98&lt;&gt;"(Null)")))</f>
        <v>0</v>
      </c>
      <c r="L98" s="22" t="b">
        <f>AND(((GDR_V)&gt;=3),((GDR_V)&lt;4.5),OR(('FET Data'!$AE98&lt;&gt;"(Null)"),('FET Data'!$AD98&lt;&gt;"(Null)"),('FET Data'!$AC98&lt;&gt;"(Null)")))</f>
        <v>0</v>
      </c>
      <c r="M98" s="22" t="b">
        <f>AND(((GDR_V)&gt;=4.5),((GDR_V)&lt;6),OR(('FET Data'!$AF98&lt;&gt;"(Null)"),('FET Data'!$AE98&lt;&gt;"(Null)"),('FET Data'!$AD98&lt;&gt;"(Null)"),('FET Data'!$AC98&lt;&gt;"(Null)")))</f>
        <v>0</v>
      </c>
      <c r="N98" s="22" t="b">
        <f>AND(((GDR_V)&gt;=6),((GDR_V)&lt;8),OR(('FET Data'!$AG98&lt;&gt;"(Null)"),('FET Data'!$AF98&lt;&gt;"(Null)"),('FET Data'!$AE98&lt;&gt;"(Null)"),('FET Data'!$AD98&lt;&gt;"(Null)"),('FET Data'!$AC98&lt;&gt;"(Null)")))</f>
        <v>0</v>
      </c>
      <c r="O98" s="22" t="b">
        <f>AND(((GDR_V)&gt;=8),((GDR_V)&lt;10),OR(('FET Data'!$AH98&lt;&gt;"(Null)"),('FET Data'!$AG98&lt;&gt;"(Null)"),('FET Data'!$AF98&lt;&gt;"(Null)"),('FET Data'!$AE98&lt;&gt;"(Null)"),('FET Data'!$AD98&lt;&gt;"(Null)"),('FET Data'!$AC98&lt;&gt;"(Null)")))</f>
        <v>0</v>
      </c>
      <c r="P98" s="22" t="b">
        <f>AND(((GDR_V)&gt;=10),OR(('FET Data'!$AI98&lt;&gt;"(Null)"),('FET Data'!$AH98&lt;&gt;"(Null)"),('FET Data'!$AG98&lt;&gt;"(Null)"),('FET Data'!$AF98&lt;&gt;"(Null)"),('FET Data'!$AE98&lt;&gt;"(Null)"),('FET Data'!$AD98&lt;&gt;"(Null)"),('FET Data'!$AC98&lt;&gt;"(Null)")))</f>
        <v>1</v>
      </c>
      <c r="Q98" s="22" t="b">
        <f t="shared" si="8"/>
        <v>1</v>
      </c>
      <c r="R98" s="22" t="b">
        <f t="shared" si="9"/>
        <v>0</v>
      </c>
    </row>
    <row r="99" spans="1:18" x14ac:dyDescent="0.25">
      <c r="A99" s="22" t="str">
        <f>IF(R99,Discrete_NFET[[#This Row],[PARTNUMBER]],"")</f>
        <v/>
      </c>
      <c r="B99" t="s">
        <v>541</v>
      </c>
      <c r="C99" s="22" t="b">
        <f>AND((Discrete_NFET[[#This Row],[VDSMAX]]&gt;=VDC_AVG*1.25),(Discrete_NFET[[#This Row],[VGSMAX]]&gt;=GDR_V*1.2))</f>
        <v>1</v>
      </c>
      <c r="D99" s="22" t="b">
        <f>AND(VDC_AVG&lt;=25,Discrete_NFET[[#This Row],[VDSMAX]]&lt;=30)</f>
        <v>0</v>
      </c>
      <c r="E99" s="22" t="b">
        <f>AND(VDC_AVG&lt;=33,VDC_AVG&gt;=12,Discrete_NFET[[#This Row],[VDSMAX]]=40)</f>
        <v>0</v>
      </c>
      <c r="F99" s="22" t="b">
        <f>AND(VDC_AVG&lt;=50,VDC_AVG&gt;=18,Discrete_NFET[[#This Row],[VDSMAX]]=60)</f>
        <v>0</v>
      </c>
      <c r="G99" s="22" t="b">
        <f>AND(VDC_AVG&lt;=66,VDC_AVG&gt;=24,Discrete_NFET[[#This Row],[VDSMAX]]=80)</f>
        <v>0</v>
      </c>
      <c r="H99" s="22" t="b">
        <f>AND(VDC_AVG&lt;=83,VDC_AVG&gt;=36,Discrete_NFET[[#This Row],[VDSMAX]]=100)</f>
        <v>0</v>
      </c>
      <c r="I99" s="22" t="b">
        <f t="shared" si="7"/>
        <v>0</v>
      </c>
      <c r="J99" s="22" t="b">
        <f>AND(((GDR_V)&lt;2.5),('FET Data'!$AC99&lt;&gt;"(Null)"))</f>
        <v>0</v>
      </c>
      <c r="K99" s="22" t="b">
        <f>AND(((GDR_V)&gt;=2.5),((GDR_V)&lt;3),OR(('FET Data'!$AD99&lt;&gt;"(Null)"),('FET Data'!$AC99&lt;&gt;"(Null)")))</f>
        <v>0</v>
      </c>
      <c r="L99" s="22" t="b">
        <f>AND(((GDR_V)&gt;=3),((GDR_V)&lt;4.5),OR(('FET Data'!$AE99&lt;&gt;"(Null)"),('FET Data'!$AD99&lt;&gt;"(Null)"),('FET Data'!$AC99&lt;&gt;"(Null)")))</f>
        <v>0</v>
      </c>
      <c r="M99" s="22" t="b">
        <f>AND(((GDR_V)&gt;=4.5),((GDR_V)&lt;6),OR(('FET Data'!$AF99&lt;&gt;"(Null)"),('FET Data'!$AE99&lt;&gt;"(Null)"),('FET Data'!$AD99&lt;&gt;"(Null)"),('FET Data'!$AC99&lt;&gt;"(Null)")))</f>
        <v>0</v>
      </c>
      <c r="N99" s="22" t="b">
        <f>AND(((GDR_V)&gt;=6),((GDR_V)&lt;8),OR(('FET Data'!$AG99&lt;&gt;"(Null)"),('FET Data'!$AF99&lt;&gt;"(Null)"),('FET Data'!$AE99&lt;&gt;"(Null)"),('FET Data'!$AD99&lt;&gt;"(Null)"),('FET Data'!$AC99&lt;&gt;"(Null)")))</f>
        <v>0</v>
      </c>
      <c r="O99" s="22" t="b">
        <f>AND(((GDR_V)&gt;=8),((GDR_V)&lt;10),OR(('FET Data'!$AH99&lt;&gt;"(Null)"),('FET Data'!$AG99&lt;&gt;"(Null)"),('FET Data'!$AF99&lt;&gt;"(Null)"),('FET Data'!$AE99&lt;&gt;"(Null)"),('FET Data'!$AD99&lt;&gt;"(Null)"),('FET Data'!$AC99&lt;&gt;"(Null)")))</f>
        <v>0</v>
      </c>
      <c r="P99" s="22" t="b">
        <f>AND(((GDR_V)&gt;=10),OR(('FET Data'!$AI99&lt;&gt;"(Null)"),('FET Data'!$AH99&lt;&gt;"(Null)"),('FET Data'!$AG99&lt;&gt;"(Null)"),('FET Data'!$AF99&lt;&gt;"(Null)"),('FET Data'!$AE99&lt;&gt;"(Null)"),('FET Data'!$AD99&lt;&gt;"(Null)"),('FET Data'!$AC99&lt;&gt;"(Null)")))</f>
        <v>1</v>
      </c>
      <c r="Q99" s="22" t="b">
        <f t="shared" si="8"/>
        <v>1</v>
      </c>
      <c r="R99" s="22" t="b">
        <f t="shared" si="9"/>
        <v>0</v>
      </c>
    </row>
    <row r="100" spans="1:18" x14ac:dyDescent="0.25">
      <c r="A100" s="22" t="str">
        <f>IF(R100,Discrete_NFET[[#This Row],[PARTNUMBER]],"")</f>
        <v/>
      </c>
      <c r="B100" t="s">
        <v>547</v>
      </c>
      <c r="C100" s="22" t="b">
        <f>AND((Discrete_NFET[[#This Row],[VDSMAX]]&gt;=VDC_AVG*1.25),(Discrete_NFET[[#This Row],[VGSMAX]]&gt;=GDR_V*1.2))</f>
        <v>1</v>
      </c>
      <c r="D100" s="22" t="b">
        <f>AND(VDC_AVG&lt;=25,Discrete_NFET[[#This Row],[VDSMAX]]&lt;=30)</f>
        <v>0</v>
      </c>
      <c r="E100" s="22" t="b">
        <f>AND(VDC_AVG&lt;=33,VDC_AVG&gt;=12,Discrete_NFET[[#This Row],[VDSMAX]]=40)</f>
        <v>0</v>
      </c>
      <c r="F100" s="22" t="b">
        <f>AND(VDC_AVG&lt;=50,VDC_AVG&gt;=18,Discrete_NFET[[#This Row],[VDSMAX]]=60)</f>
        <v>0</v>
      </c>
      <c r="G100" s="22" t="b">
        <f>AND(VDC_AVG&lt;=66,VDC_AVG&gt;=24,Discrete_NFET[[#This Row],[VDSMAX]]=80)</f>
        <v>0</v>
      </c>
      <c r="H100" s="22" t="b">
        <f>AND(VDC_AVG&lt;=83,VDC_AVG&gt;=36,Discrete_NFET[[#This Row],[VDSMAX]]=100)</f>
        <v>0</v>
      </c>
      <c r="I100" s="22" t="b">
        <f t="shared" si="7"/>
        <v>0</v>
      </c>
      <c r="J100" s="22" t="b">
        <f>AND(((GDR_V)&lt;2.5),('FET Data'!$AC100&lt;&gt;"(Null)"))</f>
        <v>0</v>
      </c>
      <c r="K100" s="22" t="b">
        <f>AND(((GDR_V)&gt;=2.5),((GDR_V)&lt;3),OR(('FET Data'!$AD100&lt;&gt;"(Null)"),('FET Data'!$AC100&lt;&gt;"(Null)")))</f>
        <v>0</v>
      </c>
      <c r="L100" s="22" t="b">
        <f>AND(((GDR_V)&gt;=3),((GDR_V)&lt;4.5),OR(('FET Data'!$AE100&lt;&gt;"(Null)"),('FET Data'!$AD100&lt;&gt;"(Null)"),('FET Data'!$AC100&lt;&gt;"(Null)")))</f>
        <v>0</v>
      </c>
      <c r="M100" s="22" t="b">
        <f>AND(((GDR_V)&gt;=4.5),((GDR_V)&lt;6),OR(('FET Data'!$AF100&lt;&gt;"(Null)"),('FET Data'!$AE100&lt;&gt;"(Null)"),('FET Data'!$AD100&lt;&gt;"(Null)"),('FET Data'!$AC100&lt;&gt;"(Null)")))</f>
        <v>0</v>
      </c>
      <c r="N100" s="22" t="b">
        <f>AND(((GDR_V)&gt;=6),((GDR_V)&lt;8),OR(('FET Data'!$AG100&lt;&gt;"(Null)"),('FET Data'!$AF100&lt;&gt;"(Null)"),('FET Data'!$AE100&lt;&gt;"(Null)"),('FET Data'!$AD100&lt;&gt;"(Null)"),('FET Data'!$AC100&lt;&gt;"(Null)")))</f>
        <v>0</v>
      </c>
      <c r="O100" s="22" t="b">
        <f>AND(((GDR_V)&gt;=8),((GDR_V)&lt;10),OR(('FET Data'!$AH100&lt;&gt;"(Null)"),('FET Data'!$AG100&lt;&gt;"(Null)"),('FET Data'!$AF100&lt;&gt;"(Null)"),('FET Data'!$AE100&lt;&gt;"(Null)"),('FET Data'!$AD100&lt;&gt;"(Null)"),('FET Data'!$AC100&lt;&gt;"(Null)")))</f>
        <v>0</v>
      </c>
      <c r="P100" s="22" t="b">
        <f>AND(((GDR_V)&gt;=10),OR(('FET Data'!$AI100&lt;&gt;"(Null)"),('FET Data'!$AH100&lt;&gt;"(Null)"),('FET Data'!$AG100&lt;&gt;"(Null)"),('FET Data'!$AF100&lt;&gt;"(Null)"),('FET Data'!$AE100&lt;&gt;"(Null)"),('FET Data'!$AD100&lt;&gt;"(Null)"),('FET Data'!$AC100&lt;&gt;"(Null)")))</f>
        <v>1</v>
      </c>
      <c r="Q100" s="22" t="b">
        <f t="shared" si="8"/>
        <v>1</v>
      </c>
      <c r="R100" s="22" t="b">
        <f t="shared" si="9"/>
        <v>0</v>
      </c>
    </row>
    <row r="101" spans="1:18" x14ac:dyDescent="0.25">
      <c r="A101" s="22" t="str">
        <f>IF(R101,Discrete_NFET[[#This Row],[PARTNUMBER]],"")</f>
        <v/>
      </c>
      <c r="B101" t="s">
        <v>542</v>
      </c>
      <c r="C101" s="22" t="b">
        <f>AND((Discrete_NFET[[#This Row],[VDSMAX]]&gt;=VDC_AVG*1.25),(Discrete_NFET[[#This Row],[VGSMAX]]&gt;=GDR_V*1.2))</f>
        <v>1</v>
      </c>
      <c r="D101" s="22" t="b">
        <f>AND(VDC_AVG&lt;=25,Discrete_NFET[[#This Row],[VDSMAX]]&lt;=30)</f>
        <v>0</v>
      </c>
      <c r="E101" s="22" t="b">
        <f>AND(VDC_AVG&lt;=33,VDC_AVG&gt;=12,Discrete_NFET[[#This Row],[VDSMAX]]=40)</f>
        <v>0</v>
      </c>
      <c r="F101" s="22" t="b">
        <f>AND(VDC_AVG&lt;=50,VDC_AVG&gt;=18,Discrete_NFET[[#This Row],[VDSMAX]]=60)</f>
        <v>0</v>
      </c>
      <c r="G101" s="22" t="b">
        <f>AND(VDC_AVG&lt;=66,VDC_AVG&gt;=24,Discrete_NFET[[#This Row],[VDSMAX]]=80)</f>
        <v>0</v>
      </c>
      <c r="H101" s="22" t="b">
        <f>AND(VDC_AVG&lt;=83,VDC_AVG&gt;=36,Discrete_NFET[[#This Row],[VDSMAX]]=100)</f>
        <v>0</v>
      </c>
      <c r="I101" s="22" t="b">
        <f t="shared" si="7"/>
        <v>0</v>
      </c>
      <c r="J101" s="22" t="b">
        <f>AND(((GDR_V)&lt;2.5),('FET Data'!$AC101&lt;&gt;"(Null)"))</f>
        <v>0</v>
      </c>
      <c r="K101" s="22" t="b">
        <f>AND(((GDR_V)&gt;=2.5),((GDR_V)&lt;3),OR(('FET Data'!$AD101&lt;&gt;"(Null)"),('FET Data'!$AC101&lt;&gt;"(Null)")))</f>
        <v>0</v>
      </c>
      <c r="L101" s="22" t="b">
        <f>AND(((GDR_V)&gt;=3),((GDR_V)&lt;4.5),OR(('FET Data'!$AE101&lt;&gt;"(Null)"),('FET Data'!$AD101&lt;&gt;"(Null)"),('FET Data'!$AC101&lt;&gt;"(Null)")))</f>
        <v>0</v>
      </c>
      <c r="M101" s="22" t="b">
        <f>AND(((GDR_V)&gt;=4.5),((GDR_V)&lt;6),OR(('FET Data'!$AF101&lt;&gt;"(Null)"),('FET Data'!$AE101&lt;&gt;"(Null)"),('FET Data'!$AD101&lt;&gt;"(Null)"),('FET Data'!$AC101&lt;&gt;"(Null)")))</f>
        <v>0</v>
      </c>
      <c r="N101" s="22" t="b">
        <f>AND(((GDR_V)&gt;=6),((GDR_V)&lt;8),OR(('FET Data'!$AG101&lt;&gt;"(Null)"),('FET Data'!$AF101&lt;&gt;"(Null)"),('FET Data'!$AE101&lt;&gt;"(Null)"),('FET Data'!$AD101&lt;&gt;"(Null)"),('FET Data'!$AC101&lt;&gt;"(Null)")))</f>
        <v>0</v>
      </c>
      <c r="O101" s="22" t="b">
        <f>AND(((GDR_V)&gt;=8),((GDR_V)&lt;10),OR(('FET Data'!$AH101&lt;&gt;"(Null)"),('FET Data'!$AG101&lt;&gt;"(Null)"),('FET Data'!$AF101&lt;&gt;"(Null)"),('FET Data'!$AE101&lt;&gt;"(Null)"),('FET Data'!$AD101&lt;&gt;"(Null)"),('FET Data'!$AC101&lt;&gt;"(Null)")))</f>
        <v>0</v>
      </c>
      <c r="P101" s="22" t="b">
        <f>AND(((GDR_V)&gt;=10),OR(('FET Data'!$AI101&lt;&gt;"(Null)"),('FET Data'!$AH101&lt;&gt;"(Null)"),('FET Data'!$AG101&lt;&gt;"(Null)"),('FET Data'!$AF101&lt;&gt;"(Null)"),('FET Data'!$AE101&lt;&gt;"(Null)"),('FET Data'!$AD101&lt;&gt;"(Null)"),('FET Data'!$AC101&lt;&gt;"(Null)")))</f>
        <v>1</v>
      </c>
      <c r="Q101" s="22" t="b">
        <f t="shared" si="8"/>
        <v>1</v>
      </c>
      <c r="R101" s="22" t="b">
        <f t="shared" si="9"/>
        <v>0</v>
      </c>
    </row>
    <row r="102" spans="1:18" x14ac:dyDescent="0.25">
      <c r="A102" s="22" t="str">
        <f>IF(R102,Discrete_NFET[[#This Row],[PARTNUMBER]],"")</f>
        <v/>
      </c>
      <c r="B102" t="s">
        <v>584</v>
      </c>
      <c r="C102" s="22" t="b">
        <f>AND((Discrete_NFET[[#This Row],[VDSMAX]]&gt;=VDC_AVG*1.25),(Discrete_NFET[[#This Row],[VGSMAX]]&gt;=GDR_V*1.2))</f>
        <v>1</v>
      </c>
      <c r="D102" s="22" t="b">
        <f>AND(VDC_AVG&lt;=25,Discrete_NFET[[#This Row],[VDSMAX]]&lt;=30)</f>
        <v>0</v>
      </c>
      <c r="E102" s="22" t="b">
        <f>AND(VDC_AVG&lt;=33,VDC_AVG&gt;=12,Discrete_NFET[[#This Row],[VDSMAX]]=40)</f>
        <v>0</v>
      </c>
      <c r="F102" s="22" t="b">
        <f>AND(VDC_AVG&lt;=50,VDC_AVG&gt;=18,Discrete_NFET[[#This Row],[VDSMAX]]=60)</f>
        <v>0</v>
      </c>
      <c r="G102" s="22" t="b">
        <f>AND(VDC_AVG&lt;=66,VDC_AVG&gt;=24,Discrete_NFET[[#This Row],[VDSMAX]]=80)</f>
        <v>0</v>
      </c>
      <c r="H102" s="22" t="b">
        <f>AND(VDC_AVG&lt;=83,VDC_AVG&gt;=36,Discrete_NFET[[#This Row],[VDSMAX]]=100)</f>
        <v>0</v>
      </c>
      <c r="I102" s="22" t="b">
        <f t="shared" si="7"/>
        <v>0</v>
      </c>
      <c r="J102" s="22" t="b">
        <f>AND(((GDR_V)&lt;2.5),('FET Data'!$AC102&lt;&gt;"(Null)"))</f>
        <v>0</v>
      </c>
      <c r="K102" s="22" t="b">
        <f>AND(((GDR_V)&gt;=2.5),((GDR_V)&lt;3),OR(('FET Data'!$AD102&lt;&gt;"(Null)"),('FET Data'!$AC102&lt;&gt;"(Null)")))</f>
        <v>0</v>
      </c>
      <c r="L102" s="22" t="b">
        <f>AND(((GDR_V)&gt;=3),((GDR_V)&lt;4.5),OR(('FET Data'!$AE102&lt;&gt;"(Null)"),('FET Data'!$AD102&lt;&gt;"(Null)"),('FET Data'!$AC102&lt;&gt;"(Null)")))</f>
        <v>0</v>
      </c>
      <c r="M102" s="22" t="b">
        <f>AND(((GDR_V)&gt;=4.5),((GDR_V)&lt;6),OR(('FET Data'!$AF102&lt;&gt;"(Null)"),('FET Data'!$AE102&lt;&gt;"(Null)"),('FET Data'!$AD102&lt;&gt;"(Null)"),('FET Data'!$AC102&lt;&gt;"(Null)")))</f>
        <v>0</v>
      </c>
      <c r="N102" s="22" t="b">
        <f>AND(((GDR_V)&gt;=6),((GDR_V)&lt;8),OR(('FET Data'!$AG102&lt;&gt;"(Null)"),('FET Data'!$AF102&lt;&gt;"(Null)"),('FET Data'!$AE102&lt;&gt;"(Null)"),('FET Data'!$AD102&lt;&gt;"(Null)"),('FET Data'!$AC102&lt;&gt;"(Null)")))</f>
        <v>0</v>
      </c>
      <c r="O102" s="22" t="b">
        <f>AND(((GDR_V)&gt;=8),((GDR_V)&lt;10),OR(('FET Data'!$AH102&lt;&gt;"(Null)"),('FET Data'!$AG102&lt;&gt;"(Null)"),('FET Data'!$AF102&lt;&gt;"(Null)"),('FET Data'!$AE102&lt;&gt;"(Null)"),('FET Data'!$AD102&lt;&gt;"(Null)"),('FET Data'!$AC102&lt;&gt;"(Null)")))</f>
        <v>0</v>
      </c>
      <c r="P102" s="22" t="b">
        <f>AND(((GDR_V)&gt;=10),OR(('FET Data'!$AI102&lt;&gt;"(Null)"),('FET Data'!$AH102&lt;&gt;"(Null)"),('FET Data'!$AG102&lt;&gt;"(Null)"),('FET Data'!$AF102&lt;&gt;"(Null)"),('FET Data'!$AE102&lt;&gt;"(Null)"),('FET Data'!$AD102&lt;&gt;"(Null)"),('FET Data'!$AC102&lt;&gt;"(Null)")))</f>
        <v>1</v>
      </c>
      <c r="Q102" s="22" t="b">
        <f t="shared" si="8"/>
        <v>1</v>
      </c>
      <c r="R102" s="22" t="b">
        <f t="shared" si="9"/>
        <v>0</v>
      </c>
    </row>
    <row r="103" spans="1:18" x14ac:dyDescent="0.25">
      <c r="A103" s="22" t="str">
        <f>IF(R103,Discrete_NFET[[#This Row],[PARTNUMBER]],"")</f>
        <v/>
      </c>
      <c r="B103" t="s">
        <v>585</v>
      </c>
      <c r="C103" s="22" t="b">
        <f>AND((Discrete_NFET[[#This Row],[VDSMAX]]&gt;=VDC_AVG*1.25),(Discrete_NFET[[#This Row],[VGSMAX]]&gt;=GDR_V*1.2))</f>
        <v>1</v>
      </c>
      <c r="D103" s="22" t="b">
        <f>AND(VDC_AVG&lt;=25,Discrete_NFET[[#This Row],[VDSMAX]]&lt;=30)</f>
        <v>0</v>
      </c>
      <c r="E103" s="22" t="b">
        <f>AND(VDC_AVG&lt;=33,VDC_AVG&gt;=12,Discrete_NFET[[#This Row],[VDSMAX]]=40)</f>
        <v>0</v>
      </c>
      <c r="F103" s="22" t="b">
        <f>AND(VDC_AVG&lt;=50,VDC_AVG&gt;=18,Discrete_NFET[[#This Row],[VDSMAX]]=60)</f>
        <v>0</v>
      </c>
      <c r="G103" s="22" t="b">
        <f>AND(VDC_AVG&lt;=66,VDC_AVG&gt;=24,Discrete_NFET[[#This Row],[VDSMAX]]=80)</f>
        <v>0</v>
      </c>
      <c r="H103" s="22" t="b">
        <f>AND(VDC_AVG&lt;=83,VDC_AVG&gt;=36,Discrete_NFET[[#This Row],[VDSMAX]]=100)</f>
        <v>0</v>
      </c>
      <c r="I103" s="22" t="b">
        <f t="shared" si="7"/>
        <v>0</v>
      </c>
      <c r="J103" s="22" t="b">
        <f>AND(((GDR_V)&lt;2.5),('FET Data'!$AC103&lt;&gt;"(Null)"))</f>
        <v>0</v>
      </c>
      <c r="K103" s="22" t="b">
        <f>AND(((GDR_V)&gt;=2.5),((GDR_V)&lt;3),OR(('FET Data'!$AD103&lt;&gt;"(Null)"),('FET Data'!$AC103&lt;&gt;"(Null)")))</f>
        <v>0</v>
      </c>
      <c r="L103" s="22" t="b">
        <f>AND(((GDR_V)&gt;=3),((GDR_V)&lt;4.5),OR(('FET Data'!$AE103&lt;&gt;"(Null)"),('FET Data'!$AD103&lt;&gt;"(Null)"),('FET Data'!$AC103&lt;&gt;"(Null)")))</f>
        <v>0</v>
      </c>
      <c r="M103" s="22" t="b">
        <f>AND(((GDR_V)&gt;=4.5),((GDR_V)&lt;6),OR(('FET Data'!$AF103&lt;&gt;"(Null)"),('FET Data'!$AE103&lt;&gt;"(Null)"),('FET Data'!$AD103&lt;&gt;"(Null)"),('FET Data'!$AC103&lt;&gt;"(Null)")))</f>
        <v>0</v>
      </c>
      <c r="N103" s="22" t="b">
        <f>AND(((GDR_V)&gt;=6),((GDR_V)&lt;8),OR(('FET Data'!$AG103&lt;&gt;"(Null)"),('FET Data'!$AF103&lt;&gt;"(Null)"),('FET Data'!$AE103&lt;&gt;"(Null)"),('FET Data'!$AD103&lt;&gt;"(Null)"),('FET Data'!$AC103&lt;&gt;"(Null)")))</f>
        <v>0</v>
      </c>
      <c r="O103" s="22" t="b">
        <f>AND(((GDR_V)&gt;=8),((GDR_V)&lt;10),OR(('FET Data'!$AH103&lt;&gt;"(Null)"),('FET Data'!$AG103&lt;&gt;"(Null)"),('FET Data'!$AF103&lt;&gt;"(Null)"),('FET Data'!$AE103&lt;&gt;"(Null)"),('FET Data'!$AD103&lt;&gt;"(Null)"),('FET Data'!$AC103&lt;&gt;"(Null)")))</f>
        <v>0</v>
      </c>
      <c r="P103" s="22" t="b">
        <f>AND(((GDR_V)&gt;=10),OR(('FET Data'!$AI103&lt;&gt;"(Null)"),('FET Data'!$AH103&lt;&gt;"(Null)"),('FET Data'!$AG103&lt;&gt;"(Null)"),('FET Data'!$AF103&lt;&gt;"(Null)"),('FET Data'!$AE103&lt;&gt;"(Null)"),('FET Data'!$AD103&lt;&gt;"(Null)"),('FET Data'!$AC103&lt;&gt;"(Null)")))</f>
        <v>1</v>
      </c>
      <c r="Q103" s="22" t="b">
        <f t="shared" si="8"/>
        <v>1</v>
      </c>
      <c r="R103" s="22" t="b">
        <f t="shared" si="9"/>
        <v>0</v>
      </c>
    </row>
    <row r="104" spans="1:18" x14ac:dyDescent="0.25">
      <c r="A104" s="22" t="str">
        <f>IF(R104,Discrete_NFET[[#This Row],[PARTNUMBER]],"")</f>
        <v/>
      </c>
      <c r="B104"/>
      <c r="C104" s="22" t="b">
        <f>AND((Discrete_NFET[[#This Row],[VDSMAX]]&gt;=VDC_AVG*1.25),(Discrete_NFET[[#This Row],[VGSMAX]]&gt;=GDR_V*1.2))</f>
        <v>1</v>
      </c>
      <c r="D104" s="22" t="b">
        <f>AND(VDC_AVG&lt;=25,Discrete_NFET[[#This Row],[VDSMAX]]&lt;=30)</f>
        <v>0</v>
      </c>
      <c r="E104" s="22" t="b">
        <f>AND(VDC_AVG&lt;=33,VDC_AVG&gt;=12,Discrete_NFET[[#This Row],[VDSMAX]]=40)</f>
        <v>0</v>
      </c>
      <c r="F104" s="22" t="b">
        <f>AND(VDC_AVG&lt;=50,VDC_AVG&gt;=18,Discrete_NFET[[#This Row],[VDSMAX]]=60)</f>
        <v>0</v>
      </c>
      <c r="G104" s="22" t="b">
        <f>AND(VDC_AVG&lt;=66,VDC_AVG&gt;=24,Discrete_NFET[[#This Row],[VDSMAX]]=80)</f>
        <v>0</v>
      </c>
      <c r="H104" s="22" t="b">
        <f>AND(VDC_AVG&lt;=83,VDC_AVG&gt;=36,Discrete_NFET[[#This Row],[VDSMAX]]=100)</f>
        <v>0</v>
      </c>
      <c r="I104" s="22" t="b">
        <f t="shared" si="7"/>
        <v>0</v>
      </c>
      <c r="J104" s="22" t="b">
        <f>AND(((GDR_V)&lt;2.5),('FET Data'!$AC104&lt;&gt;"(Null)"))</f>
        <v>0</v>
      </c>
      <c r="K104" s="22" t="b">
        <f>AND(((GDR_V)&gt;=2.5),((GDR_V)&lt;3),OR(('FET Data'!$AD104&lt;&gt;"(Null)"),('FET Data'!$AC104&lt;&gt;"(Null)")))</f>
        <v>0</v>
      </c>
      <c r="L104" s="22" t="b">
        <f>AND(((GDR_V)&gt;=3),((GDR_V)&lt;4.5),OR(('FET Data'!$AE104&lt;&gt;"(Null)"),('FET Data'!$AD104&lt;&gt;"(Null)"),('FET Data'!$AC104&lt;&gt;"(Null)")))</f>
        <v>0</v>
      </c>
      <c r="M104" s="22" t="b">
        <f>AND(((GDR_V)&gt;=4.5),((GDR_V)&lt;6),OR(('FET Data'!$AF104&lt;&gt;"(Null)"),('FET Data'!$AE104&lt;&gt;"(Null)"),('FET Data'!$AD104&lt;&gt;"(Null)"),('FET Data'!$AC104&lt;&gt;"(Null)")))</f>
        <v>0</v>
      </c>
      <c r="N104" s="22" t="b">
        <f>AND(((GDR_V)&gt;=6),((GDR_V)&lt;8),OR(('FET Data'!$AG104&lt;&gt;"(Null)"),('FET Data'!$AF104&lt;&gt;"(Null)"),('FET Data'!$AE104&lt;&gt;"(Null)"),('FET Data'!$AD104&lt;&gt;"(Null)"),('FET Data'!$AC104&lt;&gt;"(Null)")))</f>
        <v>0</v>
      </c>
      <c r="O104" s="22" t="b">
        <f>AND(((GDR_V)&gt;=8),((GDR_V)&lt;10),OR(('FET Data'!$AH104&lt;&gt;"(Null)"),('FET Data'!$AG104&lt;&gt;"(Null)"),('FET Data'!$AF104&lt;&gt;"(Null)"),('FET Data'!$AE104&lt;&gt;"(Null)"),('FET Data'!$AD104&lt;&gt;"(Null)"),('FET Data'!$AC104&lt;&gt;"(Null)")))</f>
        <v>0</v>
      </c>
      <c r="P104" s="22" t="b">
        <f>AND(((GDR_V)&gt;=10),OR(('FET Data'!$AI104&lt;&gt;"(Null)"),('FET Data'!$AH104&lt;&gt;"(Null)"),('FET Data'!$AG104&lt;&gt;"(Null)"),('FET Data'!$AF104&lt;&gt;"(Null)"),('FET Data'!$AE104&lt;&gt;"(Null)"),('FET Data'!$AD104&lt;&gt;"(Null)"),('FET Data'!$AC104&lt;&gt;"(Null)")))</f>
        <v>1</v>
      </c>
      <c r="Q104" s="22" t="b">
        <f t="shared" si="8"/>
        <v>1</v>
      </c>
      <c r="R104" s="22" t="b">
        <f t="shared" si="9"/>
        <v>0</v>
      </c>
    </row>
    <row r="105" spans="1:18" x14ac:dyDescent="0.25">
      <c r="A105" s="22" t="str">
        <f>IF(R105,Discrete_NFET[[#This Row],[PARTNUMBER]],"")</f>
        <v/>
      </c>
      <c r="B105"/>
      <c r="C105" s="22" t="b">
        <f>AND((Discrete_NFET[[#This Row],[VDSMAX]]&gt;=VDC_AVG*1.25),(Discrete_NFET[[#This Row],[VGSMAX]]&gt;=GDR_V*1.2))</f>
        <v>1</v>
      </c>
      <c r="D105" s="22" t="b">
        <f>AND(VDC_AVG&lt;=25,Discrete_NFET[[#This Row],[VDSMAX]]&lt;=30)</f>
        <v>0</v>
      </c>
      <c r="E105" s="22" t="b">
        <f>AND(VDC_AVG&lt;=33,VDC_AVG&gt;=12,Discrete_NFET[[#This Row],[VDSMAX]]=40)</f>
        <v>0</v>
      </c>
      <c r="F105" s="22" t="b">
        <f>AND(VDC_AVG&lt;=50,VDC_AVG&gt;=18,Discrete_NFET[[#This Row],[VDSMAX]]=60)</f>
        <v>0</v>
      </c>
      <c r="G105" s="22" t="b">
        <f>AND(VDC_AVG&lt;=66,VDC_AVG&gt;=24,Discrete_NFET[[#This Row],[VDSMAX]]=80)</f>
        <v>0</v>
      </c>
      <c r="H105" s="22" t="b">
        <f>AND(VDC_AVG&lt;=83,VDC_AVG&gt;=36,Discrete_NFET[[#This Row],[VDSMAX]]=100)</f>
        <v>0</v>
      </c>
      <c r="I105" s="22" t="b">
        <f t="shared" si="7"/>
        <v>0</v>
      </c>
      <c r="J105" s="22" t="b">
        <f>AND(((GDR_V)&lt;2.5),('FET Data'!$AC105&lt;&gt;"(Null)"))</f>
        <v>0</v>
      </c>
      <c r="K105" s="22" t="b">
        <f>AND(((GDR_V)&gt;=2.5),((GDR_V)&lt;3),OR(('FET Data'!$AD105&lt;&gt;"(Null)"),('FET Data'!$AC105&lt;&gt;"(Null)")))</f>
        <v>0</v>
      </c>
      <c r="L105" s="22" t="b">
        <f>AND(((GDR_V)&gt;=3),((GDR_V)&lt;4.5),OR(('FET Data'!$AE105&lt;&gt;"(Null)"),('FET Data'!$AD105&lt;&gt;"(Null)"),('FET Data'!$AC105&lt;&gt;"(Null)")))</f>
        <v>0</v>
      </c>
      <c r="M105" s="22" t="b">
        <f>AND(((GDR_V)&gt;=4.5),((GDR_V)&lt;6),OR(('FET Data'!$AF105&lt;&gt;"(Null)"),('FET Data'!$AE105&lt;&gt;"(Null)"),('FET Data'!$AD105&lt;&gt;"(Null)"),('FET Data'!$AC105&lt;&gt;"(Null)")))</f>
        <v>0</v>
      </c>
      <c r="N105" s="22" t="b">
        <f>AND(((GDR_V)&gt;=6),((GDR_V)&lt;8),OR(('FET Data'!$AG105&lt;&gt;"(Null)"),('FET Data'!$AF105&lt;&gt;"(Null)"),('FET Data'!$AE105&lt;&gt;"(Null)"),('FET Data'!$AD105&lt;&gt;"(Null)"),('FET Data'!$AC105&lt;&gt;"(Null)")))</f>
        <v>0</v>
      </c>
      <c r="O105" s="22" t="b">
        <f>AND(((GDR_V)&gt;=8),((GDR_V)&lt;10),OR(('FET Data'!$AH105&lt;&gt;"(Null)"),('FET Data'!$AG105&lt;&gt;"(Null)"),('FET Data'!$AF105&lt;&gt;"(Null)"),('FET Data'!$AE105&lt;&gt;"(Null)"),('FET Data'!$AD105&lt;&gt;"(Null)"),('FET Data'!$AC105&lt;&gt;"(Null)")))</f>
        <v>0</v>
      </c>
      <c r="P105" s="22" t="b">
        <f>AND(((GDR_V)&gt;=10),OR(('FET Data'!$AI105&lt;&gt;"(Null)"),('FET Data'!$AH105&lt;&gt;"(Null)"),('FET Data'!$AG105&lt;&gt;"(Null)"),('FET Data'!$AF105&lt;&gt;"(Null)"),('FET Data'!$AE105&lt;&gt;"(Null)"),('FET Data'!$AD105&lt;&gt;"(Null)"),('FET Data'!$AC105&lt;&gt;"(Null)")))</f>
        <v>1</v>
      </c>
      <c r="Q105" s="22" t="b">
        <f t="shared" si="8"/>
        <v>1</v>
      </c>
      <c r="R105" s="22" t="b">
        <f t="shared" si="9"/>
        <v>0</v>
      </c>
    </row>
    <row r="106" spans="1:18" x14ac:dyDescent="0.25">
      <c r="A106" s="22" t="str">
        <f>IF(R106,Discrete_NFET[[#This Row],[PARTNUMBER]],"")</f>
        <v/>
      </c>
      <c r="B106"/>
      <c r="C106" s="22" t="b">
        <f>AND((Discrete_NFET[[#This Row],[VDSMAX]]&gt;=VDC_AVG*1.25),(Discrete_NFET[[#This Row],[VGSMAX]]&gt;=GDR_V*1.2))</f>
        <v>1</v>
      </c>
      <c r="D106" s="22" t="b">
        <f>AND(VDC_AVG&lt;=25,Discrete_NFET[[#This Row],[VDSMAX]]&lt;=30)</f>
        <v>0</v>
      </c>
      <c r="E106" s="22" t="b">
        <f>AND(VDC_AVG&lt;=33,VDC_AVG&gt;=12,Discrete_NFET[[#This Row],[VDSMAX]]=40)</f>
        <v>0</v>
      </c>
      <c r="F106" s="22" t="b">
        <f>AND(VDC_AVG&lt;=50,VDC_AVG&gt;=18,Discrete_NFET[[#This Row],[VDSMAX]]=60)</f>
        <v>0</v>
      </c>
      <c r="G106" s="22" t="b">
        <f>AND(VDC_AVG&lt;=66,VDC_AVG&gt;=24,Discrete_NFET[[#This Row],[VDSMAX]]=80)</f>
        <v>0</v>
      </c>
      <c r="H106" s="22" t="b">
        <f>AND(VDC_AVG&lt;=83,VDC_AVG&gt;=36,Discrete_NFET[[#This Row],[VDSMAX]]=100)</f>
        <v>0</v>
      </c>
      <c r="I106" s="22" t="b">
        <f t="shared" si="7"/>
        <v>0</v>
      </c>
      <c r="J106" s="22" t="b">
        <f>AND(((GDR_V)&lt;2.5),('FET Data'!$AC106&lt;&gt;"(Null)"))</f>
        <v>0</v>
      </c>
      <c r="K106" s="22" t="b">
        <f>AND(((GDR_V)&gt;=2.5),((GDR_V)&lt;3),OR(('FET Data'!$AD106&lt;&gt;"(Null)"),('FET Data'!$AC106&lt;&gt;"(Null)")))</f>
        <v>0</v>
      </c>
      <c r="L106" s="22" t="b">
        <f>AND(((GDR_V)&gt;=3),((GDR_V)&lt;4.5),OR(('FET Data'!$AE106&lt;&gt;"(Null)"),('FET Data'!$AD106&lt;&gt;"(Null)"),('FET Data'!$AC106&lt;&gt;"(Null)")))</f>
        <v>0</v>
      </c>
      <c r="M106" s="22" t="b">
        <f>AND(((GDR_V)&gt;=4.5),((GDR_V)&lt;6),OR(('FET Data'!$AF106&lt;&gt;"(Null)"),('FET Data'!$AE106&lt;&gt;"(Null)"),('FET Data'!$AD106&lt;&gt;"(Null)"),('FET Data'!$AC106&lt;&gt;"(Null)")))</f>
        <v>0</v>
      </c>
      <c r="N106" s="22" t="b">
        <f>AND(((GDR_V)&gt;=6),((GDR_V)&lt;8),OR(('FET Data'!$AG106&lt;&gt;"(Null)"),('FET Data'!$AF106&lt;&gt;"(Null)"),('FET Data'!$AE106&lt;&gt;"(Null)"),('FET Data'!$AD106&lt;&gt;"(Null)"),('FET Data'!$AC106&lt;&gt;"(Null)")))</f>
        <v>0</v>
      </c>
      <c r="O106" s="22" t="b">
        <f>AND(((GDR_V)&gt;=8),((GDR_V)&lt;10),OR(('FET Data'!$AH106&lt;&gt;"(Null)"),('FET Data'!$AG106&lt;&gt;"(Null)"),('FET Data'!$AF106&lt;&gt;"(Null)"),('FET Data'!$AE106&lt;&gt;"(Null)"),('FET Data'!$AD106&lt;&gt;"(Null)"),('FET Data'!$AC106&lt;&gt;"(Null)")))</f>
        <v>0</v>
      </c>
      <c r="P106" s="22" t="b">
        <f>AND(((GDR_V)&gt;=10),OR(('FET Data'!$AI106&lt;&gt;"(Null)"),('FET Data'!$AH106&lt;&gt;"(Null)"),('FET Data'!$AG106&lt;&gt;"(Null)"),('FET Data'!$AF106&lt;&gt;"(Null)"),('FET Data'!$AE106&lt;&gt;"(Null)"),('FET Data'!$AD106&lt;&gt;"(Null)"),('FET Data'!$AC106&lt;&gt;"(Null)")))</f>
        <v>1</v>
      </c>
      <c r="Q106" s="22" t="b">
        <f t="shared" si="8"/>
        <v>1</v>
      </c>
      <c r="R106" s="22" t="b">
        <f t="shared" si="9"/>
        <v>0</v>
      </c>
    </row>
    <row r="107" spans="1:18" x14ac:dyDescent="0.25">
      <c r="A107" s="22" t="str">
        <f>IF(R107,Discrete_NFET[[#This Row],[PARTNUMBER]],"")</f>
        <v/>
      </c>
      <c r="B107"/>
      <c r="C107" s="22" t="b">
        <f>AND((Discrete_NFET[[#This Row],[VDSMAX]]&gt;=VDC_AVG*1.25),(Discrete_NFET[[#This Row],[VGSMAX]]&gt;=GDR_V*1.2))</f>
        <v>1</v>
      </c>
      <c r="D107" s="22" t="b">
        <f>AND(VDC_AVG&lt;=25,Discrete_NFET[[#This Row],[VDSMAX]]&lt;=30)</f>
        <v>0</v>
      </c>
      <c r="E107" s="22" t="b">
        <f>AND(VDC_AVG&lt;=33,VDC_AVG&gt;=12,Discrete_NFET[[#This Row],[VDSMAX]]=40)</f>
        <v>0</v>
      </c>
      <c r="F107" s="22" t="b">
        <f>AND(VDC_AVG&lt;=50,VDC_AVG&gt;=18,Discrete_NFET[[#This Row],[VDSMAX]]=60)</f>
        <v>0</v>
      </c>
      <c r="G107" s="22" t="b">
        <f>AND(VDC_AVG&lt;=66,VDC_AVG&gt;=24,Discrete_NFET[[#This Row],[VDSMAX]]=80)</f>
        <v>0</v>
      </c>
      <c r="H107" s="22" t="b">
        <f>AND(VDC_AVG&lt;=83,VDC_AVG&gt;=36,Discrete_NFET[[#This Row],[VDSMAX]]=100)</f>
        <v>0</v>
      </c>
      <c r="I107" s="22" t="b">
        <f t="shared" si="7"/>
        <v>0</v>
      </c>
      <c r="J107" s="22" t="b">
        <f>AND(((GDR_V)&lt;2.5),('FET Data'!$AC107&lt;&gt;"(Null)"))</f>
        <v>0</v>
      </c>
      <c r="K107" s="22" t="b">
        <f>AND(((GDR_V)&gt;=2.5),((GDR_V)&lt;3),OR(('FET Data'!$AD107&lt;&gt;"(Null)"),('FET Data'!$AC107&lt;&gt;"(Null)")))</f>
        <v>0</v>
      </c>
      <c r="L107" s="22" t="b">
        <f>AND(((GDR_V)&gt;=3),((GDR_V)&lt;4.5),OR(('FET Data'!$AE107&lt;&gt;"(Null)"),('FET Data'!$AD107&lt;&gt;"(Null)"),('FET Data'!$AC107&lt;&gt;"(Null)")))</f>
        <v>0</v>
      </c>
      <c r="M107" s="22" t="b">
        <f>AND(((GDR_V)&gt;=4.5),((GDR_V)&lt;6),OR(('FET Data'!$AF107&lt;&gt;"(Null)"),('FET Data'!$AE107&lt;&gt;"(Null)"),('FET Data'!$AD107&lt;&gt;"(Null)"),('FET Data'!$AC107&lt;&gt;"(Null)")))</f>
        <v>0</v>
      </c>
      <c r="N107" s="22" t="b">
        <f>AND(((GDR_V)&gt;=6),((GDR_V)&lt;8),OR(('FET Data'!$AG107&lt;&gt;"(Null)"),('FET Data'!$AF107&lt;&gt;"(Null)"),('FET Data'!$AE107&lt;&gt;"(Null)"),('FET Data'!$AD107&lt;&gt;"(Null)"),('FET Data'!$AC107&lt;&gt;"(Null)")))</f>
        <v>0</v>
      </c>
      <c r="O107" s="22" t="b">
        <f>AND(((GDR_V)&gt;=8),((GDR_V)&lt;10),OR(('FET Data'!$AH107&lt;&gt;"(Null)"),('FET Data'!$AG107&lt;&gt;"(Null)"),('FET Data'!$AF107&lt;&gt;"(Null)"),('FET Data'!$AE107&lt;&gt;"(Null)"),('FET Data'!$AD107&lt;&gt;"(Null)"),('FET Data'!$AC107&lt;&gt;"(Null)")))</f>
        <v>0</v>
      </c>
      <c r="P107" s="22" t="b">
        <f>AND(((GDR_V)&gt;=10),OR(('FET Data'!$AI107&lt;&gt;"(Null)"),('FET Data'!$AH107&lt;&gt;"(Null)"),('FET Data'!$AG107&lt;&gt;"(Null)"),('FET Data'!$AF107&lt;&gt;"(Null)"),('FET Data'!$AE107&lt;&gt;"(Null)"),('FET Data'!$AD107&lt;&gt;"(Null)"),('FET Data'!$AC107&lt;&gt;"(Null)")))</f>
        <v>1</v>
      </c>
      <c r="Q107" s="22" t="b">
        <f t="shared" si="8"/>
        <v>1</v>
      </c>
      <c r="R107" s="22" t="b">
        <f t="shared" si="9"/>
        <v>0</v>
      </c>
    </row>
    <row r="108" spans="1:18" x14ac:dyDescent="0.25">
      <c r="A108" s="22" t="str">
        <f>IF(R108,Discrete_NFET[[#This Row],[PARTNUMBER]],"")</f>
        <v/>
      </c>
      <c r="B108"/>
      <c r="C108" s="22" t="b">
        <f>AND((Discrete_NFET[[#This Row],[VDSMAX]]&gt;=VDC_AVG*1.25),(Discrete_NFET[[#This Row],[VGSMAX]]&gt;=GDR_V*1.2))</f>
        <v>1</v>
      </c>
      <c r="D108" s="22" t="b">
        <f>AND(VDC_AVG&lt;=25,Discrete_NFET[[#This Row],[VDSMAX]]&lt;=30)</f>
        <v>0</v>
      </c>
      <c r="E108" s="22" t="b">
        <f>AND(VDC_AVG&lt;=33,VDC_AVG&gt;=12,Discrete_NFET[[#This Row],[VDSMAX]]=40)</f>
        <v>0</v>
      </c>
      <c r="F108" s="22" t="b">
        <f>AND(VDC_AVG&lt;=50,VDC_AVG&gt;=18,Discrete_NFET[[#This Row],[VDSMAX]]=60)</f>
        <v>0</v>
      </c>
      <c r="G108" s="22" t="b">
        <f>AND(VDC_AVG&lt;=66,VDC_AVG&gt;=24,Discrete_NFET[[#This Row],[VDSMAX]]=80)</f>
        <v>0</v>
      </c>
      <c r="H108" s="22" t="b">
        <f>AND(VDC_AVG&lt;=83,VDC_AVG&gt;=36,Discrete_NFET[[#This Row],[VDSMAX]]=100)</f>
        <v>0</v>
      </c>
      <c r="I108" s="22" t="b">
        <f t="shared" si="7"/>
        <v>0</v>
      </c>
      <c r="J108" s="22" t="b">
        <f>AND(((GDR_V)&lt;2.5),('FET Data'!$AC108&lt;&gt;"(Null)"))</f>
        <v>0</v>
      </c>
      <c r="K108" s="22" t="b">
        <f>AND(((GDR_V)&gt;=2.5),((GDR_V)&lt;3),OR(('FET Data'!$AD108&lt;&gt;"(Null)"),('FET Data'!$AC108&lt;&gt;"(Null)")))</f>
        <v>0</v>
      </c>
      <c r="L108" s="22" t="b">
        <f>AND(((GDR_V)&gt;=3),((GDR_V)&lt;4.5),OR(('FET Data'!$AE108&lt;&gt;"(Null)"),('FET Data'!$AD108&lt;&gt;"(Null)"),('FET Data'!$AC108&lt;&gt;"(Null)")))</f>
        <v>0</v>
      </c>
      <c r="M108" s="22" t="b">
        <f>AND(((GDR_V)&gt;=4.5),((GDR_V)&lt;6),OR(('FET Data'!$AF108&lt;&gt;"(Null)"),('FET Data'!$AE108&lt;&gt;"(Null)"),('FET Data'!$AD108&lt;&gt;"(Null)"),('FET Data'!$AC108&lt;&gt;"(Null)")))</f>
        <v>0</v>
      </c>
      <c r="N108" s="22" t="b">
        <f>AND(((GDR_V)&gt;=6),((GDR_V)&lt;8),OR(('FET Data'!$AG108&lt;&gt;"(Null)"),('FET Data'!$AF108&lt;&gt;"(Null)"),('FET Data'!$AE108&lt;&gt;"(Null)"),('FET Data'!$AD108&lt;&gt;"(Null)"),('FET Data'!$AC108&lt;&gt;"(Null)")))</f>
        <v>0</v>
      </c>
      <c r="O108" s="22" t="b">
        <f>AND(((GDR_V)&gt;=8),((GDR_V)&lt;10),OR(('FET Data'!$AH108&lt;&gt;"(Null)"),('FET Data'!$AG108&lt;&gt;"(Null)"),('FET Data'!$AF108&lt;&gt;"(Null)"),('FET Data'!$AE108&lt;&gt;"(Null)"),('FET Data'!$AD108&lt;&gt;"(Null)"),('FET Data'!$AC108&lt;&gt;"(Null)")))</f>
        <v>0</v>
      </c>
      <c r="P108" s="22" t="b">
        <f>AND(((GDR_V)&gt;=10),OR(('FET Data'!$AI108&lt;&gt;"(Null)"),('FET Data'!$AH108&lt;&gt;"(Null)"),('FET Data'!$AG108&lt;&gt;"(Null)"),('FET Data'!$AF108&lt;&gt;"(Null)"),('FET Data'!$AE108&lt;&gt;"(Null)"),('FET Data'!$AD108&lt;&gt;"(Null)"),('FET Data'!$AC108&lt;&gt;"(Null)")))</f>
        <v>1</v>
      </c>
      <c r="Q108" s="22" t="b">
        <f t="shared" si="8"/>
        <v>1</v>
      </c>
      <c r="R108" s="22" t="b">
        <f t="shared" si="9"/>
        <v>0</v>
      </c>
    </row>
    <row r="109" spans="1:18" x14ac:dyDescent="0.25">
      <c r="A109" s="22" t="str">
        <f>IF(R109,Discrete_NFET[[#This Row],[PARTNUMBER]],"")</f>
        <v/>
      </c>
      <c r="B109"/>
      <c r="C109" s="22" t="b">
        <f>AND((Discrete_NFET[[#This Row],[VDSMAX]]&gt;=VDC_AVG*1.25),(Discrete_NFET[[#This Row],[VGSMAX]]&gt;=GDR_V*1.2))</f>
        <v>1</v>
      </c>
      <c r="D109" s="22" t="b">
        <f>AND(VDC_AVG&lt;=25,Discrete_NFET[[#This Row],[VDSMAX]]&lt;=30)</f>
        <v>0</v>
      </c>
      <c r="E109" s="22" t="b">
        <f>AND(VDC_AVG&lt;=33,VDC_AVG&gt;=12,Discrete_NFET[[#This Row],[VDSMAX]]=40)</f>
        <v>0</v>
      </c>
      <c r="F109" s="22" t="b">
        <f>AND(VDC_AVG&lt;=50,VDC_AVG&gt;=18,Discrete_NFET[[#This Row],[VDSMAX]]=60)</f>
        <v>0</v>
      </c>
      <c r="G109" s="22" t="b">
        <f>AND(VDC_AVG&lt;=66,VDC_AVG&gt;=24,Discrete_NFET[[#This Row],[VDSMAX]]=80)</f>
        <v>0</v>
      </c>
      <c r="H109" s="22" t="b">
        <f>AND(VDC_AVG&lt;=83,VDC_AVG&gt;=36,Discrete_NFET[[#This Row],[VDSMAX]]=100)</f>
        <v>0</v>
      </c>
      <c r="I109" s="22" t="b">
        <f t="shared" si="7"/>
        <v>0</v>
      </c>
      <c r="J109" s="22" t="b">
        <f>AND(((GDR_V)&lt;2.5),('FET Data'!$AC109&lt;&gt;"(Null)"))</f>
        <v>0</v>
      </c>
      <c r="K109" s="22" t="b">
        <f>AND(((GDR_V)&gt;=2.5),((GDR_V)&lt;3),OR(('FET Data'!$AD109&lt;&gt;"(Null)"),('FET Data'!$AC109&lt;&gt;"(Null)")))</f>
        <v>0</v>
      </c>
      <c r="L109" s="22" t="b">
        <f>AND(((GDR_V)&gt;=3),((GDR_V)&lt;4.5),OR(('FET Data'!$AE109&lt;&gt;"(Null)"),('FET Data'!$AD109&lt;&gt;"(Null)"),('FET Data'!$AC109&lt;&gt;"(Null)")))</f>
        <v>0</v>
      </c>
      <c r="M109" s="22" t="b">
        <f>AND(((GDR_V)&gt;=4.5),((GDR_V)&lt;6),OR(('FET Data'!$AF109&lt;&gt;"(Null)"),('FET Data'!$AE109&lt;&gt;"(Null)"),('FET Data'!$AD109&lt;&gt;"(Null)"),('FET Data'!$AC109&lt;&gt;"(Null)")))</f>
        <v>0</v>
      </c>
      <c r="N109" s="22" t="b">
        <f>AND(((GDR_V)&gt;=6),((GDR_V)&lt;8),OR(('FET Data'!$AG109&lt;&gt;"(Null)"),('FET Data'!$AF109&lt;&gt;"(Null)"),('FET Data'!$AE109&lt;&gt;"(Null)"),('FET Data'!$AD109&lt;&gt;"(Null)"),('FET Data'!$AC109&lt;&gt;"(Null)")))</f>
        <v>0</v>
      </c>
      <c r="O109" s="22" t="b">
        <f>AND(((GDR_V)&gt;=8),((GDR_V)&lt;10),OR(('FET Data'!$AH109&lt;&gt;"(Null)"),('FET Data'!$AG109&lt;&gt;"(Null)"),('FET Data'!$AF109&lt;&gt;"(Null)"),('FET Data'!$AE109&lt;&gt;"(Null)"),('FET Data'!$AD109&lt;&gt;"(Null)"),('FET Data'!$AC109&lt;&gt;"(Null)")))</f>
        <v>0</v>
      </c>
      <c r="P109" s="22" t="b">
        <f>AND(((GDR_V)&gt;=10),OR(('FET Data'!$AI109&lt;&gt;"(Null)"),('FET Data'!$AH109&lt;&gt;"(Null)"),('FET Data'!$AG109&lt;&gt;"(Null)"),('FET Data'!$AF109&lt;&gt;"(Null)"),('FET Data'!$AE109&lt;&gt;"(Null)"),('FET Data'!$AD109&lt;&gt;"(Null)"),('FET Data'!$AC109&lt;&gt;"(Null)")))</f>
        <v>1</v>
      </c>
      <c r="Q109" s="22" t="b">
        <f t="shared" si="8"/>
        <v>1</v>
      </c>
      <c r="R109" s="22" t="b">
        <f t="shared" si="9"/>
        <v>0</v>
      </c>
    </row>
    <row r="110" spans="1:18" x14ac:dyDescent="0.25">
      <c r="A110" s="22" t="str">
        <f>IF(R110,Discrete_NFET[[#This Row],[PARTNUMBER]],"")</f>
        <v/>
      </c>
      <c r="B110"/>
      <c r="C110" s="22" t="b">
        <f>AND((Discrete_NFET[[#This Row],[VDSMAX]]&gt;=VDC_AVG*1.25),(Discrete_NFET[[#This Row],[VGSMAX]]&gt;=GDR_V*1.2))</f>
        <v>1</v>
      </c>
      <c r="D110" s="22" t="b">
        <f>AND(VDC_AVG&lt;=25,Discrete_NFET[[#This Row],[VDSMAX]]&lt;=30)</f>
        <v>0</v>
      </c>
      <c r="E110" s="22" t="b">
        <f>AND(VDC_AVG&lt;=33,VDC_AVG&gt;=12,Discrete_NFET[[#This Row],[VDSMAX]]=40)</f>
        <v>0</v>
      </c>
      <c r="F110" s="22" t="b">
        <f>AND(VDC_AVG&lt;=50,VDC_AVG&gt;=18,Discrete_NFET[[#This Row],[VDSMAX]]=60)</f>
        <v>0</v>
      </c>
      <c r="G110" s="22" t="b">
        <f>AND(VDC_AVG&lt;=66,VDC_AVG&gt;=24,Discrete_NFET[[#This Row],[VDSMAX]]=80)</f>
        <v>0</v>
      </c>
      <c r="H110" s="22" t="b">
        <f>AND(VDC_AVG&lt;=83,VDC_AVG&gt;=36,Discrete_NFET[[#This Row],[VDSMAX]]=100)</f>
        <v>0</v>
      </c>
      <c r="I110" s="22" t="b">
        <f t="shared" si="7"/>
        <v>0</v>
      </c>
      <c r="J110" s="22" t="b">
        <f>AND(((GDR_V)&lt;2.5),('FET Data'!$AC110&lt;&gt;"(Null)"))</f>
        <v>0</v>
      </c>
      <c r="K110" s="22" t="b">
        <f>AND(((GDR_V)&gt;=2.5),((GDR_V)&lt;3),OR(('FET Data'!$AD110&lt;&gt;"(Null)"),('FET Data'!$AC110&lt;&gt;"(Null)")))</f>
        <v>0</v>
      </c>
      <c r="L110" s="22" t="b">
        <f>AND(((GDR_V)&gt;=3),((GDR_V)&lt;4.5),OR(('FET Data'!$AE110&lt;&gt;"(Null)"),('FET Data'!$AD110&lt;&gt;"(Null)"),('FET Data'!$AC110&lt;&gt;"(Null)")))</f>
        <v>0</v>
      </c>
      <c r="M110" s="22" t="b">
        <f>AND(((GDR_V)&gt;=4.5),((GDR_V)&lt;6),OR(('FET Data'!$AF110&lt;&gt;"(Null)"),('FET Data'!$AE110&lt;&gt;"(Null)"),('FET Data'!$AD110&lt;&gt;"(Null)"),('FET Data'!$AC110&lt;&gt;"(Null)")))</f>
        <v>0</v>
      </c>
      <c r="N110" s="22" t="b">
        <f>AND(((GDR_V)&gt;=6),((GDR_V)&lt;8),OR(('FET Data'!$AG110&lt;&gt;"(Null)"),('FET Data'!$AF110&lt;&gt;"(Null)"),('FET Data'!$AE110&lt;&gt;"(Null)"),('FET Data'!$AD110&lt;&gt;"(Null)"),('FET Data'!$AC110&lt;&gt;"(Null)")))</f>
        <v>0</v>
      </c>
      <c r="O110" s="22" t="b">
        <f>AND(((GDR_V)&gt;=8),((GDR_V)&lt;10),OR(('FET Data'!$AH110&lt;&gt;"(Null)"),('FET Data'!$AG110&lt;&gt;"(Null)"),('FET Data'!$AF110&lt;&gt;"(Null)"),('FET Data'!$AE110&lt;&gt;"(Null)"),('FET Data'!$AD110&lt;&gt;"(Null)"),('FET Data'!$AC110&lt;&gt;"(Null)")))</f>
        <v>0</v>
      </c>
      <c r="P110" s="22" t="b">
        <f>AND(((GDR_V)&gt;=10),OR(('FET Data'!$AI110&lt;&gt;"(Null)"),('FET Data'!$AH110&lt;&gt;"(Null)"),('FET Data'!$AG110&lt;&gt;"(Null)"),('FET Data'!$AF110&lt;&gt;"(Null)"),('FET Data'!$AE110&lt;&gt;"(Null)"),('FET Data'!$AD110&lt;&gt;"(Null)"),('FET Data'!$AC110&lt;&gt;"(Null)")))</f>
        <v>1</v>
      </c>
      <c r="Q110" s="22" t="b">
        <f t="shared" si="8"/>
        <v>1</v>
      </c>
      <c r="R110" s="22" t="b">
        <f t="shared" si="9"/>
        <v>0</v>
      </c>
    </row>
    <row r="111" spans="1:18" x14ac:dyDescent="0.25">
      <c r="A111" s="22" t="str">
        <f>IF(R111,Discrete_NFET[[#This Row],[PARTNUMBER]],"")</f>
        <v/>
      </c>
      <c r="B111"/>
      <c r="C111" s="22" t="b">
        <f>AND((Discrete_NFET[[#This Row],[VDSMAX]]&gt;=VDC_AVG*1.25),(Discrete_NFET[[#This Row],[VGSMAX]]&gt;=GDR_V*1.2))</f>
        <v>1</v>
      </c>
      <c r="D111" s="22" t="b">
        <f>AND(VDC_AVG&lt;=25,Discrete_NFET[[#This Row],[VDSMAX]]&lt;=30)</f>
        <v>0</v>
      </c>
      <c r="E111" s="22" t="b">
        <f>AND(VDC_AVG&lt;=33,VDC_AVG&gt;=12,Discrete_NFET[[#This Row],[VDSMAX]]=40)</f>
        <v>0</v>
      </c>
      <c r="F111" s="22" t="b">
        <f>AND(VDC_AVG&lt;=50,VDC_AVG&gt;=18,Discrete_NFET[[#This Row],[VDSMAX]]=60)</f>
        <v>0</v>
      </c>
      <c r="G111" s="22" t="b">
        <f>AND(VDC_AVG&lt;=66,VDC_AVG&gt;=24,Discrete_NFET[[#This Row],[VDSMAX]]=80)</f>
        <v>0</v>
      </c>
      <c r="H111" s="22" t="b">
        <f>AND(VDC_AVG&lt;=83,VDC_AVG&gt;=36,Discrete_NFET[[#This Row],[VDSMAX]]=100)</f>
        <v>0</v>
      </c>
      <c r="I111" s="22" t="b">
        <f t="shared" si="7"/>
        <v>0</v>
      </c>
      <c r="J111" s="22" t="b">
        <f>AND(((GDR_V)&lt;2.5),('FET Data'!$AC111&lt;&gt;"(Null)"))</f>
        <v>0</v>
      </c>
      <c r="K111" s="22" t="b">
        <f>AND(((GDR_V)&gt;=2.5),((GDR_V)&lt;3),OR(('FET Data'!$AD111&lt;&gt;"(Null)"),('FET Data'!$AC111&lt;&gt;"(Null)")))</f>
        <v>0</v>
      </c>
      <c r="L111" s="22" t="b">
        <f>AND(((GDR_V)&gt;=3),((GDR_V)&lt;4.5),OR(('FET Data'!$AE111&lt;&gt;"(Null)"),('FET Data'!$AD111&lt;&gt;"(Null)"),('FET Data'!$AC111&lt;&gt;"(Null)")))</f>
        <v>0</v>
      </c>
      <c r="M111" s="22" t="b">
        <f>AND(((GDR_V)&gt;=4.5),((GDR_V)&lt;6),OR(('FET Data'!$AF111&lt;&gt;"(Null)"),('FET Data'!$AE111&lt;&gt;"(Null)"),('FET Data'!$AD111&lt;&gt;"(Null)"),('FET Data'!$AC111&lt;&gt;"(Null)")))</f>
        <v>0</v>
      </c>
      <c r="N111" s="22" t="b">
        <f>AND(((GDR_V)&gt;=6),((GDR_V)&lt;8),OR(('FET Data'!$AG111&lt;&gt;"(Null)"),('FET Data'!$AF111&lt;&gt;"(Null)"),('FET Data'!$AE111&lt;&gt;"(Null)"),('FET Data'!$AD111&lt;&gt;"(Null)"),('FET Data'!$AC111&lt;&gt;"(Null)")))</f>
        <v>0</v>
      </c>
      <c r="O111" s="22" t="b">
        <f>AND(((GDR_V)&gt;=8),((GDR_V)&lt;10),OR(('FET Data'!$AH111&lt;&gt;"(Null)"),('FET Data'!$AG111&lt;&gt;"(Null)"),('FET Data'!$AF111&lt;&gt;"(Null)"),('FET Data'!$AE111&lt;&gt;"(Null)"),('FET Data'!$AD111&lt;&gt;"(Null)"),('FET Data'!$AC111&lt;&gt;"(Null)")))</f>
        <v>0</v>
      </c>
      <c r="P111" s="22" t="b">
        <f>AND(((GDR_V)&gt;=10),OR(('FET Data'!$AI111&lt;&gt;"(Null)"),('FET Data'!$AH111&lt;&gt;"(Null)"),('FET Data'!$AG111&lt;&gt;"(Null)"),('FET Data'!$AF111&lt;&gt;"(Null)"),('FET Data'!$AE111&lt;&gt;"(Null)"),('FET Data'!$AD111&lt;&gt;"(Null)"),('FET Data'!$AC111&lt;&gt;"(Null)")))</f>
        <v>1</v>
      </c>
      <c r="Q111" s="22" t="b">
        <f t="shared" si="8"/>
        <v>1</v>
      </c>
      <c r="R111" s="22" t="b">
        <f t="shared" si="9"/>
        <v>0</v>
      </c>
    </row>
    <row r="112" spans="1:18" x14ac:dyDescent="0.25">
      <c r="A112" s="22" t="str">
        <f>IF(R112,Discrete_NFET[[#This Row],[PARTNUMBER]],"")</f>
        <v/>
      </c>
      <c r="B112"/>
      <c r="C112" s="22" t="b">
        <f>AND((Discrete_NFET[[#This Row],[VDSMAX]]&gt;=VDC_AVG*1.25),(Discrete_NFET[[#This Row],[VGSMAX]]&gt;=GDR_V*1.2))</f>
        <v>1</v>
      </c>
      <c r="D112" s="22" t="b">
        <f>AND(VDC_AVG&lt;=25,Discrete_NFET[[#This Row],[VDSMAX]]&lt;=30)</f>
        <v>0</v>
      </c>
      <c r="E112" s="22" t="b">
        <f>AND(VDC_AVG&lt;=33,VDC_AVG&gt;=12,Discrete_NFET[[#This Row],[VDSMAX]]=40)</f>
        <v>0</v>
      </c>
      <c r="F112" s="22" t="b">
        <f>AND(VDC_AVG&lt;=50,VDC_AVG&gt;=18,Discrete_NFET[[#This Row],[VDSMAX]]=60)</f>
        <v>0</v>
      </c>
      <c r="G112" s="22" t="b">
        <f>AND(VDC_AVG&lt;=66,VDC_AVG&gt;=24,Discrete_NFET[[#This Row],[VDSMAX]]=80)</f>
        <v>0</v>
      </c>
      <c r="H112" s="22" t="b">
        <f>AND(VDC_AVG&lt;=83,VDC_AVG&gt;=36,Discrete_NFET[[#This Row],[VDSMAX]]=100)</f>
        <v>0</v>
      </c>
      <c r="I112" s="22" t="b">
        <f t="shared" si="7"/>
        <v>0</v>
      </c>
      <c r="J112" s="22" t="b">
        <f>AND(((GDR_V)&lt;2.5),('FET Data'!$AC112&lt;&gt;"(Null)"))</f>
        <v>0</v>
      </c>
      <c r="K112" s="22" t="b">
        <f>AND(((GDR_V)&gt;=2.5),((GDR_V)&lt;3),OR(('FET Data'!$AD112&lt;&gt;"(Null)"),('FET Data'!$AC112&lt;&gt;"(Null)")))</f>
        <v>0</v>
      </c>
      <c r="L112" s="22" t="b">
        <f>AND(((GDR_V)&gt;=3),((GDR_V)&lt;4.5),OR(('FET Data'!$AE112&lt;&gt;"(Null)"),('FET Data'!$AD112&lt;&gt;"(Null)"),('FET Data'!$AC112&lt;&gt;"(Null)")))</f>
        <v>0</v>
      </c>
      <c r="M112" s="22" t="b">
        <f>AND(((GDR_V)&gt;=4.5),((GDR_V)&lt;6),OR(('FET Data'!$AF112&lt;&gt;"(Null)"),('FET Data'!$AE112&lt;&gt;"(Null)"),('FET Data'!$AD112&lt;&gt;"(Null)"),('FET Data'!$AC112&lt;&gt;"(Null)")))</f>
        <v>0</v>
      </c>
      <c r="N112" s="22" t="b">
        <f>AND(((GDR_V)&gt;=6),((GDR_V)&lt;8),OR(('FET Data'!$AG112&lt;&gt;"(Null)"),('FET Data'!$AF112&lt;&gt;"(Null)"),('FET Data'!$AE112&lt;&gt;"(Null)"),('FET Data'!$AD112&lt;&gt;"(Null)"),('FET Data'!$AC112&lt;&gt;"(Null)")))</f>
        <v>0</v>
      </c>
      <c r="O112" s="22" t="b">
        <f>AND(((GDR_V)&gt;=8),((GDR_V)&lt;10),OR(('FET Data'!$AH112&lt;&gt;"(Null)"),('FET Data'!$AG112&lt;&gt;"(Null)"),('FET Data'!$AF112&lt;&gt;"(Null)"),('FET Data'!$AE112&lt;&gt;"(Null)"),('FET Data'!$AD112&lt;&gt;"(Null)"),('FET Data'!$AC112&lt;&gt;"(Null)")))</f>
        <v>0</v>
      </c>
      <c r="P112" s="22" t="b">
        <f>AND(((GDR_V)&gt;=10),OR(('FET Data'!$AI112&lt;&gt;"(Null)"),('FET Data'!$AH112&lt;&gt;"(Null)"),('FET Data'!$AG112&lt;&gt;"(Null)"),('FET Data'!$AF112&lt;&gt;"(Null)"),('FET Data'!$AE112&lt;&gt;"(Null)"),('FET Data'!$AD112&lt;&gt;"(Null)"),('FET Data'!$AC112&lt;&gt;"(Null)")))</f>
        <v>1</v>
      </c>
      <c r="Q112" s="22" t="b">
        <f t="shared" si="8"/>
        <v>1</v>
      </c>
      <c r="R112" s="22" t="b">
        <f t="shared" si="9"/>
        <v>0</v>
      </c>
    </row>
    <row r="113" spans="1:18" x14ac:dyDescent="0.25">
      <c r="A113" s="22" t="str">
        <f>IF(R113,Discrete_NFET[[#This Row],[PARTNUMBER]],"")</f>
        <v/>
      </c>
      <c r="B113"/>
      <c r="C113" s="22" t="b">
        <f>AND((Discrete_NFET[[#This Row],[VDSMAX]]&gt;=VDC_AVG*1.25),(Discrete_NFET[[#This Row],[VGSMAX]]&gt;=GDR_V*1.2))</f>
        <v>1</v>
      </c>
      <c r="D113" s="22" t="b">
        <f>AND(VDC_AVG&lt;=25,Discrete_NFET[[#This Row],[VDSMAX]]&lt;=30)</f>
        <v>0</v>
      </c>
      <c r="E113" s="22" t="b">
        <f>AND(VDC_AVG&lt;=33,VDC_AVG&gt;=12,Discrete_NFET[[#This Row],[VDSMAX]]=40)</f>
        <v>0</v>
      </c>
      <c r="F113" s="22" t="b">
        <f>AND(VDC_AVG&lt;=50,VDC_AVG&gt;=18,Discrete_NFET[[#This Row],[VDSMAX]]=60)</f>
        <v>0</v>
      </c>
      <c r="G113" s="22" t="b">
        <f>AND(VDC_AVG&lt;=66,VDC_AVG&gt;=24,Discrete_NFET[[#This Row],[VDSMAX]]=80)</f>
        <v>0</v>
      </c>
      <c r="H113" s="22" t="b">
        <f>AND(VDC_AVG&lt;=83,VDC_AVG&gt;=36,Discrete_NFET[[#This Row],[VDSMAX]]=100)</f>
        <v>0</v>
      </c>
      <c r="I113" s="22" t="b">
        <f t="shared" si="7"/>
        <v>0</v>
      </c>
      <c r="J113" s="22" t="b">
        <f>AND(((GDR_V)&lt;2.5),('FET Data'!$AC113&lt;&gt;"(Null)"))</f>
        <v>0</v>
      </c>
      <c r="K113" s="22" t="b">
        <f>AND(((GDR_V)&gt;=2.5),((GDR_V)&lt;3),OR(('FET Data'!$AD113&lt;&gt;"(Null)"),('FET Data'!$AC113&lt;&gt;"(Null)")))</f>
        <v>0</v>
      </c>
      <c r="L113" s="22" t="b">
        <f>AND(((GDR_V)&gt;=3),((GDR_V)&lt;4.5),OR(('FET Data'!$AE113&lt;&gt;"(Null)"),('FET Data'!$AD113&lt;&gt;"(Null)"),('FET Data'!$AC113&lt;&gt;"(Null)")))</f>
        <v>0</v>
      </c>
      <c r="M113" s="22" t="b">
        <f>AND(((GDR_V)&gt;=4.5),((GDR_V)&lt;6),OR(('FET Data'!$AF113&lt;&gt;"(Null)"),('FET Data'!$AE113&lt;&gt;"(Null)"),('FET Data'!$AD113&lt;&gt;"(Null)"),('FET Data'!$AC113&lt;&gt;"(Null)")))</f>
        <v>0</v>
      </c>
      <c r="N113" s="22" t="b">
        <f>AND(((GDR_V)&gt;=6),((GDR_V)&lt;8),OR(('FET Data'!$AG113&lt;&gt;"(Null)"),('FET Data'!$AF113&lt;&gt;"(Null)"),('FET Data'!$AE113&lt;&gt;"(Null)"),('FET Data'!$AD113&lt;&gt;"(Null)"),('FET Data'!$AC113&lt;&gt;"(Null)")))</f>
        <v>0</v>
      </c>
      <c r="O113" s="22" t="b">
        <f>AND(((GDR_V)&gt;=8),((GDR_V)&lt;10),OR(('FET Data'!$AH113&lt;&gt;"(Null)"),('FET Data'!$AG113&lt;&gt;"(Null)"),('FET Data'!$AF113&lt;&gt;"(Null)"),('FET Data'!$AE113&lt;&gt;"(Null)"),('FET Data'!$AD113&lt;&gt;"(Null)"),('FET Data'!$AC113&lt;&gt;"(Null)")))</f>
        <v>0</v>
      </c>
      <c r="P113" s="22" t="b">
        <f>AND(((GDR_V)&gt;=10),OR(('FET Data'!$AI113&lt;&gt;"(Null)"),('FET Data'!$AH113&lt;&gt;"(Null)"),('FET Data'!$AG113&lt;&gt;"(Null)"),('FET Data'!$AF113&lt;&gt;"(Null)"),('FET Data'!$AE113&lt;&gt;"(Null)"),('FET Data'!$AD113&lt;&gt;"(Null)"),('FET Data'!$AC113&lt;&gt;"(Null)")))</f>
        <v>1</v>
      </c>
      <c r="Q113" s="22" t="b">
        <f t="shared" si="8"/>
        <v>1</v>
      </c>
      <c r="R113" s="22" t="b">
        <f t="shared" si="9"/>
        <v>0</v>
      </c>
    </row>
    <row r="114" spans="1:18" x14ac:dyDescent="0.25">
      <c r="A114" s="22" t="str">
        <f>IF(R114,Discrete_NFET[[#This Row],[PARTNUMBER]],"")</f>
        <v/>
      </c>
      <c r="B114"/>
      <c r="C114" s="22" t="b">
        <f>AND((Discrete_NFET[[#This Row],[VDSMAX]]&gt;=VDC_AVG*1.25),(Discrete_NFET[[#This Row],[VGSMAX]]&gt;=GDR_V*1.2))</f>
        <v>1</v>
      </c>
      <c r="D114" s="22" t="b">
        <f>AND(VDC_AVG&lt;=25,Discrete_NFET[[#This Row],[VDSMAX]]&lt;=30)</f>
        <v>0</v>
      </c>
      <c r="E114" s="22" t="b">
        <f>AND(VDC_AVG&lt;=33,VDC_AVG&gt;=12,Discrete_NFET[[#This Row],[VDSMAX]]=40)</f>
        <v>0</v>
      </c>
      <c r="F114" s="22" t="b">
        <f>AND(VDC_AVG&lt;=50,VDC_AVG&gt;=18,Discrete_NFET[[#This Row],[VDSMAX]]=60)</f>
        <v>0</v>
      </c>
      <c r="G114" s="22" t="b">
        <f>AND(VDC_AVG&lt;=66,VDC_AVG&gt;=24,Discrete_NFET[[#This Row],[VDSMAX]]=80)</f>
        <v>0</v>
      </c>
      <c r="H114" s="22" t="b">
        <f>AND(VDC_AVG&lt;=83,VDC_AVG&gt;=36,Discrete_NFET[[#This Row],[VDSMAX]]=100)</f>
        <v>0</v>
      </c>
      <c r="I114" s="22" t="b">
        <f t="shared" si="7"/>
        <v>0</v>
      </c>
      <c r="J114" s="22" t="b">
        <f>AND(((GDR_V)&lt;2.5),('FET Data'!$AC114&lt;&gt;"(Null)"))</f>
        <v>0</v>
      </c>
      <c r="K114" s="22" t="b">
        <f>AND(((GDR_V)&gt;=2.5),((GDR_V)&lt;3),OR(('FET Data'!$AD114&lt;&gt;"(Null)"),('FET Data'!$AC114&lt;&gt;"(Null)")))</f>
        <v>0</v>
      </c>
      <c r="L114" s="22" t="b">
        <f>AND(((GDR_V)&gt;=3),((GDR_V)&lt;4.5),OR(('FET Data'!$AE114&lt;&gt;"(Null)"),('FET Data'!$AD114&lt;&gt;"(Null)"),('FET Data'!$AC114&lt;&gt;"(Null)")))</f>
        <v>0</v>
      </c>
      <c r="M114" s="22" t="b">
        <f>AND(((GDR_V)&gt;=4.5),((GDR_V)&lt;6),OR(('FET Data'!$AF114&lt;&gt;"(Null)"),('FET Data'!$AE114&lt;&gt;"(Null)"),('FET Data'!$AD114&lt;&gt;"(Null)"),('FET Data'!$AC114&lt;&gt;"(Null)")))</f>
        <v>0</v>
      </c>
      <c r="N114" s="22" t="b">
        <f>AND(((GDR_V)&gt;=6),((GDR_V)&lt;8),OR(('FET Data'!$AG114&lt;&gt;"(Null)"),('FET Data'!$AF114&lt;&gt;"(Null)"),('FET Data'!$AE114&lt;&gt;"(Null)"),('FET Data'!$AD114&lt;&gt;"(Null)"),('FET Data'!$AC114&lt;&gt;"(Null)")))</f>
        <v>0</v>
      </c>
      <c r="O114" s="22" t="b">
        <f>AND(((GDR_V)&gt;=8),((GDR_V)&lt;10),OR(('FET Data'!$AH114&lt;&gt;"(Null)"),('FET Data'!$AG114&lt;&gt;"(Null)"),('FET Data'!$AF114&lt;&gt;"(Null)"),('FET Data'!$AE114&lt;&gt;"(Null)"),('FET Data'!$AD114&lt;&gt;"(Null)"),('FET Data'!$AC114&lt;&gt;"(Null)")))</f>
        <v>0</v>
      </c>
      <c r="P114" s="22" t="b">
        <f>AND(((GDR_V)&gt;=10),OR(('FET Data'!$AI114&lt;&gt;"(Null)"),('FET Data'!$AH114&lt;&gt;"(Null)"),('FET Data'!$AG114&lt;&gt;"(Null)"),('FET Data'!$AF114&lt;&gt;"(Null)"),('FET Data'!$AE114&lt;&gt;"(Null)"),('FET Data'!$AD114&lt;&gt;"(Null)"),('FET Data'!$AC114&lt;&gt;"(Null)")))</f>
        <v>1</v>
      </c>
      <c r="Q114" s="22" t="b">
        <f t="shared" si="8"/>
        <v>1</v>
      </c>
      <c r="R114" s="22" t="b">
        <f t="shared" si="9"/>
        <v>0</v>
      </c>
    </row>
    <row r="115" spans="1:18" x14ac:dyDescent="0.25">
      <c r="A115" s="22" t="str">
        <f>IF(R115,Discrete_NFET[[#This Row],[PARTNUMBER]],"")</f>
        <v/>
      </c>
      <c r="B115"/>
      <c r="C115" s="22" t="b">
        <f>AND((Discrete_NFET[[#This Row],[VDSMAX]]&gt;=VDC_AVG*1.25),(Discrete_NFET[[#This Row],[VGSMAX]]&gt;=GDR_V*1.2))</f>
        <v>1</v>
      </c>
      <c r="D115" s="22" t="b">
        <f>AND(VDC_AVG&lt;=25,Discrete_NFET[[#This Row],[VDSMAX]]&lt;=30)</f>
        <v>0</v>
      </c>
      <c r="E115" s="22" t="b">
        <f>AND(VDC_AVG&lt;=33,VDC_AVG&gt;=12,Discrete_NFET[[#This Row],[VDSMAX]]=40)</f>
        <v>0</v>
      </c>
      <c r="F115" s="22" t="b">
        <f>AND(VDC_AVG&lt;=50,VDC_AVG&gt;=18,Discrete_NFET[[#This Row],[VDSMAX]]=60)</f>
        <v>0</v>
      </c>
      <c r="G115" s="22" t="b">
        <f>AND(VDC_AVG&lt;=66,VDC_AVG&gt;=24,Discrete_NFET[[#This Row],[VDSMAX]]=80)</f>
        <v>0</v>
      </c>
      <c r="H115" s="22" t="b">
        <f>AND(VDC_AVG&lt;=83,VDC_AVG&gt;=36,Discrete_NFET[[#This Row],[VDSMAX]]=100)</f>
        <v>0</v>
      </c>
      <c r="I115" s="22" t="b">
        <f t="shared" si="7"/>
        <v>0</v>
      </c>
      <c r="J115" s="22" t="b">
        <f>AND(((GDR_V)&lt;2.5),('FET Data'!$AC115&lt;&gt;"(Null)"))</f>
        <v>0</v>
      </c>
      <c r="K115" s="22" t="b">
        <f>AND(((GDR_V)&gt;=2.5),((GDR_V)&lt;3),OR(('FET Data'!$AD115&lt;&gt;"(Null)"),('FET Data'!$AC115&lt;&gt;"(Null)")))</f>
        <v>0</v>
      </c>
      <c r="L115" s="22" t="b">
        <f>AND(((GDR_V)&gt;=3),((GDR_V)&lt;4.5),OR(('FET Data'!$AE115&lt;&gt;"(Null)"),('FET Data'!$AD115&lt;&gt;"(Null)"),('FET Data'!$AC115&lt;&gt;"(Null)")))</f>
        <v>0</v>
      </c>
      <c r="M115" s="22" t="b">
        <f>AND(((GDR_V)&gt;=4.5),((GDR_V)&lt;6),OR(('FET Data'!$AF115&lt;&gt;"(Null)"),('FET Data'!$AE115&lt;&gt;"(Null)"),('FET Data'!$AD115&lt;&gt;"(Null)"),('FET Data'!$AC115&lt;&gt;"(Null)")))</f>
        <v>0</v>
      </c>
      <c r="N115" s="22" t="b">
        <f>AND(((GDR_V)&gt;=6),((GDR_V)&lt;8),OR(('FET Data'!$AG115&lt;&gt;"(Null)"),('FET Data'!$AF115&lt;&gt;"(Null)"),('FET Data'!$AE115&lt;&gt;"(Null)"),('FET Data'!$AD115&lt;&gt;"(Null)"),('FET Data'!$AC115&lt;&gt;"(Null)")))</f>
        <v>0</v>
      </c>
      <c r="O115" s="22" t="b">
        <f>AND(((GDR_V)&gt;=8),((GDR_V)&lt;10),OR(('FET Data'!$AH115&lt;&gt;"(Null)"),('FET Data'!$AG115&lt;&gt;"(Null)"),('FET Data'!$AF115&lt;&gt;"(Null)"),('FET Data'!$AE115&lt;&gt;"(Null)"),('FET Data'!$AD115&lt;&gt;"(Null)"),('FET Data'!$AC115&lt;&gt;"(Null)")))</f>
        <v>0</v>
      </c>
      <c r="P115" s="22" t="b">
        <f>AND(((GDR_V)&gt;=10),OR(('FET Data'!$AI115&lt;&gt;"(Null)"),('FET Data'!$AH115&lt;&gt;"(Null)"),('FET Data'!$AG115&lt;&gt;"(Null)"),('FET Data'!$AF115&lt;&gt;"(Null)"),('FET Data'!$AE115&lt;&gt;"(Null)"),('FET Data'!$AD115&lt;&gt;"(Null)"),('FET Data'!$AC115&lt;&gt;"(Null)")))</f>
        <v>1</v>
      </c>
      <c r="Q115" s="22" t="b">
        <f t="shared" si="8"/>
        <v>1</v>
      </c>
      <c r="R115" s="22" t="b">
        <f t="shared" si="9"/>
        <v>0</v>
      </c>
    </row>
    <row r="116" spans="1:18" x14ac:dyDescent="0.25">
      <c r="A116" s="22" t="str">
        <f>IF(R116,Discrete_NFET[[#This Row],[PARTNUMBER]],"")</f>
        <v/>
      </c>
      <c r="B116"/>
      <c r="C116" s="22" t="b">
        <f>AND((Discrete_NFET[[#This Row],[VDSMAX]]&gt;=VDC_AVG*1.25),(Discrete_NFET[[#This Row],[VGSMAX]]&gt;=GDR_V*1.2))</f>
        <v>1</v>
      </c>
      <c r="D116" s="22" t="b">
        <f>AND(VDC_AVG&lt;=25,Discrete_NFET[[#This Row],[VDSMAX]]&lt;=30)</f>
        <v>0</v>
      </c>
      <c r="E116" s="22" t="b">
        <f>AND(VDC_AVG&lt;=33,VDC_AVG&gt;=12,Discrete_NFET[[#This Row],[VDSMAX]]=40)</f>
        <v>0</v>
      </c>
      <c r="F116" s="22" t="b">
        <f>AND(VDC_AVG&lt;=50,VDC_AVG&gt;=18,Discrete_NFET[[#This Row],[VDSMAX]]=60)</f>
        <v>0</v>
      </c>
      <c r="G116" s="22" t="b">
        <f>AND(VDC_AVG&lt;=66,VDC_AVG&gt;=24,Discrete_NFET[[#This Row],[VDSMAX]]=80)</f>
        <v>0</v>
      </c>
      <c r="H116" s="22" t="b">
        <f>AND(VDC_AVG&lt;=83,VDC_AVG&gt;=36,Discrete_NFET[[#This Row],[VDSMAX]]=100)</f>
        <v>0</v>
      </c>
      <c r="I116" s="22" t="b">
        <f t="shared" si="7"/>
        <v>0</v>
      </c>
      <c r="J116" s="22" t="b">
        <f>AND(((GDR_V)&lt;2.5),('FET Data'!$AC116&lt;&gt;"(Null)"))</f>
        <v>0</v>
      </c>
      <c r="K116" s="22" t="b">
        <f>AND(((GDR_V)&gt;=2.5),((GDR_V)&lt;3),OR(('FET Data'!$AD116&lt;&gt;"(Null)"),('FET Data'!$AC116&lt;&gt;"(Null)")))</f>
        <v>0</v>
      </c>
      <c r="L116" s="22" t="b">
        <f>AND(((GDR_V)&gt;=3),((GDR_V)&lt;4.5),OR(('FET Data'!$AE116&lt;&gt;"(Null)"),('FET Data'!$AD116&lt;&gt;"(Null)"),('FET Data'!$AC116&lt;&gt;"(Null)")))</f>
        <v>0</v>
      </c>
      <c r="M116" s="22" t="b">
        <f>AND(((GDR_V)&gt;=4.5),((GDR_V)&lt;6),OR(('FET Data'!$AF116&lt;&gt;"(Null)"),('FET Data'!$AE116&lt;&gt;"(Null)"),('FET Data'!$AD116&lt;&gt;"(Null)"),('FET Data'!$AC116&lt;&gt;"(Null)")))</f>
        <v>0</v>
      </c>
      <c r="N116" s="22" t="b">
        <f>AND(((GDR_V)&gt;=6),((GDR_V)&lt;8),OR(('FET Data'!$AG116&lt;&gt;"(Null)"),('FET Data'!$AF116&lt;&gt;"(Null)"),('FET Data'!$AE116&lt;&gt;"(Null)"),('FET Data'!$AD116&lt;&gt;"(Null)"),('FET Data'!$AC116&lt;&gt;"(Null)")))</f>
        <v>0</v>
      </c>
      <c r="O116" s="22" t="b">
        <f>AND(((GDR_V)&gt;=8),((GDR_V)&lt;10),OR(('FET Data'!$AH116&lt;&gt;"(Null)"),('FET Data'!$AG116&lt;&gt;"(Null)"),('FET Data'!$AF116&lt;&gt;"(Null)"),('FET Data'!$AE116&lt;&gt;"(Null)"),('FET Data'!$AD116&lt;&gt;"(Null)"),('FET Data'!$AC116&lt;&gt;"(Null)")))</f>
        <v>0</v>
      </c>
      <c r="P116" s="22" t="b">
        <f>AND(((GDR_V)&gt;=10),OR(('FET Data'!$AI116&lt;&gt;"(Null)"),('FET Data'!$AH116&lt;&gt;"(Null)"),('FET Data'!$AG116&lt;&gt;"(Null)"),('FET Data'!$AF116&lt;&gt;"(Null)"),('FET Data'!$AE116&lt;&gt;"(Null)"),('FET Data'!$AD116&lt;&gt;"(Null)"),('FET Data'!$AC116&lt;&gt;"(Null)")))</f>
        <v>1</v>
      </c>
      <c r="Q116" s="22" t="b">
        <f t="shared" si="8"/>
        <v>1</v>
      </c>
      <c r="R116" s="22" t="b">
        <f t="shared" si="9"/>
        <v>0</v>
      </c>
    </row>
    <row r="117" spans="1:18" x14ac:dyDescent="0.25">
      <c r="A117" s="22" t="str">
        <f>IF(R117,Discrete_NFET[[#This Row],[PARTNUMBER]],"")</f>
        <v/>
      </c>
      <c r="B117"/>
      <c r="C117" s="22" t="b">
        <f>AND((Discrete_NFET[[#This Row],[VDSMAX]]&gt;=VDC_AVG*1.25),(Discrete_NFET[[#This Row],[VGSMAX]]&gt;=GDR_V*1.2))</f>
        <v>1</v>
      </c>
      <c r="D117" s="22" t="b">
        <f>AND(VDC_AVG&lt;=25,Discrete_NFET[[#This Row],[VDSMAX]]&lt;=30)</f>
        <v>0</v>
      </c>
      <c r="E117" s="22" t="b">
        <f>AND(VDC_AVG&lt;=33,VDC_AVG&gt;=12,Discrete_NFET[[#This Row],[VDSMAX]]=40)</f>
        <v>0</v>
      </c>
      <c r="F117" s="22" t="b">
        <f>AND(VDC_AVG&lt;=50,VDC_AVG&gt;=18,Discrete_NFET[[#This Row],[VDSMAX]]=60)</f>
        <v>0</v>
      </c>
      <c r="G117" s="22" t="b">
        <f>AND(VDC_AVG&lt;=66,VDC_AVG&gt;=24,Discrete_NFET[[#This Row],[VDSMAX]]=80)</f>
        <v>0</v>
      </c>
      <c r="H117" s="22" t="b">
        <f>AND(VDC_AVG&lt;=83,VDC_AVG&gt;=36,Discrete_NFET[[#This Row],[VDSMAX]]=100)</f>
        <v>0</v>
      </c>
      <c r="I117" s="22" t="b">
        <f t="shared" si="7"/>
        <v>0</v>
      </c>
      <c r="J117" s="22" t="b">
        <f>AND(((GDR_V)&lt;2.5),('FET Data'!$AC117&lt;&gt;"(Null)"))</f>
        <v>0</v>
      </c>
      <c r="K117" s="22" t="b">
        <f>AND(((GDR_V)&gt;=2.5),((GDR_V)&lt;3),OR(('FET Data'!$AD117&lt;&gt;"(Null)"),('FET Data'!$AC117&lt;&gt;"(Null)")))</f>
        <v>0</v>
      </c>
      <c r="L117" s="22" t="b">
        <f>AND(((GDR_V)&gt;=3),((GDR_V)&lt;4.5),OR(('FET Data'!$AE117&lt;&gt;"(Null)"),('FET Data'!$AD117&lt;&gt;"(Null)"),('FET Data'!$AC117&lt;&gt;"(Null)")))</f>
        <v>0</v>
      </c>
      <c r="M117" s="22" t="b">
        <f>AND(((GDR_V)&gt;=4.5),((GDR_V)&lt;6),OR(('FET Data'!$AF117&lt;&gt;"(Null)"),('FET Data'!$AE117&lt;&gt;"(Null)"),('FET Data'!$AD117&lt;&gt;"(Null)"),('FET Data'!$AC117&lt;&gt;"(Null)")))</f>
        <v>0</v>
      </c>
      <c r="N117" s="22" t="b">
        <f>AND(((GDR_V)&gt;=6),((GDR_V)&lt;8),OR(('FET Data'!$AG117&lt;&gt;"(Null)"),('FET Data'!$AF117&lt;&gt;"(Null)"),('FET Data'!$AE117&lt;&gt;"(Null)"),('FET Data'!$AD117&lt;&gt;"(Null)"),('FET Data'!$AC117&lt;&gt;"(Null)")))</f>
        <v>0</v>
      </c>
      <c r="O117" s="22" t="b">
        <f>AND(((GDR_V)&gt;=8),((GDR_V)&lt;10),OR(('FET Data'!$AH117&lt;&gt;"(Null)"),('FET Data'!$AG117&lt;&gt;"(Null)"),('FET Data'!$AF117&lt;&gt;"(Null)"),('FET Data'!$AE117&lt;&gt;"(Null)"),('FET Data'!$AD117&lt;&gt;"(Null)"),('FET Data'!$AC117&lt;&gt;"(Null)")))</f>
        <v>0</v>
      </c>
      <c r="P117" s="22" t="b">
        <f>AND(((GDR_V)&gt;=10),OR(('FET Data'!$AI117&lt;&gt;"(Null)"),('FET Data'!$AH117&lt;&gt;"(Null)"),('FET Data'!$AG117&lt;&gt;"(Null)"),('FET Data'!$AF117&lt;&gt;"(Null)"),('FET Data'!$AE117&lt;&gt;"(Null)"),('FET Data'!$AD117&lt;&gt;"(Null)"),('FET Data'!$AC117&lt;&gt;"(Null)")))</f>
        <v>1</v>
      </c>
      <c r="Q117" s="22" t="b">
        <f t="shared" si="8"/>
        <v>1</v>
      </c>
      <c r="R117" s="22" t="b">
        <f t="shared" si="9"/>
        <v>0</v>
      </c>
    </row>
    <row r="118" spans="1:18" x14ac:dyDescent="0.25">
      <c r="A118" s="22" t="str">
        <f>IF(R118,Discrete_NFET[[#This Row],[PARTNUMBER]],"")</f>
        <v/>
      </c>
      <c r="B118"/>
      <c r="C118" s="22" t="b">
        <f>AND((Discrete_NFET[[#This Row],[VDSMAX]]&gt;=VDC_AVG*1.25),(Discrete_NFET[[#This Row],[VGSMAX]]&gt;=GDR_V*1.2))</f>
        <v>1</v>
      </c>
      <c r="D118" s="22" t="b">
        <f>AND(VDC_AVG&lt;=25,Discrete_NFET[[#This Row],[VDSMAX]]&lt;=30)</f>
        <v>0</v>
      </c>
      <c r="E118" s="22" t="b">
        <f>AND(VDC_AVG&lt;=33,VDC_AVG&gt;=12,Discrete_NFET[[#This Row],[VDSMAX]]=40)</f>
        <v>0</v>
      </c>
      <c r="F118" s="22" t="b">
        <f>AND(VDC_AVG&lt;=50,VDC_AVG&gt;=18,Discrete_NFET[[#This Row],[VDSMAX]]=60)</f>
        <v>0</v>
      </c>
      <c r="G118" s="22" t="b">
        <f>AND(VDC_AVG&lt;=66,VDC_AVG&gt;=24,Discrete_NFET[[#This Row],[VDSMAX]]=80)</f>
        <v>0</v>
      </c>
      <c r="H118" s="22" t="b">
        <f>AND(VDC_AVG&lt;=83,VDC_AVG&gt;=36,Discrete_NFET[[#This Row],[VDSMAX]]=100)</f>
        <v>0</v>
      </c>
      <c r="I118" s="22" t="b">
        <f t="shared" si="7"/>
        <v>0</v>
      </c>
      <c r="J118" s="22" t="b">
        <f>AND(((GDR_V)&lt;2.5),('FET Data'!$AC118&lt;&gt;"(Null)"))</f>
        <v>0</v>
      </c>
      <c r="K118" s="22" t="b">
        <f>AND(((GDR_V)&gt;=2.5),((GDR_V)&lt;3),OR(('FET Data'!$AD118&lt;&gt;"(Null)"),('FET Data'!$AC118&lt;&gt;"(Null)")))</f>
        <v>0</v>
      </c>
      <c r="L118" s="22" t="b">
        <f>AND(((GDR_V)&gt;=3),((GDR_V)&lt;4.5),OR(('FET Data'!$AE118&lt;&gt;"(Null)"),('FET Data'!$AD118&lt;&gt;"(Null)"),('FET Data'!$AC118&lt;&gt;"(Null)")))</f>
        <v>0</v>
      </c>
      <c r="M118" s="22" t="b">
        <f>AND(((GDR_V)&gt;=4.5),((GDR_V)&lt;6),OR(('FET Data'!$AF118&lt;&gt;"(Null)"),('FET Data'!$AE118&lt;&gt;"(Null)"),('FET Data'!$AD118&lt;&gt;"(Null)"),('FET Data'!$AC118&lt;&gt;"(Null)")))</f>
        <v>0</v>
      </c>
      <c r="N118" s="22" t="b">
        <f>AND(((GDR_V)&gt;=6),((GDR_V)&lt;8),OR(('FET Data'!$AG118&lt;&gt;"(Null)"),('FET Data'!$AF118&lt;&gt;"(Null)"),('FET Data'!$AE118&lt;&gt;"(Null)"),('FET Data'!$AD118&lt;&gt;"(Null)"),('FET Data'!$AC118&lt;&gt;"(Null)")))</f>
        <v>0</v>
      </c>
      <c r="O118" s="22" t="b">
        <f>AND(((GDR_V)&gt;=8),((GDR_V)&lt;10),OR(('FET Data'!$AH118&lt;&gt;"(Null)"),('FET Data'!$AG118&lt;&gt;"(Null)"),('FET Data'!$AF118&lt;&gt;"(Null)"),('FET Data'!$AE118&lt;&gt;"(Null)"),('FET Data'!$AD118&lt;&gt;"(Null)"),('FET Data'!$AC118&lt;&gt;"(Null)")))</f>
        <v>0</v>
      </c>
      <c r="P118" s="22" t="b">
        <f>AND(((GDR_V)&gt;=10),OR(('FET Data'!$AI118&lt;&gt;"(Null)"),('FET Data'!$AH118&lt;&gt;"(Null)"),('FET Data'!$AG118&lt;&gt;"(Null)"),('FET Data'!$AF118&lt;&gt;"(Null)"),('FET Data'!$AE118&lt;&gt;"(Null)"),('FET Data'!$AD118&lt;&gt;"(Null)"),('FET Data'!$AC118&lt;&gt;"(Null)")))</f>
        <v>1</v>
      </c>
      <c r="Q118" s="22" t="b">
        <f t="shared" si="8"/>
        <v>1</v>
      </c>
      <c r="R118" s="22" t="b">
        <f t="shared" si="9"/>
        <v>0</v>
      </c>
    </row>
    <row r="119" spans="1:18" x14ac:dyDescent="0.25">
      <c r="A119" s="22" t="str">
        <f>IF(R119,Discrete_NFET[[#This Row],[PARTNUMBER]],"")</f>
        <v/>
      </c>
      <c r="B119"/>
      <c r="C119" s="22" t="b">
        <f>AND((Discrete_NFET[[#This Row],[VDSMAX]]&gt;=VDC_AVG*1.25),(Discrete_NFET[[#This Row],[VGSMAX]]&gt;=GDR_V*1.2))</f>
        <v>1</v>
      </c>
      <c r="D119" s="22" t="b">
        <f>AND(VDC_AVG&lt;=25,Discrete_NFET[[#This Row],[VDSMAX]]&lt;=30)</f>
        <v>0</v>
      </c>
      <c r="E119" s="22" t="b">
        <f>AND(VDC_AVG&lt;=33,VDC_AVG&gt;=12,Discrete_NFET[[#This Row],[VDSMAX]]=40)</f>
        <v>0</v>
      </c>
      <c r="F119" s="22" t="b">
        <f>AND(VDC_AVG&lt;=50,VDC_AVG&gt;=18,Discrete_NFET[[#This Row],[VDSMAX]]=60)</f>
        <v>0</v>
      </c>
      <c r="G119" s="22" t="b">
        <f>AND(VDC_AVG&lt;=66,VDC_AVG&gt;=24,Discrete_NFET[[#This Row],[VDSMAX]]=80)</f>
        <v>0</v>
      </c>
      <c r="H119" s="22" t="b">
        <f>AND(VDC_AVG&lt;=83,VDC_AVG&gt;=36,Discrete_NFET[[#This Row],[VDSMAX]]=100)</f>
        <v>0</v>
      </c>
      <c r="I119" s="22" t="b">
        <f t="shared" si="7"/>
        <v>0</v>
      </c>
      <c r="J119" s="22" t="b">
        <f>AND(((GDR_V)&lt;2.5),('FET Data'!$AC119&lt;&gt;"(Null)"))</f>
        <v>0</v>
      </c>
      <c r="K119" s="22" t="b">
        <f>AND(((GDR_V)&gt;=2.5),((GDR_V)&lt;3),OR(('FET Data'!$AD119&lt;&gt;"(Null)"),('FET Data'!$AC119&lt;&gt;"(Null)")))</f>
        <v>0</v>
      </c>
      <c r="L119" s="22" t="b">
        <f>AND(((GDR_V)&gt;=3),((GDR_V)&lt;4.5),OR(('FET Data'!$AE119&lt;&gt;"(Null)"),('FET Data'!$AD119&lt;&gt;"(Null)"),('FET Data'!$AC119&lt;&gt;"(Null)")))</f>
        <v>0</v>
      </c>
      <c r="M119" s="22" t="b">
        <f>AND(((GDR_V)&gt;=4.5),((GDR_V)&lt;6),OR(('FET Data'!$AF119&lt;&gt;"(Null)"),('FET Data'!$AE119&lt;&gt;"(Null)"),('FET Data'!$AD119&lt;&gt;"(Null)"),('FET Data'!$AC119&lt;&gt;"(Null)")))</f>
        <v>0</v>
      </c>
      <c r="N119" s="22" t="b">
        <f>AND(((GDR_V)&gt;=6),((GDR_V)&lt;8),OR(('FET Data'!$AG119&lt;&gt;"(Null)"),('FET Data'!$AF119&lt;&gt;"(Null)"),('FET Data'!$AE119&lt;&gt;"(Null)"),('FET Data'!$AD119&lt;&gt;"(Null)"),('FET Data'!$AC119&lt;&gt;"(Null)")))</f>
        <v>0</v>
      </c>
      <c r="O119" s="22" t="b">
        <f>AND(((GDR_V)&gt;=8),((GDR_V)&lt;10),OR(('FET Data'!$AH119&lt;&gt;"(Null)"),('FET Data'!$AG119&lt;&gt;"(Null)"),('FET Data'!$AF119&lt;&gt;"(Null)"),('FET Data'!$AE119&lt;&gt;"(Null)"),('FET Data'!$AD119&lt;&gt;"(Null)"),('FET Data'!$AC119&lt;&gt;"(Null)")))</f>
        <v>0</v>
      </c>
      <c r="P119" s="22" t="b">
        <f>AND(((GDR_V)&gt;=10),OR(('FET Data'!$AI119&lt;&gt;"(Null)"),('FET Data'!$AH119&lt;&gt;"(Null)"),('FET Data'!$AG119&lt;&gt;"(Null)"),('FET Data'!$AF119&lt;&gt;"(Null)"),('FET Data'!$AE119&lt;&gt;"(Null)"),('FET Data'!$AD119&lt;&gt;"(Null)"),('FET Data'!$AC119&lt;&gt;"(Null)")))</f>
        <v>1</v>
      </c>
      <c r="Q119" s="22" t="b">
        <f t="shared" si="8"/>
        <v>1</v>
      </c>
      <c r="R119" s="22" t="b">
        <f t="shared" si="9"/>
        <v>0</v>
      </c>
    </row>
    <row r="120" spans="1:18" x14ac:dyDescent="0.25">
      <c r="A120" s="22" t="str">
        <f>IF(R120,Discrete_NFET[[#This Row],[PARTNUMBER]],"")</f>
        <v/>
      </c>
      <c r="B120"/>
      <c r="C120" s="22" t="b">
        <f>AND((Discrete_NFET[[#This Row],[VDSMAX]]&gt;=VDC_AVG*1.25),(Discrete_NFET[[#This Row],[VGSMAX]]&gt;=GDR_V*1.2))</f>
        <v>1</v>
      </c>
      <c r="D120" s="22" t="b">
        <f>AND(VDC_AVG&lt;=25,Discrete_NFET[[#This Row],[VDSMAX]]&lt;=30)</f>
        <v>0</v>
      </c>
      <c r="E120" s="22" t="b">
        <f>AND(VDC_AVG&lt;=33,VDC_AVG&gt;=12,Discrete_NFET[[#This Row],[VDSMAX]]=40)</f>
        <v>0</v>
      </c>
      <c r="F120" s="22" t="b">
        <f>AND(VDC_AVG&lt;=50,VDC_AVG&gt;=18,Discrete_NFET[[#This Row],[VDSMAX]]=60)</f>
        <v>0</v>
      </c>
      <c r="G120" s="22" t="b">
        <f>AND(VDC_AVG&lt;=66,VDC_AVG&gt;=24,Discrete_NFET[[#This Row],[VDSMAX]]=80)</f>
        <v>0</v>
      </c>
      <c r="H120" s="22" t="b">
        <f>AND(VDC_AVG&lt;=83,VDC_AVG&gt;=36,Discrete_NFET[[#This Row],[VDSMAX]]=100)</f>
        <v>0</v>
      </c>
      <c r="I120" s="22" t="b">
        <f t="shared" si="7"/>
        <v>0</v>
      </c>
      <c r="J120" s="22" t="b">
        <f>AND(((GDR_V)&lt;2.5),('FET Data'!$AC120&lt;&gt;"(Null)"))</f>
        <v>0</v>
      </c>
      <c r="K120" s="22" t="b">
        <f>AND(((GDR_V)&gt;=2.5),((GDR_V)&lt;3),OR(('FET Data'!$AD120&lt;&gt;"(Null)"),('FET Data'!$AC120&lt;&gt;"(Null)")))</f>
        <v>0</v>
      </c>
      <c r="L120" s="22" t="b">
        <f>AND(((GDR_V)&gt;=3),((GDR_V)&lt;4.5),OR(('FET Data'!$AE120&lt;&gt;"(Null)"),('FET Data'!$AD120&lt;&gt;"(Null)"),('FET Data'!$AC120&lt;&gt;"(Null)")))</f>
        <v>0</v>
      </c>
      <c r="M120" s="22" t="b">
        <f>AND(((GDR_V)&gt;=4.5),((GDR_V)&lt;6),OR(('FET Data'!$AF120&lt;&gt;"(Null)"),('FET Data'!$AE120&lt;&gt;"(Null)"),('FET Data'!$AD120&lt;&gt;"(Null)"),('FET Data'!$AC120&lt;&gt;"(Null)")))</f>
        <v>0</v>
      </c>
      <c r="N120" s="22" t="b">
        <f>AND(((GDR_V)&gt;=6),((GDR_V)&lt;8),OR(('FET Data'!$AG120&lt;&gt;"(Null)"),('FET Data'!$AF120&lt;&gt;"(Null)"),('FET Data'!$AE120&lt;&gt;"(Null)"),('FET Data'!$AD120&lt;&gt;"(Null)"),('FET Data'!$AC120&lt;&gt;"(Null)")))</f>
        <v>0</v>
      </c>
      <c r="O120" s="22" t="b">
        <f>AND(((GDR_V)&gt;=8),((GDR_V)&lt;10),OR(('FET Data'!$AH120&lt;&gt;"(Null)"),('FET Data'!$AG120&lt;&gt;"(Null)"),('FET Data'!$AF120&lt;&gt;"(Null)"),('FET Data'!$AE120&lt;&gt;"(Null)"),('FET Data'!$AD120&lt;&gt;"(Null)"),('FET Data'!$AC120&lt;&gt;"(Null)")))</f>
        <v>0</v>
      </c>
      <c r="P120" s="22" t="b">
        <f>AND(((GDR_V)&gt;=10),OR(('FET Data'!$AI120&lt;&gt;"(Null)"),('FET Data'!$AH120&lt;&gt;"(Null)"),('FET Data'!$AG120&lt;&gt;"(Null)"),('FET Data'!$AF120&lt;&gt;"(Null)"),('FET Data'!$AE120&lt;&gt;"(Null)"),('FET Data'!$AD120&lt;&gt;"(Null)"),('FET Data'!$AC120&lt;&gt;"(Null)")))</f>
        <v>1</v>
      </c>
      <c r="Q120" s="22" t="b">
        <f t="shared" si="8"/>
        <v>1</v>
      </c>
      <c r="R120" s="22" t="b">
        <f t="shared" si="9"/>
        <v>0</v>
      </c>
    </row>
    <row r="121" spans="1:18" x14ac:dyDescent="0.25">
      <c r="A121" s="22" t="str">
        <f>IF(R121,Discrete_NFET[[#This Row],[PARTNUMBER]],"")</f>
        <v/>
      </c>
      <c r="B121"/>
      <c r="C121" s="22" t="b">
        <f>AND((Discrete_NFET[[#This Row],[VDSMAX]]&gt;=VDC_AVG*1.25),(Discrete_NFET[[#This Row],[VGSMAX]]&gt;=GDR_V*1.2))</f>
        <v>1</v>
      </c>
      <c r="D121" s="22" t="b">
        <f>AND(VDC_AVG&lt;=25,Discrete_NFET[[#This Row],[VDSMAX]]&lt;=30)</f>
        <v>0</v>
      </c>
      <c r="E121" s="22" t="b">
        <f>AND(VDC_AVG&lt;=33,VDC_AVG&gt;=12,Discrete_NFET[[#This Row],[VDSMAX]]=40)</f>
        <v>0</v>
      </c>
      <c r="F121" s="22" t="b">
        <f>AND(VDC_AVG&lt;=50,VDC_AVG&gt;=18,Discrete_NFET[[#This Row],[VDSMAX]]=60)</f>
        <v>0</v>
      </c>
      <c r="G121" s="22" t="b">
        <f>AND(VDC_AVG&lt;=66,VDC_AVG&gt;=24,Discrete_NFET[[#This Row],[VDSMAX]]=80)</f>
        <v>0</v>
      </c>
      <c r="H121" s="22" t="b">
        <f>AND(VDC_AVG&lt;=83,VDC_AVG&gt;=36,Discrete_NFET[[#This Row],[VDSMAX]]=100)</f>
        <v>0</v>
      </c>
      <c r="I121" s="22" t="b">
        <f t="shared" si="7"/>
        <v>0</v>
      </c>
      <c r="J121" s="22" t="b">
        <f>AND(((GDR_V)&lt;2.5),('FET Data'!$AC121&lt;&gt;"(Null)"))</f>
        <v>0</v>
      </c>
      <c r="K121" s="22" t="b">
        <f>AND(((GDR_V)&gt;=2.5),((GDR_V)&lt;3),OR(('FET Data'!$AD121&lt;&gt;"(Null)"),('FET Data'!$AC121&lt;&gt;"(Null)")))</f>
        <v>0</v>
      </c>
      <c r="L121" s="22" t="b">
        <f>AND(((GDR_V)&gt;=3),((GDR_V)&lt;4.5),OR(('FET Data'!$AE121&lt;&gt;"(Null)"),('FET Data'!$AD121&lt;&gt;"(Null)"),('FET Data'!$AC121&lt;&gt;"(Null)")))</f>
        <v>0</v>
      </c>
      <c r="M121" s="22" t="b">
        <f>AND(((GDR_V)&gt;=4.5),((GDR_V)&lt;6),OR(('FET Data'!$AF121&lt;&gt;"(Null)"),('FET Data'!$AE121&lt;&gt;"(Null)"),('FET Data'!$AD121&lt;&gt;"(Null)"),('FET Data'!$AC121&lt;&gt;"(Null)")))</f>
        <v>0</v>
      </c>
      <c r="N121" s="22" t="b">
        <f>AND(((GDR_V)&gt;=6),((GDR_V)&lt;8),OR(('FET Data'!$AG121&lt;&gt;"(Null)"),('FET Data'!$AF121&lt;&gt;"(Null)"),('FET Data'!$AE121&lt;&gt;"(Null)"),('FET Data'!$AD121&lt;&gt;"(Null)"),('FET Data'!$AC121&lt;&gt;"(Null)")))</f>
        <v>0</v>
      </c>
      <c r="O121" s="22" t="b">
        <f>AND(((GDR_V)&gt;=8),((GDR_V)&lt;10),OR(('FET Data'!$AH121&lt;&gt;"(Null)"),('FET Data'!$AG121&lt;&gt;"(Null)"),('FET Data'!$AF121&lt;&gt;"(Null)"),('FET Data'!$AE121&lt;&gt;"(Null)"),('FET Data'!$AD121&lt;&gt;"(Null)"),('FET Data'!$AC121&lt;&gt;"(Null)")))</f>
        <v>0</v>
      </c>
      <c r="P121" s="22" t="b">
        <f>AND(((GDR_V)&gt;=10),OR(('FET Data'!$AI121&lt;&gt;"(Null)"),('FET Data'!$AH121&lt;&gt;"(Null)"),('FET Data'!$AG121&lt;&gt;"(Null)"),('FET Data'!$AF121&lt;&gt;"(Null)"),('FET Data'!$AE121&lt;&gt;"(Null)"),('FET Data'!$AD121&lt;&gt;"(Null)"),('FET Data'!$AC121&lt;&gt;"(Null)")))</f>
        <v>1</v>
      </c>
      <c r="Q121" s="22" t="b">
        <f t="shared" si="8"/>
        <v>1</v>
      </c>
      <c r="R121" s="22" t="b">
        <f t="shared" si="9"/>
        <v>0</v>
      </c>
    </row>
    <row r="122" spans="1:18" x14ac:dyDescent="0.25">
      <c r="A122" s="22" t="str">
        <f>IF(R122,Discrete_NFET[[#This Row],[PARTNUMBER]],"")</f>
        <v/>
      </c>
      <c r="B122"/>
      <c r="C122" s="22" t="b">
        <f>AND((Discrete_NFET[[#This Row],[VDSMAX]]&gt;=VDC_AVG*1.25),(Discrete_NFET[[#This Row],[VGSMAX]]&gt;=GDR_V*1.2))</f>
        <v>1</v>
      </c>
      <c r="D122" s="22" t="b">
        <f>AND(VDC_AVG&lt;=25,Discrete_NFET[[#This Row],[VDSMAX]]&lt;=30)</f>
        <v>0</v>
      </c>
      <c r="E122" s="22" t="b">
        <f>AND(VDC_AVG&lt;=33,VDC_AVG&gt;=12,Discrete_NFET[[#This Row],[VDSMAX]]=40)</f>
        <v>0</v>
      </c>
      <c r="F122" s="22" t="b">
        <f>AND(VDC_AVG&lt;=50,VDC_AVG&gt;=18,Discrete_NFET[[#This Row],[VDSMAX]]=60)</f>
        <v>0</v>
      </c>
      <c r="G122" s="22" t="b">
        <f>AND(VDC_AVG&lt;=66,VDC_AVG&gt;=24,Discrete_NFET[[#This Row],[VDSMAX]]=80)</f>
        <v>0</v>
      </c>
      <c r="H122" s="22" t="b">
        <f>AND(VDC_AVG&lt;=83,VDC_AVG&gt;=36,Discrete_NFET[[#This Row],[VDSMAX]]=100)</f>
        <v>0</v>
      </c>
      <c r="I122" s="22" t="b">
        <f t="shared" si="7"/>
        <v>0</v>
      </c>
      <c r="J122" s="22" t="b">
        <f>AND(((GDR_V)&lt;2.5),('FET Data'!$AC122&lt;&gt;"(Null)"))</f>
        <v>0</v>
      </c>
      <c r="K122" s="22" t="b">
        <f>AND(((GDR_V)&gt;=2.5),((GDR_V)&lt;3),OR(('FET Data'!$AD122&lt;&gt;"(Null)"),('FET Data'!$AC122&lt;&gt;"(Null)")))</f>
        <v>0</v>
      </c>
      <c r="L122" s="22" t="b">
        <f>AND(((GDR_V)&gt;=3),((GDR_V)&lt;4.5),OR(('FET Data'!$AE122&lt;&gt;"(Null)"),('FET Data'!$AD122&lt;&gt;"(Null)"),('FET Data'!$AC122&lt;&gt;"(Null)")))</f>
        <v>0</v>
      </c>
      <c r="M122" s="22" t="b">
        <f>AND(((GDR_V)&gt;=4.5),((GDR_V)&lt;6),OR(('FET Data'!$AF122&lt;&gt;"(Null)"),('FET Data'!$AE122&lt;&gt;"(Null)"),('FET Data'!$AD122&lt;&gt;"(Null)"),('FET Data'!$AC122&lt;&gt;"(Null)")))</f>
        <v>0</v>
      </c>
      <c r="N122" s="22" t="b">
        <f>AND(((GDR_V)&gt;=6),((GDR_V)&lt;8),OR(('FET Data'!$AG122&lt;&gt;"(Null)"),('FET Data'!$AF122&lt;&gt;"(Null)"),('FET Data'!$AE122&lt;&gt;"(Null)"),('FET Data'!$AD122&lt;&gt;"(Null)"),('FET Data'!$AC122&lt;&gt;"(Null)")))</f>
        <v>0</v>
      </c>
      <c r="O122" s="22" t="b">
        <f>AND(((GDR_V)&gt;=8),((GDR_V)&lt;10),OR(('FET Data'!$AH122&lt;&gt;"(Null)"),('FET Data'!$AG122&lt;&gt;"(Null)"),('FET Data'!$AF122&lt;&gt;"(Null)"),('FET Data'!$AE122&lt;&gt;"(Null)"),('FET Data'!$AD122&lt;&gt;"(Null)"),('FET Data'!$AC122&lt;&gt;"(Null)")))</f>
        <v>0</v>
      </c>
      <c r="P122" s="22" t="b">
        <f>AND(((GDR_V)&gt;=10),OR(('FET Data'!$AI122&lt;&gt;"(Null)"),('FET Data'!$AH122&lt;&gt;"(Null)"),('FET Data'!$AG122&lt;&gt;"(Null)"),('FET Data'!$AF122&lt;&gt;"(Null)"),('FET Data'!$AE122&lt;&gt;"(Null)"),('FET Data'!$AD122&lt;&gt;"(Null)"),('FET Data'!$AC122&lt;&gt;"(Null)")))</f>
        <v>1</v>
      </c>
      <c r="Q122" s="22" t="b">
        <f t="shared" si="8"/>
        <v>1</v>
      </c>
      <c r="R122" s="22" t="b">
        <f t="shared" si="9"/>
        <v>0</v>
      </c>
    </row>
    <row r="123" spans="1:18" x14ac:dyDescent="0.25">
      <c r="A123" s="22" t="str">
        <f>IF(R123,Discrete_NFET[[#This Row],[PARTNUMBER]],"")</f>
        <v/>
      </c>
      <c r="B123"/>
      <c r="C123" s="22" t="b">
        <f>AND((Discrete_NFET[[#This Row],[VDSMAX]]&gt;=VDC_AVG*1.25),(Discrete_NFET[[#This Row],[VGSMAX]]&gt;=GDR_V*1.2))</f>
        <v>1</v>
      </c>
      <c r="D123" s="22" t="b">
        <f>AND(VDC_AVG&lt;=25,Discrete_NFET[[#This Row],[VDSMAX]]&lt;=30)</f>
        <v>0</v>
      </c>
      <c r="E123" s="22" t="b">
        <f>AND(VDC_AVG&lt;=33,VDC_AVG&gt;=12,Discrete_NFET[[#This Row],[VDSMAX]]=40)</f>
        <v>0</v>
      </c>
      <c r="F123" s="22" t="b">
        <f>AND(VDC_AVG&lt;=50,VDC_AVG&gt;=18,Discrete_NFET[[#This Row],[VDSMAX]]=60)</f>
        <v>0</v>
      </c>
      <c r="G123" s="22" t="b">
        <f>AND(VDC_AVG&lt;=66,VDC_AVG&gt;=24,Discrete_NFET[[#This Row],[VDSMAX]]=80)</f>
        <v>0</v>
      </c>
      <c r="H123" s="22" t="b">
        <f>AND(VDC_AVG&lt;=83,VDC_AVG&gt;=36,Discrete_NFET[[#This Row],[VDSMAX]]=100)</f>
        <v>0</v>
      </c>
      <c r="I123" s="22" t="b">
        <f t="shared" si="7"/>
        <v>0</v>
      </c>
      <c r="J123" s="22" t="b">
        <f>AND(((GDR_V)&lt;2.5),('FET Data'!$AC123&lt;&gt;"(Null)"))</f>
        <v>0</v>
      </c>
      <c r="K123" s="22" t="b">
        <f>AND(((GDR_V)&gt;=2.5),((GDR_V)&lt;3),OR(('FET Data'!$AD123&lt;&gt;"(Null)"),('FET Data'!$AC123&lt;&gt;"(Null)")))</f>
        <v>0</v>
      </c>
      <c r="L123" s="22" t="b">
        <f>AND(((GDR_V)&gt;=3),((GDR_V)&lt;4.5),OR(('FET Data'!$AE123&lt;&gt;"(Null)"),('FET Data'!$AD123&lt;&gt;"(Null)"),('FET Data'!$AC123&lt;&gt;"(Null)")))</f>
        <v>0</v>
      </c>
      <c r="M123" s="22" t="b">
        <f>AND(((GDR_V)&gt;=4.5),((GDR_V)&lt;6),OR(('FET Data'!$AF123&lt;&gt;"(Null)"),('FET Data'!$AE123&lt;&gt;"(Null)"),('FET Data'!$AD123&lt;&gt;"(Null)"),('FET Data'!$AC123&lt;&gt;"(Null)")))</f>
        <v>0</v>
      </c>
      <c r="N123" s="22" t="b">
        <f>AND(((GDR_V)&gt;=6),((GDR_V)&lt;8),OR(('FET Data'!$AG123&lt;&gt;"(Null)"),('FET Data'!$AF123&lt;&gt;"(Null)"),('FET Data'!$AE123&lt;&gt;"(Null)"),('FET Data'!$AD123&lt;&gt;"(Null)"),('FET Data'!$AC123&lt;&gt;"(Null)")))</f>
        <v>0</v>
      </c>
      <c r="O123" s="22" t="b">
        <f>AND(((GDR_V)&gt;=8),((GDR_V)&lt;10),OR(('FET Data'!$AH123&lt;&gt;"(Null)"),('FET Data'!$AG123&lt;&gt;"(Null)"),('FET Data'!$AF123&lt;&gt;"(Null)"),('FET Data'!$AE123&lt;&gt;"(Null)"),('FET Data'!$AD123&lt;&gt;"(Null)"),('FET Data'!$AC123&lt;&gt;"(Null)")))</f>
        <v>0</v>
      </c>
      <c r="P123" s="22" t="b">
        <f>AND(((GDR_V)&gt;=10),OR(('FET Data'!$AI123&lt;&gt;"(Null)"),('FET Data'!$AH123&lt;&gt;"(Null)"),('FET Data'!$AG123&lt;&gt;"(Null)"),('FET Data'!$AF123&lt;&gt;"(Null)"),('FET Data'!$AE123&lt;&gt;"(Null)"),('FET Data'!$AD123&lt;&gt;"(Null)"),('FET Data'!$AC123&lt;&gt;"(Null)")))</f>
        <v>1</v>
      </c>
      <c r="Q123" s="22" t="b">
        <f t="shared" si="8"/>
        <v>1</v>
      </c>
      <c r="R123" s="22" t="b">
        <f t="shared" si="9"/>
        <v>0</v>
      </c>
    </row>
    <row r="124" spans="1:18" x14ac:dyDescent="0.25">
      <c r="A124" s="22" t="str">
        <f>IF(R124,Discrete_NFET[[#This Row],[PARTNUMBER]],"")</f>
        <v/>
      </c>
      <c r="B124"/>
      <c r="C124" s="22" t="b">
        <f>AND((Discrete_NFET[[#This Row],[VDSMAX]]&gt;=VDC_AVG*1.25),(Discrete_NFET[[#This Row],[VGSMAX]]&gt;=GDR_V*1.2))</f>
        <v>1</v>
      </c>
      <c r="D124" s="22" t="b">
        <f>AND(VDC_AVG&lt;=25,Discrete_NFET[[#This Row],[VDSMAX]]&lt;=30)</f>
        <v>0</v>
      </c>
      <c r="E124" s="22" t="b">
        <f>AND(VDC_AVG&lt;=33,VDC_AVG&gt;=12,Discrete_NFET[[#This Row],[VDSMAX]]=40)</f>
        <v>0</v>
      </c>
      <c r="F124" s="22" t="b">
        <f>AND(VDC_AVG&lt;=50,VDC_AVG&gt;=18,Discrete_NFET[[#This Row],[VDSMAX]]=60)</f>
        <v>0</v>
      </c>
      <c r="G124" s="22" t="b">
        <f>AND(VDC_AVG&lt;=66,VDC_AVG&gt;=24,Discrete_NFET[[#This Row],[VDSMAX]]=80)</f>
        <v>0</v>
      </c>
      <c r="H124" s="22" t="b">
        <f>AND(VDC_AVG&lt;=83,VDC_AVG&gt;=36,Discrete_NFET[[#This Row],[VDSMAX]]=100)</f>
        <v>0</v>
      </c>
      <c r="I124" s="22" t="b">
        <f t="shared" si="7"/>
        <v>0</v>
      </c>
      <c r="J124" s="22" t="b">
        <f>AND(((GDR_V)&lt;2.5),('FET Data'!$AC124&lt;&gt;"(Null)"))</f>
        <v>0</v>
      </c>
      <c r="K124" s="22" t="b">
        <f>AND(((GDR_V)&gt;=2.5),((GDR_V)&lt;3),OR(('FET Data'!$AD124&lt;&gt;"(Null)"),('FET Data'!$AC124&lt;&gt;"(Null)")))</f>
        <v>0</v>
      </c>
      <c r="L124" s="22" t="b">
        <f>AND(((GDR_V)&gt;=3),((GDR_V)&lt;4.5),OR(('FET Data'!$AE124&lt;&gt;"(Null)"),('FET Data'!$AD124&lt;&gt;"(Null)"),('FET Data'!$AC124&lt;&gt;"(Null)")))</f>
        <v>0</v>
      </c>
      <c r="M124" s="22" t="b">
        <f>AND(((GDR_V)&gt;=4.5),((GDR_V)&lt;6),OR(('FET Data'!$AF124&lt;&gt;"(Null)"),('FET Data'!$AE124&lt;&gt;"(Null)"),('FET Data'!$AD124&lt;&gt;"(Null)"),('FET Data'!$AC124&lt;&gt;"(Null)")))</f>
        <v>0</v>
      </c>
      <c r="N124" s="22" t="b">
        <f>AND(((GDR_V)&gt;=6),((GDR_V)&lt;8),OR(('FET Data'!$AG124&lt;&gt;"(Null)"),('FET Data'!$AF124&lt;&gt;"(Null)"),('FET Data'!$AE124&lt;&gt;"(Null)"),('FET Data'!$AD124&lt;&gt;"(Null)"),('FET Data'!$AC124&lt;&gt;"(Null)")))</f>
        <v>0</v>
      </c>
      <c r="O124" s="22" t="b">
        <f>AND(((GDR_V)&gt;=8),((GDR_V)&lt;10),OR(('FET Data'!$AH124&lt;&gt;"(Null)"),('FET Data'!$AG124&lt;&gt;"(Null)"),('FET Data'!$AF124&lt;&gt;"(Null)"),('FET Data'!$AE124&lt;&gt;"(Null)"),('FET Data'!$AD124&lt;&gt;"(Null)"),('FET Data'!$AC124&lt;&gt;"(Null)")))</f>
        <v>0</v>
      </c>
      <c r="P124" s="22" t="b">
        <f>AND(((GDR_V)&gt;=10),OR(('FET Data'!$AI124&lt;&gt;"(Null)"),('FET Data'!$AH124&lt;&gt;"(Null)"),('FET Data'!$AG124&lt;&gt;"(Null)"),('FET Data'!$AF124&lt;&gt;"(Null)"),('FET Data'!$AE124&lt;&gt;"(Null)"),('FET Data'!$AD124&lt;&gt;"(Null)"),('FET Data'!$AC124&lt;&gt;"(Null)")))</f>
        <v>1</v>
      </c>
      <c r="Q124" s="22" t="b">
        <f t="shared" si="8"/>
        <v>1</v>
      </c>
      <c r="R124" s="22" t="b">
        <f t="shared" si="9"/>
        <v>0</v>
      </c>
    </row>
    <row r="125" spans="1:18" x14ac:dyDescent="0.25">
      <c r="A125" s="22" t="str">
        <f>IF(R125,Discrete_NFET[[#This Row],[PARTNUMBER]],"")</f>
        <v/>
      </c>
      <c r="B125"/>
      <c r="C125" s="22" t="b">
        <f>AND((Discrete_NFET[[#This Row],[VDSMAX]]&gt;=VDC_AVG*1.25),(Discrete_NFET[[#This Row],[VGSMAX]]&gt;=GDR_V*1.2))</f>
        <v>1</v>
      </c>
      <c r="D125" s="22" t="b">
        <f>AND(VDC_AVG&lt;=25,Discrete_NFET[[#This Row],[VDSMAX]]&lt;=30)</f>
        <v>0</v>
      </c>
      <c r="E125" s="22" t="b">
        <f>AND(VDC_AVG&lt;=33,VDC_AVG&gt;=12,Discrete_NFET[[#This Row],[VDSMAX]]=40)</f>
        <v>0</v>
      </c>
      <c r="F125" s="22" t="b">
        <f>AND(VDC_AVG&lt;=50,VDC_AVG&gt;=18,Discrete_NFET[[#This Row],[VDSMAX]]=60)</f>
        <v>0</v>
      </c>
      <c r="G125" s="22" t="b">
        <f>AND(VDC_AVG&lt;=66,VDC_AVG&gt;=24,Discrete_NFET[[#This Row],[VDSMAX]]=80)</f>
        <v>0</v>
      </c>
      <c r="H125" s="22" t="b">
        <f>AND(VDC_AVG&lt;=83,VDC_AVG&gt;=36,Discrete_NFET[[#This Row],[VDSMAX]]=100)</f>
        <v>0</v>
      </c>
      <c r="I125" s="22" t="b">
        <f t="shared" si="7"/>
        <v>0</v>
      </c>
      <c r="J125" s="22" t="b">
        <f>AND(((GDR_V)&lt;2.5),('FET Data'!$AC125&lt;&gt;"(Null)"))</f>
        <v>0</v>
      </c>
      <c r="K125" s="22" t="b">
        <f>AND(((GDR_V)&gt;=2.5),((GDR_V)&lt;3),OR(('FET Data'!$AD125&lt;&gt;"(Null)"),('FET Data'!$AC125&lt;&gt;"(Null)")))</f>
        <v>0</v>
      </c>
      <c r="L125" s="22" t="b">
        <f>AND(((GDR_V)&gt;=3),((GDR_V)&lt;4.5),OR(('FET Data'!$AE125&lt;&gt;"(Null)"),('FET Data'!$AD125&lt;&gt;"(Null)"),('FET Data'!$AC125&lt;&gt;"(Null)")))</f>
        <v>0</v>
      </c>
      <c r="M125" s="22" t="b">
        <f>AND(((GDR_V)&gt;=4.5),((GDR_V)&lt;6),OR(('FET Data'!$AF125&lt;&gt;"(Null)"),('FET Data'!$AE125&lt;&gt;"(Null)"),('FET Data'!$AD125&lt;&gt;"(Null)"),('FET Data'!$AC125&lt;&gt;"(Null)")))</f>
        <v>0</v>
      </c>
      <c r="N125" s="22" t="b">
        <f>AND(((GDR_V)&gt;=6),((GDR_V)&lt;8),OR(('FET Data'!$AG125&lt;&gt;"(Null)"),('FET Data'!$AF125&lt;&gt;"(Null)"),('FET Data'!$AE125&lt;&gt;"(Null)"),('FET Data'!$AD125&lt;&gt;"(Null)"),('FET Data'!$AC125&lt;&gt;"(Null)")))</f>
        <v>0</v>
      </c>
      <c r="O125" s="22" t="b">
        <f>AND(((GDR_V)&gt;=8),((GDR_V)&lt;10),OR(('FET Data'!$AH125&lt;&gt;"(Null)"),('FET Data'!$AG125&lt;&gt;"(Null)"),('FET Data'!$AF125&lt;&gt;"(Null)"),('FET Data'!$AE125&lt;&gt;"(Null)"),('FET Data'!$AD125&lt;&gt;"(Null)"),('FET Data'!$AC125&lt;&gt;"(Null)")))</f>
        <v>0</v>
      </c>
      <c r="P125" s="22" t="b">
        <f>AND(((GDR_V)&gt;=10),OR(('FET Data'!$AI125&lt;&gt;"(Null)"),('FET Data'!$AH125&lt;&gt;"(Null)"),('FET Data'!$AG125&lt;&gt;"(Null)"),('FET Data'!$AF125&lt;&gt;"(Null)"),('FET Data'!$AE125&lt;&gt;"(Null)"),('FET Data'!$AD125&lt;&gt;"(Null)"),('FET Data'!$AC125&lt;&gt;"(Null)")))</f>
        <v>1</v>
      </c>
      <c r="Q125" s="22" t="b">
        <f t="shared" si="8"/>
        <v>1</v>
      </c>
      <c r="R125" s="22" t="b">
        <f t="shared" si="9"/>
        <v>0</v>
      </c>
    </row>
    <row r="126" spans="1:18" x14ac:dyDescent="0.25">
      <c r="A126" s="22" t="str">
        <f>IF(R126,Discrete_NFET[[#This Row],[PARTNUMBER]],"")</f>
        <v/>
      </c>
      <c r="B126"/>
      <c r="C126" s="22" t="b">
        <f>AND((Discrete_NFET[[#This Row],[VDSMAX]]&gt;=VDC_AVG*1.25),(Discrete_NFET[[#This Row],[VGSMAX]]&gt;=GDR_V*1.2))</f>
        <v>1</v>
      </c>
      <c r="D126" s="22" t="b">
        <f>AND(VDC_AVG&lt;=25,Discrete_NFET[[#This Row],[VDSMAX]]&lt;=30)</f>
        <v>0</v>
      </c>
      <c r="E126" s="22" t="b">
        <f>AND(VDC_AVG&lt;=33,VDC_AVG&gt;=12,Discrete_NFET[[#This Row],[VDSMAX]]=40)</f>
        <v>0</v>
      </c>
      <c r="F126" s="22" t="b">
        <f>AND(VDC_AVG&lt;=50,VDC_AVG&gt;=18,Discrete_NFET[[#This Row],[VDSMAX]]=60)</f>
        <v>0</v>
      </c>
      <c r="G126" s="22" t="b">
        <f>AND(VDC_AVG&lt;=66,VDC_AVG&gt;=24,Discrete_NFET[[#This Row],[VDSMAX]]=80)</f>
        <v>0</v>
      </c>
      <c r="H126" s="22" t="b">
        <f>AND(VDC_AVG&lt;=83,VDC_AVG&gt;=36,Discrete_NFET[[#This Row],[VDSMAX]]=100)</f>
        <v>0</v>
      </c>
      <c r="I126" s="22" t="b">
        <f t="shared" si="7"/>
        <v>0</v>
      </c>
      <c r="J126" s="22" t="b">
        <f>AND(((GDR_V)&lt;2.5),('FET Data'!$AC126&lt;&gt;"(Null)"))</f>
        <v>0</v>
      </c>
      <c r="K126" s="22" t="b">
        <f>AND(((GDR_V)&gt;=2.5),((GDR_V)&lt;3),OR(('FET Data'!$AD126&lt;&gt;"(Null)"),('FET Data'!$AC126&lt;&gt;"(Null)")))</f>
        <v>0</v>
      </c>
      <c r="L126" s="22" t="b">
        <f>AND(((GDR_V)&gt;=3),((GDR_V)&lt;4.5),OR(('FET Data'!$AE126&lt;&gt;"(Null)"),('FET Data'!$AD126&lt;&gt;"(Null)"),('FET Data'!$AC126&lt;&gt;"(Null)")))</f>
        <v>0</v>
      </c>
      <c r="M126" s="22" t="b">
        <f>AND(((GDR_V)&gt;=4.5),((GDR_V)&lt;6),OR(('FET Data'!$AF126&lt;&gt;"(Null)"),('FET Data'!$AE126&lt;&gt;"(Null)"),('FET Data'!$AD126&lt;&gt;"(Null)"),('FET Data'!$AC126&lt;&gt;"(Null)")))</f>
        <v>0</v>
      </c>
      <c r="N126" s="22" t="b">
        <f>AND(((GDR_V)&gt;=6),((GDR_V)&lt;8),OR(('FET Data'!$AG126&lt;&gt;"(Null)"),('FET Data'!$AF126&lt;&gt;"(Null)"),('FET Data'!$AE126&lt;&gt;"(Null)"),('FET Data'!$AD126&lt;&gt;"(Null)"),('FET Data'!$AC126&lt;&gt;"(Null)")))</f>
        <v>0</v>
      </c>
      <c r="O126" s="22" t="b">
        <f>AND(((GDR_V)&gt;=8),((GDR_V)&lt;10),OR(('FET Data'!$AH126&lt;&gt;"(Null)"),('FET Data'!$AG126&lt;&gt;"(Null)"),('FET Data'!$AF126&lt;&gt;"(Null)"),('FET Data'!$AE126&lt;&gt;"(Null)"),('FET Data'!$AD126&lt;&gt;"(Null)"),('FET Data'!$AC126&lt;&gt;"(Null)")))</f>
        <v>0</v>
      </c>
      <c r="P126" s="22" t="b">
        <f>AND(((GDR_V)&gt;=10),OR(('FET Data'!$AI126&lt;&gt;"(Null)"),('FET Data'!$AH126&lt;&gt;"(Null)"),('FET Data'!$AG126&lt;&gt;"(Null)"),('FET Data'!$AF126&lt;&gt;"(Null)"),('FET Data'!$AE126&lt;&gt;"(Null)"),('FET Data'!$AD126&lt;&gt;"(Null)"),('FET Data'!$AC126&lt;&gt;"(Null)")))</f>
        <v>1</v>
      </c>
      <c r="Q126" s="22" t="b">
        <f t="shared" si="8"/>
        <v>1</v>
      </c>
      <c r="R126" s="22" t="b">
        <f t="shared" si="9"/>
        <v>0</v>
      </c>
    </row>
    <row r="127" spans="1:18" x14ac:dyDescent="0.25">
      <c r="A127" s="22" t="str">
        <f>IF(R127,Discrete_NFET[[#This Row],[PARTNUMBER]],"")</f>
        <v/>
      </c>
      <c r="B127"/>
      <c r="C127" s="22" t="b">
        <f>AND((Discrete_NFET[[#This Row],[VDSMAX]]&gt;=VDC_AVG*1.25),(Discrete_NFET[[#This Row],[VGSMAX]]&gt;=GDR_V*1.2))</f>
        <v>0</v>
      </c>
      <c r="D127" s="22" t="b">
        <f>AND(VDC_AVG&lt;=25,Discrete_NFET[[#This Row],[VDSMAX]]&lt;=30)</f>
        <v>1</v>
      </c>
      <c r="E127" s="22" t="b">
        <f>AND(VDC_AVG&lt;=33,VDC_AVG&gt;=12,Discrete_NFET[[#This Row],[VDSMAX]]=40)</f>
        <v>0</v>
      </c>
      <c r="F127" s="22" t="b">
        <f>AND(VDC_AVG&lt;=50,VDC_AVG&gt;=18,Discrete_NFET[[#This Row],[VDSMAX]]=60)</f>
        <v>0</v>
      </c>
      <c r="G127" s="22" t="b">
        <f>AND(VDC_AVG&lt;=66,VDC_AVG&gt;=24,Discrete_NFET[[#This Row],[VDSMAX]]=80)</f>
        <v>0</v>
      </c>
      <c r="H127" s="22" t="b">
        <f>AND(VDC_AVG&lt;=83,VDC_AVG&gt;=36,Discrete_NFET[[#This Row],[VDSMAX]]=100)</f>
        <v>0</v>
      </c>
      <c r="I127" s="22" t="b">
        <f t="shared" si="7"/>
        <v>1</v>
      </c>
      <c r="J127" s="22" t="b">
        <f>AND(((GDR_V)&lt;2.5),('FET Data'!$AC127&lt;&gt;"(Null)"))</f>
        <v>0</v>
      </c>
      <c r="K127" s="22" t="b">
        <f>AND(((GDR_V)&gt;=2.5),((GDR_V)&lt;3),OR(('FET Data'!$AD127&lt;&gt;"(Null)"),('FET Data'!$AC127&lt;&gt;"(Null)")))</f>
        <v>0</v>
      </c>
      <c r="L127" s="22" t="b">
        <f>AND(((GDR_V)&gt;=3),((GDR_V)&lt;4.5),OR(('FET Data'!$AE127&lt;&gt;"(Null)"),('FET Data'!$AD127&lt;&gt;"(Null)"),('FET Data'!$AC127&lt;&gt;"(Null)")))</f>
        <v>0</v>
      </c>
      <c r="M127" s="22" t="b">
        <f>AND(((GDR_V)&gt;=4.5),((GDR_V)&lt;6),OR(('FET Data'!$AF127&lt;&gt;"(Null)"),('FET Data'!$AE127&lt;&gt;"(Null)"),('FET Data'!$AD127&lt;&gt;"(Null)"),('FET Data'!$AC127&lt;&gt;"(Null)")))</f>
        <v>0</v>
      </c>
      <c r="N127" s="22" t="b">
        <f>AND(((GDR_V)&gt;=6),((GDR_V)&lt;8),OR(('FET Data'!$AG127&lt;&gt;"(Null)"),('FET Data'!$AF127&lt;&gt;"(Null)"),('FET Data'!$AE127&lt;&gt;"(Null)"),('FET Data'!$AD127&lt;&gt;"(Null)"),('FET Data'!$AC127&lt;&gt;"(Null)")))</f>
        <v>0</v>
      </c>
      <c r="O127" s="22" t="b">
        <f>AND(((GDR_V)&gt;=8),((GDR_V)&lt;10),OR(('FET Data'!$AH127&lt;&gt;"(Null)"),('FET Data'!$AG127&lt;&gt;"(Null)"),('FET Data'!$AF127&lt;&gt;"(Null)"),('FET Data'!$AE127&lt;&gt;"(Null)"),('FET Data'!$AD127&lt;&gt;"(Null)"),('FET Data'!$AC127&lt;&gt;"(Null)")))</f>
        <v>0</v>
      </c>
      <c r="P127" s="22" t="b">
        <f>AND(((GDR_V)&gt;=10),OR(('FET Data'!$AI127&lt;&gt;"(Null)"),('FET Data'!$AH127&lt;&gt;"(Null)"),('FET Data'!$AG127&lt;&gt;"(Null)"),('FET Data'!$AF127&lt;&gt;"(Null)"),('FET Data'!$AE127&lt;&gt;"(Null)"),('FET Data'!$AD127&lt;&gt;"(Null)"),('FET Data'!$AC127&lt;&gt;"(Null)")))</f>
        <v>1</v>
      </c>
      <c r="Q127" s="22" t="b">
        <f t="shared" si="8"/>
        <v>1</v>
      </c>
      <c r="R127" s="22" t="b">
        <f t="shared" si="9"/>
        <v>0</v>
      </c>
    </row>
    <row r="128" spans="1:18" x14ac:dyDescent="0.25">
      <c r="A128" s="22" t="str">
        <f>IF(R128,Discrete_NFET[[#This Row],[PARTNUMBER]],"")</f>
        <v/>
      </c>
      <c r="B128"/>
      <c r="C128" s="22" t="b">
        <f>AND((Discrete_NFET[[#This Row],[VDSMAX]]&gt;=VDC_AVG*1.25),(Discrete_NFET[[#This Row],[VGSMAX]]&gt;=GDR_V*1.2))</f>
        <v>0</v>
      </c>
      <c r="D128" s="22" t="b">
        <f>AND(VDC_AVG&lt;=25,Discrete_NFET[[#This Row],[VDSMAX]]&lt;=30)</f>
        <v>1</v>
      </c>
      <c r="E128" s="22" t="b">
        <f>AND(VDC_AVG&lt;=33,VDC_AVG&gt;=12,Discrete_NFET[[#This Row],[VDSMAX]]=40)</f>
        <v>0</v>
      </c>
      <c r="F128" s="22" t="b">
        <f>AND(VDC_AVG&lt;=50,VDC_AVG&gt;=18,Discrete_NFET[[#This Row],[VDSMAX]]=60)</f>
        <v>0</v>
      </c>
      <c r="G128" s="22" t="b">
        <f>AND(VDC_AVG&lt;=66,VDC_AVG&gt;=24,Discrete_NFET[[#This Row],[VDSMAX]]=80)</f>
        <v>0</v>
      </c>
      <c r="H128" s="22" t="b">
        <f>AND(VDC_AVG&lt;=83,VDC_AVG&gt;=36,Discrete_NFET[[#This Row],[VDSMAX]]=100)</f>
        <v>0</v>
      </c>
      <c r="I128" s="22" t="b">
        <f t="shared" si="7"/>
        <v>1</v>
      </c>
      <c r="J128" s="22" t="b">
        <f>AND(((GDR_V)&lt;2.5),('FET Data'!$AC128&lt;&gt;"(Null)"))</f>
        <v>0</v>
      </c>
      <c r="K128" s="22" t="b">
        <f>AND(((GDR_V)&gt;=2.5),((GDR_V)&lt;3),OR(('FET Data'!$AD128&lt;&gt;"(Null)"),('FET Data'!$AC128&lt;&gt;"(Null)")))</f>
        <v>0</v>
      </c>
      <c r="L128" s="22" t="b">
        <f>AND(((GDR_V)&gt;=3),((GDR_V)&lt;4.5),OR(('FET Data'!$AE128&lt;&gt;"(Null)"),('FET Data'!$AD128&lt;&gt;"(Null)"),('FET Data'!$AC128&lt;&gt;"(Null)")))</f>
        <v>0</v>
      </c>
      <c r="M128" s="22" t="b">
        <f>AND(((GDR_V)&gt;=4.5),((GDR_V)&lt;6),OR(('FET Data'!$AF128&lt;&gt;"(Null)"),('FET Data'!$AE128&lt;&gt;"(Null)"),('FET Data'!$AD128&lt;&gt;"(Null)"),('FET Data'!$AC128&lt;&gt;"(Null)")))</f>
        <v>0</v>
      </c>
      <c r="N128" s="22" t="b">
        <f>AND(((GDR_V)&gt;=6),((GDR_V)&lt;8),OR(('FET Data'!$AG128&lt;&gt;"(Null)"),('FET Data'!$AF128&lt;&gt;"(Null)"),('FET Data'!$AE128&lt;&gt;"(Null)"),('FET Data'!$AD128&lt;&gt;"(Null)"),('FET Data'!$AC128&lt;&gt;"(Null)")))</f>
        <v>0</v>
      </c>
      <c r="O128" s="22" t="b">
        <f>AND(((GDR_V)&gt;=8),((GDR_V)&lt;10),OR(('FET Data'!$AH128&lt;&gt;"(Null)"),('FET Data'!$AG128&lt;&gt;"(Null)"),('FET Data'!$AF128&lt;&gt;"(Null)"),('FET Data'!$AE128&lt;&gt;"(Null)"),('FET Data'!$AD128&lt;&gt;"(Null)"),('FET Data'!$AC128&lt;&gt;"(Null)")))</f>
        <v>0</v>
      </c>
      <c r="P128" s="22" t="b">
        <f>AND(((GDR_V)&gt;=10),OR(('FET Data'!$AI128&lt;&gt;"(Null)"),('FET Data'!$AH128&lt;&gt;"(Null)"),('FET Data'!$AG128&lt;&gt;"(Null)"),('FET Data'!$AF128&lt;&gt;"(Null)"),('FET Data'!$AE128&lt;&gt;"(Null)"),('FET Data'!$AD128&lt;&gt;"(Null)"),('FET Data'!$AC128&lt;&gt;"(Null)")))</f>
        <v>1</v>
      </c>
      <c r="Q128" s="22" t="b">
        <f t="shared" si="8"/>
        <v>1</v>
      </c>
      <c r="R128" s="22" t="b">
        <f t="shared" si="9"/>
        <v>0</v>
      </c>
    </row>
    <row r="129" spans="1:18" x14ac:dyDescent="0.25">
      <c r="A129" s="22" t="str">
        <f>IF(R129,Discrete_NFET[[#This Row],[PARTNUMBER]],"")</f>
        <v/>
      </c>
      <c r="B129"/>
      <c r="C129" s="22" t="b">
        <f>AND((Discrete_NFET[[#This Row],[VDSMAX]]&gt;=VDC_AVG*1.25),(Discrete_NFET[[#This Row],[VGSMAX]]&gt;=GDR_V*1.2))</f>
        <v>0</v>
      </c>
      <c r="D129" s="22" t="b">
        <f>AND(VDC_AVG&lt;=25,Discrete_NFET[[#This Row],[VDSMAX]]&lt;=30)</f>
        <v>1</v>
      </c>
      <c r="E129" s="22" t="b">
        <f>AND(VDC_AVG&lt;=33,VDC_AVG&gt;=12,Discrete_NFET[[#This Row],[VDSMAX]]=40)</f>
        <v>0</v>
      </c>
      <c r="F129" s="22" t="b">
        <f>AND(VDC_AVG&lt;=50,VDC_AVG&gt;=18,Discrete_NFET[[#This Row],[VDSMAX]]=60)</f>
        <v>0</v>
      </c>
      <c r="G129" s="22" t="b">
        <f>AND(VDC_AVG&lt;=66,VDC_AVG&gt;=24,Discrete_NFET[[#This Row],[VDSMAX]]=80)</f>
        <v>0</v>
      </c>
      <c r="H129" s="22" t="b">
        <f>AND(VDC_AVG&lt;=83,VDC_AVG&gt;=36,Discrete_NFET[[#This Row],[VDSMAX]]=100)</f>
        <v>0</v>
      </c>
      <c r="I129" s="22" t="b">
        <f t="shared" ref="I129:I142" si="10">OR(D129:H129)</f>
        <v>1</v>
      </c>
      <c r="J129" s="22" t="b">
        <f>AND(((GDR_V)&lt;2.5),('FET Data'!$AC129&lt;&gt;"(Null)"))</f>
        <v>0</v>
      </c>
      <c r="K129" s="22" t="b">
        <f>AND(((GDR_V)&gt;=2.5),((GDR_V)&lt;3),OR(('FET Data'!$AD129&lt;&gt;"(Null)"),('FET Data'!$AC129&lt;&gt;"(Null)")))</f>
        <v>0</v>
      </c>
      <c r="L129" s="22" t="b">
        <f>AND(((GDR_V)&gt;=3),((GDR_V)&lt;4.5),OR(('FET Data'!$AE129&lt;&gt;"(Null)"),('FET Data'!$AD129&lt;&gt;"(Null)"),('FET Data'!$AC129&lt;&gt;"(Null)")))</f>
        <v>0</v>
      </c>
      <c r="M129" s="22" t="b">
        <f>AND(((GDR_V)&gt;=4.5),((GDR_V)&lt;6),OR(('FET Data'!$AF129&lt;&gt;"(Null)"),('FET Data'!$AE129&lt;&gt;"(Null)"),('FET Data'!$AD129&lt;&gt;"(Null)"),('FET Data'!$AC129&lt;&gt;"(Null)")))</f>
        <v>0</v>
      </c>
      <c r="N129" s="22" t="b">
        <f>AND(((GDR_V)&gt;=6),((GDR_V)&lt;8),OR(('FET Data'!$AG129&lt;&gt;"(Null)"),('FET Data'!$AF129&lt;&gt;"(Null)"),('FET Data'!$AE129&lt;&gt;"(Null)"),('FET Data'!$AD129&lt;&gt;"(Null)"),('FET Data'!$AC129&lt;&gt;"(Null)")))</f>
        <v>0</v>
      </c>
      <c r="O129" s="22" t="b">
        <f>AND(((GDR_V)&gt;=8),((GDR_V)&lt;10),OR(('FET Data'!$AH129&lt;&gt;"(Null)"),('FET Data'!$AG129&lt;&gt;"(Null)"),('FET Data'!$AF129&lt;&gt;"(Null)"),('FET Data'!$AE129&lt;&gt;"(Null)"),('FET Data'!$AD129&lt;&gt;"(Null)"),('FET Data'!$AC129&lt;&gt;"(Null)")))</f>
        <v>0</v>
      </c>
      <c r="P129" s="22" t="b">
        <f>AND(((GDR_V)&gt;=10),OR(('FET Data'!$AI129&lt;&gt;"(Null)"),('FET Data'!$AH129&lt;&gt;"(Null)"),('FET Data'!$AG129&lt;&gt;"(Null)"),('FET Data'!$AF129&lt;&gt;"(Null)"),('FET Data'!$AE129&lt;&gt;"(Null)"),('FET Data'!$AD129&lt;&gt;"(Null)"),('FET Data'!$AC129&lt;&gt;"(Null)")))</f>
        <v>1</v>
      </c>
      <c r="Q129" s="22" t="b">
        <f t="shared" ref="Q129:Q142" si="11">OR(J129:P129)</f>
        <v>1</v>
      </c>
      <c r="R129" s="22" t="b">
        <f t="shared" ref="R129:R142" si="12">AND(C129,I129,Q129)</f>
        <v>0</v>
      </c>
    </row>
    <row r="130" spans="1:18" x14ac:dyDescent="0.25">
      <c r="A130" s="22" t="str">
        <f>IF(R130,Discrete_NFET[[#This Row],[PARTNUMBER]],"")</f>
        <v/>
      </c>
      <c r="B130"/>
      <c r="C130" s="22" t="b">
        <f>AND((Discrete_NFET[[#This Row],[VDSMAX]]&gt;=VDC_AVG*1.25),(Discrete_NFET[[#This Row],[VGSMAX]]&gt;=GDR_V*1.2))</f>
        <v>0</v>
      </c>
      <c r="D130" s="22" t="b">
        <f>AND(VDC_AVG&lt;=25,Discrete_NFET[[#This Row],[VDSMAX]]&lt;=30)</f>
        <v>1</v>
      </c>
      <c r="E130" s="22" t="b">
        <f>AND(VDC_AVG&lt;=33,VDC_AVG&gt;=12,Discrete_NFET[[#This Row],[VDSMAX]]=40)</f>
        <v>0</v>
      </c>
      <c r="F130" s="22" t="b">
        <f>AND(VDC_AVG&lt;=50,VDC_AVG&gt;=18,Discrete_NFET[[#This Row],[VDSMAX]]=60)</f>
        <v>0</v>
      </c>
      <c r="G130" s="22" t="b">
        <f>AND(VDC_AVG&lt;=66,VDC_AVG&gt;=24,Discrete_NFET[[#This Row],[VDSMAX]]=80)</f>
        <v>0</v>
      </c>
      <c r="H130" s="22" t="b">
        <f>AND(VDC_AVG&lt;=83,VDC_AVG&gt;=36,Discrete_NFET[[#This Row],[VDSMAX]]=100)</f>
        <v>0</v>
      </c>
      <c r="I130" s="22" t="b">
        <f t="shared" si="10"/>
        <v>1</v>
      </c>
      <c r="J130" s="22" t="b">
        <f>AND(((GDR_V)&lt;2.5),('FET Data'!$AC130&lt;&gt;"(Null)"))</f>
        <v>0</v>
      </c>
      <c r="K130" s="22" t="b">
        <f>AND(((GDR_V)&gt;=2.5),((GDR_V)&lt;3),OR(('FET Data'!$AD130&lt;&gt;"(Null)"),('FET Data'!$AC130&lt;&gt;"(Null)")))</f>
        <v>0</v>
      </c>
      <c r="L130" s="22" t="b">
        <f>AND(((GDR_V)&gt;=3),((GDR_V)&lt;4.5),OR(('FET Data'!$AE130&lt;&gt;"(Null)"),('FET Data'!$AD130&lt;&gt;"(Null)"),('FET Data'!$AC130&lt;&gt;"(Null)")))</f>
        <v>0</v>
      </c>
      <c r="M130" s="22" t="b">
        <f>AND(((GDR_V)&gt;=4.5),((GDR_V)&lt;6),OR(('FET Data'!$AF130&lt;&gt;"(Null)"),('FET Data'!$AE130&lt;&gt;"(Null)"),('FET Data'!$AD130&lt;&gt;"(Null)"),('FET Data'!$AC130&lt;&gt;"(Null)")))</f>
        <v>0</v>
      </c>
      <c r="N130" s="22" t="b">
        <f>AND(((GDR_V)&gt;=6),((GDR_V)&lt;8),OR(('FET Data'!$AG130&lt;&gt;"(Null)"),('FET Data'!$AF130&lt;&gt;"(Null)"),('FET Data'!$AE130&lt;&gt;"(Null)"),('FET Data'!$AD130&lt;&gt;"(Null)"),('FET Data'!$AC130&lt;&gt;"(Null)")))</f>
        <v>0</v>
      </c>
      <c r="O130" s="22" t="b">
        <f>AND(((GDR_V)&gt;=8),((GDR_V)&lt;10),OR(('FET Data'!$AH130&lt;&gt;"(Null)"),('FET Data'!$AG130&lt;&gt;"(Null)"),('FET Data'!$AF130&lt;&gt;"(Null)"),('FET Data'!$AE130&lt;&gt;"(Null)"),('FET Data'!$AD130&lt;&gt;"(Null)"),('FET Data'!$AC130&lt;&gt;"(Null)")))</f>
        <v>0</v>
      </c>
      <c r="P130" s="22" t="b">
        <f>AND(((GDR_V)&gt;=10),OR(('FET Data'!$AI130&lt;&gt;"(Null)"),('FET Data'!$AH130&lt;&gt;"(Null)"),('FET Data'!$AG130&lt;&gt;"(Null)"),('FET Data'!$AF130&lt;&gt;"(Null)"),('FET Data'!$AE130&lt;&gt;"(Null)"),('FET Data'!$AD130&lt;&gt;"(Null)"),('FET Data'!$AC130&lt;&gt;"(Null)")))</f>
        <v>1</v>
      </c>
      <c r="Q130" s="22" t="b">
        <f t="shared" si="11"/>
        <v>1</v>
      </c>
      <c r="R130" s="22" t="b">
        <f t="shared" si="12"/>
        <v>0</v>
      </c>
    </row>
    <row r="131" spans="1:18" x14ac:dyDescent="0.25">
      <c r="A131" s="22" t="str">
        <f>IF(R131,Discrete_NFET[[#This Row],[PARTNUMBER]],"")</f>
        <v/>
      </c>
      <c r="B131"/>
      <c r="C131" s="22" t="b">
        <f>AND((Discrete_NFET[[#This Row],[VDSMAX]]&gt;=VDC_AVG*1.25),(Discrete_NFET[[#This Row],[VGSMAX]]&gt;=GDR_V*1.2))</f>
        <v>0</v>
      </c>
      <c r="D131" s="22" t="b">
        <f>AND(VDC_AVG&lt;=25,Discrete_NFET[[#This Row],[VDSMAX]]&lt;=30)</f>
        <v>1</v>
      </c>
      <c r="E131" s="22" t="b">
        <f>AND(VDC_AVG&lt;=33,VDC_AVG&gt;=12,Discrete_NFET[[#This Row],[VDSMAX]]=40)</f>
        <v>0</v>
      </c>
      <c r="F131" s="22" t="b">
        <f>AND(VDC_AVG&lt;=50,VDC_AVG&gt;=18,Discrete_NFET[[#This Row],[VDSMAX]]=60)</f>
        <v>0</v>
      </c>
      <c r="G131" s="22" t="b">
        <f>AND(VDC_AVG&lt;=66,VDC_AVG&gt;=24,Discrete_NFET[[#This Row],[VDSMAX]]=80)</f>
        <v>0</v>
      </c>
      <c r="H131" s="22" t="b">
        <f>AND(VDC_AVG&lt;=83,VDC_AVG&gt;=36,Discrete_NFET[[#This Row],[VDSMAX]]=100)</f>
        <v>0</v>
      </c>
      <c r="I131" s="22" t="b">
        <f t="shared" si="10"/>
        <v>1</v>
      </c>
      <c r="J131" s="22" t="b">
        <f>AND(((GDR_V)&lt;2.5),('FET Data'!$AC131&lt;&gt;"(Null)"))</f>
        <v>0</v>
      </c>
      <c r="K131" s="22" t="b">
        <f>AND(((GDR_V)&gt;=2.5),((GDR_V)&lt;3),OR(('FET Data'!$AD131&lt;&gt;"(Null)"),('FET Data'!$AC131&lt;&gt;"(Null)")))</f>
        <v>0</v>
      </c>
      <c r="L131" s="22" t="b">
        <f>AND(((GDR_V)&gt;=3),((GDR_V)&lt;4.5),OR(('FET Data'!$AE131&lt;&gt;"(Null)"),('FET Data'!$AD131&lt;&gt;"(Null)"),('FET Data'!$AC131&lt;&gt;"(Null)")))</f>
        <v>0</v>
      </c>
      <c r="M131" s="22" t="b">
        <f>AND(((GDR_V)&gt;=4.5),((GDR_V)&lt;6),OR(('FET Data'!$AF131&lt;&gt;"(Null)"),('FET Data'!$AE131&lt;&gt;"(Null)"),('FET Data'!$AD131&lt;&gt;"(Null)"),('FET Data'!$AC131&lt;&gt;"(Null)")))</f>
        <v>0</v>
      </c>
      <c r="N131" s="22" t="b">
        <f>AND(((GDR_V)&gt;=6),((GDR_V)&lt;8),OR(('FET Data'!$AG131&lt;&gt;"(Null)"),('FET Data'!$AF131&lt;&gt;"(Null)"),('FET Data'!$AE131&lt;&gt;"(Null)"),('FET Data'!$AD131&lt;&gt;"(Null)"),('FET Data'!$AC131&lt;&gt;"(Null)")))</f>
        <v>0</v>
      </c>
      <c r="O131" s="22" t="b">
        <f>AND(((GDR_V)&gt;=8),((GDR_V)&lt;10),OR(('FET Data'!$AH131&lt;&gt;"(Null)"),('FET Data'!$AG131&lt;&gt;"(Null)"),('FET Data'!$AF131&lt;&gt;"(Null)"),('FET Data'!$AE131&lt;&gt;"(Null)"),('FET Data'!$AD131&lt;&gt;"(Null)"),('FET Data'!$AC131&lt;&gt;"(Null)")))</f>
        <v>0</v>
      </c>
      <c r="P131" s="22" t="b">
        <f>AND(((GDR_V)&gt;=10),OR(('FET Data'!$AI131&lt;&gt;"(Null)"),('FET Data'!$AH131&lt;&gt;"(Null)"),('FET Data'!$AG131&lt;&gt;"(Null)"),('FET Data'!$AF131&lt;&gt;"(Null)"),('FET Data'!$AE131&lt;&gt;"(Null)"),('FET Data'!$AD131&lt;&gt;"(Null)"),('FET Data'!$AC131&lt;&gt;"(Null)")))</f>
        <v>1</v>
      </c>
      <c r="Q131" s="22" t="b">
        <f t="shared" si="11"/>
        <v>1</v>
      </c>
      <c r="R131" s="22" t="b">
        <f t="shared" si="12"/>
        <v>0</v>
      </c>
    </row>
    <row r="132" spans="1:18" x14ac:dyDescent="0.25">
      <c r="A132" s="22" t="str">
        <f>IF(R132,Discrete_NFET[[#This Row],[PARTNUMBER]],"")</f>
        <v/>
      </c>
      <c r="B132"/>
      <c r="C132" s="22" t="b">
        <f>AND((Discrete_NFET[[#This Row],[VDSMAX]]&gt;=VDC_AVG*1.25),(Discrete_NFET[[#This Row],[VGSMAX]]&gt;=GDR_V*1.2))</f>
        <v>0</v>
      </c>
      <c r="D132" s="22" t="b">
        <f>AND(VDC_AVG&lt;=25,Discrete_NFET[[#This Row],[VDSMAX]]&lt;=30)</f>
        <v>1</v>
      </c>
      <c r="E132" s="22" t="b">
        <f>AND(VDC_AVG&lt;=33,VDC_AVG&gt;=12,Discrete_NFET[[#This Row],[VDSMAX]]=40)</f>
        <v>0</v>
      </c>
      <c r="F132" s="22" t="b">
        <f>AND(VDC_AVG&lt;=50,VDC_AVG&gt;=18,Discrete_NFET[[#This Row],[VDSMAX]]=60)</f>
        <v>0</v>
      </c>
      <c r="G132" s="22" t="b">
        <f>AND(VDC_AVG&lt;=66,VDC_AVG&gt;=24,Discrete_NFET[[#This Row],[VDSMAX]]=80)</f>
        <v>0</v>
      </c>
      <c r="H132" s="22" t="b">
        <f>AND(VDC_AVG&lt;=83,VDC_AVG&gt;=36,Discrete_NFET[[#This Row],[VDSMAX]]=100)</f>
        <v>0</v>
      </c>
      <c r="I132" s="22" t="b">
        <f t="shared" si="10"/>
        <v>1</v>
      </c>
      <c r="J132" s="22" t="b">
        <f>AND(((GDR_V)&lt;2.5),('FET Data'!$AC132&lt;&gt;"(Null)"))</f>
        <v>0</v>
      </c>
      <c r="K132" s="22" t="b">
        <f>AND(((GDR_V)&gt;=2.5),((GDR_V)&lt;3),OR(('FET Data'!$AD132&lt;&gt;"(Null)"),('FET Data'!$AC132&lt;&gt;"(Null)")))</f>
        <v>0</v>
      </c>
      <c r="L132" s="22" t="b">
        <f>AND(((GDR_V)&gt;=3),((GDR_V)&lt;4.5),OR(('FET Data'!$AE132&lt;&gt;"(Null)"),('FET Data'!$AD132&lt;&gt;"(Null)"),('FET Data'!$AC132&lt;&gt;"(Null)")))</f>
        <v>0</v>
      </c>
      <c r="M132" s="22" t="b">
        <f>AND(((GDR_V)&gt;=4.5),((GDR_V)&lt;6),OR(('FET Data'!$AF132&lt;&gt;"(Null)"),('FET Data'!$AE132&lt;&gt;"(Null)"),('FET Data'!$AD132&lt;&gt;"(Null)"),('FET Data'!$AC132&lt;&gt;"(Null)")))</f>
        <v>0</v>
      </c>
      <c r="N132" s="22" t="b">
        <f>AND(((GDR_V)&gt;=6),((GDR_V)&lt;8),OR(('FET Data'!$AG132&lt;&gt;"(Null)"),('FET Data'!$AF132&lt;&gt;"(Null)"),('FET Data'!$AE132&lt;&gt;"(Null)"),('FET Data'!$AD132&lt;&gt;"(Null)"),('FET Data'!$AC132&lt;&gt;"(Null)")))</f>
        <v>0</v>
      </c>
      <c r="O132" s="22" t="b">
        <f>AND(((GDR_V)&gt;=8),((GDR_V)&lt;10),OR(('FET Data'!$AH132&lt;&gt;"(Null)"),('FET Data'!$AG132&lt;&gt;"(Null)"),('FET Data'!$AF132&lt;&gt;"(Null)"),('FET Data'!$AE132&lt;&gt;"(Null)"),('FET Data'!$AD132&lt;&gt;"(Null)"),('FET Data'!$AC132&lt;&gt;"(Null)")))</f>
        <v>0</v>
      </c>
      <c r="P132" s="22" t="b">
        <f>AND(((GDR_V)&gt;=10),OR(('FET Data'!$AI132&lt;&gt;"(Null)"),('FET Data'!$AH132&lt;&gt;"(Null)"),('FET Data'!$AG132&lt;&gt;"(Null)"),('FET Data'!$AF132&lt;&gt;"(Null)"),('FET Data'!$AE132&lt;&gt;"(Null)"),('FET Data'!$AD132&lt;&gt;"(Null)"),('FET Data'!$AC132&lt;&gt;"(Null)")))</f>
        <v>1</v>
      </c>
      <c r="Q132" s="22" t="b">
        <f t="shared" si="11"/>
        <v>1</v>
      </c>
      <c r="R132" s="22" t="b">
        <f t="shared" si="12"/>
        <v>0</v>
      </c>
    </row>
    <row r="133" spans="1:18" x14ac:dyDescent="0.25">
      <c r="A133" s="22" t="str">
        <f>IF(R133,Discrete_NFET[[#This Row],[PARTNUMBER]],"")</f>
        <v/>
      </c>
      <c r="B133"/>
      <c r="C133" s="22" t="b">
        <f>AND((Discrete_NFET[[#This Row],[VDSMAX]]&gt;=VDC_AVG*1.25),(Discrete_NFET[[#This Row],[VGSMAX]]&gt;=GDR_V*1.2))</f>
        <v>0</v>
      </c>
      <c r="D133" s="22" t="b">
        <f>AND(VDC_AVG&lt;=25,Discrete_NFET[[#This Row],[VDSMAX]]&lt;=30)</f>
        <v>1</v>
      </c>
      <c r="E133" s="22" t="b">
        <f>AND(VDC_AVG&lt;=33,VDC_AVG&gt;=12,Discrete_NFET[[#This Row],[VDSMAX]]=40)</f>
        <v>0</v>
      </c>
      <c r="F133" s="22" t="b">
        <f>AND(VDC_AVG&lt;=50,VDC_AVG&gt;=18,Discrete_NFET[[#This Row],[VDSMAX]]=60)</f>
        <v>0</v>
      </c>
      <c r="G133" s="22" t="b">
        <f>AND(VDC_AVG&lt;=66,VDC_AVG&gt;=24,Discrete_NFET[[#This Row],[VDSMAX]]=80)</f>
        <v>0</v>
      </c>
      <c r="H133" s="22" t="b">
        <f>AND(VDC_AVG&lt;=83,VDC_AVG&gt;=36,Discrete_NFET[[#This Row],[VDSMAX]]=100)</f>
        <v>0</v>
      </c>
      <c r="I133" s="22" t="b">
        <f t="shared" si="10"/>
        <v>1</v>
      </c>
      <c r="J133" s="22" t="b">
        <f>AND(((GDR_V)&lt;2.5),('FET Data'!$AC133&lt;&gt;"(Null)"))</f>
        <v>0</v>
      </c>
      <c r="K133" s="22" t="b">
        <f>AND(((GDR_V)&gt;=2.5),((GDR_V)&lt;3),OR(('FET Data'!$AD133&lt;&gt;"(Null)"),('FET Data'!$AC133&lt;&gt;"(Null)")))</f>
        <v>0</v>
      </c>
      <c r="L133" s="22" t="b">
        <f>AND(((GDR_V)&gt;=3),((GDR_V)&lt;4.5),OR(('FET Data'!$AE133&lt;&gt;"(Null)"),('FET Data'!$AD133&lt;&gt;"(Null)"),('FET Data'!$AC133&lt;&gt;"(Null)")))</f>
        <v>0</v>
      </c>
      <c r="M133" s="22" t="b">
        <f>AND(((GDR_V)&gt;=4.5),((GDR_V)&lt;6),OR(('FET Data'!$AF133&lt;&gt;"(Null)"),('FET Data'!$AE133&lt;&gt;"(Null)"),('FET Data'!$AD133&lt;&gt;"(Null)"),('FET Data'!$AC133&lt;&gt;"(Null)")))</f>
        <v>0</v>
      </c>
      <c r="N133" s="22" t="b">
        <f>AND(((GDR_V)&gt;=6),((GDR_V)&lt;8),OR(('FET Data'!$AG133&lt;&gt;"(Null)"),('FET Data'!$AF133&lt;&gt;"(Null)"),('FET Data'!$AE133&lt;&gt;"(Null)"),('FET Data'!$AD133&lt;&gt;"(Null)"),('FET Data'!$AC133&lt;&gt;"(Null)")))</f>
        <v>0</v>
      </c>
      <c r="O133" s="22" t="b">
        <f>AND(((GDR_V)&gt;=8),((GDR_V)&lt;10),OR(('FET Data'!$AH133&lt;&gt;"(Null)"),('FET Data'!$AG133&lt;&gt;"(Null)"),('FET Data'!$AF133&lt;&gt;"(Null)"),('FET Data'!$AE133&lt;&gt;"(Null)"),('FET Data'!$AD133&lt;&gt;"(Null)"),('FET Data'!$AC133&lt;&gt;"(Null)")))</f>
        <v>0</v>
      </c>
      <c r="P133" s="22" t="b">
        <f>AND(((GDR_V)&gt;=10),OR(('FET Data'!$AI133&lt;&gt;"(Null)"),('FET Data'!$AH133&lt;&gt;"(Null)"),('FET Data'!$AG133&lt;&gt;"(Null)"),('FET Data'!$AF133&lt;&gt;"(Null)"),('FET Data'!$AE133&lt;&gt;"(Null)"),('FET Data'!$AD133&lt;&gt;"(Null)"),('FET Data'!$AC133&lt;&gt;"(Null)")))</f>
        <v>1</v>
      </c>
      <c r="Q133" s="22" t="b">
        <f t="shared" si="11"/>
        <v>1</v>
      </c>
      <c r="R133" s="22" t="b">
        <f t="shared" si="12"/>
        <v>0</v>
      </c>
    </row>
    <row r="134" spans="1:18" x14ac:dyDescent="0.25">
      <c r="A134" s="22" t="str">
        <f>IF(R134,Discrete_NFET[[#This Row],[PARTNUMBER]],"")</f>
        <v/>
      </c>
      <c r="B134"/>
      <c r="C134" s="22" t="b">
        <f>AND((Discrete_NFET[[#This Row],[VDSMAX]]&gt;=VDC_AVG*1.25),(Discrete_NFET[[#This Row],[VGSMAX]]&gt;=GDR_V*1.2))</f>
        <v>0</v>
      </c>
      <c r="D134" s="22" t="b">
        <f>AND(VDC_AVG&lt;=25,Discrete_NFET[[#This Row],[VDSMAX]]&lt;=30)</f>
        <v>1</v>
      </c>
      <c r="E134" s="22" t="b">
        <f>AND(VDC_AVG&lt;=33,VDC_AVG&gt;=12,Discrete_NFET[[#This Row],[VDSMAX]]=40)</f>
        <v>0</v>
      </c>
      <c r="F134" s="22" t="b">
        <f>AND(VDC_AVG&lt;=50,VDC_AVG&gt;=18,Discrete_NFET[[#This Row],[VDSMAX]]=60)</f>
        <v>0</v>
      </c>
      <c r="G134" s="22" t="b">
        <f>AND(VDC_AVG&lt;=66,VDC_AVG&gt;=24,Discrete_NFET[[#This Row],[VDSMAX]]=80)</f>
        <v>0</v>
      </c>
      <c r="H134" s="22" t="b">
        <f>AND(VDC_AVG&lt;=83,VDC_AVG&gt;=36,Discrete_NFET[[#This Row],[VDSMAX]]=100)</f>
        <v>0</v>
      </c>
      <c r="I134" s="22" t="b">
        <f t="shared" si="10"/>
        <v>1</v>
      </c>
      <c r="J134" s="22" t="b">
        <f>AND(((GDR_V)&lt;2.5),('FET Data'!$AC134&lt;&gt;"(Null)"))</f>
        <v>0</v>
      </c>
      <c r="K134" s="22" t="b">
        <f>AND(((GDR_V)&gt;=2.5),((GDR_V)&lt;3),OR(('FET Data'!$AD134&lt;&gt;"(Null)"),('FET Data'!$AC134&lt;&gt;"(Null)")))</f>
        <v>0</v>
      </c>
      <c r="L134" s="22" t="b">
        <f>AND(((GDR_V)&gt;=3),((GDR_V)&lt;4.5),OR(('FET Data'!$AE134&lt;&gt;"(Null)"),('FET Data'!$AD134&lt;&gt;"(Null)"),('FET Data'!$AC134&lt;&gt;"(Null)")))</f>
        <v>0</v>
      </c>
      <c r="M134" s="22" t="b">
        <f>AND(((GDR_V)&gt;=4.5),((GDR_V)&lt;6),OR(('FET Data'!$AF134&lt;&gt;"(Null)"),('FET Data'!$AE134&lt;&gt;"(Null)"),('FET Data'!$AD134&lt;&gt;"(Null)"),('FET Data'!$AC134&lt;&gt;"(Null)")))</f>
        <v>0</v>
      </c>
      <c r="N134" s="22" t="b">
        <f>AND(((GDR_V)&gt;=6),((GDR_V)&lt;8),OR(('FET Data'!$AG134&lt;&gt;"(Null)"),('FET Data'!$AF134&lt;&gt;"(Null)"),('FET Data'!$AE134&lt;&gt;"(Null)"),('FET Data'!$AD134&lt;&gt;"(Null)"),('FET Data'!$AC134&lt;&gt;"(Null)")))</f>
        <v>0</v>
      </c>
      <c r="O134" s="22" t="b">
        <f>AND(((GDR_V)&gt;=8),((GDR_V)&lt;10),OR(('FET Data'!$AH134&lt;&gt;"(Null)"),('FET Data'!$AG134&lt;&gt;"(Null)"),('FET Data'!$AF134&lt;&gt;"(Null)"),('FET Data'!$AE134&lt;&gt;"(Null)"),('FET Data'!$AD134&lt;&gt;"(Null)"),('FET Data'!$AC134&lt;&gt;"(Null)")))</f>
        <v>0</v>
      </c>
      <c r="P134" s="22" t="b">
        <f>AND(((GDR_V)&gt;=10),OR(('FET Data'!$AI134&lt;&gt;"(Null)"),('FET Data'!$AH134&lt;&gt;"(Null)"),('FET Data'!$AG134&lt;&gt;"(Null)"),('FET Data'!$AF134&lt;&gt;"(Null)"),('FET Data'!$AE134&lt;&gt;"(Null)"),('FET Data'!$AD134&lt;&gt;"(Null)"),('FET Data'!$AC134&lt;&gt;"(Null)")))</f>
        <v>1</v>
      </c>
      <c r="Q134" s="22" t="b">
        <f t="shared" si="11"/>
        <v>1</v>
      </c>
      <c r="R134" s="22" t="b">
        <f t="shared" si="12"/>
        <v>0</v>
      </c>
    </row>
    <row r="135" spans="1:18" x14ac:dyDescent="0.25">
      <c r="A135" s="22" t="str">
        <f>IF(R135,Discrete_NFET[[#This Row],[PARTNUMBER]],"")</f>
        <v>CSD87502Q2 (CONT)</v>
      </c>
      <c r="B135"/>
      <c r="C135" s="22" t="b">
        <f>AND((Discrete_NFET[[#This Row],[VDSMAX]]&gt;=VDC_AVG*1.25),(Discrete_NFET[[#This Row],[VGSMAX]]&gt;=GDR_V*1.2))</f>
        <v>1</v>
      </c>
      <c r="D135" s="22" t="b">
        <f>AND(VDC_AVG&lt;=25,Discrete_NFET[[#This Row],[VDSMAX]]&lt;=30)</f>
        <v>1</v>
      </c>
      <c r="E135" s="22" t="b">
        <f>AND(VDC_AVG&lt;=33,VDC_AVG&gt;=12,Discrete_NFET[[#This Row],[VDSMAX]]=40)</f>
        <v>0</v>
      </c>
      <c r="F135" s="22" t="b">
        <f>AND(VDC_AVG&lt;=50,VDC_AVG&gt;=18,Discrete_NFET[[#This Row],[VDSMAX]]=60)</f>
        <v>0</v>
      </c>
      <c r="G135" s="22" t="b">
        <f>AND(VDC_AVG&lt;=66,VDC_AVG&gt;=24,Discrete_NFET[[#This Row],[VDSMAX]]=80)</f>
        <v>0</v>
      </c>
      <c r="H135" s="22" t="b">
        <f>AND(VDC_AVG&lt;=83,VDC_AVG&gt;=36,Discrete_NFET[[#This Row],[VDSMAX]]=100)</f>
        <v>0</v>
      </c>
      <c r="I135" s="22" t="b">
        <f t="shared" si="10"/>
        <v>1</v>
      </c>
      <c r="J135" s="22" t="b">
        <f>AND(((GDR_V)&lt;2.5),('FET Data'!$AC135&lt;&gt;"(Null)"))</f>
        <v>0</v>
      </c>
      <c r="K135" s="22" t="b">
        <f>AND(((GDR_V)&gt;=2.5),((GDR_V)&lt;3),OR(('FET Data'!$AD135&lt;&gt;"(Null)"),('FET Data'!$AC135&lt;&gt;"(Null)")))</f>
        <v>0</v>
      </c>
      <c r="L135" s="22" t="b">
        <f>AND(((GDR_V)&gt;=3),((GDR_V)&lt;4.5),OR(('FET Data'!$AE135&lt;&gt;"(Null)"),('FET Data'!$AD135&lt;&gt;"(Null)"),('FET Data'!$AC135&lt;&gt;"(Null)")))</f>
        <v>0</v>
      </c>
      <c r="M135" s="22" t="b">
        <f>AND(((GDR_V)&gt;=4.5),((GDR_V)&lt;6),OR(('FET Data'!$AF135&lt;&gt;"(Null)"),('FET Data'!$AE135&lt;&gt;"(Null)"),('FET Data'!$AD135&lt;&gt;"(Null)"),('FET Data'!$AC135&lt;&gt;"(Null)")))</f>
        <v>0</v>
      </c>
      <c r="N135" s="22" t="b">
        <f>AND(((GDR_V)&gt;=6),((GDR_V)&lt;8),OR(('FET Data'!$AG135&lt;&gt;"(Null)"),('FET Data'!$AF135&lt;&gt;"(Null)"),('FET Data'!$AE135&lt;&gt;"(Null)"),('FET Data'!$AD135&lt;&gt;"(Null)"),('FET Data'!$AC135&lt;&gt;"(Null)")))</f>
        <v>0</v>
      </c>
      <c r="O135" s="22" t="b">
        <f>AND(((GDR_V)&gt;=8),((GDR_V)&lt;10),OR(('FET Data'!$AH135&lt;&gt;"(Null)"),('FET Data'!$AG135&lt;&gt;"(Null)"),('FET Data'!$AF135&lt;&gt;"(Null)"),('FET Data'!$AE135&lt;&gt;"(Null)"),('FET Data'!$AD135&lt;&gt;"(Null)"),('FET Data'!$AC135&lt;&gt;"(Null)")))</f>
        <v>0</v>
      </c>
      <c r="P135" s="22" t="b">
        <f>AND(((GDR_V)&gt;=10),OR(('FET Data'!$AI135&lt;&gt;"(Null)"),('FET Data'!$AH135&lt;&gt;"(Null)"),('FET Data'!$AG135&lt;&gt;"(Null)"),('FET Data'!$AF135&lt;&gt;"(Null)"),('FET Data'!$AE135&lt;&gt;"(Null)"),('FET Data'!$AD135&lt;&gt;"(Null)"),('FET Data'!$AC135&lt;&gt;"(Null)")))</f>
        <v>1</v>
      </c>
      <c r="Q135" s="22" t="b">
        <f t="shared" si="11"/>
        <v>1</v>
      </c>
      <c r="R135" s="22" t="b">
        <f t="shared" si="12"/>
        <v>1</v>
      </c>
    </row>
    <row r="136" spans="1:18" x14ac:dyDescent="0.25">
      <c r="A136" s="22" t="str">
        <f>IF(R136,Discrete_NFET[[#This Row],[PARTNUMBER]],"")</f>
        <v>CSD87502Q2 (SYNC)</v>
      </c>
      <c r="B136"/>
      <c r="C136" s="22" t="b">
        <f>AND((Discrete_NFET[[#This Row],[VDSMAX]]&gt;=VDC_AVG*1.25),(Discrete_NFET[[#This Row],[VGSMAX]]&gt;=GDR_V*1.2))</f>
        <v>1</v>
      </c>
      <c r="D136" s="22" t="b">
        <f>AND(VDC_AVG&lt;=25,Discrete_NFET[[#This Row],[VDSMAX]]&lt;=30)</f>
        <v>1</v>
      </c>
      <c r="E136" s="22" t="b">
        <f>AND(VDC_AVG&lt;=33,VDC_AVG&gt;=12,Discrete_NFET[[#This Row],[VDSMAX]]=40)</f>
        <v>0</v>
      </c>
      <c r="F136" s="22" t="b">
        <f>AND(VDC_AVG&lt;=50,VDC_AVG&gt;=18,Discrete_NFET[[#This Row],[VDSMAX]]=60)</f>
        <v>0</v>
      </c>
      <c r="G136" s="22" t="b">
        <f>AND(VDC_AVG&lt;=66,VDC_AVG&gt;=24,Discrete_NFET[[#This Row],[VDSMAX]]=80)</f>
        <v>0</v>
      </c>
      <c r="H136" s="22" t="b">
        <f>AND(VDC_AVG&lt;=83,VDC_AVG&gt;=36,Discrete_NFET[[#This Row],[VDSMAX]]=100)</f>
        <v>0</v>
      </c>
      <c r="I136" s="22" t="b">
        <f t="shared" si="10"/>
        <v>1</v>
      </c>
      <c r="J136" s="22" t="b">
        <f>AND(((GDR_V)&lt;2.5),('FET Data'!$AC136&lt;&gt;"(Null)"))</f>
        <v>0</v>
      </c>
      <c r="K136" s="22" t="b">
        <f>AND(((GDR_V)&gt;=2.5),((GDR_V)&lt;3),OR(('FET Data'!$AD136&lt;&gt;"(Null)"),('FET Data'!$AC136&lt;&gt;"(Null)")))</f>
        <v>0</v>
      </c>
      <c r="L136" s="22" t="b">
        <f>AND(((GDR_V)&gt;=3),((GDR_V)&lt;4.5),OR(('FET Data'!$AE136&lt;&gt;"(Null)"),('FET Data'!$AD136&lt;&gt;"(Null)"),('FET Data'!$AC136&lt;&gt;"(Null)")))</f>
        <v>0</v>
      </c>
      <c r="M136" s="22" t="b">
        <f>AND(((GDR_V)&gt;=4.5),((GDR_V)&lt;6),OR(('FET Data'!$AF136&lt;&gt;"(Null)"),('FET Data'!$AE136&lt;&gt;"(Null)"),('FET Data'!$AD136&lt;&gt;"(Null)"),('FET Data'!$AC136&lt;&gt;"(Null)")))</f>
        <v>0</v>
      </c>
      <c r="N136" s="22" t="b">
        <f>AND(((GDR_V)&gt;=6),((GDR_V)&lt;8),OR(('FET Data'!$AG136&lt;&gt;"(Null)"),('FET Data'!$AF136&lt;&gt;"(Null)"),('FET Data'!$AE136&lt;&gt;"(Null)"),('FET Data'!$AD136&lt;&gt;"(Null)"),('FET Data'!$AC136&lt;&gt;"(Null)")))</f>
        <v>0</v>
      </c>
      <c r="O136" s="22" t="b">
        <f>AND(((GDR_V)&gt;=8),((GDR_V)&lt;10),OR(('FET Data'!$AH136&lt;&gt;"(Null)"),('FET Data'!$AG136&lt;&gt;"(Null)"),('FET Data'!$AF136&lt;&gt;"(Null)"),('FET Data'!$AE136&lt;&gt;"(Null)"),('FET Data'!$AD136&lt;&gt;"(Null)"),('FET Data'!$AC136&lt;&gt;"(Null)")))</f>
        <v>0</v>
      </c>
      <c r="P136" s="22" t="b">
        <f>AND(((GDR_V)&gt;=10),OR(('FET Data'!$AI136&lt;&gt;"(Null)"),('FET Data'!$AH136&lt;&gt;"(Null)"),('FET Data'!$AG136&lt;&gt;"(Null)"),('FET Data'!$AF136&lt;&gt;"(Null)"),('FET Data'!$AE136&lt;&gt;"(Null)"),('FET Data'!$AD136&lt;&gt;"(Null)"),('FET Data'!$AC136&lt;&gt;"(Null)")))</f>
        <v>1</v>
      </c>
      <c r="Q136" s="22" t="b">
        <f t="shared" si="11"/>
        <v>1</v>
      </c>
      <c r="R136" s="22" t="b">
        <f t="shared" si="12"/>
        <v>1</v>
      </c>
    </row>
    <row r="137" spans="1:18" x14ac:dyDescent="0.25">
      <c r="A137" s="22" t="str">
        <f>IF(R137,Discrete_NFET[[#This Row],[PARTNUMBER]],"")</f>
        <v/>
      </c>
      <c r="B137"/>
      <c r="C137" s="22" t="b">
        <f>AND((Discrete_NFET[[#This Row],[VDSMAX]]&gt;=VDC_AVG*1.25),(Discrete_NFET[[#This Row],[VGSMAX]]&gt;=GDR_V*1.2))</f>
        <v>1</v>
      </c>
      <c r="D137" s="22" t="b">
        <f>AND(VDC_AVG&lt;=25,Discrete_NFET[[#This Row],[VDSMAX]]&lt;=30)</f>
        <v>0</v>
      </c>
      <c r="E137" s="22" t="b">
        <f>AND(VDC_AVG&lt;=33,VDC_AVG&gt;=12,Discrete_NFET[[#This Row],[VDSMAX]]=40)</f>
        <v>0</v>
      </c>
      <c r="F137" s="22" t="b">
        <f>AND(VDC_AVG&lt;=50,VDC_AVG&gt;=18,Discrete_NFET[[#This Row],[VDSMAX]]=60)</f>
        <v>0</v>
      </c>
      <c r="G137" s="22" t="b">
        <f>AND(VDC_AVG&lt;=66,VDC_AVG&gt;=24,Discrete_NFET[[#This Row],[VDSMAX]]=80)</f>
        <v>0</v>
      </c>
      <c r="H137" s="22" t="b">
        <f>AND(VDC_AVG&lt;=83,VDC_AVG&gt;=36,Discrete_NFET[[#This Row],[VDSMAX]]=100)</f>
        <v>0</v>
      </c>
      <c r="I137" s="22" t="b">
        <f t="shared" si="10"/>
        <v>0</v>
      </c>
      <c r="J137" s="22" t="b">
        <f>AND(((GDR_V)&lt;2.5),('FET Data'!$AC139&lt;&gt;"(Null)"))</f>
        <v>0</v>
      </c>
      <c r="K137" s="22" t="b">
        <f>AND(((GDR_V)&gt;=2.5),((GDR_V)&lt;3),OR(('FET Data'!$AD139&lt;&gt;"(Null)"),('FET Data'!$AC139&lt;&gt;"(Null)")))</f>
        <v>0</v>
      </c>
      <c r="L137" s="22" t="b">
        <f>AND(((GDR_V)&gt;=3),((GDR_V)&lt;4.5),OR(('FET Data'!$AE139&lt;&gt;"(Null)"),('FET Data'!$AD139&lt;&gt;"(Null)"),('FET Data'!$AC139&lt;&gt;"(Null)")))</f>
        <v>0</v>
      </c>
      <c r="M137" s="22" t="b">
        <f>AND(((GDR_V)&gt;=4.5),((GDR_V)&lt;6),OR(('FET Data'!$AF139&lt;&gt;"(Null)"),('FET Data'!$AE139&lt;&gt;"(Null)"),('FET Data'!$AD139&lt;&gt;"(Null)"),('FET Data'!$AC139&lt;&gt;"(Null)")))</f>
        <v>0</v>
      </c>
      <c r="N137" s="22" t="b">
        <f>AND(((GDR_V)&gt;=6),((GDR_V)&lt;8),OR(('FET Data'!$AG139&lt;&gt;"(Null)"),('FET Data'!$AF139&lt;&gt;"(Null)"),('FET Data'!$AE139&lt;&gt;"(Null)"),('FET Data'!$AD139&lt;&gt;"(Null)"),('FET Data'!$AC139&lt;&gt;"(Null)")))</f>
        <v>0</v>
      </c>
      <c r="O137" s="22" t="b">
        <f>AND(((GDR_V)&gt;=8),((GDR_V)&lt;10),OR(('FET Data'!$AH139&lt;&gt;"(Null)"),('FET Data'!$AG139&lt;&gt;"(Null)"),('FET Data'!$AF139&lt;&gt;"(Null)"),('FET Data'!$AE139&lt;&gt;"(Null)"),('FET Data'!$AD139&lt;&gt;"(Null)"),('FET Data'!$AC139&lt;&gt;"(Null)")))</f>
        <v>0</v>
      </c>
      <c r="P137" s="22" t="b">
        <f>AND(((GDR_V)&gt;=10),OR(('FET Data'!$AI139&lt;&gt;"(Null)"),('FET Data'!$AH139&lt;&gt;"(Null)"),('FET Data'!$AG139&lt;&gt;"(Null)"),('FET Data'!$AF139&lt;&gt;"(Null)"),('FET Data'!$AE139&lt;&gt;"(Null)"),('FET Data'!$AD139&lt;&gt;"(Null)"),('FET Data'!$AC139&lt;&gt;"(Null)")))</f>
        <v>1</v>
      </c>
      <c r="Q137" s="22" t="b">
        <f t="shared" si="11"/>
        <v>1</v>
      </c>
      <c r="R137" s="22" t="b">
        <f t="shared" si="12"/>
        <v>0</v>
      </c>
    </row>
    <row r="138" spans="1:18" x14ac:dyDescent="0.25">
      <c r="A138" s="22" t="str">
        <f>IF(R138,Discrete_NFET[[#This Row],[PARTNUMBER]],"")</f>
        <v/>
      </c>
      <c r="B138"/>
      <c r="C138" s="22" t="b">
        <f>AND((Discrete_NFET[[#This Row],[VDSMAX]]&gt;=VDC_AVG*1.25),(Discrete_NFET[[#This Row],[VGSMAX]]&gt;=GDR_V*1.2))</f>
        <v>1</v>
      </c>
      <c r="D138" s="22" t="b">
        <f>AND(VDC_AVG&lt;=25,Discrete_NFET[[#This Row],[VDSMAX]]&lt;=30)</f>
        <v>0</v>
      </c>
      <c r="E138" s="22" t="b">
        <f>AND(VDC_AVG&lt;=33,VDC_AVG&gt;=12,Discrete_NFET[[#This Row],[VDSMAX]]=40)</f>
        <v>0</v>
      </c>
      <c r="F138" s="22" t="b">
        <f>AND(VDC_AVG&lt;=50,VDC_AVG&gt;=18,Discrete_NFET[[#This Row],[VDSMAX]]=60)</f>
        <v>0</v>
      </c>
      <c r="G138" s="22" t="b">
        <f>AND(VDC_AVG&lt;=66,VDC_AVG&gt;=24,Discrete_NFET[[#This Row],[VDSMAX]]=80)</f>
        <v>0</v>
      </c>
      <c r="H138" s="22" t="b">
        <f>AND(VDC_AVG&lt;=83,VDC_AVG&gt;=36,Discrete_NFET[[#This Row],[VDSMAX]]=100)</f>
        <v>0</v>
      </c>
      <c r="I138" s="22" t="b">
        <f t="shared" si="10"/>
        <v>0</v>
      </c>
      <c r="J138" s="22" t="b">
        <f>AND(((GDR_V)&lt;2.5),('FET Data'!$AC140&lt;&gt;"(Null)"))</f>
        <v>0</v>
      </c>
      <c r="K138" s="22" t="b">
        <f>AND(((GDR_V)&gt;=2.5),((GDR_V)&lt;3),OR(('FET Data'!$AD140&lt;&gt;"(Null)"),('FET Data'!$AC140&lt;&gt;"(Null)")))</f>
        <v>0</v>
      </c>
      <c r="L138" s="22" t="b">
        <f>AND(((GDR_V)&gt;=3),((GDR_V)&lt;4.5),OR(('FET Data'!$AE140&lt;&gt;"(Null)"),('FET Data'!$AD140&lt;&gt;"(Null)"),('FET Data'!$AC140&lt;&gt;"(Null)")))</f>
        <v>0</v>
      </c>
      <c r="M138" s="22" t="b">
        <f>AND(((GDR_V)&gt;=4.5),((GDR_V)&lt;6),OR(('FET Data'!$AF140&lt;&gt;"(Null)"),('FET Data'!$AE140&lt;&gt;"(Null)"),('FET Data'!$AD140&lt;&gt;"(Null)"),('FET Data'!$AC140&lt;&gt;"(Null)")))</f>
        <v>0</v>
      </c>
      <c r="N138" s="22" t="b">
        <f>AND(((GDR_V)&gt;=6),((GDR_V)&lt;8),OR(('FET Data'!$AG140&lt;&gt;"(Null)"),('FET Data'!$AF140&lt;&gt;"(Null)"),('FET Data'!$AE140&lt;&gt;"(Null)"),('FET Data'!$AD140&lt;&gt;"(Null)"),('FET Data'!$AC140&lt;&gt;"(Null)")))</f>
        <v>0</v>
      </c>
      <c r="O138" s="22" t="b">
        <f>AND(((GDR_V)&gt;=8),((GDR_V)&lt;10),OR(('FET Data'!$AH140&lt;&gt;"(Null)"),('FET Data'!$AG140&lt;&gt;"(Null)"),('FET Data'!$AF140&lt;&gt;"(Null)"),('FET Data'!$AE140&lt;&gt;"(Null)"),('FET Data'!$AD140&lt;&gt;"(Null)"),('FET Data'!$AC140&lt;&gt;"(Null)")))</f>
        <v>0</v>
      </c>
      <c r="P138" s="22" t="b">
        <f>AND(((GDR_V)&gt;=10),OR(('FET Data'!$AI140&lt;&gt;"(Null)"),('FET Data'!$AH140&lt;&gt;"(Null)"),('FET Data'!$AG140&lt;&gt;"(Null)"),('FET Data'!$AF140&lt;&gt;"(Null)"),('FET Data'!$AE140&lt;&gt;"(Null)"),('FET Data'!$AD140&lt;&gt;"(Null)"),('FET Data'!$AC140&lt;&gt;"(Null)")))</f>
        <v>1</v>
      </c>
      <c r="Q138" s="22" t="b">
        <f t="shared" si="11"/>
        <v>1</v>
      </c>
      <c r="R138" s="22" t="b">
        <f t="shared" si="12"/>
        <v>0</v>
      </c>
    </row>
    <row r="139" spans="1:18" x14ac:dyDescent="0.25">
      <c r="A139" s="22" t="str">
        <f>IF(R139,Discrete_NFET[[#This Row],[PARTNUMBER]],"")</f>
        <v/>
      </c>
      <c r="B139"/>
      <c r="C139" s="22" t="b">
        <f>AND((Discrete_NFET[[#This Row],[VDSMAX]]&gt;=VDC_AVG*1.25),(Discrete_NFET[[#This Row],[VGSMAX]]&gt;=GDR_V*1.2))</f>
        <v>1</v>
      </c>
      <c r="D139" s="22" t="b">
        <f>AND(VDC_AVG&lt;=25,Discrete_NFET[[#This Row],[VDSMAX]]&lt;=30)</f>
        <v>0</v>
      </c>
      <c r="E139" s="22" t="b">
        <f>AND(VDC_AVG&lt;=33,VDC_AVG&gt;=12,Discrete_NFET[[#This Row],[VDSMAX]]=40)</f>
        <v>0</v>
      </c>
      <c r="F139" s="22" t="b">
        <f>AND(VDC_AVG&lt;=50,VDC_AVG&gt;=18,Discrete_NFET[[#This Row],[VDSMAX]]=60)</f>
        <v>0</v>
      </c>
      <c r="G139" s="22" t="b">
        <f>AND(VDC_AVG&lt;=66,VDC_AVG&gt;=24,Discrete_NFET[[#This Row],[VDSMAX]]=80)</f>
        <v>0</v>
      </c>
      <c r="H139" s="22" t="b">
        <f>AND(VDC_AVG&lt;=83,VDC_AVG&gt;=36,Discrete_NFET[[#This Row],[VDSMAX]]=100)</f>
        <v>0</v>
      </c>
      <c r="I139" s="22" t="b">
        <f t="shared" si="10"/>
        <v>0</v>
      </c>
      <c r="J139" s="22" t="b">
        <f>AND(((GDR_V)&lt;2.5),('FET Data'!$AC141&lt;&gt;"(Null)"))</f>
        <v>0</v>
      </c>
      <c r="K139" s="22" t="b">
        <f>AND(((GDR_V)&gt;=2.5),((GDR_V)&lt;3),OR(('FET Data'!$AD141&lt;&gt;"(Null)"),('FET Data'!$AC141&lt;&gt;"(Null)")))</f>
        <v>0</v>
      </c>
      <c r="L139" s="22" t="b">
        <f>AND(((GDR_V)&gt;=3),((GDR_V)&lt;4.5),OR(('FET Data'!$AE141&lt;&gt;"(Null)"),('FET Data'!$AD141&lt;&gt;"(Null)"),('FET Data'!$AC141&lt;&gt;"(Null)")))</f>
        <v>0</v>
      </c>
      <c r="M139" s="22" t="b">
        <f>AND(((GDR_V)&gt;=4.5),((GDR_V)&lt;6),OR(('FET Data'!$AF141&lt;&gt;"(Null)"),('FET Data'!$AE141&lt;&gt;"(Null)"),('FET Data'!$AD141&lt;&gt;"(Null)"),('FET Data'!$AC141&lt;&gt;"(Null)")))</f>
        <v>0</v>
      </c>
      <c r="N139" s="22" t="b">
        <f>AND(((GDR_V)&gt;=6),((GDR_V)&lt;8),OR(('FET Data'!$AG141&lt;&gt;"(Null)"),('FET Data'!$AF141&lt;&gt;"(Null)"),('FET Data'!$AE141&lt;&gt;"(Null)"),('FET Data'!$AD141&lt;&gt;"(Null)"),('FET Data'!$AC141&lt;&gt;"(Null)")))</f>
        <v>0</v>
      </c>
      <c r="O139" s="22" t="b">
        <f>AND(((GDR_V)&gt;=8),((GDR_V)&lt;10),OR(('FET Data'!$AH141&lt;&gt;"(Null)"),('FET Data'!$AG141&lt;&gt;"(Null)"),('FET Data'!$AF141&lt;&gt;"(Null)"),('FET Data'!$AE141&lt;&gt;"(Null)"),('FET Data'!$AD141&lt;&gt;"(Null)"),('FET Data'!$AC141&lt;&gt;"(Null)")))</f>
        <v>0</v>
      </c>
      <c r="P139" s="22" t="b">
        <f>AND(((GDR_V)&gt;=10),OR(('FET Data'!$AI141&lt;&gt;"(Null)"),('FET Data'!$AH141&lt;&gt;"(Null)"),('FET Data'!$AG141&lt;&gt;"(Null)"),('FET Data'!$AF141&lt;&gt;"(Null)"),('FET Data'!$AE141&lt;&gt;"(Null)"),('FET Data'!$AD141&lt;&gt;"(Null)"),('FET Data'!$AC141&lt;&gt;"(Null)")))</f>
        <v>1</v>
      </c>
      <c r="Q139" s="22" t="b">
        <f t="shared" si="11"/>
        <v>1</v>
      </c>
      <c r="R139" s="22" t="b">
        <f t="shared" si="12"/>
        <v>0</v>
      </c>
    </row>
    <row r="140" spans="1:18" x14ac:dyDescent="0.25">
      <c r="A140" s="22" t="str">
        <f>IF(R140,Discrete_NFET[[#This Row],[PARTNUMBER]],"")</f>
        <v/>
      </c>
      <c r="B140"/>
      <c r="C140" s="22" t="b">
        <f>AND((Discrete_NFET[[#This Row],[VDSMAX]]&gt;=VDC_AVG*1.25),(Discrete_NFET[[#This Row],[VGSMAX]]&gt;=GDR_V*1.2))</f>
        <v>1</v>
      </c>
      <c r="D140" s="22" t="b">
        <f>AND(VDC_AVG&lt;=25,Discrete_NFET[[#This Row],[VDSMAX]]&lt;=30)</f>
        <v>0</v>
      </c>
      <c r="E140" s="22" t="b">
        <f>AND(VDC_AVG&lt;=33,VDC_AVG&gt;=12,Discrete_NFET[[#This Row],[VDSMAX]]=40)</f>
        <v>0</v>
      </c>
      <c r="F140" s="22" t="b">
        <f>AND(VDC_AVG&lt;=50,VDC_AVG&gt;=18,Discrete_NFET[[#This Row],[VDSMAX]]=60)</f>
        <v>0</v>
      </c>
      <c r="G140" s="22" t="b">
        <f>AND(VDC_AVG&lt;=66,VDC_AVG&gt;=24,Discrete_NFET[[#This Row],[VDSMAX]]=80)</f>
        <v>0</v>
      </c>
      <c r="H140" s="22" t="b">
        <f>AND(VDC_AVG&lt;=83,VDC_AVG&gt;=36,Discrete_NFET[[#This Row],[VDSMAX]]=100)</f>
        <v>0</v>
      </c>
      <c r="I140" s="22" t="b">
        <f t="shared" si="10"/>
        <v>0</v>
      </c>
      <c r="J140" s="22" t="b">
        <f>AND(((GDR_V)&lt;2.5),('FET Data'!$AC142&lt;&gt;"(Null)"))</f>
        <v>0</v>
      </c>
      <c r="K140" s="22" t="b">
        <f>AND(((GDR_V)&gt;=2.5),((GDR_V)&lt;3),OR(('FET Data'!$AD142&lt;&gt;"(Null)"),('FET Data'!$AC142&lt;&gt;"(Null)")))</f>
        <v>0</v>
      </c>
      <c r="L140" s="22" t="b">
        <f>AND(((GDR_V)&gt;=3),((GDR_V)&lt;4.5),OR(('FET Data'!$AE142&lt;&gt;"(Null)"),('FET Data'!$AD142&lt;&gt;"(Null)"),('FET Data'!$AC142&lt;&gt;"(Null)")))</f>
        <v>0</v>
      </c>
      <c r="M140" s="22" t="b">
        <f>AND(((GDR_V)&gt;=4.5),((GDR_V)&lt;6),OR(('FET Data'!$AF142&lt;&gt;"(Null)"),('FET Data'!$AE142&lt;&gt;"(Null)"),('FET Data'!$AD142&lt;&gt;"(Null)"),('FET Data'!$AC142&lt;&gt;"(Null)")))</f>
        <v>0</v>
      </c>
      <c r="N140" s="22" t="b">
        <f>AND(((GDR_V)&gt;=6),((GDR_V)&lt;8),OR(('FET Data'!$AG142&lt;&gt;"(Null)"),('FET Data'!$AF142&lt;&gt;"(Null)"),('FET Data'!$AE142&lt;&gt;"(Null)"),('FET Data'!$AD142&lt;&gt;"(Null)"),('FET Data'!$AC142&lt;&gt;"(Null)")))</f>
        <v>0</v>
      </c>
      <c r="O140" s="22" t="b">
        <f>AND(((GDR_V)&gt;=8),((GDR_V)&lt;10),OR(('FET Data'!$AH142&lt;&gt;"(Null)"),('FET Data'!$AG142&lt;&gt;"(Null)"),('FET Data'!$AF142&lt;&gt;"(Null)"),('FET Data'!$AE142&lt;&gt;"(Null)"),('FET Data'!$AD142&lt;&gt;"(Null)"),('FET Data'!$AC142&lt;&gt;"(Null)")))</f>
        <v>0</v>
      </c>
      <c r="P140" s="22" t="b">
        <f>AND(((GDR_V)&gt;=10),OR(('FET Data'!$AI142&lt;&gt;"(Null)"),('FET Data'!$AH142&lt;&gt;"(Null)"),('FET Data'!$AG142&lt;&gt;"(Null)"),('FET Data'!$AF142&lt;&gt;"(Null)"),('FET Data'!$AE142&lt;&gt;"(Null)"),('FET Data'!$AD142&lt;&gt;"(Null)"),('FET Data'!$AC142&lt;&gt;"(Null)")))</f>
        <v>1</v>
      </c>
      <c r="Q140" s="22" t="b">
        <f t="shared" si="11"/>
        <v>1</v>
      </c>
      <c r="R140" s="22" t="b">
        <f t="shared" si="12"/>
        <v>0</v>
      </c>
    </row>
    <row r="141" spans="1:18" x14ac:dyDescent="0.25">
      <c r="A141" s="22" t="str">
        <f>IF(R141,Discrete_NFET[[#This Row],[PARTNUMBER]],"")</f>
        <v>CSD88584Q5DC (CONT)</v>
      </c>
      <c r="B141"/>
      <c r="C141" s="22" t="b">
        <f>AND((Discrete_NFET[[#This Row],[VDSMAX]]&gt;=VDC_AVG*1.25),(Discrete_NFET[[#This Row],[VGSMAX]]&gt;=GDR_V*1.2))</f>
        <v>1</v>
      </c>
      <c r="D141" s="22" t="b">
        <f>AND(VDC_AVG&lt;=25,Discrete_NFET[[#This Row],[VDSMAX]]&lt;=30)</f>
        <v>0</v>
      </c>
      <c r="E141" s="22" t="b">
        <f>AND(VDC_AVG&lt;=33,VDC_AVG&gt;=12,Discrete_NFET[[#This Row],[VDSMAX]]=40)</f>
        <v>1</v>
      </c>
      <c r="F141" s="22" t="b">
        <f>AND(VDC_AVG&lt;=50,VDC_AVG&gt;=18,Discrete_NFET[[#This Row],[VDSMAX]]=60)</f>
        <v>0</v>
      </c>
      <c r="G141" s="22" t="b">
        <f>AND(VDC_AVG&lt;=66,VDC_AVG&gt;=24,Discrete_NFET[[#This Row],[VDSMAX]]=80)</f>
        <v>0</v>
      </c>
      <c r="H141" s="22" t="b">
        <f>AND(VDC_AVG&lt;=83,VDC_AVG&gt;=36,Discrete_NFET[[#This Row],[VDSMAX]]=100)</f>
        <v>0</v>
      </c>
      <c r="I141" s="22" t="b">
        <f t="shared" si="10"/>
        <v>1</v>
      </c>
      <c r="J141" s="22" t="b">
        <f>AND(((GDR_V)&lt;2.5),('FET Data'!$AC143&lt;&gt;"(Null)"))</f>
        <v>0</v>
      </c>
      <c r="K141" s="22" t="b">
        <f>AND(((GDR_V)&gt;=2.5),((GDR_V)&lt;3),OR(('FET Data'!$AD143&lt;&gt;"(Null)"),('FET Data'!$AC143&lt;&gt;"(Null)")))</f>
        <v>0</v>
      </c>
      <c r="L141" s="22" t="b">
        <f>AND(((GDR_V)&gt;=3),((GDR_V)&lt;4.5),OR(('FET Data'!$AE143&lt;&gt;"(Null)"),('FET Data'!$AD143&lt;&gt;"(Null)"),('FET Data'!$AC143&lt;&gt;"(Null)")))</f>
        <v>0</v>
      </c>
      <c r="M141" s="22" t="b">
        <f>AND(((GDR_V)&gt;=4.5),((GDR_V)&lt;6),OR(('FET Data'!$AF143&lt;&gt;"(Null)"),('FET Data'!$AE143&lt;&gt;"(Null)"),('FET Data'!$AD143&lt;&gt;"(Null)"),('FET Data'!$AC143&lt;&gt;"(Null)")))</f>
        <v>0</v>
      </c>
      <c r="N141" s="22" t="b">
        <f>AND(((GDR_V)&gt;=6),((GDR_V)&lt;8),OR(('FET Data'!$AG143&lt;&gt;"(Null)"),('FET Data'!$AF143&lt;&gt;"(Null)"),('FET Data'!$AE143&lt;&gt;"(Null)"),('FET Data'!$AD143&lt;&gt;"(Null)"),('FET Data'!$AC143&lt;&gt;"(Null)")))</f>
        <v>0</v>
      </c>
      <c r="O141" s="22" t="b">
        <f>AND(((GDR_V)&gt;=8),((GDR_V)&lt;10),OR(('FET Data'!$AH143&lt;&gt;"(Null)"),('FET Data'!$AG143&lt;&gt;"(Null)"),('FET Data'!$AF143&lt;&gt;"(Null)"),('FET Data'!$AE143&lt;&gt;"(Null)"),('FET Data'!$AD143&lt;&gt;"(Null)"),('FET Data'!$AC143&lt;&gt;"(Null)")))</f>
        <v>0</v>
      </c>
      <c r="P141" s="22" t="b">
        <f>AND(((GDR_V)&gt;=10),OR(('FET Data'!$AI143&lt;&gt;"(Null)"),('FET Data'!$AH143&lt;&gt;"(Null)"),('FET Data'!$AG143&lt;&gt;"(Null)"),('FET Data'!$AF143&lt;&gt;"(Null)"),('FET Data'!$AE143&lt;&gt;"(Null)"),('FET Data'!$AD143&lt;&gt;"(Null)"),('FET Data'!$AC143&lt;&gt;"(Null)")))</f>
        <v>1</v>
      </c>
      <c r="Q141" s="22" t="b">
        <f t="shared" si="11"/>
        <v>1</v>
      </c>
      <c r="R141" s="22" t="b">
        <f t="shared" si="12"/>
        <v>1</v>
      </c>
    </row>
    <row r="142" spans="1:18" x14ac:dyDescent="0.25">
      <c r="A142" s="22" t="str">
        <f>IF(R142,Discrete_NFET[[#This Row],[PARTNUMBER]],"")</f>
        <v>CSD88584Q5DC (SYNC)</v>
      </c>
      <c r="B142"/>
      <c r="C142" s="22" t="b">
        <f>AND((Discrete_NFET[[#This Row],[VDSMAX]]&gt;=VDC_AVG*1.25),(Discrete_NFET[[#This Row],[VGSMAX]]&gt;=GDR_V*1.2))</f>
        <v>1</v>
      </c>
      <c r="D142" s="22" t="b">
        <f>AND(VDC_AVG&lt;=25,Discrete_NFET[[#This Row],[VDSMAX]]&lt;=30)</f>
        <v>0</v>
      </c>
      <c r="E142" s="22" t="b">
        <f>AND(VDC_AVG&lt;=33,VDC_AVG&gt;=12,Discrete_NFET[[#This Row],[VDSMAX]]=40)</f>
        <v>1</v>
      </c>
      <c r="F142" s="22" t="b">
        <f>AND(VDC_AVG&lt;=50,VDC_AVG&gt;=18,Discrete_NFET[[#This Row],[VDSMAX]]=60)</f>
        <v>0</v>
      </c>
      <c r="G142" s="22" t="b">
        <f>AND(VDC_AVG&lt;=66,VDC_AVG&gt;=24,Discrete_NFET[[#This Row],[VDSMAX]]=80)</f>
        <v>0</v>
      </c>
      <c r="H142" s="22" t="b">
        <f>AND(VDC_AVG&lt;=83,VDC_AVG&gt;=36,Discrete_NFET[[#This Row],[VDSMAX]]=100)</f>
        <v>0</v>
      </c>
      <c r="I142" s="22" t="b">
        <f t="shared" si="10"/>
        <v>1</v>
      </c>
      <c r="J142" s="22" t="b">
        <f>AND(((GDR_V)&lt;2.5),('FET Data'!$AC144&lt;&gt;"(Null)"))</f>
        <v>0</v>
      </c>
      <c r="K142" s="22" t="b">
        <f>AND(((GDR_V)&gt;=2.5),((GDR_V)&lt;3),OR(('FET Data'!$AD144&lt;&gt;"(Null)"),('FET Data'!$AC144&lt;&gt;"(Null)")))</f>
        <v>0</v>
      </c>
      <c r="L142" s="22" t="b">
        <f>AND(((GDR_V)&gt;=3),((GDR_V)&lt;4.5),OR(('FET Data'!$AE144&lt;&gt;"(Null)"),('FET Data'!$AD144&lt;&gt;"(Null)"),('FET Data'!$AC144&lt;&gt;"(Null)")))</f>
        <v>0</v>
      </c>
      <c r="M142" s="22" t="b">
        <f>AND(((GDR_V)&gt;=4.5),((GDR_V)&lt;6),OR(('FET Data'!$AF144&lt;&gt;"(Null)"),('FET Data'!$AE144&lt;&gt;"(Null)"),('FET Data'!$AD144&lt;&gt;"(Null)"),('FET Data'!$AC144&lt;&gt;"(Null)")))</f>
        <v>0</v>
      </c>
      <c r="N142" s="22" t="b">
        <f>AND(((GDR_V)&gt;=6),((GDR_V)&lt;8),OR(('FET Data'!$AG144&lt;&gt;"(Null)"),('FET Data'!$AF144&lt;&gt;"(Null)"),('FET Data'!$AE144&lt;&gt;"(Null)"),('FET Data'!$AD144&lt;&gt;"(Null)"),('FET Data'!$AC144&lt;&gt;"(Null)")))</f>
        <v>0</v>
      </c>
      <c r="O142" s="22" t="b">
        <f>AND(((GDR_V)&gt;=8),((GDR_V)&lt;10),OR(('FET Data'!$AH144&lt;&gt;"(Null)"),('FET Data'!$AG144&lt;&gt;"(Null)"),('FET Data'!$AF144&lt;&gt;"(Null)"),('FET Data'!$AE144&lt;&gt;"(Null)"),('FET Data'!$AD144&lt;&gt;"(Null)"),('FET Data'!$AC144&lt;&gt;"(Null)")))</f>
        <v>0</v>
      </c>
      <c r="P142" s="22" t="b">
        <f>AND(((GDR_V)&gt;=10),OR(('FET Data'!$AI144&lt;&gt;"(Null)"),('FET Data'!$AH144&lt;&gt;"(Null)"),('FET Data'!$AG144&lt;&gt;"(Null)"),('FET Data'!$AF144&lt;&gt;"(Null)"),('FET Data'!$AE144&lt;&gt;"(Null)"),('FET Data'!$AD144&lt;&gt;"(Null)"),('FET Data'!$AC144&lt;&gt;"(Null)")))</f>
        <v>1</v>
      </c>
      <c r="Q142" s="22" t="b">
        <f t="shared" si="11"/>
        <v>1</v>
      </c>
      <c r="R142" s="22" t="b">
        <f t="shared" si="12"/>
        <v>1</v>
      </c>
    </row>
    <row r="143" spans="1:18" x14ac:dyDescent="0.25">
      <c r="B143"/>
    </row>
    <row r="144" spans="1:18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</sheetData>
  <mergeCells count="1">
    <mergeCell ref="U4:AB4"/>
  </mergeCells>
  <pageMargins left="0.7" right="0.7" top="0.75" bottom="0.75" header="0.3" footer="0.3"/>
  <pageSetup orientation="portrait" horizontalDpi="90" verticalDpi="9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4:I36"/>
  <sheetViews>
    <sheetView topLeftCell="A4" workbookViewId="0">
      <selection activeCell="E40" sqref="E40"/>
    </sheetView>
  </sheetViews>
  <sheetFormatPr defaultRowHeight="15" x14ac:dyDescent="0.25"/>
  <cols>
    <col min="3" max="3" width="14.85546875" bestFit="1" customWidth="1"/>
    <col min="4" max="4" width="14.85546875" customWidth="1"/>
    <col min="5" max="5" width="14.85546875" bestFit="1" customWidth="1"/>
    <col min="6" max="6" width="14.85546875" customWidth="1"/>
    <col min="7" max="8" width="14.85546875" bestFit="1" customWidth="1"/>
  </cols>
  <sheetData>
    <row r="4" spans="2:9" x14ac:dyDescent="0.25">
      <c r="B4" s="237" t="s">
        <v>425</v>
      </c>
      <c r="C4" s="237"/>
      <c r="D4" s="237"/>
      <c r="E4" s="237"/>
      <c r="F4" s="237"/>
      <c r="G4" s="237"/>
      <c r="H4" s="237"/>
      <c r="I4" s="237"/>
    </row>
    <row r="5" spans="2:9" x14ac:dyDescent="0.25">
      <c r="C5" t="s">
        <v>42</v>
      </c>
      <c r="D5" t="s">
        <v>392</v>
      </c>
      <c r="E5" t="s">
        <v>375</v>
      </c>
      <c r="F5" t="s">
        <v>376</v>
      </c>
      <c r="G5" t="s">
        <v>44</v>
      </c>
      <c r="H5" t="s">
        <v>45</v>
      </c>
    </row>
    <row r="6" spans="2:9" x14ac:dyDescent="0.25">
      <c r="C6" t="s">
        <v>403</v>
      </c>
      <c r="D6" t="s">
        <v>404</v>
      </c>
      <c r="E6" t="s">
        <v>405</v>
      </c>
      <c r="F6" t="s">
        <v>406</v>
      </c>
      <c r="G6" t="s">
        <v>407</v>
      </c>
      <c r="H6" t="s">
        <v>408</v>
      </c>
      <c r="I6" t="s">
        <v>374</v>
      </c>
    </row>
    <row r="7" spans="2:9" x14ac:dyDescent="0.25">
      <c r="C7" s="22" t="b">
        <f>(GDR_V&gt;=2.5)</f>
        <v>1</v>
      </c>
      <c r="D7" s="22" t="b">
        <f>(GDR_V&gt;=3)</f>
        <v>1</v>
      </c>
      <c r="E7" s="22" t="b">
        <f>(GDR_V&gt;=4)</f>
        <v>1</v>
      </c>
      <c r="F7" s="22" t="b">
        <f>(GDR_V&gt;=5.5)</f>
        <v>1</v>
      </c>
      <c r="G7" s="22" t="b">
        <f>(GDR_V&gt;=7)</f>
        <v>1</v>
      </c>
      <c r="H7" s="22" t="b">
        <f>(GDR_V&gt;=8)</f>
        <v>1</v>
      </c>
      <c r="I7" s="22">
        <f>IF(H10,LOOKUP(Q2_Part_Number2,Discrete_NFET[PARTNUMBER],Discrete_NFET[RDSON10])*1000,IF(G10,LOOKUP(Q2_Part_Number2,Discrete_NFET[PARTNUMBER],Discrete_NFET[RDSON8])*1000,IF(F10,LOOKUP(Q2_Part_Number2,Discrete_NFET[PARTNUMBER],Discrete_NFET[RDSON6])*1000,IF(E10,LOOKUP(Q2_Part_Number2,Discrete_NFET[PARTNUMBER],Discrete_NFET[RDSON45])*1000,IF(D10,LOOKUP(Q2_Part_Number2,Discrete_NFET[PARTNUMBER],Discrete_NFET[RDSON3])*1000,IF(C10,LOOKUP(Q2_Part_Number2,Discrete_NFET[PARTNUMBER],Discrete_NFET[RDSON25])*1000,""))))))</f>
        <v>4</v>
      </c>
    </row>
    <row r="8" spans="2:9" x14ac:dyDescent="0.25">
      <c r="C8" t="str">
        <f>IF(LOOKUP(Q2_Part_Number2,Discrete_NFET[PARTNUMBER],Discrete_NFET[RDSON25])="(NULL)","0","1")</f>
        <v>0</v>
      </c>
      <c r="D8" t="str">
        <f>IF(LOOKUP(Q2_Part_Number2,Discrete_NFET[PARTNUMBER],Discrete_NFET[RDSON3])="(NULL)","0","1")</f>
        <v>0</v>
      </c>
      <c r="E8" t="str">
        <f>IF(LOOKUP(Q2_Part_Number2,Discrete_NFET[PARTNUMBER],Discrete_NFET[RDSON45])="(NULL)","0","1")</f>
        <v>1</v>
      </c>
      <c r="F8" t="str">
        <f>IF(LOOKUP(Q2_Part_Number2,Discrete_NFET[PARTNUMBER],Discrete_NFET[RDSON6])="(NULL)","0","1")</f>
        <v>0</v>
      </c>
      <c r="G8" t="str">
        <f>IF(LOOKUP(Q2_Part_Number2,Discrete_NFET[PARTNUMBER],Discrete_NFET[RDSON8])="(NULL)","0","1")</f>
        <v>0</v>
      </c>
      <c r="H8" t="str">
        <f>IF(LOOKUP(Q2_Part_Number2,Discrete_NFET[PARTNUMBER],Discrete_NFET[RDSON10])="(NULL)","0","1")</f>
        <v>1</v>
      </c>
    </row>
    <row r="9" spans="2:9" x14ac:dyDescent="0.25">
      <c r="C9" t="b">
        <f t="shared" ref="C9:H9" si="0">AND(C7,C8="1")</f>
        <v>0</v>
      </c>
      <c r="D9" t="b">
        <f t="shared" si="0"/>
        <v>0</v>
      </c>
      <c r="E9" t="b">
        <f t="shared" si="0"/>
        <v>1</v>
      </c>
      <c r="F9" t="b">
        <f t="shared" si="0"/>
        <v>0</v>
      </c>
      <c r="G9" t="b">
        <f t="shared" si="0"/>
        <v>0</v>
      </c>
      <c r="H9" t="b">
        <f t="shared" si="0"/>
        <v>1</v>
      </c>
    </row>
    <row r="10" spans="2:9" x14ac:dyDescent="0.25">
      <c r="B10" t="b">
        <f>OR(C9:H9)</f>
        <v>1</v>
      </c>
      <c r="C10" t="b">
        <f t="shared" ref="C10:H10" si="1">AND($B$7,C7,C8="1")</f>
        <v>0</v>
      </c>
      <c r="D10" t="b">
        <f t="shared" si="1"/>
        <v>0</v>
      </c>
      <c r="E10" t="b">
        <f t="shared" si="1"/>
        <v>1</v>
      </c>
      <c r="F10" t="b">
        <f t="shared" si="1"/>
        <v>0</v>
      </c>
      <c r="G10" t="b">
        <f t="shared" si="1"/>
        <v>0</v>
      </c>
      <c r="H10" t="b">
        <f t="shared" si="1"/>
        <v>1</v>
      </c>
    </row>
    <row r="11" spans="2:9" x14ac:dyDescent="0.25">
      <c r="B11" t="e">
        <f>NOT(AND((VDC_RATED&lt;=6),('FET Data'!$AD2="(Null)")))</f>
        <v>#NAME?</v>
      </c>
    </row>
    <row r="13" spans="2:9" x14ac:dyDescent="0.25">
      <c r="B13" s="22"/>
      <c r="C13" s="22" t="s">
        <v>42</v>
      </c>
      <c r="D13" s="22" t="s">
        <v>392</v>
      </c>
      <c r="E13" s="22" t="s">
        <v>375</v>
      </c>
      <c r="F13" s="22" t="s">
        <v>376</v>
      </c>
      <c r="G13" s="22" t="s">
        <v>44</v>
      </c>
      <c r="H13" s="22" t="s">
        <v>45</v>
      </c>
      <c r="I13" s="22"/>
    </row>
    <row r="14" spans="2:9" x14ac:dyDescent="0.25">
      <c r="B14" s="22"/>
      <c r="C14" s="22" t="s">
        <v>403</v>
      </c>
      <c r="D14" s="22" t="s">
        <v>404</v>
      </c>
      <c r="E14" s="22" t="s">
        <v>405</v>
      </c>
      <c r="F14" s="22" t="s">
        <v>406</v>
      </c>
      <c r="G14" s="22" t="s">
        <v>407</v>
      </c>
      <c r="H14" s="22" t="s">
        <v>408</v>
      </c>
      <c r="I14" s="22" t="s">
        <v>374</v>
      </c>
    </row>
    <row r="15" spans="2:9" x14ac:dyDescent="0.25">
      <c r="B15" s="22"/>
      <c r="C15" s="22" t="b">
        <f>(GDR_V&gt;=2.5)</f>
        <v>1</v>
      </c>
      <c r="D15" s="22" t="b">
        <f>(GDR_V&gt;=3)</f>
        <v>1</v>
      </c>
      <c r="E15" s="22" t="b">
        <f>(GDR_V&gt;=4)</f>
        <v>1</v>
      </c>
      <c r="F15" s="22" t="b">
        <f>(GDR_V&gt;=5.5)</f>
        <v>1</v>
      </c>
      <c r="G15" s="22" t="b">
        <f>(GDR_V&gt;=7)</f>
        <v>1</v>
      </c>
      <c r="H15" s="22" t="b">
        <f>AND(GDR_V&gt;=8)</f>
        <v>1</v>
      </c>
      <c r="I15" s="22">
        <f>IF(H18,LOOKUP(Q1_Part_Number2,Discrete_NFET[PARTNUMBER],Discrete_NFET[RDSON10])*1000,IF(G18,LOOKUP(Q1_Part_Number2,Discrete_NFET[PARTNUMBER],Discrete_NFET[RDSON8])*1000,IF(F18,LOOKUP(Q1_Part_Number2,Discrete_NFET[PARTNUMBER],Discrete_NFET[RDSON6])*1000,IF(E18,LOOKUP(Q1_Part_Number2,Discrete_NFET[PARTNUMBER],Discrete_NFET[RDSON45])*1000,IF(D18,LOOKUP(Q1_Part_Number2,Discrete_NFET[PARTNUMBER],Discrete_NFET[RDSON3])*1000,IF(C18,LOOKUP(Q1_Part_Number2,Discrete_NFET[PARTNUMBER],Discrete_NFET[RDSON25])*1000,""))))))</f>
        <v>4</v>
      </c>
    </row>
    <row r="16" spans="2:9" x14ac:dyDescent="0.25">
      <c r="B16" s="22"/>
      <c r="C16" s="22" t="str">
        <f>IF(LOOKUP(Q2_Part_Number2,Discrete_NFET[PARTNUMBER],Discrete_NFET[RDSON25])="(NULL)","0","1")</f>
        <v>0</v>
      </c>
      <c r="D16" s="22" t="str">
        <f>IF(LOOKUP(Q2_Part_Number2,Discrete_NFET[PARTNUMBER],Discrete_NFET[RDSON3])="(NULL)","0","1")</f>
        <v>0</v>
      </c>
      <c r="E16" s="22" t="str">
        <f>IF(LOOKUP(Q2_Part_Number2,Discrete_NFET[PARTNUMBER],Discrete_NFET[RDSON45])="(NULL)","0","1")</f>
        <v>1</v>
      </c>
      <c r="F16" s="22" t="str">
        <f>IF(LOOKUP(Q2_Part_Number2,Discrete_NFET[PARTNUMBER],Discrete_NFET[RDSON6])="(NULL)","0","1")</f>
        <v>0</v>
      </c>
      <c r="G16" s="22" t="str">
        <f>IF(LOOKUP(Q2_Part_Number2,Discrete_NFET[PARTNUMBER],Discrete_NFET[RDSON8])="(NULL)","0","1")</f>
        <v>0</v>
      </c>
      <c r="H16" s="22" t="str">
        <f>IF(LOOKUP(Q2_Part_Number2,Discrete_NFET[PARTNUMBER],Discrete_NFET[RDSON10])="(NULL)","0","1")</f>
        <v>1</v>
      </c>
      <c r="I16" s="22"/>
    </row>
    <row r="17" spans="1:9" x14ac:dyDescent="0.25">
      <c r="B17" s="22"/>
      <c r="C17" s="22" t="b">
        <f t="shared" ref="C17:H17" si="2">AND(C15,C16="1")</f>
        <v>0</v>
      </c>
      <c r="D17" s="22" t="b">
        <f t="shared" si="2"/>
        <v>0</v>
      </c>
      <c r="E17" s="22" t="b">
        <f t="shared" si="2"/>
        <v>1</v>
      </c>
      <c r="F17" s="22" t="b">
        <f t="shared" si="2"/>
        <v>0</v>
      </c>
      <c r="G17" s="22" t="b">
        <f t="shared" si="2"/>
        <v>0</v>
      </c>
      <c r="H17" s="22" t="b">
        <f t="shared" si="2"/>
        <v>1</v>
      </c>
      <c r="I17" s="22"/>
    </row>
    <row r="18" spans="1:9" x14ac:dyDescent="0.25">
      <c r="B18" s="22" t="b">
        <f>OR(C17:H17)</f>
        <v>1</v>
      </c>
      <c r="C18" s="22" t="b">
        <f t="shared" ref="C18:H18" si="3">AND($U$7,C15,C16="1")</f>
        <v>0</v>
      </c>
      <c r="D18" s="22" t="b">
        <f t="shared" si="3"/>
        <v>0</v>
      </c>
      <c r="E18" s="22" t="b">
        <f t="shared" si="3"/>
        <v>1</v>
      </c>
      <c r="F18" s="22" t="b">
        <f t="shared" si="3"/>
        <v>0</v>
      </c>
      <c r="G18" s="22" t="b">
        <f t="shared" si="3"/>
        <v>0</v>
      </c>
      <c r="H18" s="22" t="b">
        <f t="shared" si="3"/>
        <v>1</v>
      </c>
      <c r="I18" s="22"/>
    </row>
    <row r="19" spans="1:9" x14ac:dyDescent="0.25">
      <c r="B19" s="22" t="e">
        <f>NOT(AND((VDC_RATED&lt;=6),('FET Data'!$AD10="(Null)")))</f>
        <v>#NAME?</v>
      </c>
      <c r="C19" s="22"/>
      <c r="D19" s="22"/>
      <c r="E19" s="22"/>
      <c r="F19" s="22"/>
      <c r="G19" s="22"/>
      <c r="H19" s="22"/>
      <c r="I19" s="22"/>
    </row>
    <row r="21" spans="1:9" x14ac:dyDescent="0.25">
      <c r="B21" t="e">
        <f>NOT(AND((VDC_RATED&lt;=4.5),('FET Data'!#REF!="(Null)")))</f>
        <v>#NAME?</v>
      </c>
    </row>
    <row r="23" spans="1:9" x14ac:dyDescent="0.25">
      <c r="A23" t="s">
        <v>414</v>
      </c>
    </row>
    <row r="24" spans="1:9" x14ac:dyDescent="0.25">
      <c r="A24" t="s">
        <v>413</v>
      </c>
    </row>
    <row r="25" spans="1:9" x14ac:dyDescent="0.25">
      <c r="A25" t="s">
        <v>412</v>
      </c>
      <c r="B25" t="e">
        <f>LOOKUP('User Input'!F15,Discrete_NFET[PARTNUMBER],Discrete_NFET[RDSON25])*1000</f>
        <v>#N/A</v>
      </c>
    </row>
    <row r="26" spans="1:9" x14ac:dyDescent="0.25">
      <c r="A26" t="s">
        <v>411</v>
      </c>
    </row>
    <row r="27" spans="1:9" x14ac:dyDescent="0.25">
      <c r="A27" t="s">
        <v>410</v>
      </c>
      <c r="B27" t="e">
        <f>(AND((VDC_RATED&lt;4.5),NOT(AND('FET Data'!$AC3="(Null)",'FET Data'!#REF!="(Null)"))))</f>
        <v>#NAME?</v>
      </c>
    </row>
    <row r="28" spans="1:9" x14ac:dyDescent="0.25">
      <c r="A28" t="s">
        <v>409</v>
      </c>
      <c r="B28" t="e">
        <f>OR('FET Data'!$AC2="(Null)",'FET Data'!#REF!="(Null)")</f>
        <v>#REF!</v>
      </c>
    </row>
    <row r="29" spans="1:9" x14ac:dyDescent="0.25">
      <c r="C29" t="s">
        <v>415</v>
      </c>
    </row>
    <row r="30" spans="1:9" x14ac:dyDescent="0.25">
      <c r="B30" t="e">
        <f>AND((VDC_RATED&gt;=10),OR(('FET Data'!$AG2&lt;&gt;"(Null)"),('FET Data'!$AF2&lt;&gt;"(Null)"),('FET Data'!$AE2&lt;&gt;"(Null)"),('FET Data'!$AD2&lt;&gt;"(Null)"),('FET Data'!$AC2&lt;&gt;"(Null)"),('FET Data'!#REF!&lt;&gt;"(Null)")))</f>
        <v>#NAME?</v>
      </c>
      <c r="C30" t="b">
        <f>('FET Data'!$AG2&lt;&gt;"(Null)")</f>
        <v>0</v>
      </c>
    </row>
    <row r="31" spans="1:9" x14ac:dyDescent="0.25">
      <c r="B31" t="e">
        <f>AND((VDC_RATED&gt;=8),(VDC_RATED&lt;10),OR(('FET Data'!$AF2&lt;&gt;"(Null)"),('FET Data'!$AE2&lt;&gt;"(Null)"),('FET Data'!$AD2&lt;&gt;"(Null)"),('FET Data'!$AC2&lt;&gt;"(Null)"),('FET Data'!#REF!&lt;&gt;"(Null)")))</f>
        <v>#NAME?</v>
      </c>
      <c r="C31" t="b">
        <f>('FET Data'!$AF2&lt;&gt;"(Null)")</f>
        <v>1</v>
      </c>
    </row>
    <row r="32" spans="1:9" x14ac:dyDescent="0.25">
      <c r="B32" t="e">
        <f>AND((VDC_RATED&gt;=6),(VDC_RATED&lt;8),OR(('FET Data'!$AE2&lt;&gt;"(Null)"),('FET Data'!$AD2&lt;&gt;"(Null)"),('FET Data'!$AC2&lt;&gt;"(Null)"),('FET Data'!#REF!&lt;&gt;"(Null)")))</f>
        <v>#NAME?</v>
      </c>
      <c r="C32" t="b">
        <f>('FET Data'!$AE2&lt;&gt;"(Null)")</f>
        <v>1</v>
      </c>
    </row>
    <row r="33" spans="2:3" x14ac:dyDescent="0.25">
      <c r="B33" t="e">
        <f>AND((VDC_RATED&gt;=4.5),(VDC_RATED&lt;6),OR(('FET Data'!$AD2&lt;&gt;"(Null)"),('FET Data'!$AC2&lt;&gt;"(Null)"),('FET Data'!#REF!&lt;&gt;"(Null)")))</f>
        <v>#NAME?</v>
      </c>
      <c r="C33" t="b">
        <f>('FET Data'!$AD2&lt;&gt;"(Null)")</f>
        <v>1</v>
      </c>
    </row>
    <row r="34" spans="2:3" x14ac:dyDescent="0.25">
      <c r="B34" t="e">
        <f>AND((VDC_RATED&gt;=3),(VDC_RATED&lt;4.5),OR(('FET Data'!$AC2&lt;&gt;"(Null)"),('FET Data'!#REF!&lt;&gt;"(Null)")))</f>
        <v>#NAME?</v>
      </c>
      <c r="C34" t="b">
        <f>('FET Data'!$AC2&lt;&gt;"(Null)")</f>
        <v>0</v>
      </c>
    </row>
    <row r="35" spans="2:3" x14ac:dyDescent="0.25">
      <c r="B35" t="e">
        <f>AND((VDC_RATED&lt;3),('FET Data'!#REF!&lt;&gt;"(Null)"))</f>
        <v>#NAME?</v>
      </c>
      <c r="C35" t="e">
        <f>('FET Data'!#REF!&lt;&gt;"(Null)")</f>
        <v>#REF!</v>
      </c>
    </row>
    <row r="36" spans="2:3" x14ac:dyDescent="0.25">
      <c r="B36" t="e">
        <f>OR(B30:B35)</f>
        <v>#NAME?</v>
      </c>
    </row>
  </sheetData>
  <sheetProtection password="87C7" sheet="1" objects="1" scenarios="1"/>
  <mergeCells count="1">
    <mergeCell ref="B4:I4"/>
  </mergeCells>
  <pageMargins left="0.7" right="0.7" top="0.75" bottom="0.75" header="0.3" footer="0.3"/>
  <pageSetup orientation="portrait" horizontalDpi="90" verticalDpi="9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4:I36"/>
  <sheetViews>
    <sheetView workbookViewId="0">
      <selection activeCell="C15" sqref="C15:H15"/>
    </sheetView>
  </sheetViews>
  <sheetFormatPr defaultRowHeight="15" x14ac:dyDescent="0.25"/>
  <cols>
    <col min="3" max="3" width="14.85546875" bestFit="1" customWidth="1"/>
    <col min="4" max="4" width="14.85546875" customWidth="1"/>
    <col min="5" max="5" width="14.85546875" bestFit="1" customWidth="1"/>
    <col min="6" max="6" width="14.85546875" customWidth="1"/>
    <col min="7" max="8" width="14.85546875" bestFit="1" customWidth="1"/>
  </cols>
  <sheetData>
    <row r="4" spans="2:9" ht="14.45" customHeight="1" x14ac:dyDescent="0.25">
      <c r="B4" s="237" t="s">
        <v>425</v>
      </c>
      <c r="C4" s="237"/>
      <c r="D4" s="237"/>
      <c r="E4" s="237"/>
      <c r="F4" s="237"/>
      <c r="G4" s="237"/>
      <c r="H4" s="237"/>
      <c r="I4" s="237"/>
    </row>
    <row r="5" spans="2:9" ht="14.45" customHeight="1" x14ac:dyDescent="0.25">
      <c r="C5" t="s">
        <v>42</v>
      </c>
      <c r="D5" t="s">
        <v>392</v>
      </c>
      <c r="E5" t="s">
        <v>375</v>
      </c>
      <c r="F5" t="s">
        <v>376</v>
      </c>
      <c r="G5" t="s">
        <v>44</v>
      </c>
      <c r="H5" t="s">
        <v>45</v>
      </c>
    </row>
    <row r="6" spans="2:9" ht="14.45" customHeight="1" x14ac:dyDescent="0.25">
      <c r="C6" t="s">
        <v>403</v>
      </c>
      <c r="D6" t="s">
        <v>404</v>
      </c>
      <c r="E6" t="s">
        <v>405</v>
      </c>
      <c r="F6" t="s">
        <v>406</v>
      </c>
      <c r="G6" t="s">
        <v>407</v>
      </c>
      <c r="H6" t="s">
        <v>408</v>
      </c>
      <c r="I6" t="s">
        <v>374</v>
      </c>
    </row>
    <row r="7" spans="2:9" ht="14.45" customHeight="1" x14ac:dyDescent="0.25">
      <c r="C7" s="22" t="b">
        <f>(GDR_V&gt;=2.5)</f>
        <v>1</v>
      </c>
      <c r="D7" s="22" t="b">
        <f>(GDR_V&gt;=3)</f>
        <v>1</v>
      </c>
      <c r="E7" s="22" t="b">
        <f>(GDR_V&gt;=4)</f>
        <v>1</v>
      </c>
      <c r="F7" s="22" t="b">
        <f>(GDR_V&gt;=5.5)</f>
        <v>1</v>
      </c>
      <c r="G7" s="22" t="b">
        <f>(GDR_V&gt;=7)</f>
        <v>1</v>
      </c>
      <c r="H7" s="22" t="b">
        <f>(GDR_V&gt;=8)</f>
        <v>1</v>
      </c>
      <c r="I7" s="22">
        <f>IF(H10,LOOKUP(Q2_Part_Number3,Discrete_NFET[PARTNUMBER],Discrete_NFET[RDSON10])*1000,IF(G10,LOOKUP(Q2_Part_Number3,Discrete_NFET[PARTNUMBER],Discrete_NFET[RDSON8])*1000,IF(F10,LOOKUP(Q2_Part_Number3,Discrete_NFET[PARTNUMBER],Discrete_NFET[RDSON6])*1000,IF(E10,LOOKUP(Q2_Part_Number3,Discrete_NFET[PARTNUMBER],Discrete_NFET[RDSON45])*1000,IF(D10,LOOKUP(Q2_Part_Number3,Discrete_NFET[PARTNUMBER],Discrete_NFET[RDSON3])*1000,IF(C10,LOOKUP(Q2_Part_Number3,Discrete_NFET[PARTNUMBER],Discrete_NFET[RDSON25])*1000,""))))))</f>
        <v>6.2</v>
      </c>
    </row>
    <row r="8" spans="2:9" ht="14.45" customHeight="1" x14ac:dyDescent="0.25">
      <c r="C8" t="str">
        <f>IF(LOOKUP(Q2_Part_Number3,Discrete_NFET[PARTNUMBER],Discrete_NFET[RDSON25])="(NULL)","0","1")</f>
        <v>0</v>
      </c>
      <c r="D8" t="str">
        <f>IF(LOOKUP(Q2_Part_Number3,Discrete_NFET[PARTNUMBER],Discrete_NFET[RDSON3])="(NULL)","0","1")</f>
        <v>0</v>
      </c>
      <c r="E8" t="str">
        <f>IF(LOOKUP(Q2_Part_Number3,Discrete_NFET[PARTNUMBER],Discrete_NFET[RDSON45])="(NULL)","0","1")</f>
        <v>1</v>
      </c>
      <c r="F8" t="str">
        <f>IF(LOOKUP(Q2_Part_Number3,Discrete_NFET[PARTNUMBER],Discrete_NFET[RDSON6])="(NULL)","0","1")</f>
        <v>0</v>
      </c>
      <c r="G8" t="str">
        <f>IF(LOOKUP(Q2_Part_Number3,Discrete_NFET[PARTNUMBER],Discrete_NFET[RDSON8])="(NULL)","0","1")</f>
        <v>0</v>
      </c>
      <c r="H8" t="str">
        <f>IF(LOOKUP(Q2_Part_Number3,Discrete_NFET[PARTNUMBER],Discrete_NFET[RDSON10])="(NULL)","0","1")</f>
        <v>1</v>
      </c>
    </row>
    <row r="9" spans="2:9" ht="14.45" customHeight="1" x14ac:dyDescent="0.25">
      <c r="C9" t="b">
        <f t="shared" ref="C9:H9" si="0">AND(C7,C8="1")</f>
        <v>0</v>
      </c>
      <c r="D9" t="b">
        <f t="shared" si="0"/>
        <v>0</v>
      </c>
      <c r="E9" t="b">
        <f t="shared" si="0"/>
        <v>1</v>
      </c>
      <c r="F9" t="b">
        <f t="shared" si="0"/>
        <v>0</v>
      </c>
      <c r="G9" t="b">
        <f t="shared" si="0"/>
        <v>0</v>
      </c>
      <c r="H9" t="b">
        <f t="shared" si="0"/>
        <v>1</v>
      </c>
    </row>
    <row r="10" spans="2:9" ht="14.45" customHeight="1" x14ac:dyDescent="0.25">
      <c r="B10" t="b">
        <f>OR(C9:H9)</f>
        <v>1</v>
      </c>
      <c r="C10" t="b">
        <f t="shared" ref="C10:H10" si="1">AND($B$7,C7,C8="1")</f>
        <v>0</v>
      </c>
      <c r="D10" t="b">
        <f t="shared" si="1"/>
        <v>0</v>
      </c>
      <c r="E10" t="b">
        <f t="shared" si="1"/>
        <v>1</v>
      </c>
      <c r="F10" t="b">
        <f t="shared" si="1"/>
        <v>0</v>
      </c>
      <c r="G10" t="b">
        <f t="shared" si="1"/>
        <v>0</v>
      </c>
      <c r="H10" t="b">
        <f t="shared" si="1"/>
        <v>1</v>
      </c>
    </row>
    <row r="11" spans="2:9" x14ac:dyDescent="0.25">
      <c r="B11" t="e">
        <f>NOT(AND((VDC_RATED&lt;=6),('FET Data'!$AD2="(Null)")))</f>
        <v>#NAME?</v>
      </c>
    </row>
    <row r="13" spans="2:9" x14ac:dyDescent="0.25">
      <c r="B13" s="22"/>
      <c r="C13" s="22" t="s">
        <v>42</v>
      </c>
      <c r="D13" s="22" t="s">
        <v>392</v>
      </c>
      <c r="E13" s="22" t="s">
        <v>375</v>
      </c>
      <c r="F13" s="22" t="s">
        <v>376</v>
      </c>
      <c r="G13" s="22" t="s">
        <v>44</v>
      </c>
      <c r="H13" s="22" t="s">
        <v>45</v>
      </c>
      <c r="I13" s="22"/>
    </row>
    <row r="14" spans="2:9" x14ac:dyDescent="0.25">
      <c r="B14" s="22"/>
      <c r="C14" s="22" t="s">
        <v>403</v>
      </c>
      <c r="D14" s="22" t="s">
        <v>404</v>
      </c>
      <c r="E14" s="22" t="s">
        <v>405</v>
      </c>
      <c r="F14" s="22" t="s">
        <v>406</v>
      </c>
      <c r="G14" s="22" t="s">
        <v>407</v>
      </c>
      <c r="H14" s="22" t="s">
        <v>408</v>
      </c>
      <c r="I14" s="22" t="s">
        <v>374</v>
      </c>
    </row>
    <row r="15" spans="2:9" x14ac:dyDescent="0.25">
      <c r="B15" s="22"/>
      <c r="C15" s="22" t="b">
        <f>(GDR_V&gt;=2.5)</f>
        <v>1</v>
      </c>
      <c r="D15" s="22" t="b">
        <f>(GDR_V&gt;=3)</f>
        <v>1</v>
      </c>
      <c r="E15" s="22" t="b">
        <f>(GDR_V&gt;=4)</f>
        <v>1</v>
      </c>
      <c r="F15" s="22" t="b">
        <f>(GDR_V&gt;=5.5)</f>
        <v>1</v>
      </c>
      <c r="G15" s="22" t="b">
        <f>(GDR_V&gt;=7)</f>
        <v>1</v>
      </c>
      <c r="H15" s="22" t="b">
        <f>AND(GDR_V&gt;=8)</f>
        <v>1</v>
      </c>
      <c r="I15" s="22">
        <f>IF(H18,LOOKUP(Q1_Part_Number3,Discrete_NFET[PARTNUMBER],Discrete_NFET[RDSON10])*1000,IF(G18,LOOKUP(Q1_Part_Number3,Discrete_NFET[PARTNUMBER],Discrete_NFET[RDSON8])*1000,IF(F18,LOOKUP(Q1_Part_Number3,Discrete_NFET[PARTNUMBER],Discrete_NFET[RDSON6])*1000,IF(E18,LOOKUP(Q1_Part_Number3,Discrete_NFET[PARTNUMBER],Discrete_NFET[RDSON45])*1000,IF(D18,LOOKUP(Q1_Part_Number3,Discrete_NFET[PARTNUMBER],Discrete_NFET[RDSON3])*1000,IF(C18,LOOKUP(Q1_Part_Number3,Discrete_NFET[PARTNUMBER],Discrete_NFET[RDSON25])*1000,""))))))</f>
        <v>6.2</v>
      </c>
    </row>
    <row r="16" spans="2:9" x14ac:dyDescent="0.25">
      <c r="B16" s="22"/>
      <c r="C16" s="22" t="str">
        <f>IF(LOOKUP(Q2_Part_Number3,Discrete_NFET[PARTNUMBER],Discrete_NFET[RDSON25])="(NULL)","0","1")</f>
        <v>0</v>
      </c>
      <c r="D16" s="22" t="str">
        <f>IF(LOOKUP(Q2_Part_Number3,Discrete_NFET[PARTNUMBER],Discrete_NFET[RDSON3])="(NULL)","0","1")</f>
        <v>0</v>
      </c>
      <c r="E16" s="22" t="str">
        <f>IF(LOOKUP(Q2_Part_Number3,Discrete_NFET[PARTNUMBER],Discrete_NFET[RDSON45])="(NULL)","0","1")</f>
        <v>1</v>
      </c>
      <c r="F16" s="22" t="str">
        <f>IF(LOOKUP(Q2_Part_Number3,Discrete_NFET[PARTNUMBER],Discrete_NFET[RDSON6])="(NULL)","0","1")</f>
        <v>0</v>
      </c>
      <c r="G16" s="22" t="str">
        <f>IF(LOOKUP(Q2_Part_Number3,Discrete_NFET[PARTNUMBER],Discrete_NFET[RDSON8])="(NULL)","0","1")</f>
        <v>0</v>
      </c>
      <c r="H16" s="22" t="str">
        <f>IF(LOOKUP(Q2_Part_Number3,Discrete_NFET[PARTNUMBER],Discrete_NFET[RDSON10])="(NULL)","0","1")</f>
        <v>1</v>
      </c>
      <c r="I16" s="22"/>
    </row>
    <row r="17" spans="1:9" x14ac:dyDescent="0.25">
      <c r="B17" s="22"/>
      <c r="C17" s="22" t="b">
        <f t="shared" ref="C17:H17" si="2">AND(C15,C16="1")</f>
        <v>0</v>
      </c>
      <c r="D17" s="22" t="b">
        <f t="shared" si="2"/>
        <v>0</v>
      </c>
      <c r="E17" s="22" t="b">
        <f t="shared" si="2"/>
        <v>1</v>
      </c>
      <c r="F17" s="22" t="b">
        <f t="shared" si="2"/>
        <v>0</v>
      </c>
      <c r="G17" s="22" t="b">
        <f t="shared" si="2"/>
        <v>0</v>
      </c>
      <c r="H17" s="22" t="b">
        <f t="shared" si="2"/>
        <v>1</v>
      </c>
      <c r="I17" s="22"/>
    </row>
    <row r="18" spans="1:9" x14ac:dyDescent="0.25">
      <c r="B18" s="22" t="b">
        <f>OR(C17:H17)</f>
        <v>1</v>
      </c>
      <c r="C18" s="22" t="b">
        <f t="shared" ref="C18:H18" si="3">AND($U$7,C15,C16="1")</f>
        <v>0</v>
      </c>
      <c r="D18" s="22" t="b">
        <f t="shared" si="3"/>
        <v>0</v>
      </c>
      <c r="E18" s="22" t="b">
        <f t="shared" si="3"/>
        <v>1</v>
      </c>
      <c r="F18" s="22" t="b">
        <f t="shared" si="3"/>
        <v>0</v>
      </c>
      <c r="G18" s="22" t="b">
        <f t="shared" si="3"/>
        <v>0</v>
      </c>
      <c r="H18" s="22" t="b">
        <f t="shared" si="3"/>
        <v>1</v>
      </c>
      <c r="I18" s="22"/>
    </row>
    <row r="19" spans="1:9" x14ac:dyDescent="0.25">
      <c r="B19" s="22" t="e">
        <f>NOT(AND((VDC_RATED&lt;=6),('FET Data'!$AD10="(Null)")))</f>
        <v>#NAME?</v>
      </c>
      <c r="C19" s="22"/>
      <c r="D19" s="22"/>
      <c r="E19" s="22"/>
      <c r="F19" s="22"/>
      <c r="G19" s="22"/>
      <c r="H19" s="22"/>
      <c r="I19" s="22"/>
    </row>
    <row r="21" spans="1:9" x14ac:dyDescent="0.25">
      <c r="B21" t="e">
        <f>NOT(AND((VDC_RATED&lt;=4.5),('FET Data'!#REF!="(Null)")))</f>
        <v>#NAME?</v>
      </c>
    </row>
    <row r="23" spans="1:9" x14ac:dyDescent="0.25">
      <c r="A23" t="s">
        <v>414</v>
      </c>
    </row>
    <row r="24" spans="1:9" x14ac:dyDescent="0.25">
      <c r="A24" t="s">
        <v>413</v>
      </c>
    </row>
    <row r="25" spans="1:9" x14ac:dyDescent="0.25">
      <c r="A25" t="s">
        <v>412</v>
      </c>
      <c r="B25" t="e">
        <f>LOOKUP('User Input'!F15,Discrete_NFET[PARTNUMBER],Discrete_NFET[RDSON25])*1000</f>
        <v>#N/A</v>
      </c>
    </row>
    <row r="26" spans="1:9" x14ac:dyDescent="0.25">
      <c r="A26" t="s">
        <v>411</v>
      </c>
    </row>
    <row r="27" spans="1:9" x14ac:dyDescent="0.25">
      <c r="A27" t="s">
        <v>410</v>
      </c>
      <c r="B27" t="e">
        <f>(AND((VDC_RATED&lt;4.5),NOT(AND('FET Data'!$AC3="(Null)",'FET Data'!#REF!="(Null)"))))</f>
        <v>#NAME?</v>
      </c>
    </row>
    <row r="28" spans="1:9" x14ac:dyDescent="0.25">
      <c r="A28" t="s">
        <v>409</v>
      </c>
      <c r="B28" t="e">
        <f>OR('FET Data'!$AC2="(Null)",'FET Data'!#REF!="(Null)")</f>
        <v>#REF!</v>
      </c>
    </row>
    <row r="29" spans="1:9" x14ac:dyDescent="0.25">
      <c r="C29" t="s">
        <v>415</v>
      </c>
    </row>
    <row r="30" spans="1:9" x14ac:dyDescent="0.25">
      <c r="B30" t="e">
        <f>AND((VDC_RATED&gt;=10),OR(('FET Data'!$AG2&lt;&gt;"(Null)"),('FET Data'!$AF2&lt;&gt;"(Null)"),('FET Data'!$AE2&lt;&gt;"(Null)"),('FET Data'!$AD2&lt;&gt;"(Null)"),('FET Data'!$AC2&lt;&gt;"(Null)"),('FET Data'!#REF!&lt;&gt;"(Null)")))</f>
        <v>#NAME?</v>
      </c>
      <c r="C30" t="b">
        <f>('FET Data'!$AG2&lt;&gt;"(Null)")</f>
        <v>0</v>
      </c>
    </row>
    <row r="31" spans="1:9" x14ac:dyDescent="0.25">
      <c r="B31" t="e">
        <f>AND((VDC_RATED&gt;=8),(VDC_RATED&lt;10),OR(('FET Data'!$AF2&lt;&gt;"(Null)"),('FET Data'!$AE2&lt;&gt;"(Null)"),('FET Data'!$AD2&lt;&gt;"(Null)"),('FET Data'!$AC2&lt;&gt;"(Null)"),('FET Data'!#REF!&lt;&gt;"(Null)")))</f>
        <v>#NAME?</v>
      </c>
      <c r="C31" t="b">
        <f>('FET Data'!$AF2&lt;&gt;"(Null)")</f>
        <v>1</v>
      </c>
    </row>
    <row r="32" spans="1:9" x14ac:dyDescent="0.25">
      <c r="B32" t="e">
        <f>AND((VDC_RATED&gt;=6),(VDC_RATED&lt;8),OR(('FET Data'!$AE2&lt;&gt;"(Null)"),('FET Data'!$AD2&lt;&gt;"(Null)"),('FET Data'!$AC2&lt;&gt;"(Null)"),('FET Data'!#REF!&lt;&gt;"(Null)")))</f>
        <v>#NAME?</v>
      </c>
      <c r="C32" t="b">
        <f>('FET Data'!$AE2&lt;&gt;"(Null)")</f>
        <v>1</v>
      </c>
    </row>
    <row r="33" spans="2:3" x14ac:dyDescent="0.25">
      <c r="B33" t="e">
        <f>AND((VDC_RATED&gt;=4.5),(VDC_RATED&lt;6),OR(('FET Data'!$AD2&lt;&gt;"(Null)"),('FET Data'!$AC2&lt;&gt;"(Null)"),('FET Data'!#REF!&lt;&gt;"(Null)")))</f>
        <v>#NAME?</v>
      </c>
      <c r="C33" t="b">
        <f>('FET Data'!$AD2&lt;&gt;"(Null)")</f>
        <v>1</v>
      </c>
    </row>
    <row r="34" spans="2:3" x14ac:dyDescent="0.25">
      <c r="B34" t="e">
        <f>AND((VDC_RATED&gt;=3),(VDC_RATED&lt;4.5),OR(('FET Data'!$AC2&lt;&gt;"(Null)"),('FET Data'!#REF!&lt;&gt;"(Null)")))</f>
        <v>#NAME?</v>
      </c>
      <c r="C34" t="b">
        <f>('FET Data'!$AC2&lt;&gt;"(Null)")</f>
        <v>0</v>
      </c>
    </row>
    <row r="35" spans="2:3" x14ac:dyDescent="0.25">
      <c r="B35" t="e">
        <f>AND((VDC_RATED&lt;3),('FET Data'!#REF!&lt;&gt;"(Null)"))</f>
        <v>#NAME?</v>
      </c>
      <c r="C35" t="e">
        <f>('FET Data'!#REF!&lt;&gt;"(Null)")</f>
        <v>#REF!</v>
      </c>
    </row>
    <row r="36" spans="2:3" x14ac:dyDescent="0.25">
      <c r="B36" t="e">
        <f>OR(B30:B35)</f>
        <v>#NAME?</v>
      </c>
    </row>
  </sheetData>
  <sheetProtection password="87C7" sheet="1" objects="1" scenarios="1"/>
  <mergeCells count="1">
    <mergeCell ref="B4:I4"/>
  </mergeCells>
  <pageMargins left="0.7" right="0.7" top="0.75" bottom="0.75" header="0.3" footer="0.3"/>
  <pageSetup orientation="portrait" horizontalDpi="90" verticalDpi="9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BB177"/>
  <sheetViews>
    <sheetView workbookViewId="0">
      <pane xSplit="1" topLeftCell="AO1" activePane="topRight" state="frozen"/>
      <selection pane="topRight" activeCell="AS3" sqref="AS3:AS176"/>
    </sheetView>
  </sheetViews>
  <sheetFormatPr defaultRowHeight="15" x14ac:dyDescent="0.25"/>
  <cols>
    <col min="1" max="1" width="20.85546875" style="7" bestFit="1" customWidth="1"/>
    <col min="2" max="2" width="13.140625" style="8" bestFit="1" customWidth="1"/>
    <col min="3" max="3" width="11.42578125" style="9" bestFit="1" customWidth="1"/>
    <col min="4" max="4" width="13.140625" style="10" bestFit="1" customWidth="1"/>
    <col min="5" max="5" width="11.85546875" style="14" bestFit="1" customWidth="1"/>
    <col min="6" max="6" width="9.140625" style="11"/>
    <col min="7" max="7" width="9.140625" style="13"/>
    <col min="8" max="8" width="9.140625" style="8"/>
    <col min="9" max="9" width="9.140625" style="9"/>
    <col min="10" max="10" width="9.140625" style="10"/>
    <col min="11" max="11" width="9.140625" style="14"/>
    <col min="12" max="12" width="9.140625" style="11"/>
    <col min="13" max="13" width="9.140625" style="13"/>
    <col min="14" max="14" width="9.140625" style="15"/>
    <col min="15" max="15" width="9.140625" style="8"/>
    <col min="16" max="16" width="9.140625" style="9"/>
    <col min="17" max="17" width="9.140625" style="10"/>
    <col min="18" max="18" width="9.140625" style="14"/>
    <col min="19" max="19" width="9.140625" style="11"/>
    <col min="20" max="20" width="9.140625" style="13"/>
    <col min="21" max="21" width="9.140625" style="149"/>
    <col min="22" max="22" width="9.140625" style="18"/>
    <col min="23" max="27" width="9.140625" style="7"/>
    <col min="28" max="28" width="9.140625" style="35"/>
    <col min="29" max="29" width="9.140625" style="7"/>
    <col min="30" max="30" width="9.5703125" style="127" bestFit="1" customWidth="1"/>
    <col min="31" max="37" width="9.140625" style="127"/>
    <col min="38" max="38" width="9.5703125" style="127" bestFit="1" customWidth="1"/>
    <col min="39" max="41" width="9.5703125" style="127" customWidth="1"/>
    <col min="42" max="42" width="9.140625" style="48"/>
    <col min="43" max="43" width="9.28515625" style="7" bestFit="1" customWidth="1"/>
    <col min="44" max="44" width="9.28515625" style="26" customWidth="1"/>
    <col min="45" max="46" width="34" style="7" bestFit="1" customWidth="1"/>
    <col min="47" max="47" width="12.7109375" style="7" bestFit="1" customWidth="1"/>
    <col min="48" max="49" width="9.140625" style="7"/>
    <col min="50" max="50" width="13.28515625" style="7" bestFit="1" customWidth="1"/>
    <col min="51" max="51" width="7.85546875" bestFit="1" customWidth="1"/>
  </cols>
  <sheetData>
    <row r="1" spans="1:54" ht="60" x14ac:dyDescent="0.25">
      <c r="A1" s="35" t="str">
        <f>Logic!B1</f>
        <v>MOST BLANKS REMOVED ROW2 BLANK</v>
      </c>
      <c r="B1" s="128" t="s">
        <v>437</v>
      </c>
      <c r="C1" s="129" t="s">
        <v>438</v>
      </c>
      <c r="D1" s="130" t="s">
        <v>439</v>
      </c>
      <c r="E1" s="131" t="s">
        <v>440</v>
      </c>
      <c r="F1" s="132" t="s">
        <v>441</v>
      </c>
      <c r="G1" s="133" t="s">
        <v>442</v>
      </c>
      <c r="H1" s="134" t="s">
        <v>443</v>
      </c>
      <c r="I1" s="135" t="s">
        <v>410</v>
      </c>
      <c r="J1" s="136" t="s">
        <v>444</v>
      </c>
      <c r="K1" s="137" t="s">
        <v>412</v>
      </c>
      <c r="L1" s="138" t="s">
        <v>413</v>
      </c>
      <c r="M1" s="139" t="s">
        <v>414</v>
      </c>
      <c r="N1" s="140" t="s">
        <v>445</v>
      </c>
      <c r="O1" s="134" t="s">
        <v>446</v>
      </c>
      <c r="P1" s="135" t="s">
        <v>447</v>
      </c>
      <c r="Q1" s="136" t="s">
        <v>448</v>
      </c>
      <c r="R1" s="137" t="s">
        <v>449</v>
      </c>
      <c r="S1" s="138" t="s">
        <v>450</v>
      </c>
      <c r="T1" s="139" t="s">
        <v>451</v>
      </c>
      <c r="U1" s="147" t="s">
        <v>374</v>
      </c>
      <c r="V1" s="141" t="s">
        <v>452</v>
      </c>
      <c r="W1" s="142" t="s">
        <v>84</v>
      </c>
      <c r="X1" s="142" t="s">
        <v>83</v>
      </c>
      <c r="Y1" s="142" t="s">
        <v>456</v>
      </c>
      <c r="Z1" s="142" t="s">
        <v>453</v>
      </c>
      <c r="AA1" s="142" t="s">
        <v>500</v>
      </c>
      <c r="AB1" s="35" t="s">
        <v>82</v>
      </c>
      <c r="AC1" s="142" t="s">
        <v>501</v>
      </c>
      <c r="AD1" s="127" t="s">
        <v>575</v>
      </c>
      <c r="AE1" s="127" t="s">
        <v>576</v>
      </c>
      <c r="AF1" s="127" t="s">
        <v>577</v>
      </c>
      <c r="AG1" s="127" t="s">
        <v>578</v>
      </c>
      <c r="AH1" s="127" t="s">
        <v>579</v>
      </c>
      <c r="AI1" s="127" t="s">
        <v>580</v>
      </c>
      <c r="AJ1" s="127" t="s">
        <v>581</v>
      </c>
      <c r="AK1" s="127" t="s">
        <v>571</v>
      </c>
      <c r="AL1" s="127" t="s">
        <v>572</v>
      </c>
      <c r="AM1" s="127" t="s">
        <v>573</v>
      </c>
      <c r="AN1" s="127" t="s">
        <v>582</v>
      </c>
      <c r="AO1" s="127" t="s">
        <v>583</v>
      </c>
      <c r="AP1" s="48" t="s">
        <v>454</v>
      </c>
      <c r="AQ1" s="142" t="s">
        <v>75</v>
      </c>
      <c r="AR1" s="143" t="s">
        <v>496</v>
      </c>
      <c r="AT1" s="35"/>
      <c r="AV1" s="7" t="s">
        <v>431</v>
      </c>
      <c r="AW1" s="35" t="s">
        <v>432</v>
      </c>
      <c r="AX1" s="7" t="s">
        <v>434</v>
      </c>
      <c r="AY1" s="35" t="s">
        <v>433</v>
      </c>
      <c r="AZ1" s="35" t="s">
        <v>435</v>
      </c>
      <c r="BA1" s="35" t="s">
        <v>436</v>
      </c>
      <c r="BB1" t="s">
        <v>374</v>
      </c>
    </row>
    <row r="2" spans="1:54" ht="15" customHeight="1" x14ac:dyDescent="0.25">
      <c r="A2" s="35" t="str">
        <f>IF(OR(AND(FET_config="Dual/Power Block",LEFT(Logic!B2,4)="CSD8"),AND(FET_config="Single Discrete",LEFT(Logic!B2,4)="CSD1")),Logic!B2,"")</f>
        <v/>
      </c>
      <c r="B2" s="37" t="str">
        <f>IF(OR($A2=0,$A2=""),"0",IF(LOOKUP($A2,Discrete_NFET[PARTNUMBER],Discrete_NFET[RDSON25])="(NULL)","0","1"))</f>
        <v>0</v>
      </c>
      <c r="C2" s="38" t="str">
        <f>IF(OR($A2=0,$A2=""),"0",IF(LOOKUP($A2,Discrete_NFET[PARTNUMBER],Discrete_NFET[RDSON3])="(NULL)","0","1"))</f>
        <v>0</v>
      </c>
      <c r="D2" s="40" t="str">
        <f>IF(OR($A2=0,$A2=""),"0",IF(LOOKUP($A2,Discrete_NFET[PARTNUMBER],Discrete_NFET[RDSON45])="(NULL)","0","1"))</f>
        <v>0</v>
      </c>
      <c r="E2" s="45" t="str">
        <f>IF(OR($A2=0,$A2=""),"0",IF(LOOKUP($A2,Discrete_NFET[PARTNUMBER],Discrete_NFET[RDSON6])="(NULL)","0","1"))</f>
        <v>0</v>
      </c>
      <c r="F2" s="6" t="str">
        <f>IF(OR($A2=0,$A2=""),"0",IF(LOOKUP($A2,Discrete_NFET[PARTNUMBER],Discrete_NFET[RDSON8])="(NULL)","0","1"))</f>
        <v>0</v>
      </c>
      <c r="G2" s="12" t="str">
        <f>IF(OR($A2=0,$A2=""),"0",IF(LOOKUP($A2,Discrete_NFET[PARTNUMBER],Discrete_NFET[RDSON10])="(NULL)","0","1"))</f>
        <v>0</v>
      </c>
      <c r="H2" s="8" t="b">
        <f t="shared" ref="H2:H3" si="0">AND(AV$2,B2="1")</f>
        <v>0</v>
      </c>
      <c r="I2" s="9" t="b">
        <f t="shared" ref="I2:I3" si="1">AND(AW$2,C2="1")</f>
        <v>0</v>
      </c>
      <c r="J2" s="10" t="b">
        <f t="shared" ref="J2:J3" si="2">AND(AX$2,D2="1")</f>
        <v>0</v>
      </c>
      <c r="K2" s="14" t="b">
        <f t="shared" ref="K2:K3" si="3">AND(AY$2,E2="1")</f>
        <v>0</v>
      </c>
      <c r="L2" s="11" t="b">
        <f t="shared" ref="L2:L3" si="4">AND(AZ$2,F2="1")</f>
        <v>0</v>
      </c>
      <c r="M2" s="13" t="b">
        <f t="shared" ref="M2:M3" si="5">AND(BA$2,G2="1")</f>
        <v>0</v>
      </c>
      <c r="N2" s="15" t="b">
        <f t="shared" ref="N2:N3" si="6">OR(H2:M2)</f>
        <v>0</v>
      </c>
      <c r="O2" s="8" t="b">
        <f t="shared" ref="O2:O3" si="7">IF($N2,H2,IF((B2="1"),OR($AU$2,$AU$9)))</f>
        <v>0</v>
      </c>
      <c r="P2" s="9" t="b">
        <f t="shared" ref="P2:P3" si="8">IF($N2,I2,IF((C2="1"),OR(AU$2,AU$9,AX$2,J2)))</f>
        <v>0</v>
      </c>
      <c r="Q2" s="10" t="b">
        <f t="shared" ref="Q2:Q3" si="9">IF($N2,J2,IF((D2="1"),OR(AW$2,I2,AY$2,K2)))</f>
        <v>0</v>
      </c>
      <c r="R2" s="14" t="b">
        <f t="shared" ref="R2:R3" si="10">IF($N2,K2,IF((E2="1"),OR(AX$2,J2,AZ$2,L2)))</f>
        <v>0</v>
      </c>
      <c r="S2" s="11" t="b">
        <f t="shared" ref="S2:S3" si="11">IF($N2,L2,IF((F2="1"),OR(AY$2,K2,BA$2,M2)))</f>
        <v>0</v>
      </c>
      <c r="T2" s="13" t="b">
        <f t="shared" ref="T2:T3" si="12">IF($N2,M2,IF((G2="1"),OR(AZ$2,L2)))</f>
        <v>0</v>
      </c>
      <c r="U2" s="148" t="str">
        <f>IF(T2,LOOKUP(A2,Discrete_NFET[PARTNUMBER],Discrete_NFET[RDSON10])*1000,IF(S2,LOOKUP(A2,Discrete_NFET[PARTNUMBER],Discrete_NFET[RDSON8])*1000,IF(R2,LOOKUP(A2,Discrete_NFET[PARTNUMBER],Discrete_NFET[RDSON6])*1000,IF(Q2,LOOKUP(A2,Discrete_NFET[PARTNUMBER],Discrete_NFET[RDSON45])*1000,IF(P2,LOOKUP(A2,Discrete_NFET[PARTNUMBER],Discrete_NFET[RDSON3])*1000,IF(O2,LOOKUP(A2,Discrete_NFET[PARTNUMBER],Discrete_NFET[RDSON25])*1000,""))))))</f>
        <v/>
      </c>
      <c r="V2" s="18" t="str">
        <f>IF(AND(A2&lt;&gt;0,A2&lt;&gt;""),U2*(1+(Tj-25)*(LOOKUP(A2,Discrete_NFET[PARTNUMBER],Discrete_NFET[RDSDELTA])/((LOOKUP(A2,Discrete_NFET[PARTNUMBER],Discrete_NFET[TJMAX])-25)))),"")</f>
        <v/>
      </c>
      <c r="W2" s="7" t="str">
        <f>IF(AND($A2&lt;&gt;0,$A2&lt;&gt;""),LOOKUP($A2,Discrete_NFET[PARTNUMBER],Discrete_NFET[QGS]),"")</f>
        <v/>
      </c>
      <c r="X2" s="7" t="str">
        <f>IF(AND($A2&lt;&gt;0,$A2&lt;&gt;""),LOOKUP($A2,Discrete_NFET[PARTNUMBER],Discrete_NFET[QGD]),"")</f>
        <v/>
      </c>
      <c r="Y2" s="7" t="str">
        <f>IF(AND($A2&lt;&gt;0,$A2&lt;&gt;""),LOOKUP($A2,Discrete_NFET[PARTNUMBER],Discrete_NFET[QGTH]),"")</f>
        <v/>
      </c>
      <c r="Z2" s="7" t="str">
        <f t="shared" ref="Z2:Z3" si="13">IF(AND(A2&lt;&gt;0,A2&lt;&gt;""),W2+X2-Y2,"")</f>
        <v/>
      </c>
      <c r="AA2" s="7" t="str">
        <f>IF(AND($A2&lt;&gt;0,$A2&lt;&gt;""),LOOKUP($A2,Discrete_NFET[PARTNUMBER],Discrete_NFET[QOSSTYP]),"")</f>
        <v/>
      </c>
      <c r="AB2" s="35" t="str">
        <f>IF(AND($A2&lt;&gt;0,$A2&lt;&gt;""),LOOKUP($A2,Discrete_NFET[PARTNUMBER],Discrete_NFET[QRR]),"")</f>
        <v/>
      </c>
      <c r="AC2" s="7" t="str">
        <f>IF(AND(A2&lt;&gt;0,A2&lt;&gt;""),LOOKUP(A2,Discrete_NFET[PARTNUMBER],Discrete_NFET[VF_TYP]),"")</f>
        <v/>
      </c>
      <c r="AD2" s="127" t="str">
        <f>IF(AND($A2&lt;&gt;0,$A2&lt;&gt;"",OR(RIGHT(Logic!B2,2)="C)",LEFT(Logic!B2,4)="CSD1")),(1+(1-DUTY))*IM_RMS_120^2*V2*m/3/Num_FETS,"")</f>
        <v/>
      </c>
      <c r="AE2" s="127" t="str">
        <f>IF(AND($A2&lt;&gt;0,$A2&lt;&gt;"",OR(RIGHT(Logic!B2,2)="C)",LEFT(Logic!B2,4)="CSD1")),Num_FETS*0.5*IM_RMS_120*VDC_AVG*Z2*n*MOT_ELEC_FREQ/GDR_SRC,"")</f>
        <v/>
      </c>
      <c r="AF2" s="127" t="str">
        <f>IF(AND($A2&lt;&gt;0,$A2&lt;&gt;"",OR(RIGHT(Logic!B2,2)="C)",LEFT(Logic!B2,4)="CSD1")),Num_FETS*0.5*IM_RMS_120*VDC_AVG*Z2*n*MOT_ELEC_FREQ/GDR_SINK,"")</f>
        <v/>
      </c>
      <c r="AG2" s="127" t="str">
        <f>IF(AND($A2&lt;&gt;0,$A2&lt;&gt;"",OR(RIGHT(Logic!B2,2)="T)",LEFT(Logic!B2,4)="CSD1")),DUTY*IM_RMS_120^2*V2*m/3/Num_FETS,"")</f>
        <v/>
      </c>
      <c r="AH2" s="127" t="str">
        <f>IF(AND($A2&lt;&gt;0,$A2&lt;&gt;"",OR(RIGHT(Logic!B2,2)="T)",LEFT(Logic!B2,4)="CSD1")),Num_FETS*0.5*IM_RMS_120*VDC_AVG*Z2*n*FSW*k/GDR_SRC/3,"")</f>
        <v/>
      </c>
      <c r="AI2" s="127" t="str">
        <f>IF(AND($A2&lt;&gt;0,$A2&lt;&gt;"",OR(RIGHT(Logic!B2,2)="T)",LEFT(Logic!B2,4)="CSD1")),Num_FETS*0.5*IM_RMS_120*VDC_AVG*Z2*n*FSW*k/GDR_SINK/3,"")</f>
        <v/>
      </c>
      <c r="AJ2" s="127" t="str">
        <f t="shared" ref="AJ2:AJ33" si="14">IF(AND($A2&lt;&gt;0,$A2&lt;&gt;""),Num_FETS*((AA2*VDC_AVG)*((FSW*k)))*n/2,"")</f>
        <v/>
      </c>
      <c r="AK2" s="127" t="str">
        <f t="shared" ref="AK2:AK33" si="15">IF(AND($A2&lt;&gt;0,$A2&lt;&gt;""),2*T_DEAD*n*AC2*IM_PEAK*(FSW*k)/3,"")</f>
        <v/>
      </c>
      <c r="AL2" s="127" t="str">
        <f t="shared" ref="AL2:AL33" si="16">IF(AND($A2&lt;&gt;0,$A2&lt;&gt;""),Num_FETS*((AB2*VDC_AVG)*((MOT_ELEC_FREQ+FSW*k)))*n,"")</f>
        <v/>
      </c>
      <c r="AM2" s="127" t="str">
        <f t="shared" ref="AM2:AM3" si="17">IF(AND($A2&lt;&gt;0,$A2&lt;&gt;""),6*0.5*AC2*IM_PEAK*MOT_COM_TIME*m*MOT_ELEC_FREQ,"")</f>
        <v/>
      </c>
      <c r="AP2" s="48" t="str">
        <f t="shared" ref="AP2:AP3" si="18">IF(AND($A2&lt;&gt;0,$A2&lt;&gt;""),ROUND(SUM(AN2:AO2),2),"")</f>
        <v/>
      </c>
      <c r="AQ2" s="7" t="str">
        <f>IF(AND(A2&lt;&gt;0,A2&lt;&gt;""),LOOKUP(A2,Discrete_NFET[PARTNUMBER],Discrete_NFET[TI_EQ_PACKAGE]),"")</f>
        <v/>
      </c>
      <c r="AR2" s="26" t="str">
        <f>IF(AND(A2&lt;&gt;0,A2&lt;&gt;""),LOOKUP(A2,Discrete_NFET[PARTNUMBER],Discrete_NFET[1KPRICE]),"")</f>
        <v/>
      </c>
      <c r="AT2" s="35"/>
      <c r="AU2" s="35" t="str">
        <f>IF(AND($A2&lt;&gt;0,$A2&lt;&gt;""),IF(VDC_RATED&gt;7,LOOKUP($A2,Discrete_NFET[PARTNUMBER],Discrete_NFET[QG10TYP]),LOOKUP($A2,Discrete_NFET[PARTNUMBER],Discrete_NFET[QG10TYP])),"")</f>
        <v/>
      </c>
      <c r="AV2" s="7" t="b">
        <f>(GDR_V&gt;=2.5)</f>
        <v>1</v>
      </c>
      <c r="AW2" s="35" t="b">
        <f>(GDR_V&gt;=3)</f>
        <v>1</v>
      </c>
      <c r="AX2" s="7" t="b">
        <f>(GDR_V&gt;=4)</f>
        <v>1</v>
      </c>
      <c r="AY2" t="b">
        <f>(GDR_V&gt;=5.5)</f>
        <v>1</v>
      </c>
      <c r="AZ2" t="b">
        <f>(GDR_V&gt;=7)</f>
        <v>1</v>
      </c>
      <c r="BA2" t="b">
        <f>(GDR_V&gt;=8.5)</f>
        <v>1</v>
      </c>
    </row>
    <row r="3" spans="1:54" ht="15" customHeight="1" x14ac:dyDescent="0.25">
      <c r="A3" s="35" t="str">
        <f>IF(OR(AND(FET_config="Dual/Power Block",LEFT(Logic!B3,4)="CSD8"),AND(FET_config="Single Discrete",LEFT(Logic!B3,4)="CSD1")),Logic!B3,"")</f>
        <v/>
      </c>
      <c r="B3" s="37" t="str">
        <f>IF(OR($A3=0,$A3=""),"0",IF(LOOKUP($A3,Discrete_NFET[PARTNUMBER],Discrete_NFET[RDSON25])="(NULL)","0","1"))</f>
        <v>0</v>
      </c>
      <c r="C3" s="38" t="str">
        <f>IF(OR($A3=0,$A3=""),"0",IF(LOOKUP($A3,Discrete_NFET[PARTNUMBER],Discrete_NFET[RDSON3])="(NULL)","0","1"))</f>
        <v>0</v>
      </c>
      <c r="D3" s="40" t="str">
        <f>IF(OR($A3=0,$A3=""),"0",IF(LOOKUP($A3,Discrete_NFET[PARTNUMBER],Discrete_NFET[RDSON45])="(NULL)","0","1"))</f>
        <v>0</v>
      </c>
      <c r="E3" s="45" t="str">
        <f>IF(OR($A3=0,$A3=""),"0",IF(LOOKUP($A3,Discrete_NFET[PARTNUMBER],Discrete_NFET[RDSON6])="(NULL)","0","1"))</f>
        <v>0</v>
      </c>
      <c r="F3" s="6" t="str">
        <f>IF(OR($A3=0,$A3=""),"0",IF(LOOKUP($A3,Discrete_NFET[PARTNUMBER],Discrete_NFET[RDSON8])="(NULL)","0","1"))</f>
        <v>0</v>
      </c>
      <c r="G3" s="12" t="str">
        <f>IF(OR($A3=0,$A3=""),"0",IF(LOOKUP($A3,Discrete_NFET[PARTNUMBER],Discrete_NFET[RDSON10])="(NULL)","0","1"))</f>
        <v>0</v>
      </c>
      <c r="H3" s="8" t="b">
        <f t="shared" si="0"/>
        <v>0</v>
      </c>
      <c r="I3" s="9" t="b">
        <f t="shared" si="1"/>
        <v>0</v>
      </c>
      <c r="J3" s="10" t="b">
        <f t="shared" si="2"/>
        <v>0</v>
      </c>
      <c r="K3" s="14" t="b">
        <f t="shared" si="3"/>
        <v>0</v>
      </c>
      <c r="L3" s="11" t="b">
        <f t="shared" si="4"/>
        <v>0</v>
      </c>
      <c r="M3" s="13" t="b">
        <f t="shared" si="5"/>
        <v>0</v>
      </c>
      <c r="N3" s="15" t="b">
        <f t="shared" si="6"/>
        <v>0</v>
      </c>
      <c r="O3" s="8" t="b">
        <f t="shared" si="7"/>
        <v>0</v>
      </c>
      <c r="P3" s="9" t="b">
        <f t="shared" si="8"/>
        <v>0</v>
      </c>
      <c r="Q3" s="10" t="b">
        <f t="shared" si="9"/>
        <v>0</v>
      </c>
      <c r="R3" s="14" t="b">
        <f t="shared" si="10"/>
        <v>0</v>
      </c>
      <c r="S3" s="11" t="b">
        <f t="shared" si="11"/>
        <v>0</v>
      </c>
      <c r="T3" s="13" t="b">
        <f t="shared" si="12"/>
        <v>0</v>
      </c>
      <c r="U3" s="148" t="str">
        <f>IF(T3,LOOKUP(A3,Discrete_NFET[PARTNUMBER],Discrete_NFET[RDSON10])*1000,IF(S3,LOOKUP(A3,Discrete_NFET[PARTNUMBER],Discrete_NFET[RDSON8])*1000,IF(R3,LOOKUP(A3,Discrete_NFET[PARTNUMBER],Discrete_NFET[RDSON6])*1000,IF(Q3,LOOKUP(A3,Discrete_NFET[PARTNUMBER],Discrete_NFET[RDSON45])*1000,IF(P3,LOOKUP(A3,Discrete_NFET[PARTNUMBER],Discrete_NFET[RDSON3])*1000,IF(O3,LOOKUP(A3,Discrete_NFET[PARTNUMBER],Discrete_NFET[RDSON25])*1000,""))))))</f>
        <v/>
      </c>
      <c r="V3" s="18" t="str">
        <f>IF(AND(A3&lt;&gt;0,A3&lt;&gt;""),U3*(1+(Tj-25)*(LOOKUP(A3,Discrete_NFET[PARTNUMBER],Discrete_NFET[RDSDELTA])/((LOOKUP(A3,Discrete_NFET[PARTNUMBER],Discrete_NFET[TJMAX])-25)))),"")</f>
        <v/>
      </c>
      <c r="W3" s="7" t="str">
        <f>IF(AND($A3&lt;&gt;0,$A3&lt;&gt;""),LOOKUP($A3,Discrete_NFET[PARTNUMBER],Discrete_NFET[QGS]),"")</f>
        <v/>
      </c>
      <c r="X3" s="7" t="str">
        <f>IF(AND($A3&lt;&gt;0,$A3&lt;&gt;""),LOOKUP($A3,Discrete_NFET[PARTNUMBER],Discrete_NFET[QGD]),"")</f>
        <v/>
      </c>
      <c r="Y3" s="7" t="str">
        <f>IF(AND($A3&lt;&gt;0,$A3&lt;&gt;""),LOOKUP($A3,Discrete_NFET[PARTNUMBER],Discrete_NFET[QGTH]),"")</f>
        <v/>
      </c>
      <c r="Z3" s="7" t="str">
        <f t="shared" si="13"/>
        <v/>
      </c>
      <c r="AA3" s="7" t="str">
        <f>IF(AND($A3&lt;&gt;0,$A3&lt;&gt;""),LOOKUP($A3,Discrete_NFET[PARTNUMBER],Discrete_NFET[QOSSTYP]),"")</f>
        <v/>
      </c>
      <c r="AB3" s="35" t="str">
        <f>IF(AND($A3&lt;&gt;0,$A3&lt;&gt;""),LOOKUP($A3,Discrete_NFET[PARTNUMBER],Discrete_NFET[QRR]),"")</f>
        <v/>
      </c>
      <c r="AC3" s="7" t="str">
        <f>IF(AND(A3&lt;&gt;0,A3&lt;&gt;""),LOOKUP(A3,Discrete_NFET[PARTNUMBER],Discrete_NFET[VF_TYP]),"")</f>
        <v/>
      </c>
      <c r="AD3" s="127" t="str">
        <f>IF(AND($A3&lt;&gt;0,$A3&lt;&gt;"",OR(RIGHT(Logic!B3,2)="C)",LEFT(Logic!B3,4)="CSD1")),(1+(1-DUTY))*IM_RMS_120^2*V3*m/3/Num_FETS,"")</f>
        <v/>
      </c>
      <c r="AE3" s="127" t="str">
        <f>IF(AND($A3&lt;&gt;0,$A3&lt;&gt;"",OR(RIGHT(Logic!B3,2)="C)",LEFT(Logic!B3,4)="CSD1")),Num_FETS*0.5*IM_RMS_120*VDC_AVG*Z3*n*MOT_ELEC_FREQ/GDR_SRC,"")</f>
        <v/>
      </c>
      <c r="AF3" s="127" t="str">
        <f>IF(AND($A3&lt;&gt;0,$A3&lt;&gt;"",OR(RIGHT(Logic!B3,2)="C)",LEFT(Logic!B3,4)="CSD1")),Num_FETS*0.5*IM_RMS_120*VDC_AVG*Z3*n*MOT_ELEC_FREQ/GDR_SINK,"")</f>
        <v/>
      </c>
      <c r="AG3" s="127" t="str">
        <f>IF(AND($A3&lt;&gt;0,$A3&lt;&gt;"",OR(RIGHT(Logic!B3,2)="T)",LEFT(Logic!B3,4)="CSD1")),DUTY*IM_RMS_120^2*V3*m/3/Num_FETS,"")</f>
        <v/>
      </c>
      <c r="AH3" s="127" t="str">
        <f>IF(AND($A3&lt;&gt;0,$A3&lt;&gt;"",OR(RIGHT(Logic!B3,2)="T)",LEFT(Logic!B3,4)="CSD1")),Num_FETS*0.5*IM_RMS_120*VDC_AVG*Z3*n*FSW*k/GDR_SRC/3,"")</f>
        <v/>
      </c>
      <c r="AI3" s="127" t="str">
        <f>IF(AND($A3&lt;&gt;0,$A3&lt;&gt;"",OR(RIGHT(Logic!B3,2)="T)",LEFT(Logic!B3,4)="CSD1")),Num_FETS*0.5*IM_RMS_120*VDC_AVG*Z3*n*FSW*k/GDR_SINK/3,"")</f>
        <v/>
      </c>
      <c r="AJ3" s="127" t="str">
        <f t="shared" si="14"/>
        <v/>
      </c>
      <c r="AK3" s="127" t="str">
        <f t="shared" si="15"/>
        <v/>
      </c>
      <c r="AL3" s="127" t="str">
        <f t="shared" si="16"/>
        <v/>
      </c>
      <c r="AM3" s="127" t="str">
        <f t="shared" si="17"/>
        <v/>
      </c>
      <c r="AN3" s="127">
        <f>IF(AND($A3&lt;&gt;0,$A3&lt;&gt;"",OR(RIGHT(Logic!B3,2)="C)",LEFT(Logic!B3,4)="CSD1")),SUM(AD3:AF3)+(AJ3/3)+AK3+AL3/6+AM3/6,AN4)</f>
        <v>0.20068572944577745</v>
      </c>
      <c r="AO3" s="127">
        <f>IF(AND($A3&lt;&gt;0,$A3&lt;&gt;"",OR(RIGHT(Logic!B3,2)="T)",LEFT(Logic!B3,4)="CSD1")),SUM(AG3:AI3)+(AJ3/3)+AL3/6+AM3/6,AO2)</f>
        <v>0</v>
      </c>
      <c r="AP3" s="48" t="str">
        <f t="shared" si="18"/>
        <v/>
      </c>
      <c r="AQ3" s="7" t="str">
        <f>IF(AND(A3&lt;&gt;0,A3&lt;&gt;""),LOOKUP(A3,Discrete_NFET[PARTNUMBER],Discrete_NFET[TI_EQ_PACKAGE]),"")</f>
        <v/>
      </c>
      <c r="AR3" s="26" t="str">
        <f>IF(AND(A3&lt;&gt;0,A3&lt;&gt;""),LOOKUP(A3,Discrete_NFET[PARTNUMBER],Discrete_NFET[1KPRICE]),"")</f>
        <v/>
      </c>
      <c r="AS3" s="7" t="str">
        <f>IF(AND($A3&lt;&gt;0,$A3&lt;&gt;""),CONCATENATE(TEXT(AP3,"0.00"),"W, ",IF('User Input'!F$11="Single Discrete",A3,IF('User Input'!F$11="Dual/Power Block",LEFT(A3,FIND(")",A3)-7),A3)),", ",AQ3,", ",TEXT(AR3,"$0.00")),"Invalid Part")</f>
        <v>Invalid Part</v>
      </c>
      <c r="AT3" s="35" t="s">
        <v>574</v>
      </c>
      <c r="AU3" s="35" t="str">
        <f>IF(AND($A3&lt;&gt;0,$A3&lt;&gt;""),IF(VDC_RATED&gt;7,LOOKUP($A3,Discrete_NFET[PARTNUMBER],Discrete_NFET[QG10TYP]),LOOKUP($A3,Discrete_NFET[PARTNUMBER],Discrete_NFET[QG10TYP])),"")</f>
        <v/>
      </c>
      <c r="AW3" s="35"/>
      <c r="BB3" t="str">
        <f>IF(AV5,LOOKUP(Q2_Part_Number,Discrete_NFET[PARTNUMBER],#REF!)*1000,IF(AW5,LOOKUP(Q2_Part_Number,Discrete_NFET[PARTNUMBER],Discrete_NFET[RDSON18])*1000,IF(AZ5,LOOKUP(Q2_Part_Number,Discrete_NFET[PARTNUMBER],Discrete_NFET[RDSON45])*1000,IF(AY5,LOOKUP(Q2_Part_Number,Discrete_NFET[PARTNUMBER],Discrete_NFET[RDSON3])*1000,IF(AX5,LOOKUP(Q2_Part_Number,Discrete_NFET[PARTNUMBER],Discrete_NFET[RDSON25])*1000,IF(BA5,LOOKUP(Q2_Part_Number,Discrete_NFET[PARTNUMBER],Discrete_NFET[RDSON6])*1000,""))))))</f>
        <v/>
      </c>
    </row>
    <row r="4" spans="1:54" ht="15" customHeight="1" x14ac:dyDescent="0.25">
      <c r="A4" s="35" t="str">
        <f>IF(OR(AND(FET_config="Dual/Power Block",LEFT(Logic!B4,4)="CSD8"),AND(FET_config="Single Discrete",LEFT(Logic!B4,4)="CSD1")),Logic!B4,"")</f>
        <v>CSD17301Q5A</v>
      </c>
      <c r="B4" s="37" t="str">
        <f>IF(OR($A4=0,$A4=""),"0",IF(LOOKUP($A4,Discrete_NFET[PARTNUMBER],Discrete_NFET[RDSON25])="(NULL)","0","1"))</f>
        <v>0</v>
      </c>
      <c r="C4" s="38" t="str">
        <f>IF(OR($A4=0,$A4=""),"0",IF(LOOKUP($A4,Discrete_NFET[PARTNUMBER],Discrete_NFET[RDSON3])="(NULL)","0","1"))</f>
        <v>1</v>
      </c>
      <c r="D4" s="40" t="str">
        <f>IF(OR($A4=0,$A4=""),"0",IF(LOOKUP($A4,Discrete_NFET[PARTNUMBER],Discrete_NFET[RDSON45])="(NULL)","0","1"))</f>
        <v>1</v>
      </c>
      <c r="E4" s="45" t="str">
        <f>IF(OR($A4=0,$A4=""),"0",IF(LOOKUP($A4,Discrete_NFET[PARTNUMBER],Discrete_NFET[RDSON6])="(NULL)","0","1"))</f>
        <v>0</v>
      </c>
      <c r="F4" s="34" t="str">
        <f>IF(OR($A4=0,$A4=""),"0",IF(LOOKUP($A4,Discrete_NFET[PARTNUMBER],Discrete_NFET[RDSON8])="(NULL)","0","1"))</f>
        <v>1</v>
      </c>
      <c r="G4" s="43" t="str">
        <f>IF(OR($A4=0,$A4=""),"0",IF(LOOKUP($A4,Discrete_NFET[PARTNUMBER],Discrete_NFET[RDSON10])="(NULL)","0","1"))</f>
        <v>0</v>
      </c>
      <c r="H4" s="36" t="b">
        <f t="shared" ref="H4:H67" si="19">AND(AV$2,B4="1")</f>
        <v>0</v>
      </c>
      <c r="I4" s="39" t="b">
        <f t="shared" ref="I4:I67" si="20">AND(AW$2,C4="1")</f>
        <v>1</v>
      </c>
      <c r="J4" s="41" t="b">
        <f t="shared" ref="J4:J67" si="21">AND(AX$2,D4="1")</f>
        <v>1</v>
      </c>
      <c r="K4" s="46" t="b">
        <f t="shared" ref="K4:K67" si="22">AND(AY$2,E4="1")</f>
        <v>0</v>
      </c>
      <c r="L4" s="42" t="b">
        <f t="shared" ref="L4:L67" si="23">AND(AZ$2,F4="1")</f>
        <v>1</v>
      </c>
      <c r="M4" s="44" t="b">
        <f t="shared" ref="M4:M67" si="24">AND(BA$2,G4="1")</f>
        <v>0</v>
      </c>
      <c r="N4" s="47" t="b">
        <f t="shared" ref="N4:N67" si="25">OR(H4:M4)</f>
        <v>1</v>
      </c>
      <c r="O4" s="36" t="b">
        <f t="shared" ref="O4:O67" si="26">IF($N4,H4,IF((B4="1"),OR($AU$2,$AU$9)))</f>
        <v>0</v>
      </c>
      <c r="P4" s="39" t="b">
        <f t="shared" ref="P4:P67" si="27">IF($N4,I4,IF((C4="1"),OR(AU$2,AU$9,AX$2,J4)))</f>
        <v>1</v>
      </c>
      <c r="Q4" s="41" t="b">
        <f t="shared" ref="Q4:Q67" si="28">IF($N4,J4,IF((D4="1"),OR(AW$2,I4,AY$2,K4)))</f>
        <v>1</v>
      </c>
      <c r="R4" s="46" t="b">
        <f t="shared" ref="R4:R67" si="29">IF($N4,K4,IF((E4="1"),OR(AX$2,J4,AZ$2,L4)))</f>
        <v>0</v>
      </c>
      <c r="S4" s="42" t="b">
        <f t="shared" ref="S4:S67" si="30">IF($N4,L4,IF((F4="1"),OR(AY$2,K4,BA$2,M4)))</f>
        <v>1</v>
      </c>
      <c r="T4" s="44" t="b">
        <f t="shared" ref="T4:T67" si="31">IF($N4,M4,IF((G4="1"),OR(AZ$2,L4)))</f>
        <v>0</v>
      </c>
      <c r="U4" s="148">
        <f>IF(T4,LOOKUP(A4,Discrete_NFET[PARTNUMBER],Discrete_NFET[RDSON10])*1000,IF(S4,LOOKUP(A4,Discrete_NFET[PARTNUMBER],Discrete_NFET[RDSON8])*1000,IF(R4,LOOKUP(A4,Discrete_NFET[PARTNUMBER],Discrete_NFET[RDSON6])*1000,IF(Q4,LOOKUP(A4,Discrete_NFET[PARTNUMBER],Discrete_NFET[RDSON45])*1000,IF(P4,LOOKUP(A4,Discrete_NFET[PARTNUMBER],Discrete_NFET[RDSON3])*1000,IF(O4,LOOKUP(A4,Discrete_NFET[PARTNUMBER],Discrete_NFET[RDSON25])*1000,""))))))</f>
        <v>2.6</v>
      </c>
      <c r="V4" s="48">
        <f>IF(AND(A4&lt;&gt;0,A4&lt;&gt;""),U4*(1+(Tj-25)*(LOOKUP(A4,Discrete_NFET[PARTNUMBER],Discrete_NFET[RDSDELTA])/((LOOKUP(A4,Discrete_NFET[PARTNUMBER],Discrete_NFET[TJMAX])-25)))),"")</f>
        <v>2.9171999999999998</v>
      </c>
      <c r="W4" s="35">
        <f>IF(AND($A4&lt;&gt;0,$A4&lt;&gt;""),LOOKUP($A4,Discrete_NFET[PARTNUMBER],Discrete_NFET[QGS]),"")</f>
        <v>5.7</v>
      </c>
      <c r="X4" s="35">
        <f>IF(AND($A4&lt;&gt;0,$A4&lt;&gt;""),LOOKUP($A4,Discrete_NFET[PARTNUMBER],Discrete_NFET[QGD]),"")</f>
        <v>4.3</v>
      </c>
      <c r="Y4" s="35">
        <f>IF(AND($A4&lt;&gt;0,$A4&lt;&gt;""),LOOKUP($A4,Discrete_NFET[PARTNUMBER],Discrete_NFET[QGTH]),"")</f>
        <v>2.9</v>
      </c>
      <c r="Z4" s="35">
        <f t="shared" ref="Z4:Z67" si="32">IF(AND(A4&lt;&gt;0,A4&lt;&gt;""),W4+X4-Y4,"")</f>
        <v>7.1</v>
      </c>
      <c r="AA4" s="35">
        <f>IF(AND($A4&lt;&gt;0,$A4&lt;&gt;""),LOOKUP($A4,Discrete_NFET[PARTNUMBER],Discrete_NFET[QOSSTYP]),"")</f>
        <v>35</v>
      </c>
      <c r="AB4" s="35">
        <f>IF(AND($A4&lt;&gt;0,$A4&lt;&gt;""),LOOKUP($A4,Discrete_NFET[PARTNUMBER],Discrete_NFET[QRR]),"")</f>
        <v>50</v>
      </c>
      <c r="AC4" s="35">
        <f>IF(AND(A4&lt;&gt;0,A4&lt;&gt;""),LOOKUP(A4,Discrete_NFET[PARTNUMBER],Discrete_NFET[VF_TYP]),"")</f>
        <v>0.8</v>
      </c>
      <c r="AD4" s="127">
        <f>IF(AND($A4&lt;&gt;0,$A4&lt;&gt;"",OR(RIGHT(Logic!B4,2)="C)",LEFT(Logic!B4,4)="CSD1")),(1+(1-DUTY))*IM_RMS_120^2*V4*m/3/Num_FETS,"")</f>
        <v>0.12275652123730375</v>
      </c>
      <c r="AE4" s="127">
        <f>IF(AND($A4&lt;&gt;0,$A4&lt;&gt;"",OR(RIGHT(Logic!B4,2)="C)",LEFT(Logic!B4,4)="CSD1")),Num_FETS*0.5*IM_RMS_120*VDC_AVG*Z4*n*MOT_ELEC_FREQ/GDR_SRC,"")</f>
        <v>2.2897316821465423E-5</v>
      </c>
      <c r="AF4" s="127">
        <f>IF(AND($A4&lt;&gt;0,$A4&lt;&gt;"",OR(RIGHT(Logic!B4,2)="C)",LEFT(Logic!B4,4)="CSD1")),Num_FETS*0.5*IM_RMS_120*VDC_AVG*Z4*n*MOT_ELEC_FREQ/GDR_SINK,"")</f>
        <v>1.557017543859649E-5</v>
      </c>
      <c r="AG4" s="127">
        <f>IF(AND($A4&lt;&gt;0,$A4&lt;&gt;"",OR(RIGHT(Logic!B4,2)="T)",LEFT(Logic!B4,4)="CSD1")),DUTY*IM_RMS_120^2*V4*m/3/Num_FETS,"")</f>
        <v>0.11106542397660814</v>
      </c>
      <c r="AH4" s="127">
        <f>IF(AND($A4&lt;&gt;0,$A4&lt;&gt;"",OR(RIGHT(Logic!B4,2)="T)",LEFT(Logic!B4,4)="CSD1")),Num_FETS*0.5*IM_RMS_120*VDC_AVG*Z4*n*FSW*k/GDR_SRC/3,"")</f>
        <v>4.5794633642930842E-3</v>
      </c>
      <c r="AI4" s="127">
        <f>IF(AND($A4&lt;&gt;0,$A4&lt;&gt;"",OR(RIGHT(Logic!B4,2)="T)",LEFT(Logic!B4,4)="CSD1")),Num_FETS*0.5*IM_RMS_120*VDC_AVG*Z4*n*FSW*k/GDR_SINK/3,"")</f>
        <v>3.1140350877192978E-3</v>
      </c>
      <c r="AJ4" s="127">
        <f t="shared" si="14"/>
        <v>4.2000000000000006E-3</v>
      </c>
      <c r="AK4" s="127">
        <f t="shared" si="15"/>
        <v>1.2414567897146714E-2</v>
      </c>
      <c r="AL4" s="127">
        <f t="shared" si="16"/>
        <v>1.2020000000000001E-2</v>
      </c>
      <c r="AM4" s="127">
        <f t="shared" ref="AM4:AM67" si="33">IF(AND($A4&lt;&gt;0,$A4&lt;&gt;""),6*0.5*AC4*IM_PEAK*MOT_COM_TIME*m*MOT_ELEC_FREQ,"")</f>
        <v>0.37243703691440144</v>
      </c>
      <c r="AN4" s="127">
        <f>IF(AND($A4&lt;&gt;0,$A4&lt;&gt;"",OR(RIGHT(Logic!B4,2)="C)",LEFT(Logic!B4,4)="CSD1")),SUM(AD4:AF4)+(AJ4/3)+AK4+AL4/6+AM4/6,AN5)</f>
        <v>0.20068572944577745</v>
      </c>
      <c r="AO4" s="127">
        <f>IF(AND($A4&lt;&gt;0,$A4&lt;&gt;"",OR(RIGHT(Logic!B4,2)="T)",LEFT(Logic!B4,4)="CSD1")),SUM(AG4:AI4)+(AJ4/3)+AL4/6+AM4/6,AO3)</f>
        <v>0.18423509524768741</v>
      </c>
      <c r="AP4" s="48">
        <f t="shared" ref="AP4:AP67" si="34">IF(AND($A4&lt;&gt;0,$A4&lt;&gt;""),ROUND(SUM(AN4:AO4),2),"")</f>
        <v>0.38</v>
      </c>
      <c r="AQ4" s="35" t="str">
        <f>IF(AND(A4&lt;&gt;0,A4&lt;&gt;""),LOOKUP(A4,Discrete_NFET[PARTNUMBER],Discrete_NFET[TI_EQ_PACKAGE]),"")</f>
        <v>SON5X6</v>
      </c>
      <c r="AR4" s="49">
        <f>IF(AND(A4&lt;&gt;0,A4&lt;&gt;""),LOOKUP(A4,Discrete_NFET[PARTNUMBER],Discrete_NFET[1KPRICE]),"")</f>
        <v>0.51</v>
      </c>
      <c r="AS4" s="35" t="str">
        <f>IF(AND($A4&lt;&gt;0,$A4&lt;&gt;""),CONCATENATE(TEXT(AP4,"0.00"),"W, ",IF('User Input'!F$11="Single Discrete",A4,IF('User Input'!F$11="Dual/Power Block",LEFT(A4,FIND(")",A4)-7),A4)),", ",AQ4,", ",TEXT(AR4,"$0.00")),"Invalid Part")</f>
        <v>0.38W, CSD17301Q5A, SON5X6, $0.51</v>
      </c>
      <c r="AT4" t="s">
        <v>740</v>
      </c>
      <c r="AU4" s="35" t="e">
        <f>IF(AND($A4&lt;&gt;0,$A4&lt;&gt;""),IF(VDC_RATED&gt;7,LOOKUP($A4,Discrete_NFET[PARTNUMBER],Discrete_NFET[QG10TYP]),LOOKUP($A4,Discrete_NFET[PARTNUMBER],Discrete_NFET[QG10TYP])),"")</f>
        <v>#NAME?</v>
      </c>
      <c r="AW4"/>
    </row>
    <row r="5" spans="1:54" ht="15" customHeight="1" x14ac:dyDescent="0.25">
      <c r="A5" s="35" t="str">
        <f>IF(OR(AND(FET_config="Dual/Power Block",LEFT(Logic!B5,4)="CSD8"),AND(FET_config="Single Discrete",LEFT(Logic!B5,4)="CSD1")),Logic!B5,"")</f>
        <v>CSD17302Q5A</v>
      </c>
      <c r="B5" s="37" t="str">
        <f>IF(OR($A5=0,$A5=""),"0",IF(LOOKUP($A5,Discrete_NFET[PARTNUMBER],Discrete_NFET[RDSON25])="(NULL)","0","1"))</f>
        <v>0</v>
      </c>
      <c r="C5" s="38" t="str">
        <f>IF(OR($A5=0,$A5=""),"0",IF(LOOKUP($A5,Discrete_NFET[PARTNUMBER],Discrete_NFET[RDSON3])="(NULL)","0","1"))</f>
        <v>1</v>
      </c>
      <c r="D5" s="40" t="str">
        <f>IF(OR($A5=0,$A5=""),"0",IF(LOOKUP($A5,Discrete_NFET[PARTNUMBER],Discrete_NFET[RDSON45])="(NULL)","0","1"))</f>
        <v>1</v>
      </c>
      <c r="E5" s="45" t="str">
        <f>IF(OR($A5=0,$A5=""),"0",IF(LOOKUP($A5,Discrete_NFET[PARTNUMBER],Discrete_NFET[RDSON6])="(NULL)","0","1"))</f>
        <v>0</v>
      </c>
      <c r="F5" s="34" t="str">
        <f>IF(OR($A5=0,$A5=""),"0",IF(LOOKUP($A5,Discrete_NFET[PARTNUMBER],Discrete_NFET[RDSON8])="(NULL)","0","1"))</f>
        <v>1</v>
      </c>
      <c r="G5" s="43" t="str">
        <f>IF(OR($A5=0,$A5=""),"0",IF(LOOKUP($A5,Discrete_NFET[PARTNUMBER],Discrete_NFET[RDSON10])="(NULL)","0","1"))</f>
        <v>0</v>
      </c>
      <c r="H5" s="36" t="b">
        <f t="shared" si="19"/>
        <v>0</v>
      </c>
      <c r="I5" s="39" t="b">
        <f t="shared" si="20"/>
        <v>1</v>
      </c>
      <c r="J5" s="41" t="b">
        <f t="shared" si="21"/>
        <v>1</v>
      </c>
      <c r="K5" s="46" t="b">
        <f t="shared" si="22"/>
        <v>0</v>
      </c>
      <c r="L5" s="42" t="b">
        <f t="shared" si="23"/>
        <v>1</v>
      </c>
      <c r="M5" s="44" t="b">
        <f t="shared" si="24"/>
        <v>0</v>
      </c>
      <c r="N5" s="47" t="b">
        <f t="shared" si="25"/>
        <v>1</v>
      </c>
      <c r="O5" s="36" t="b">
        <f t="shared" si="26"/>
        <v>0</v>
      </c>
      <c r="P5" s="39" t="b">
        <f t="shared" si="27"/>
        <v>1</v>
      </c>
      <c r="Q5" s="41" t="b">
        <f t="shared" si="28"/>
        <v>1</v>
      </c>
      <c r="R5" s="46" t="b">
        <f t="shared" si="29"/>
        <v>0</v>
      </c>
      <c r="S5" s="42" t="b">
        <f t="shared" si="30"/>
        <v>1</v>
      </c>
      <c r="T5" s="44" t="b">
        <f t="shared" si="31"/>
        <v>0</v>
      </c>
      <c r="U5" s="148">
        <f>IF(T5,LOOKUP(A5,Discrete_NFET[PARTNUMBER],Discrete_NFET[RDSON10])*1000,IF(S5,LOOKUP(A5,Discrete_NFET[PARTNUMBER],Discrete_NFET[RDSON8])*1000,IF(R5,LOOKUP(A5,Discrete_NFET[PARTNUMBER],Discrete_NFET[RDSON6])*1000,IF(Q5,LOOKUP(A5,Discrete_NFET[PARTNUMBER],Discrete_NFET[RDSON45])*1000,IF(P5,LOOKUP(A5,Discrete_NFET[PARTNUMBER],Discrete_NFET[RDSON3])*1000,IF(O5,LOOKUP(A5,Discrete_NFET[PARTNUMBER],Discrete_NFET[RDSON25])*1000,""))))))</f>
        <v>7.9</v>
      </c>
      <c r="V5" s="48">
        <f>IF(AND(A5&lt;&gt;0,A5&lt;&gt;""),U5*(1+(Tj-25)*(LOOKUP(A5,Discrete_NFET[PARTNUMBER],Discrete_NFET[RDSDELTA])/((LOOKUP(A5,Discrete_NFET[PARTNUMBER],Discrete_NFET[TJMAX])-25)))),"")</f>
        <v>8.7848000000000006</v>
      </c>
      <c r="W5" s="35">
        <f>IF(AND($A5&lt;&gt;0,$A5&lt;&gt;""),LOOKUP($A5,Discrete_NFET[PARTNUMBER],Discrete_NFET[QGS]),"")</f>
        <v>1.7</v>
      </c>
      <c r="X5" s="35">
        <f>IF(AND($A5&lt;&gt;0,$A5&lt;&gt;""),LOOKUP($A5,Discrete_NFET[PARTNUMBER],Discrete_NFET[QGD]),"")</f>
        <v>1.2</v>
      </c>
      <c r="Y5" s="35">
        <f>IF(AND($A5&lt;&gt;0,$A5&lt;&gt;""),LOOKUP($A5,Discrete_NFET[PARTNUMBER],Discrete_NFET[QGTH]),"")</f>
        <v>0.9</v>
      </c>
      <c r="Z5" s="35">
        <f t="shared" si="32"/>
        <v>2</v>
      </c>
      <c r="AA5" s="35">
        <f>IF(AND($A5&lt;&gt;0,$A5&lt;&gt;""),LOOKUP($A5,Discrete_NFET[PARTNUMBER],Discrete_NFET[QOSSTYP]),"")</f>
        <v>9.5</v>
      </c>
      <c r="AB5" s="35">
        <f>IF(AND($A5&lt;&gt;0,$A5&lt;&gt;""),LOOKUP($A5,Discrete_NFET[PARTNUMBER],Discrete_NFET[QRR]),"")</f>
        <v>15.4</v>
      </c>
      <c r="AC5" s="35">
        <f>IF(AND(A5&lt;&gt;0,A5&lt;&gt;""),LOOKUP(A5,Discrete_NFET[PARTNUMBER],Discrete_NFET[VF_TYP]),"")</f>
        <v>0.85</v>
      </c>
      <c r="AD5" s="127">
        <f>IF(AND($A5&lt;&gt;0,$A5&lt;&gt;"",OR(RIGHT(Logic!B5,2)="C)",LEFT(Logic!B5,4)="CSD1")),(1+(1-DUTY))*IM_RMS_120^2*V5*m/3/Num_FETS,"")</f>
        <v>0.36966662819329027</v>
      </c>
      <c r="AE5" s="127">
        <f>IF(AND($A5&lt;&gt;0,$A5&lt;&gt;"",OR(RIGHT(Logic!B5,2)="C)",LEFT(Logic!B5,4)="CSD1")),Num_FETS*0.5*IM_RMS_120*VDC_AVG*Z5*n*MOT_ELEC_FREQ/GDR_SRC,"")</f>
        <v>6.4499484004127957E-6</v>
      </c>
      <c r="AF5" s="127">
        <f>IF(AND($A5&lt;&gt;0,$A5&lt;&gt;"",OR(RIGHT(Logic!B5,2)="C)",LEFT(Logic!B5,4)="CSD1")),Num_FETS*0.5*IM_RMS_120*VDC_AVG*Z5*n*MOT_ELEC_FREQ/GDR_SINK,"")</f>
        <v>4.3859649122807014E-6</v>
      </c>
      <c r="AG5" s="127">
        <f>IF(AND($A5&lt;&gt;0,$A5&lt;&gt;"",OR(RIGHT(Logic!B5,2)="T)",LEFT(Logic!B5,4)="CSD1")),DUTY*IM_RMS_120^2*V5*m/3/Num_FETS,"")</f>
        <v>0.33446028265107208</v>
      </c>
      <c r="AH5" s="127">
        <f>IF(AND($A5&lt;&gt;0,$A5&lt;&gt;"",OR(RIGHT(Logic!B5,2)="T)",LEFT(Logic!B5,4)="CSD1")),Num_FETS*0.5*IM_RMS_120*VDC_AVG*Z5*n*FSW*k/GDR_SRC/3,"")</f>
        <v>1.2899896800825591E-3</v>
      </c>
      <c r="AI5" s="127">
        <f>IF(AND($A5&lt;&gt;0,$A5&lt;&gt;"",OR(RIGHT(Logic!B5,2)="T)",LEFT(Logic!B5,4)="CSD1")),Num_FETS*0.5*IM_RMS_120*VDC_AVG*Z5*n*FSW*k/GDR_SINK/3,"")</f>
        <v>8.7719298245614015E-4</v>
      </c>
      <c r="AJ5" s="127">
        <f t="shared" si="14"/>
        <v>1.1400000000000002E-3</v>
      </c>
      <c r="AK5" s="127">
        <f t="shared" si="15"/>
        <v>1.3190478390718382E-2</v>
      </c>
      <c r="AL5" s="127">
        <f t="shared" si="16"/>
        <v>3.7021600000000003E-3</v>
      </c>
      <c r="AM5" s="127">
        <f t="shared" si="33"/>
        <v>0.39571435172155139</v>
      </c>
      <c r="AN5" s="127">
        <f>IF(AND($A5&lt;&gt;0,$A5&lt;&gt;"",OR(RIGHT(Logic!B5,2)="C)",LEFT(Logic!B5,4)="CSD1")),SUM(AD5:AF5)+(AJ5/3)+AK5+AL5/6+AM5/6,AN6)</f>
        <v>0.44981736111757997</v>
      </c>
      <c r="AO5" s="127">
        <f>IF(AND($A5&lt;&gt;0,$A5&lt;&gt;"",OR(RIGHT(Logic!B5,2)="T)",LEFT(Logic!B5,4)="CSD1")),SUM(AG5:AI5)+(AJ5/3)+AL5/6+AM5/6,AO4)</f>
        <v>0.40357688393386937</v>
      </c>
      <c r="AP5" s="48">
        <f t="shared" si="34"/>
        <v>0.85</v>
      </c>
      <c r="AQ5" s="35" t="str">
        <f>IF(AND(A5&lt;&gt;0,A5&lt;&gt;""),LOOKUP(A5,Discrete_NFET[PARTNUMBER],Discrete_NFET[TI_EQ_PACKAGE]),"")</f>
        <v>SON5X6</v>
      </c>
      <c r="AR5" s="49">
        <f>IF(AND(A5&lt;&gt;0,A5&lt;&gt;""),LOOKUP(A5,Discrete_NFET[PARTNUMBER],Discrete_NFET[1KPRICE]),"")</f>
        <v>0.28999999999999998</v>
      </c>
      <c r="AS5" s="35" t="str">
        <f>IF(AND($A5&lt;&gt;0,$A5&lt;&gt;""),CONCATENATE(TEXT(AP5,"0.00"),"W, ",IF('User Input'!F$11="Single Discrete",A5,IF('User Input'!F$11="Dual/Power Block",LEFT(A5,FIND(")",A5)-7),A5)),", ",AQ5,", ",TEXT(AR5,"$0.00")),"Invalid Part")</f>
        <v>0.85W, CSD17302Q5A, SON5X6, $0.29</v>
      </c>
      <c r="AT5" t="s">
        <v>738</v>
      </c>
      <c r="AW5"/>
    </row>
    <row r="6" spans="1:54" ht="15" customHeight="1" x14ac:dyDescent="0.25">
      <c r="A6" s="35" t="str">
        <f>IF(OR(AND(FET_config="Dual/Power Block",LEFT(Logic!B6,4)="CSD8"),AND(FET_config="Single Discrete",LEFT(Logic!B6,4)="CSD1")),Logic!B6,"")</f>
        <v>CSD17303Q5</v>
      </c>
      <c r="B6" s="37" t="str">
        <f>IF(OR($A6=0,$A6=""),"0",IF(LOOKUP($A6,Discrete_NFET[PARTNUMBER],Discrete_NFET[RDSON25])="(NULL)","0","1"))</f>
        <v>0</v>
      </c>
      <c r="C6" s="38" t="str">
        <f>IF(OR($A6=0,$A6=""),"0",IF(LOOKUP($A6,Discrete_NFET[PARTNUMBER],Discrete_NFET[RDSON3])="(NULL)","0","1"))</f>
        <v>1</v>
      </c>
      <c r="D6" s="40" t="str">
        <f>IF(OR($A6=0,$A6=""),"0",IF(LOOKUP($A6,Discrete_NFET[PARTNUMBER],Discrete_NFET[RDSON45])="(NULL)","0","1"))</f>
        <v>1</v>
      </c>
      <c r="E6" s="45" t="str">
        <f>IF(OR($A6=0,$A6=""),"0",IF(LOOKUP($A6,Discrete_NFET[PARTNUMBER],Discrete_NFET[RDSON6])="(NULL)","0","1"))</f>
        <v>0</v>
      </c>
      <c r="F6" s="34" t="str">
        <f>IF(OR($A6=0,$A6=""),"0",IF(LOOKUP($A6,Discrete_NFET[PARTNUMBER],Discrete_NFET[RDSON8])="(NULL)","0","1"))</f>
        <v>1</v>
      </c>
      <c r="G6" s="43" t="str">
        <f>IF(OR($A6=0,$A6=""),"0",IF(LOOKUP($A6,Discrete_NFET[PARTNUMBER],Discrete_NFET[RDSON10])="(NULL)","0","1"))</f>
        <v>0</v>
      </c>
      <c r="H6" s="36" t="b">
        <f t="shared" si="19"/>
        <v>0</v>
      </c>
      <c r="I6" s="39" t="b">
        <f t="shared" si="20"/>
        <v>1</v>
      </c>
      <c r="J6" s="41" t="b">
        <f t="shared" si="21"/>
        <v>1</v>
      </c>
      <c r="K6" s="46" t="b">
        <f t="shared" si="22"/>
        <v>0</v>
      </c>
      <c r="L6" s="42" t="b">
        <f t="shared" si="23"/>
        <v>1</v>
      </c>
      <c r="M6" s="44" t="b">
        <f t="shared" si="24"/>
        <v>0</v>
      </c>
      <c r="N6" s="47" t="b">
        <f t="shared" si="25"/>
        <v>1</v>
      </c>
      <c r="O6" s="36" t="b">
        <f t="shared" si="26"/>
        <v>0</v>
      </c>
      <c r="P6" s="39" t="b">
        <f t="shared" si="27"/>
        <v>1</v>
      </c>
      <c r="Q6" s="41" t="b">
        <f t="shared" si="28"/>
        <v>1</v>
      </c>
      <c r="R6" s="46" t="b">
        <f t="shared" si="29"/>
        <v>0</v>
      </c>
      <c r="S6" s="42" t="b">
        <f t="shared" si="30"/>
        <v>1</v>
      </c>
      <c r="T6" s="44" t="b">
        <f t="shared" si="31"/>
        <v>0</v>
      </c>
      <c r="U6" s="148">
        <f>IF(T6,LOOKUP(A6,Discrete_NFET[PARTNUMBER],Discrete_NFET[RDSON10])*1000,IF(S6,LOOKUP(A6,Discrete_NFET[PARTNUMBER],Discrete_NFET[RDSON8])*1000,IF(R6,LOOKUP(A6,Discrete_NFET[PARTNUMBER],Discrete_NFET[RDSON6])*1000,IF(Q6,LOOKUP(A6,Discrete_NFET[PARTNUMBER],Discrete_NFET[RDSON45])*1000,IF(P6,LOOKUP(A6,Discrete_NFET[PARTNUMBER],Discrete_NFET[RDSON3])*1000,IF(O6,LOOKUP(A6,Discrete_NFET[PARTNUMBER],Discrete_NFET[RDSON25])*1000,""))))))</f>
        <v>2.4</v>
      </c>
      <c r="V6" s="48">
        <f>IF(AND(A6&lt;&gt;0,A6&lt;&gt;""),U6*(1+(Tj-25)*(LOOKUP(A6,Discrete_NFET[PARTNUMBER],Discrete_NFET[RDSDELTA])/((LOOKUP(A6,Discrete_NFET[PARTNUMBER],Discrete_NFET[TJMAX])-25)))),"")</f>
        <v>2.6064000000000003</v>
      </c>
      <c r="W6" s="35">
        <f>IF(AND($A6&lt;&gt;0,$A6&lt;&gt;""),LOOKUP($A6,Discrete_NFET[PARTNUMBER],Discrete_NFET[QGS]),"")</f>
        <v>5.6</v>
      </c>
      <c r="X6" s="35">
        <f>IF(AND($A6&lt;&gt;0,$A6&lt;&gt;""),LOOKUP($A6,Discrete_NFET[PARTNUMBER],Discrete_NFET[QGD]),"")</f>
        <v>4</v>
      </c>
      <c r="Y6" s="35">
        <f>IF(AND($A6&lt;&gt;0,$A6&lt;&gt;""),LOOKUP($A6,Discrete_NFET[PARTNUMBER],Discrete_NFET[QGTH]),"")</f>
        <v>3</v>
      </c>
      <c r="Z6" s="35">
        <f t="shared" si="32"/>
        <v>6.6</v>
      </c>
      <c r="AA6" s="35">
        <f>IF(AND($A6&lt;&gt;0,$A6&lt;&gt;""),LOOKUP($A6,Discrete_NFET[PARTNUMBER],Discrete_NFET[QOSSTYP]),"")</f>
        <v>34</v>
      </c>
      <c r="AB6" s="35">
        <f>IF(AND($A6&lt;&gt;0,$A6&lt;&gt;""),LOOKUP($A6,Discrete_NFET[PARTNUMBER],Discrete_NFET[QRR]),"")</f>
        <v>50</v>
      </c>
      <c r="AC6" s="35">
        <f>IF(AND(A6&lt;&gt;0,A6&lt;&gt;""),LOOKUP(A6,Discrete_NFET[PARTNUMBER],Discrete_NFET[VF_TYP]),"")</f>
        <v>0.8</v>
      </c>
      <c r="AD6" s="127">
        <f>IF(AND($A6&lt;&gt;0,$A6&lt;&gt;"",OR(RIGHT(Logic!B6,2)="C)",LEFT(Logic!B6,4)="CSD1")),(1+(1-DUTY))*IM_RMS_120^2*V6*m/3/Num_FETS,"")</f>
        <v>0.10967797783933518</v>
      </c>
      <c r="AE6" s="127">
        <f>IF(AND($A6&lt;&gt;0,$A6&lt;&gt;"",OR(RIGHT(Logic!B6,2)="C)",LEFT(Logic!B6,4)="CSD1")),Num_FETS*0.5*IM_RMS_120*VDC_AVG*Z6*n*MOT_ELEC_FREQ/GDR_SRC,"")</f>
        <v>2.1284829721362229E-5</v>
      </c>
      <c r="AF6" s="127">
        <f>IF(AND($A6&lt;&gt;0,$A6&lt;&gt;"",OR(RIGHT(Logic!B6,2)="C)",LEFT(Logic!B6,4)="CSD1")),Num_FETS*0.5*IM_RMS_120*VDC_AVG*Z6*n*MOT_ELEC_FREQ/GDR_SINK,"")</f>
        <v>1.4473684210526317E-5</v>
      </c>
      <c r="AG6" s="127">
        <f>IF(AND($A6&lt;&gt;0,$A6&lt;&gt;"",OR(RIGHT(Logic!B6,2)="T)",LEFT(Logic!B6,4)="CSD1")),DUTY*IM_RMS_120^2*V6*m/3/Num_FETS,"")</f>
        <v>9.9232456140350866E-2</v>
      </c>
      <c r="AH6" s="127">
        <f>IF(AND($A6&lt;&gt;0,$A6&lt;&gt;"",OR(RIGHT(Logic!B6,2)="T)",LEFT(Logic!B6,4)="CSD1")),Num_FETS*0.5*IM_RMS_120*VDC_AVG*Z6*n*FSW*k/GDR_SRC/3,"")</f>
        <v>4.2569659442724464E-3</v>
      </c>
      <c r="AI6" s="127">
        <f>IF(AND($A6&lt;&gt;0,$A6&lt;&gt;"",OR(RIGHT(Logic!B6,2)="T)",LEFT(Logic!B6,4)="CSD1")),Num_FETS*0.5*IM_RMS_120*VDC_AVG*Z6*n*FSW*k/GDR_SINK/3,"")</f>
        <v>2.8947368421052637E-3</v>
      </c>
      <c r="AJ6" s="127">
        <f t="shared" si="14"/>
        <v>4.0800000000000003E-3</v>
      </c>
      <c r="AK6" s="127">
        <f t="shared" si="15"/>
        <v>1.2414567897146714E-2</v>
      </c>
      <c r="AL6" s="127">
        <f t="shared" si="16"/>
        <v>1.2020000000000001E-2</v>
      </c>
      <c r="AM6" s="127">
        <f t="shared" si="33"/>
        <v>0.37243703691440144</v>
      </c>
      <c r="AN6" s="127">
        <f>IF(AND($A6&lt;&gt;0,$A6&lt;&gt;"",OR(RIGHT(Logic!B6,2)="C)",LEFT(Logic!B6,4)="CSD1")),SUM(AD6:AF6)+(AJ6/3)+AK6+AL6/6+AM6/6,AN7)</f>
        <v>0.18756447706948071</v>
      </c>
      <c r="AO6" s="127">
        <f>IF(AND($A6&lt;&gt;0,$A6&lt;&gt;"",OR(RIGHT(Logic!B6,2)="T)",LEFT(Logic!B6,4)="CSD1")),SUM(AG6:AI6)+(AJ6/3)+AL6/6+AM6/6,AO5)</f>
        <v>0.17182033174579547</v>
      </c>
      <c r="AP6" s="48">
        <f t="shared" si="34"/>
        <v>0.36</v>
      </c>
      <c r="AQ6" s="35" t="str">
        <f>IF(AND(A6&lt;&gt;0,A6&lt;&gt;""),LOOKUP(A6,Discrete_NFET[PARTNUMBER],Discrete_NFET[TI_EQ_PACKAGE]),"")</f>
        <v>SON5X6</v>
      </c>
      <c r="AR6" s="49">
        <f>IF(AND(A6&lt;&gt;0,A6&lt;&gt;""),LOOKUP(A6,Discrete_NFET[PARTNUMBER],Discrete_NFET[1KPRICE]),"")</f>
        <v>0.56000000000000005</v>
      </c>
      <c r="AS6" s="35" t="str">
        <f>IF(AND($A6&lt;&gt;0,$A6&lt;&gt;""),CONCATENATE(TEXT(AP6,"0.00"),"W, ",IF('User Input'!F$11="Single Discrete",A6,IF('User Input'!F$11="Dual/Power Block",LEFT(A6,FIND(")",A6)-7),A6)),", ",AQ6,", ",TEXT(AR6,"$0.00")),"Invalid Part")</f>
        <v>0.36W, CSD17303Q5, SON5X6, $0.56</v>
      </c>
      <c r="AT6" t="s">
        <v>737</v>
      </c>
      <c r="AW6"/>
    </row>
    <row r="7" spans="1:54" ht="15" customHeight="1" x14ac:dyDescent="0.25">
      <c r="A7" s="35" t="str">
        <f>IF(OR(AND(FET_config="Dual/Power Block",LEFT(Logic!B7,4)="CSD8"),AND(FET_config="Single Discrete",LEFT(Logic!B7,4)="CSD1")),Logic!B7,"")</f>
        <v>CSD17304Q3</v>
      </c>
      <c r="B7" s="37" t="str">
        <f>IF(OR($A7=0,$A7=""),"0",IF(LOOKUP($A7,Discrete_NFET[PARTNUMBER],Discrete_NFET[RDSON25])="(NULL)","0","1"))</f>
        <v>0</v>
      </c>
      <c r="C7" s="38" t="str">
        <f>IF(OR($A7=0,$A7=""),"0",IF(LOOKUP($A7,Discrete_NFET[PARTNUMBER],Discrete_NFET[RDSON3])="(NULL)","0","1"))</f>
        <v>1</v>
      </c>
      <c r="D7" s="40" t="str">
        <f>IF(OR($A7=0,$A7=""),"0",IF(LOOKUP($A7,Discrete_NFET[PARTNUMBER],Discrete_NFET[RDSON45])="(NULL)","0","1"))</f>
        <v>1</v>
      </c>
      <c r="E7" s="45" t="str">
        <f>IF(OR($A7=0,$A7=""),"0",IF(LOOKUP($A7,Discrete_NFET[PARTNUMBER],Discrete_NFET[RDSON6])="(NULL)","0","1"))</f>
        <v>0</v>
      </c>
      <c r="F7" s="34" t="str">
        <f>IF(OR($A7=0,$A7=""),"0",IF(LOOKUP($A7,Discrete_NFET[PARTNUMBER],Discrete_NFET[RDSON8])="(NULL)","0","1"))</f>
        <v>1</v>
      </c>
      <c r="G7" s="43" t="str">
        <f>IF(OR($A7=0,$A7=""),"0",IF(LOOKUP($A7,Discrete_NFET[PARTNUMBER],Discrete_NFET[RDSON10])="(NULL)","0","1"))</f>
        <v>0</v>
      </c>
      <c r="H7" s="36" t="b">
        <f t="shared" si="19"/>
        <v>0</v>
      </c>
      <c r="I7" s="39" t="b">
        <f t="shared" si="20"/>
        <v>1</v>
      </c>
      <c r="J7" s="41" t="b">
        <f t="shared" si="21"/>
        <v>1</v>
      </c>
      <c r="K7" s="46" t="b">
        <f t="shared" si="22"/>
        <v>0</v>
      </c>
      <c r="L7" s="42" t="b">
        <f t="shared" si="23"/>
        <v>1</v>
      </c>
      <c r="M7" s="44" t="b">
        <f t="shared" si="24"/>
        <v>0</v>
      </c>
      <c r="N7" s="47" t="b">
        <f t="shared" si="25"/>
        <v>1</v>
      </c>
      <c r="O7" s="36" t="b">
        <f t="shared" si="26"/>
        <v>0</v>
      </c>
      <c r="P7" s="39" t="b">
        <f t="shared" si="27"/>
        <v>1</v>
      </c>
      <c r="Q7" s="41" t="b">
        <f t="shared" si="28"/>
        <v>1</v>
      </c>
      <c r="R7" s="46" t="b">
        <f t="shared" si="29"/>
        <v>0</v>
      </c>
      <c r="S7" s="42" t="b">
        <f t="shared" si="30"/>
        <v>1</v>
      </c>
      <c r="T7" s="44" t="b">
        <f t="shared" si="31"/>
        <v>0</v>
      </c>
      <c r="U7" s="148">
        <f>IF(T7,LOOKUP(A7,Discrete_NFET[PARTNUMBER],Discrete_NFET[RDSON10])*1000,IF(S7,LOOKUP(A7,Discrete_NFET[PARTNUMBER],Discrete_NFET[RDSON8])*1000,IF(R7,LOOKUP(A7,Discrete_NFET[PARTNUMBER],Discrete_NFET[RDSON6])*1000,IF(Q7,LOOKUP(A7,Discrete_NFET[PARTNUMBER],Discrete_NFET[RDSON45])*1000,IF(P7,LOOKUP(A7,Discrete_NFET[PARTNUMBER],Discrete_NFET[RDSON3])*1000,IF(O7,LOOKUP(A7,Discrete_NFET[PARTNUMBER],Discrete_NFET[RDSON25])*1000,""))))))</f>
        <v>7.5</v>
      </c>
      <c r="V7" s="48">
        <f>IF(AND(A7&lt;&gt;0,A7&lt;&gt;""),U7*(1+(Tj-25)*(LOOKUP(A7,Discrete_NFET[PARTNUMBER],Discrete_NFET[RDSDELTA])/((LOOKUP(A7,Discrete_NFET[PARTNUMBER],Discrete_NFET[TJMAX])-25)))),"")</f>
        <v>8.2650000000000006</v>
      </c>
      <c r="W7" s="35">
        <f>IF(AND($A7&lt;&gt;0,$A7&lt;&gt;""),LOOKUP($A7,Discrete_NFET[PARTNUMBER],Discrete_NFET[QGS]),"")</f>
        <v>1.8</v>
      </c>
      <c r="X7" s="35">
        <f>IF(AND($A7&lt;&gt;0,$A7&lt;&gt;""),LOOKUP($A7,Discrete_NFET[PARTNUMBER],Discrete_NFET[QGD]),"")</f>
        <v>1.1000000000000001</v>
      </c>
      <c r="Y7" s="35">
        <f>IF(AND($A7&lt;&gt;0,$A7&lt;&gt;""),LOOKUP($A7,Discrete_NFET[PARTNUMBER],Discrete_NFET[QGTH]),"")</f>
        <v>0.9</v>
      </c>
      <c r="Z7" s="35">
        <f t="shared" si="32"/>
        <v>2.0000000000000004</v>
      </c>
      <c r="AA7" s="35">
        <f>IF(AND($A7&lt;&gt;0,$A7&lt;&gt;""),LOOKUP($A7,Discrete_NFET[PARTNUMBER],Discrete_NFET[QOSSTYP]),"")</f>
        <v>9.9</v>
      </c>
      <c r="AB7" s="35">
        <f>IF(AND($A7&lt;&gt;0,$A7&lt;&gt;""),LOOKUP($A7,Discrete_NFET[PARTNUMBER],Discrete_NFET[QRR]),"")</f>
        <v>14.5</v>
      </c>
      <c r="AC7" s="35">
        <f>IF(AND(A7&lt;&gt;0,A7&lt;&gt;""),LOOKUP(A7,Discrete_NFET[PARTNUMBER],Discrete_NFET[VF_TYP]),"")</f>
        <v>0.85</v>
      </c>
      <c r="AD7" s="127">
        <f>IF(AND($A7&lt;&gt;0,$A7&lt;&gt;"",OR(RIGHT(Logic!B7,2)="C)",LEFT(Logic!B7,4)="CSD1")),(1+(1-DUTY))*IM_RMS_120^2*V7*m/3/Num_FETS,"")</f>
        <v>0.34779331140350878</v>
      </c>
      <c r="AE7" s="127">
        <f>IF(AND($A7&lt;&gt;0,$A7&lt;&gt;"",OR(RIGHT(Logic!B7,2)="C)",LEFT(Logic!B7,4)="CSD1")),Num_FETS*0.5*IM_RMS_120*VDC_AVG*Z7*n*MOT_ELEC_FREQ/GDR_SRC,"")</f>
        <v>6.4499484004127974E-6</v>
      </c>
      <c r="AF7" s="127">
        <f>IF(AND($A7&lt;&gt;0,$A7&lt;&gt;"",OR(RIGHT(Logic!B7,2)="C)",LEFT(Logic!B7,4)="CSD1")),Num_FETS*0.5*IM_RMS_120*VDC_AVG*Z7*n*MOT_ELEC_FREQ/GDR_SINK,"")</f>
        <v>4.3859649122807023E-6</v>
      </c>
      <c r="AG7" s="127">
        <f>IF(AND($A7&lt;&gt;0,$A7&lt;&gt;"",OR(RIGHT(Logic!B7,2)="T)",LEFT(Logic!B7,4)="CSD1")),DUTY*IM_RMS_120^2*V7*m/3/Num_FETS,"")</f>
        <v>0.31467013888888884</v>
      </c>
      <c r="AH7" s="127">
        <f>IF(AND($A7&lt;&gt;0,$A7&lt;&gt;"",OR(RIGHT(Logic!B7,2)="T)",LEFT(Logic!B7,4)="CSD1")),Num_FETS*0.5*IM_RMS_120*VDC_AVG*Z7*n*FSW*k/GDR_SRC/3,"")</f>
        <v>1.2899896800825596E-3</v>
      </c>
      <c r="AI7" s="127">
        <f>IF(AND($A7&lt;&gt;0,$A7&lt;&gt;"",OR(RIGHT(Logic!B7,2)="T)",LEFT(Logic!B7,4)="CSD1")),Num_FETS*0.5*IM_RMS_120*VDC_AVG*Z7*n*FSW*k/GDR_SINK/3,"")</f>
        <v>8.7719298245614048E-4</v>
      </c>
      <c r="AJ7" s="127">
        <f t="shared" si="14"/>
        <v>1.188E-3</v>
      </c>
      <c r="AK7" s="127">
        <f t="shared" si="15"/>
        <v>1.3190478390718382E-2</v>
      </c>
      <c r="AL7" s="127">
        <f t="shared" si="16"/>
        <v>3.4858000000000003E-3</v>
      </c>
      <c r="AM7" s="127">
        <f t="shared" si="33"/>
        <v>0.39571435172155139</v>
      </c>
      <c r="AN7" s="127">
        <f>IF(AND($A7&lt;&gt;0,$A7&lt;&gt;"",OR(RIGHT(Logic!B7,2)="C)",LEFT(Logic!B7,4)="CSD1")),SUM(AD7:AF7)+(AJ7/3)+AK7+AL7/6+AM7/6,AN8)</f>
        <v>0.42792398432779843</v>
      </c>
      <c r="AO7" s="127">
        <f>IF(AND($A7&lt;&gt;0,$A7&lt;&gt;"",OR(RIGHT(Logic!B7,2)="T)",LEFT(Logic!B7,4)="CSD1")),SUM(AG7:AI7)+(AJ7/3)+AL7/6+AM7/6,AO6)</f>
        <v>0.38376668017168614</v>
      </c>
      <c r="AP7" s="48">
        <f t="shared" si="34"/>
        <v>0.81</v>
      </c>
      <c r="AQ7" s="35" t="str">
        <f>IF(AND(A7&lt;&gt;0,A7&lt;&gt;""),LOOKUP(A7,Discrete_NFET[PARTNUMBER],Discrete_NFET[TI_EQ_PACKAGE]),"")</f>
        <v>SON3X3</v>
      </c>
      <c r="AR7" s="49">
        <f>IF(AND(A7&lt;&gt;0,A7&lt;&gt;""),LOOKUP(A7,Discrete_NFET[PARTNUMBER],Discrete_NFET[1KPRICE]),"")</f>
        <v>0.25</v>
      </c>
      <c r="AS7" s="35" t="str">
        <f>IF(AND($A7&lt;&gt;0,$A7&lt;&gt;""),CONCATENATE(TEXT(AP7,"0.00"),"W, ",IF('User Input'!F$11="Single Discrete",A7,IF('User Input'!F$11="Dual/Power Block",LEFT(A7,FIND(")",A7)-7),A7)),", ",AQ7,", ",TEXT(AR7,"$0.00")),"Invalid Part")</f>
        <v>0.81W, CSD17304Q3, SON3X3, $0.25</v>
      </c>
      <c r="AT7" t="s">
        <v>761</v>
      </c>
      <c r="AW7"/>
    </row>
    <row r="8" spans="1:54" ht="15" customHeight="1" x14ac:dyDescent="0.25">
      <c r="A8" s="35" t="str">
        <f>IF(OR(AND(FET_config="Dual/Power Block",LEFT(Logic!B8,4)="CSD8"),AND(FET_config="Single Discrete",LEFT(Logic!B8,4)="CSD1")),Logic!B8,"")</f>
        <v>CSD17305Q5A</v>
      </c>
      <c r="B8" s="37" t="str">
        <f>IF(OR($A8=0,$A8=""),"0",IF(LOOKUP($A8,Discrete_NFET[PARTNUMBER],Discrete_NFET[RDSON25])="(NULL)","0","1"))</f>
        <v>0</v>
      </c>
      <c r="C8" s="38" t="str">
        <f>IF(OR($A8=0,$A8=""),"0",IF(LOOKUP($A8,Discrete_NFET[PARTNUMBER],Discrete_NFET[RDSON3])="(NULL)","0","1"))</f>
        <v>1</v>
      </c>
      <c r="D8" s="40" t="str">
        <f>IF(OR($A8=0,$A8=""),"0",IF(LOOKUP($A8,Discrete_NFET[PARTNUMBER],Discrete_NFET[RDSON45])="(NULL)","0","1"))</f>
        <v>1</v>
      </c>
      <c r="E8" s="45" t="str">
        <f>IF(OR($A8=0,$A8=""),"0",IF(LOOKUP($A8,Discrete_NFET[PARTNUMBER],Discrete_NFET[RDSON6])="(NULL)","0","1"))</f>
        <v>0</v>
      </c>
      <c r="F8" s="34" t="str">
        <f>IF(OR($A8=0,$A8=""),"0",IF(LOOKUP($A8,Discrete_NFET[PARTNUMBER],Discrete_NFET[RDSON8])="(NULL)","0","1"))</f>
        <v>1</v>
      </c>
      <c r="G8" s="43" t="str">
        <f>IF(OR($A8=0,$A8=""),"0",IF(LOOKUP($A8,Discrete_NFET[PARTNUMBER],Discrete_NFET[RDSON10])="(NULL)","0","1"))</f>
        <v>0</v>
      </c>
      <c r="H8" s="36" t="b">
        <f t="shared" si="19"/>
        <v>0</v>
      </c>
      <c r="I8" s="39" t="b">
        <f t="shared" si="20"/>
        <v>1</v>
      </c>
      <c r="J8" s="41" t="b">
        <f t="shared" si="21"/>
        <v>1</v>
      </c>
      <c r="K8" s="46" t="b">
        <f t="shared" si="22"/>
        <v>0</v>
      </c>
      <c r="L8" s="42" t="b">
        <f t="shared" si="23"/>
        <v>1</v>
      </c>
      <c r="M8" s="44" t="b">
        <f t="shared" si="24"/>
        <v>0</v>
      </c>
      <c r="N8" s="47" t="b">
        <f t="shared" si="25"/>
        <v>1</v>
      </c>
      <c r="O8" s="36" t="b">
        <f t="shared" si="26"/>
        <v>0</v>
      </c>
      <c r="P8" s="39" t="b">
        <f t="shared" si="27"/>
        <v>1</v>
      </c>
      <c r="Q8" s="41" t="b">
        <f t="shared" si="28"/>
        <v>1</v>
      </c>
      <c r="R8" s="46" t="b">
        <f t="shared" si="29"/>
        <v>0</v>
      </c>
      <c r="S8" s="42" t="b">
        <f t="shared" si="30"/>
        <v>1</v>
      </c>
      <c r="T8" s="44" t="b">
        <f t="shared" si="31"/>
        <v>0</v>
      </c>
      <c r="U8" s="148">
        <f>IF(T8,LOOKUP(A8,Discrete_NFET[PARTNUMBER],Discrete_NFET[RDSON10])*1000,IF(S8,LOOKUP(A8,Discrete_NFET[PARTNUMBER],Discrete_NFET[RDSON8])*1000,IF(R8,LOOKUP(A8,Discrete_NFET[PARTNUMBER],Discrete_NFET[RDSON6])*1000,IF(Q8,LOOKUP(A8,Discrete_NFET[PARTNUMBER],Discrete_NFET[RDSON45])*1000,IF(P8,LOOKUP(A8,Discrete_NFET[PARTNUMBER],Discrete_NFET[RDSON3])*1000,IF(O8,LOOKUP(A8,Discrete_NFET[PARTNUMBER],Discrete_NFET[RDSON25])*1000,""))))))</f>
        <v>3.4</v>
      </c>
      <c r="V8" s="48">
        <f>IF(AND(A8&lt;&gt;0,A8&lt;&gt;""),U8*(1+(Tj-25)*(LOOKUP(A8,Discrete_NFET[PARTNUMBER],Discrete_NFET[RDSDELTA])/((LOOKUP(A8,Discrete_NFET[PARTNUMBER],Discrete_NFET[TJMAX])-25)))),"")</f>
        <v>3.7808000000000002</v>
      </c>
      <c r="W8" s="35">
        <f>IF(AND($A8&lt;&gt;0,$A8&lt;&gt;""),LOOKUP($A8,Discrete_NFET[PARTNUMBER],Discrete_NFET[QGS]),"")</f>
        <v>4.5</v>
      </c>
      <c r="X8" s="35">
        <f>IF(AND($A8&lt;&gt;0,$A8&lt;&gt;""),LOOKUP($A8,Discrete_NFET[PARTNUMBER],Discrete_NFET[QGD]),"")</f>
        <v>3</v>
      </c>
      <c r="Y8" s="35">
        <f>IF(AND($A8&lt;&gt;0,$A8&lt;&gt;""),LOOKUP($A8,Discrete_NFET[PARTNUMBER],Discrete_NFET[QGTH]),"")</f>
        <v>2.2000000000000002</v>
      </c>
      <c r="Z8" s="35">
        <f t="shared" si="32"/>
        <v>5.3</v>
      </c>
      <c r="AA8" s="35">
        <f>IF(AND($A8&lt;&gt;0,$A8&lt;&gt;""),LOOKUP($A8,Discrete_NFET[PARTNUMBER],Discrete_NFET[QOSSTYP]),"")</f>
        <v>27</v>
      </c>
      <c r="AB8" s="35">
        <f>IF(AND($A8&lt;&gt;0,$A8&lt;&gt;""),LOOKUP($A8,Discrete_NFET[PARTNUMBER],Discrete_NFET[QRR]),"")</f>
        <v>34</v>
      </c>
      <c r="AC8" s="35">
        <f>IF(AND(A8&lt;&gt;0,A8&lt;&gt;""),LOOKUP(A8,Discrete_NFET[PARTNUMBER],Discrete_NFET[VF_TYP]),"")</f>
        <v>0.85</v>
      </c>
      <c r="AD8" s="127">
        <f>IF(AND($A8&lt;&gt;0,$A8&lt;&gt;"",OR(RIGHT(Logic!B8,2)="C)",LEFT(Logic!B8,4)="CSD1")),(1+(1-DUTY))*IM_RMS_120^2*V8*m/3/Num_FETS,"")</f>
        <v>0.15909702985534008</v>
      </c>
      <c r="AE8" s="127">
        <f>IF(AND($A8&lt;&gt;0,$A8&lt;&gt;"",OR(RIGHT(Logic!B8,2)="C)",LEFT(Logic!B8,4)="CSD1")),Num_FETS*0.5*IM_RMS_120*VDC_AVG*Z8*n*MOT_ELEC_FREQ/GDR_SRC,"")</f>
        <v>1.7092363261093909E-5</v>
      </c>
      <c r="AF8" s="127">
        <f>IF(AND($A8&lt;&gt;0,$A8&lt;&gt;"",OR(RIGHT(Logic!B8,2)="C)",LEFT(Logic!B8,4)="CSD1")),Num_FETS*0.5*IM_RMS_120*VDC_AVG*Z8*n*MOT_ELEC_FREQ/GDR_SINK,"")</f>
        <v>1.1622807017543859E-5</v>
      </c>
      <c r="AG8" s="127">
        <f>IF(AND($A8&lt;&gt;0,$A8&lt;&gt;"",OR(RIGHT(Logic!B8,2)="T)",LEFT(Logic!B8,4)="CSD1")),DUTY*IM_RMS_120^2*V8*m/3/Num_FETS,"")</f>
        <v>0.1439449317738791</v>
      </c>
      <c r="AH8" s="127">
        <f>IF(AND($A8&lt;&gt;0,$A8&lt;&gt;"",OR(RIGHT(Logic!B8,2)="T)",LEFT(Logic!B8,4)="CSD1")),Num_FETS*0.5*IM_RMS_120*VDC_AVG*Z8*n*FSW*k/GDR_SRC/3,"")</f>
        <v>3.4184726522187812E-3</v>
      </c>
      <c r="AI8" s="127">
        <f>IF(AND($A8&lt;&gt;0,$A8&lt;&gt;"",OR(RIGHT(Logic!B8,2)="T)",LEFT(Logic!B8,4)="CSD1")),Num_FETS*0.5*IM_RMS_120*VDC_AVG*Z8*n*FSW*k/GDR_SINK/3,"")</f>
        <v>2.3245614035087713E-3</v>
      </c>
      <c r="AJ8" s="127">
        <f t="shared" si="14"/>
        <v>3.2400000000000003E-3</v>
      </c>
      <c r="AK8" s="127">
        <f t="shared" si="15"/>
        <v>1.3190478390718382E-2</v>
      </c>
      <c r="AL8" s="127">
        <f t="shared" si="16"/>
        <v>8.1735999999999996E-3</v>
      </c>
      <c r="AM8" s="127">
        <f t="shared" si="33"/>
        <v>0.39571435172155139</v>
      </c>
      <c r="AN8" s="127">
        <f>IF(AND($A8&lt;&gt;0,$A8&lt;&gt;"",OR(RIGHT(Logic!B8,2)="C)",LEFT(Logic!B8,4)="CSD1")),SUM(AD8:AF8)+(AJ8/3)+AK8+AL8/6+AM8/6,AN9)</f>
        <v>0.24071088203659566</v>
      </c>
      <c r="AO8" s="127">
        <f>IF(AND($A8&lt;&gt;0,$A8&lt;&gt;"",OR(RIGHT(Logic!B8,2)="T)",LEFT(Logic!B8,4)="CSD1")),SUM(AG8:AI8)+(AJ8/3)+AL8/6+AM8/6,AO7)</f>
        <v>0.21808262444986523</v>
      </c>
      <c r="AP8" s="48">
        <f t="shared" si="34"/>
        <v>0.46</v>
      </c>
      <c r="AQ8" s="35" t="str">
        <f>IF(AND(A8&lt;&gt;0,A8&lt;&gt;""),LOOKUP(A8,Discrete_NFET[PARTNUMBER],Discrete_NFET[TI_EQ_PACKAGE]),"")</f>
        <v>SON5X6</v>
      </c>
      <c r="AR8" s="49">
        <f>IF(AND(A8&lt;&gt;0,A8&lt;&gt;""),LOOKUP(A8,Discrete_NFET[PARTNUMBER],Discrete_NFET[1KPRICE]),"")</f>
        <v>0.45</v>
      </c>
      <c r="AS8" s="35" t="str">
        <f>IF(AND($A8&lt;&gt;0,$A8&lt;&gt;""),CONCATENATE(TEXT(AP8,"0.00"),"W, ",IF('User Input'!F$11="Single Discrete",A8,IF('User Input'!F$11="Dual/Power Block",LEFT(A8,FIND(")",A8)-7),A8)),", ",AQ8,", ",TEXT(AR8,"$0.00")),"Invalid Part")</f>
        <v>0.46W, CSD17305Q5A, SON5X6, $0.45</v>
      </c>
      <c r="AT8" t="s">
        <v>758</v>
      </c>
      <c r="AW8"/>
    </row>
    <row r="9" spans="1:54" ht="15" customHeight="1" x14ac:dyDescent="0.25">
      <c r="A9" s="35" t="str">
        <f>IF(OR(AND(FET_config="Dual/Power Block",LEFT(Logic!B9,4)="CSD8"),AND(FET_config="Single Discrete",LEFT(Logic!B9,4)="CSD1")),Logic!B9,"")</f>
        <v>CSD17306Q5A</v>
      </c>
      <c r="B9" s="37" t="str">
        <f>IF(OR($A9=0,$A9=""),"0",IF(LOOKUP($A9,Discrete_NFET[PARTNUMBER],Discrete_NFET[RDSON25])="(NULL)","0","1"))</f>
        <v>0</v>
      </c>
      <c r="C9" s="38" t="str">
        <f>IF(OR($A9=0,$A9=""),"0",IF(LOOKUP($A9,Discrete_NFET[PARTNUMBER],Discrete_NFET[RDSON3])="(NULL)","0","1"))</f>
        <v>1</v>
      </c>
      <c r="D9" s="40" t="str">
        <f>IF(OR($A9=0,$A9=""),"0",IF(LOOKUP($A9,Discrete_NFET[PARTNUMBER],Discrete_NFET[RDSON45])="(NULL)","0","1"))</f>
        <v>1</v>
      </c>
      <c r="E9" s="45" t="str">
        <f>IF(OR($A9=0,$A9=""),"0",IF(LOOKUP($A9,Discrete_NFET[PARTNUMBER],Discrete_NFET[RDSON6])="(NULL)","0","1"))</f>
        <v>0</v>
      </c>
      <c r="F9" s="34" t="str">
        <f>IF(OR($A9=0,$A9=""),"0",IF(LOOKUP($A9,Discrete_NFET[PARTNUMBER],Discrete_NFET[RDSON8])="(NULL)","0","1"))</f>
        <v>1</v>
      </c>
      <c r="G9" s="43" t="str">
        <f>IF(OR($A9=0,$A9=""),"0",IF(LOOKUP($A9,Discrete_NFET[PARTNUMBER],Discrete_NFET[RDSON10])="(NULL)","0","1"))</f>
        <v>0</v>
      </c>
      <c r="H9" s="36" t="b">
        <f t="shared" si="19"/>
        <v>0</v>
      </c>
      <c r="I9" s="39" t="b">
        <f t="shared" si="20"/>
        <v>1</v>
      </c>
      <c r="J9" s="41" t="b">
        <f t="shared" si="21"/>
        <v>1</v>
      </c>
      <c r="K9" s="46" t="b">
        <f t="shared" si="22"/>
        <v>0</v>
      </c>
      <c r="L9" s="42" t="b">
        <f t="shared" si="23"/>
        <v>1</v>
      </c>
      <c r="M9" s="44" t="b">
        <f t="shared" si="24"/>
        <v>0</v>
      </c>
      <c r="N9" s="47" t="b">
        <f t="shared" si="25"/>
        <v>1</v>
      </c>
      <c r="O9" s="36" t="b">
        <f t="shared" si="26"/>
        <v>0</v>
      </c>
      <c r="P9" s="39" t="b">
        <f t="shared" si="27"/>
        <v>1</v>
      </c>
      <c r="Q9" s="41" t="b">
        <f t="shared" si="28"/>
        <v>1</v>
      </c>
      <c r="R9" s="46" t="b">
        <f t="shared" si="29"/>
        <v>0</v>
      </c>
      <c r="S9" s="42" t="b">
        <f t="shared" si="30"/>
        <v>1</v>
      </c>
      <c r="T9" s="44" t="b">
        <f t="shared" si="31"/>
        <v>0</v>
      </c>
      <c r="U9" s="148">
        <f>IF(T9,LOOKUP(A9,Discrete_NFET[PARTNUMBER],Discrete_NFET[RDSON10])*1000,IF(S9,LOOKUP(A9,Discrete_NFET[PARTNUMBER],Discrete_NFET[RDSON8])*1000,IF(R9,LOOKUP(A9,Discrete_NFET[PARTNUMBER],Discrete_NFET[RDSON6])*1000,IF(Q9,LOOKUP(A9,Discrete_NFET[PARTNUMBER],Discrete_NFET[RDSON45])*1000,IF(P9,LOOKUP(A9,Discrete_NFET[PARTNUMBER],Discrete_NFET[RDSON3])*1000,IF(O9,LOOKUP(A9,Discrete_NFET[PARTNUMBER],Discrete_NFET[RDSON25])*1000,""))))))</f>
        <v>3.7</v>
      </c>
      <c r="V9" s="48">
        <f>IF(AND(A9&lt;&gt;0,A9&lt;&gt;""),U9*(1+(Tj-25)*(LOOKUP(A9,Discrete_NFET[PARTNUMBER],Discrete_NFET[RDSDELTA])/((LOOKUP(A9,Discrete_NFET[PARTNUMBER],Discrete_NFET[TJMAX])-25)))),"")</f>
        <v>4.0922000000000009</v>
      </c>
      <c r="W9" s="35">
        <f>IF(AND($A9&lt;&gt;0,$A9&lt;&gt;""),LOOKUP($A9,Discrete_NFET[PARTNUMBER],Discrete_NFET[QGS]),"")</f>
        <v>3.5</v>
      </c>
      <c r="X9" s="35">
        <f>IF(AND($A9&lt;&gt;0,$A9&lt;&gt;""),LOOKUP($A9,Discrete_NFET[PARTNUMBER],Discrete_NFET[QGD]),"")</f>
        <v>2.4</v>
      </c>
      <c r="Y9" s="35">
        <f>IF(AND($A9&lt;&gt;0,$A9&lt;&gt;""),LOOKUP($A9,Discrete_NFET[PARTNUMBER],Discrete_NFET[QGTH]),"")</f>
        <v>1.8</v>
      </c>
      <c r="Z9" s="35">
        <f t="shared" si="32"/>
        <v>4.1000000000000005</v>
      </c>
      <c r="AA9" s="35">
        <f>IF(AND($A9&lt;&gt;0,$A9&lt;&gt;""),LOOKUP($A9,Discrete_NFET[PARTNUMBER],Discrete_NFET[QOSSTYP]),"")</f>
        <v>23</v>
      </c>
      <c r="AB9" s="35">
        <f>IF(AND($A9&lt;&gt;0,$A9&lt;&gt;""),LOOKUP($A9,Discrete_NFET[PARTNUMBER],Discrete_NFET[QRR]),"")</f>
        <v>27</v>
      </c>
      <c r="AC9" s="35">
        <f>IF(AND(A9&lt;&gt;0,A9&lt;&gt;""),LOOKUP(A9,Discrete_NFET[PARTNUMBER],Discrete_NFET[VF_TYP]),"")</f>
        <v>0.85</v>
      </c>
      <c r="AD9" s="127">
        <f>IF(AND($A9&lt;&gt;0,$A9&lt;&gt;"",OR(RIGHT(Logic!B9,2)="C)",LEFT(Logic!B9,4)="CSD1")),(1+(1-DUTY))*IM_RMS_120^2*V9*m/3/Num_FETS,"")</f>
        <v>0.17220082140658663</v>
      </c>
      <c r="AE9" s="127">
        <f>IF(AND($A9&lt;&gt;0,$A9&lt;&gt;"",OR(RIGHT(Logic!B9,2)="C)",LEFT(Logic!B9,4)="CSD1")),Num_FETS*0.5*IM_RMS_120*VDC_AVG*Z9*n*MOT_ELEC_FREQ/GDR_SRC,"")</f>
        <v>1.3222394220846234E-5</v>
      </c>
      <c r="AF9" s="127">
        <f>IF(AND($A9&lt;&gt;0,$A9&lt;&gt;"",OR(RIGHT(Logic!B9,2)="C)",LEFT(Logic!B9,4)="CSD1")),Num_FETS*0.5*IM_RMS_120*VDC_AVG*Z9*n*MOT_ELEC_FREQ/GDR_SINK,"")</f>
        <v>8.9912280701754391E-6</v>
      </c>
      <c r="AG9" s="127">
        <f>IF(AND($A9&lt;&gt;0,$A9&lt;&gt;"",OR(RIGHT(Logic!B9,2)="T)",LEFT(Logic!B9,4)="CSD1")),DUTY*IM_RMS_120^2*V9*m/3/Num_FETS,"")</f>
        <v>0.15580074317738793</v>
      </c>
      <c r="AH9" s="127">
        <f>IF(AND($A9&lt;&gt;0,$A9&lt;&gt;"",OR(RIGHT(Logic!B9,2)="T)",LEFT(Logic!B9,4)="CSD1")),Num_FETS*0.5*IM_RMS_120*VDC_AVG*Z9*n*FSW*k/GDR_SRC/3,"")</f>
        <v>2.6444788441692467E-3</v>
      </c>
      <c r="AI9" s="127">
        <f>IF(AND($A9&lt;&gt;0,$A9&lt;&gt;"",OR(RIGHT(Logic!B9,2)="T)",LEFT(Logic!B9,4)="CSD1")),Num_FETS*0.5*IM_RMS_120*VDC_AVG*Z9*n*FSW*k/GDR_SINK/3,"")</f>
        <v>1.7982456140350877E-3</v>
      </c>
      <c r="AJ9" s="127">
        <f t="shared" si="14"/>
        <v>2.7600000000000003E-3</v>
      </c>
      <c r="AK9" s="127">
        <f t="shared" si="15"/>
        <v>1.3190478390718382E-2</v>
      </c>
      <c r="AL9" s="127">
        <f t="shared" si="16"/>
        <v>6.4908000000000006E-3</v>
      </c>
      <c r="AM9" s="127">
        <f t="shared" si="33"/>
        <v>0.39571435172155139</v>
      </c>
      <c r="AN9" s="127">
        <f>IF(AND($A9&lt;&gt;0,$A9&lt;&gt;"",OR(RIGHT(Logic!B9,2)="C)",LEFT(Logic!B9,4)="CSD1")),SUM(AD9:AF9)+(AJ9/3)+AK9+AL9/6+AM9/6,AN10)</f>
        <v>0.25336770537318798</v>
      </c>
      <c r="AO9" s="127">
        <f>IF(AND($A9&lt;&gt;0,$A9&lt;&gt;"",OR(RIGHT(Logic!B9,2)="T)",LEFT(Logic!B9,4)="CSD1")),SUM(AG9:AI9)+(AJ9/3)+AL9/6+AM9/6,AO8)</f>
        <v>0.22819765958918414</v>
      </c>
      <c r="AP9" s="48">
        <f t="shared" si="34"/>
        <v>0.48</v>
      </c>
      <c r="AQ9" s="35" t="str">
        <f>IF(AND(A9&lt;&gt;0,A9&lt;&gt;""),LOOKUP(A9,Discrete_NFET[PARTNUMBER],Discrete_NFET[TI_EQ_PACKAGE]),"")</f>
        <v>SON5X6</v>
      </c>
      <c r="AR9" s="49">
        <f>IF(AND(A9&lt;&gt;0,A9&lt;&gt;""),LOOKUP(A9,Discrete_NFET[PARTNUMBER],Discrete_NFET[1KPRICE]),"")</f>
        <v>0.39</v>
      </c>
      <c r="AS9" s="35" t="str">
        <f>IF(AND($A9&lt;&gt;0,$A9&lt;&gt;""),CONCATENATE(TEXT(AP9,"0.00"),"W, ",IF('User Input'!F$11="Single Discrete",A9,IF('User Input'!F$11="Dual/Power Block",LEFT(A9,FIND(")",A9)-7),A9)),", ",AQ9,", ",TEXT(AR9,"$0.00")),"Invalid Part")</f>
        <v>0.48W, CSD17306Q5A, SON5X6, $0.39</v>
      </c>
      <c r="AT9" t="s">
        <v>718</v>
      </c>
      <c r="AW9"/>
    </row>
    <row r="10" spans="1:54" ht="15" customHeight="1" x14ac:dyDescent="0.25">
      <c r="A10" s="35" t="str">
        <f>IF(OR(AND(FET_config="Dual/Power Block",LEFT(Logic!B10,4)="CSD8"),AND(FET_config="Single Discrete",LEFT(Logic!B10,4)="CSD1")),Logic!B10,"")</f>
        <v>CSD17307Q5A</v>
      </c>
      <c r="B10" s="37" t="str">
        <f>IF(OR($A10=0,$A10=""),"0",IF(LOOKUP($A10,Discrete_NFET[PARTNUMBER],Discrete_NFET[RDSON25])="(NULL)","0","1"))</f>
        <v>0</v>
      </c>
      <c r="C10" s="38" t="str">
        <f>IF(OR($A10=0,$A10=""),"0",IF(LOOKUP($A10,Discrete_NFET[PARTNUMBER],Discrete_NFET[RDSON3])="(NULL)","0","1"))</f>
        <v>1</v>
      </c>
      <c r="D10" s="40" t="str">
        <f>IF(OR($A10=0,$A10=""),"0",IF(LOOKUP($A10,Discrete_NFET[PARTNUMBER],Discrete_NFET[RDSON45])="(NULL)","0","1"))</f>
        <v>1</v>
      </c>
      <c r="E10" s="45" t="str">
        <f>IF(OR($A10=0,$A10=""),"0",IF(LOOKUP($A10,Discrete_NFET[PARTNUMBER],Discrete_NFET[RDSON6])="(NULL)","0","1"))</f>
        <v>0</v>
      </c>
      <c r="F10" s="34" t="str">
        <f>IF(OR($A10=0,$A10=""),"0",IF(LOOKUP($A10,Discrete_NFET[PARTNUMBER],Discrete_NFET[RDSON8])="(NULL)","0","1"))</f>
        <v>1</v>
      </c>
      <c r="G10" s="43" t="str">
        <f>IF(OR($A10=0,$A10=""),"0",IF(LOOKUP($A10,Discrete_NFET[PARTNUMBER],Discrete_NFET[RDSON10])="(NULL)","0","1"))</f>
        <v>0</v>
      </c>
      <c r="H10" s="36" t="b">
        <f t="shared" si="19"/>
        <v>0</v>
      </c>
      <c r="I10" s="39" t="b">
        <f t="shared" si="20"/>
        <v>1</v>
      </c>
      <c r="J10" s="41" t="b">
        <f t="shared" si="21"/>
        <v>1</v>
      </c>
      <c r="K10" s="46" t="b">
        <f t="shared" si="22"/>
        <v>0</v>
      </c>
      <c r="L10" s="42" t="b">
        <f t="shared" si="23"/>
        <v>1</v>
      </c>
      <c r="M10" s="44" t="b">
        <f t="shared" si="24"/>
        <v>0</v>
      </c>
      <c r="N10" s="47" t="b">
        <f t="shared" si="25"/>
        <v>1</v>
      </c>
      <c r="O10" s="36" t="b">
        <f t="shared" si="26"/>
        <v>0</v>
      </c>
      <c r="P10" s="39" t="b">
        <f t="shared" si="27"/>
        <v>1</v>
      </c>
      <c r="Q10" s="41" t="b">
        <f t="shared" si="28"/>
        <v>1</v>
      </c>
      <c r="R10" s="46" t="b">
        <f t="shared" si="29"/>
        <v>0</v>
      </c>
      <c r="S10" s="42" t="b">
        <f t="shared" si="30"/>
        <v>1</v>
      </c>
      <c r="T10" s="44" t="b">
        <f t="shared" si="31"/>
        <v>0</v>
      </c>
      <c r="U10" s="148">
        <f>IF(T10,LOOKUP(A10,Discrete_NFET[PARTNUMBER],Discrete_NFET[RDSON10])*1000,IF(S10,LOOKUP(A10,Discrete_NFET[PARTNUMBER],Discrete_NFET[RDSON8])*1000,IF(R10,LOOKUP(A10,Discrete_NFET[PARTNUMBER],Discrete_NFET[RDSON6])*1000,IF(Q10,LOOKUP(A10,Discrete_NFET[PARTNUMBER],Discrete_NFET[RDSON45])*1000,IF(P10,LOOKUP(A10,Discrete_NFET[PARTNUMBER],Discrete_NFET[RDSON3])*1000,IF(O10,LOOKUP(A10,Discrete_NFET[PARTNUMBER],Discrete_NFET[RDSON25])*1000,""))))))</f>
        <v>10.5</v>
      </c>
      <c r="V10" s="48">
        <f>IF(AND(A10&lt;&gt;0,A10&lt;&gt;""),U10*(1+(Tj-25)*(LOOKUP(A10,Discrete_NFET[PARTNUMBER],Discrete_NFET[RDSDELTA])/((LOOKUP(A10,Discrete_NFET[PARTNUMBER],Discrete_NFET[TJMAX])-25)))),"")</f>
        <v>11.696999999999999</v>
      </c>
      <c r="W10" s="35">
        <f>IF(AND($A10&lt;&gt;0,$A10&lt;&gt;""),LOOKUP($A10,Discrete_NFET[PARTNUMBER],Discrete_NFET[QGS]),"")</f>
        <v>1.3</v>
      </c>
      <c r="X10" s="35">
        <f>IF(AND($A10&lt;&gt;0,$A10&lt;&gt;""),LOOKUP($A10,Discrete_NFET[PARTNUMBER],Discrete_NFET[QGD]),"")</f>
        <v>1</v>
      </c>
      <c r="Y10" s="35">
        <f>IF(AND($A10&lt;&gt;0,$A10&lt;&gt;""),LOOKUP($A10,Discrete_NFET[PARTNUMBER],Discrete_NFET[QGTH]),"")</f>
        <v>0.65</v>
      </c>
      <c r="Z10" s="35">
        <f t="shared" si="32"/>
        <v>1.65</v>
      </c>
      <c r="AA10" s="35">
        <f>IF(AND($A10&lt;&gt;0,$A10&lt;&gt;""),LOOKUP($A10,Discrete_NFET[PARTNUMBER],Discrete_NFET[QOSSTYP]),"")</f>
        <v>7.3</v>
      </c>
      <c r="AB10" s="35">
        <f>IF(AND($A10&lt;&gt;0,$A10&lt;&gt;""),LOOKUP($A10,Discrete_NFET[PARTNUMBER],Discrete_NFET[QRR]),"")</f>
        <v>13</v>
      </c>
      <c r="AC10" s="35">
        <f>IF(AND(A10&lt;&gt;0,A10&lt;&gt;""),LOOKUP(A10,Discrete_NFET[PARTNUMBER],Discrete_NFET[VF_TYP]),"")</f>
        <v>0.85</v>
      </c>
      <c r="AD10" s="127">
        <f>IF(AND($A10&lt;&gt;0,$A10&lt;&gt;"",OR(RIGHT(Logic!B10,2)="C)",LEFT(Logic!B10,4)="CSD1")),(1+(1-DUTY))*IM_RMS_120^2*V10*m/3/Num_FETS,"")</f>
        <v>0.49221274815327781</v>
      </c>
      <c r="AE10" s="127">
        <f>IF(AND($A10&lt;&gt;0,$A10&lt;&gt;"",OR(RIGHT(Logic!B10,2)="C)",LEFT(Logic!B10,4)="CSD1")),Num_FETS*0.5*IM_RMS_120*VDC_AVG*Z10*n*MOT_ELEC_FREQ/GDR_SRC,"")</f>
        <v>5.3212074303405573E-6</v>
      </c>
      <c r="AF10" s="127">
        <f>IF(AND($A10&lt;&gt;0,$A10&lt;&gt;"",OR(RIGHT(Logic!B10,2)="C)",LEFT(Logic!B10,4)="CSD1")),Num_FETS*0.5*IM_RMS_120*VDC_AVG*Z10*n*MOT_ELEC_FREQ/GDR_SINK,"")</f>
        <v>3.6184210526315792E-6</v>
      </c>
      <c r="AG10" s="127">
        <f>IF(AND($A10&lt;&gt;0,$A10&lt;&gt;"",OR(RIGHT(Logic!B10,2)="T)",LEFT(Logic!B10,4)="CSD1")),DUTY*IM_RMS_120^2*V10*m/3/Num_FETS,"")</f>
        <v>0.4453353435672513</v>
      </c>
      <c r="AH10" s="127">
        <f>IF(AND($A10&lt;&gt;0,$A10&lt;&gt;"",OR(RIGHT(Logic!B10,2)="T)",LEFT(Logic!B10,4)="CSD1")),Num_FETS*0.5*IM_RMS_120*VDC_AVG*Z10*n*FSW*k/GDR_SRC/3,"")</f>
        <v>1.0642414860681116E-3</v>
      </c>
      <c r="AI10" s="127">
        <f>IF(AND($A10&lt;&gt;0,$A10&lt;&gt;"",OR(RIGHT(Logic!B10,2)="T)",LEFT(Logic!B10,4)="CSD1")),Num_FETS*0.5*IM_RMS_120*VDC_AVG*Z10*n*FSW*k/GDR_SINK/3,"")</f>
        <v>7.2368421052631594E-4</v>
      </c>
      <c r="AJ10" s="127">
        <f t="shared" si="14"/>
        <v>8.7600000000000004E-4</v>
      </c>
      <c r="AK10" s="127">
        <f t="shared" si="15"/>
        <v>1.3190478390718382E-2</v>
      </c>
      <c r="AL10" s="127">
        <f t="shared" si="16"/>
        <v>3.1252000000000003E-3</v>
      </c>
      <c r="AM10" s="127">
        <f t="shared" si="33"/>
        <v>0.39571435172155139</v>
      </c>
      <c r="AN10" s="127">
        <f>IF(AND($A10&lt;&gt;0,$A10&lt;&gt;"",OR(RIGHT(Logic!B10,2)="C)",LEFT(Logic!B10,4)="CSD1")),SUM(AD10:AF10)+(AJ10/3)+AK10+AL10/6+AM10/6,AN11)</f>
        <v>0.5721774247927377</v>
      </c>
      <c r="AO10" s="127">
        <f>IF(AND($A10&lt;&gt;0,$A10&lt;&gt;"",OR(RIGHT(Logic!B10,2)="T)",LEFT(Logic!B10,4)="CSD1")),SUM(AG10:AI10)+(AJ10/3)+AL10/6+AM10/6,AO9)</f>
        <v>0.51388852788410433</v>
      </c>
      <c r="AP10" s="48">
        <f t="shared" si="34"/>
        <v>1.0900000000000001</v>
      </c>
      <c r="AQ10" s="35" t="str">
        <f>IF(AND(A10&lt;&gt;0,A10&lt;&gt;""),LOOKUP(A10,Discrete_NFET[PARTNUMBER],Discrete_NFET[TI_EQ_PACKAGE]),"")</f>
        <v>SON5X6</v>
      </c>
      <c r="AR10" s="49">
        <f>IF(AND(A10&lt;&gt;0,A10&lt;&gt;""),LOOKUP(A10,Discrete_NFET[PARTNUMBER],Discrete_NFET[1KPRICE]),"")</f>
        <v>0.2</v>
      </c>
      <c r="AS10" s="35" t="str">
        <f>IF(AND($A10&lt;&gt;0,$A10&lt;&gt;""),CONCATENATE(TEXT(AP10,"0.00"),"W, ",IF('User Input'!F$11="Single Discrete",A10,IF('User Input'!F$11="Dual/Power Block",LEFT(A10,FIND(")",A10)-7),A10)),", ",AQ10,", ",TEXT(AR10,"$0.00")),"Invalid Part")</f>
        <v>1.09W, CSD17307Q5A, SON5X6, $0.20</v>
      </c>
      <c r="AT10" t="s">
        <v>710</v>
      </c>
      <c r="AW10"/>
    </row>
    <row r="11" spans="1:54" ht="15" customHeight="1" x14ac:dyDescent="0.25">
      <c r="A11" s="35" t="str">
        <f>IF(OR(AND(FET_config="Dual/Power Block",LEFT(Logic!B11,4)="CSD8"),AND(FET_config="Single Discrete",LEFT(Logic!B11,4)="CSD1")),Logic!B11,"")</f>
        <v>CSD17308Q3</v>
      </c>
      <c r="B11" s="37" t="str">
        <f>IF(OR($A11=0,$A11=""),"0",IF(LOOKUP($A11,Discrete_NFET[PARTNUMBER],Discrete_NFET[RDSON25])="(NULL)","0","1"))</f>
        <v>0</v>
      </c>
      <c r="C11" s="38" t="str">
        <f>IF(OR($A11=0,$A11=""),"0",IF(LOOKUP($A11,Discrete_NFET[PARTNUMBER],Discrete_NFET[RDSON3])="(NULL)","0","1"))</f>
        <v>1</v>
      </c>
      <c r="D11" s="40" t="str">
        <f>IF(OR($A11=0,$A11=""),"0",IF(LOOKUP($A11,Discrete_NFET[PARTNUMBER],Discrete_NFET[RDSON45])="(NULL)","0","1"))</f>
        <v>1</v>
      </c>
      <c r="E11" s="45" t="str">
        <f>IF(OR($A11=0,$A11=""),"0",IF(LOOKUP($A11,Discrete_NFET[PARTNUMBER],Discrete_NFET[RDSON6])="(NULL)","0","1"))</f>
        <v>0</v>
      </c>
      <c r="F11" s="34" t="str">
        <f>IF(OR($A11=0,$A11=""),"0",IF(LOOKUP($A11,Discrete_NFET[PARTNUMBER],Discrete_NFET[RDSON8])="(NULL)","0","1"))</f>
        <v>1</v>
      </c>
      <c r="G11" s="43" t="str">
        <f>IF(OR($A11=0,$A11=""),"0",IF(LOOKUP($A11,Discrete_NFET[PARTNUMBER],Discrete_NFET[RDSON10])="(NULL)","0","1"))</f>
        <v>0</v>
      </c>
      <c r="H11" s="36" t="b">
        <f t="shared" si="19"/>
        <v>0</v>
      </c>
      <c r="I11" s="39" t="b">
        <f t="shared" si="20"/>
        <v>1</v>
      </c>
      <c r="J11" s="41" t="b">
        <f t="shared" si="21"/>
        <v>1</v>
      </c>
      <c r="K11" s="46" t="b">
        <f t="shared" si="22"/>
        <v>0</v>
      </c>
      <c r="L11" s="42" t="b">
        <f t="shared" si="23"/>
        <v>1</v>
      </c>
      <c r="M11" s="44" t="b">
        <f t="shared" si="24"/>
        <v>0</v>
      </c>
      <c r="N11" s="47" t="b">
        <f t="shared" si="25"/>
        <v>1</v>
      </c>
      <c r="O11" s="36" t="b">
        <f t="shared" si="26"/>
        <v>0</v>
      </c>
      <c r="P11" s="39" t="b">
        <f t="shared" si="27"/>
        <v>1</v>
      </c>
      <c r="Q11" s="41" t="b">
        <f t="shared" si="28"/>
        <v>1</v>
      </c>
      <c r="R11" s="46" t="b">
        <f t="shared" si="29"/>
        <v>0</v>
      </c>
      <c r="S11" s="42" t="b">
        <f t="shared" si="30"/>
        <v>1</v>
      </c>
      <c r="T11" s="44" t="b">
        <f t="shared" si="31"/>
        <v>0</v>
      </c>
      <c r="U11" s="148">
        <f>IF(T11,LOOKUP(A11,Discrete_NFET[PARTNUMBER],Discrete_NFET[RDSON10])*1000,IF(S11,LOOKUP(A11,Discrete_NFET[PARTNUMBER],Discrete_NFET[RDSON8])*1000,IF(R11,LOOKUP(A11,Discrete_NFET[PARTNUMBER],Discrete_NFET[RDSON6])*1000,IF(Q11,LOOKUP(A11,Discrete_NFET[PARTNUMBER],Discrete_NFET[RDSON45])*1000,IF(P11,LOOKUP(A11,Discrete_NFET[PARTNUMBER],Discrete_NFET[RDSON3])*1000,IF(O11,LOOKUP(A11,Discrete_NFET[PARTNUMBER],Discrete_NFET[RDSON25])*1000,""))))))</f>
        <v>10.3</v>
      </c>
      <c r="V11" s="48">
        <f>IF(AND(A11&lt;&gt;0,A11&lt;&gt;""),U11*(1+(Tj-25)*(LOOKUP(A11,Discrete_NFET[PARTNUMBER],Discrete_NFET[RDSDELTA])/((LOOKUP(A11,Discrete_NFET[PARTNUMBER],Discrete_NFET[TJMAX])-25)))),"")</f>
        <v>11.144600000000002</v>
      </c>
      <c r="W11" s="35">
        <f>IF(AND($A11&lt;&gt;0,$A11&lt;&gt;""),LOOKUP($A11,Discrete_NFET[PARTNUMBER],Discrete_NFET[QGS]),"")</f>
        <v>1.3</v>
      </c>
      <c r="X11" s="35">
        <f>IF(AND($A11&lt;&gt;0,$A11&lt;&gt;""),LOOKUP($A11,Discrete_NFET[PARTNUMBER],Discrete_NFET[QGD]),"")</f>
        <v>0.8</v>
      </c>
      <c r="Y11" s="35">
        <f>IF(AND($A11&lt;&gt;0,$A11&lt;&gt;""),LOOKUP($A11,Discrete_NFET[PARTNUMBER],Discrete_NFET[QGTH]),"")</f>
        <v>0.7</v>
      </c>
      <c r="Z11" s="35">
        <f t="shared" si="32"/>
        <v>1.4000000000000001</v>
      </c>
      <c r="AA11" s="35">
        <f>IF(AND($A11&lt;&gt;0,$A11&lt;&gt;""),LOOKUP($A11,Discrete_NFET[PARTNUMBER],Discrete_NFET[QOSSTYP]),"")</f>
        <v>7.4</v>
      </c>
      <c r="AB11" s="35">
        <f>IF(AND($A11&lt;&gt;0,$A11&lt;&gt;""),LOOKUP($A11,Discrete_NFET[PARTNUMBER],Discrete_NFET[QRR]),"")</f>
        <v>9.3000000000000007</v>
      </c>
      <c r="AC11" s="35">
        <f>IF(AND(A11&lt;&gt;0,A11&lt;&gt;""),LOOKUP(A11,Discrete_NFET[PARTNUMBER],Discrete_NFET[VF_TYP]),"")</f>
        <v>0.85</v>
      </c>
      <c r="AD11" s="127">
        <f>IF(AND($A11&lt;&gt;0,$A11&lt;&gt;"",OR(RIGHT(Logic!B11,2)="C)",LEFT(Logic!B11,4)="CSD1")),(1+(1-DUTY))*IM_RMS_120^2*V11*m/3/Num_FETS,"")</f>
        <v>0.46896761503539547</v>
      </c>
      <c r="AE11" s="127">
        <f>IF(AND($A11&lt;&gt;0,$A11&lt;&gt;"",OR(RIGHT(Logic!B11,2)="C)",LEFT(Logic!B11,4)="CSD1")),Num_FETS*0.5*IM_RMS_120*VDC_AVG*Z11*n*MOT_ELEC_FREQ/GDR_SRC,"")</f>
        <v>4.5149638802889579E-6</v>
      </c>
      <c r="AF11" s="127">
        <f>IF(AND($A11&lt;&gt;0,$A11&lt;&gt;"",OR(RIGHT(Logic!B11,2)="C)",LEFT(Logic!B11,4)="CSD1")),Num_FETS*0.5*IM_RMS_120*VDC_AVG*Z11*n*MOT_ELEC_FREQ/GDR_SINK,"")</f>
        <v>3.0701754385964915E-6</v>
      </c>
      <c r="AG11" s="127">
        <f>IF(AND($A11&lt;&gt;0,$A11&lt;&gt;"",OR(RIGHT(Logic!B11,2)="T)",LEFT(Logic!B11,4)="CSD1")),DUTY*IM_RMS_120^2*V11*m/3/Num_FETS,"")</f>
        <v>0.42430403265107208</v>
      </c>
      <c r="AH11" s="127">
        <f>IF(AND($A11&lt;&gt;0,$A11&lt;&gt;"",OR(RIGHT(Logic!B11,2)="T)",LEFT(Logic!B11,4)="CSD1")),Num_FETS*0.5*IM_RMS_120*VDC_AVG*Z11*n*FSW*k/GDR_SRC/3,"")</f>
        <v>9.0299277605779152E-4</v>
      </c>
      <c r="AI11" s="127">
        <f>IF(AND($A11&lt;&gt;0,$A11&lt;&gt;"",OR(RIGHT(Logic!B11,2)="T)",LEFT(Logic!B11,4)="CSD1")),Num_FETS*0.5*IM_RMS_120*VDC_AVG*Z11*n*FSW*k/GDR_SINK/3,"")</f>
        <v>6.1403508771929827E-4</v>
      </c>
      <c r="AJ11" s="127">
        <f t="shared" si="14"/>
        <v>8.8800000000000023E-4</v>
      </c>
      <c r="AK11" s="127">
        <f t="shared" si="15"/>
        <v>1.3190478390718382E-2</v>
      </c>
      <c r="AL11" s="127">
        <f t="shared" si="16"/>
        <v>2.2357200000000001E-3</v>
      </c>
      <c r="AM11" s="127">
        <f t="shared" si="33"/>
        <v>0.39571435172155139</v>
      </c>
      <c r="AN11" s="127">
        <f>IF(AND($A11&lt;&gt;0,$A11&lt;&gt;"",OR(RIGHT(Logic!B11,2)="C)",LEFT(Logic!B11,4)="CSD1")),SUM(AD11:AF11)+(AJ11/3)+AK11+AL11/6+AM11/6,AN12)</f>
        <v>0.54878669051902462</v>
      </c>
      <c r="AO11" s="127">
        <f>IF(AND($A11&lt;&gt;0,$A11&lt;&gt;"",OR(RIGHT(Logic!B11,2)="T)",LEFT(Logic!B11,4)="CSD1")),SUM(AG11:AI11)+(AJ11/3)+AL11/6+AM11/6,AO10)</f>
        <v>0.49244207246844107</v>
      </c>
      <c r="AP11" s="48">
        <f t="shared" si="34"/>
        <v>1.04</v>
      </c>
      <c r="AQ11" s="35" t="str">
        <f>IF(AND(A11&lt;&gt;0,A11&lt;&gt;""),LOOKUP(A11,Discrete_NFET[PARTNUMBER],Discrete_NFET[TI_EQ_PACKAGE]),"")</f>
        <v>SON3X3</v>
      </c>
      <c r="AR11" s="49">
        <f>IF(AND(A11&lt;&gt;0,A11&lt;&gt;""),LOOKUP(A11,Discrete_NFET[PARTNUMBER],Discrete_NFET[1KPRICE]),"")</f>
        <v>0.22</v>
      </c>
      <c r="AS11" s="35" t="str">
        <f>IF(AND($A11&lt;&gt;0,$A11&lt;&gt;""),CONCATENATE(TEXT(AP11,"0.00"),"W, ",IF('User Input'!F$11="Single Discrete",A11,IF('User Input'!F$11="Dual/Power Block",LEFT(A11,FIND(")",A11)-7),A11)),", ",AQ11,", ",TEXT(AR11,"$0.00")),"Invalid Part")</f>
        <v>1.04W, CSD17308Q3, SON3X3, $0.22</v>
      </c>
      <c r="AT11" t="s">
        <v>778</v>
      </c>
      <c r="AW11"/>
    </row>
    <row r="12" spans="1:54" ht="15" customHeight="1" x14ac:dyDescent="0.25">
      <c r="A12" s="35" t="str">
        <f>IF(OR(AND(FET_config="Dual/Power Block",LEFT(Logic!B12,4)="CSD8"),AND(FET_config="Single Discrete",LEFT(Logic!B12,4)="CSD1")),Logic!B12,"")</f>
        <v>CSD17309Q3</v>
      </c>
      <c r="B12" s="37" t="str">
        <f>IF(OR($A12=0,$A12=""),"0",IF(LOOKUP($A12,Discrete_NFET[PARTNUMBER],Discrete_NFET[RDSON25])="(NULL)","0","1"))</f>
        <v>0</v>
      </c>
      <c r="C12" s="38" t="str">
        <f>IF(OR($A12=0,$A12=""),"0",IF(LOOKUP($A12,Discrete_NFET[PARTNUMBER],Discrete_NFET[RDSON3])="(NULL)","0","1"))</f>
        <v>1</v>
      </c>
      <c r="D12" s="40" t="str">
        <f>IF(OR($A12=0,$A12=""),"0",IF(LOOKUP($A12,Discrete_NFET[PARTNUMBER],Discrete_NFET[RDSON45])="(NULL)","0","1"))</f>
        <v>1</v>
      </c>
      <c r="E12" s="45" t="str">
        <f>IF(OR($A12=0,$A12=""),"0",IF(LOOKUP($A12,Discrete_NFET[PARTNUMBER],Discrete_NFET[RDSON6])="(NULL)","0","1"))</f>
        <v>0</v>
      </c>
      <c r="F12" s="34" t="str">
        <f>IF(OR($A12=0,$A12=""),"0",IF(LOOKUP($A12,Discrete_NFET[PARTNUMBER],Discrete_NFET[RDSON8])="(NULL)","0","1"))</f>
        <v>1</v>
      </c>
      <c r="G12" s="43" t="str">
        <f>IF(OR($A12=0,$A12=""),"0",IF(LOOKUP($A12,Discrete_NFET[PARTNUMBER],Discrete_NFET[RDSON10])="(NULL)","0","1"))</f>
        <v>0</v>
      </c>
      <c r="H12" s="36" t="b">
        <f t="shared" si="19"/>
        <v>0</v>
      </c>
      <c r="I12" s="39" t="b">
        <f t="shared" si="20"/>
        <v>1</v>
      </c>
      <c r="J12" s="41" t="b">
        <f t="shared" si="21"/>
        <v>1</v>
      </c>
      <c r="K12" s="46" t="b">
        <f t="shared" si="22"/>
        <v>0</v>
      </c>
      <c r="L12" s="42" t="b">
        <f t="shared" si="23"/>
        <v>1</v>
      </c>
      <c r="M12" s="44" t="b">
        <f t="shared" si="24"/>
        <v>0</v>
      </c>
      <c r="N12" s="47" t="b">
        <f t="shared" si="25"/>
        <v>1</v>
      </c>
      <c r="O12" s="36" t="b">
        <f t="shared" si="26"/>
        <v>0</v>
      </c>
      <c r="P12" s="39" t="b">
        <f t="shared" si="27"/>
        <v>1</v>
      </c>
      <c r="Q12" s="41" t="b">
        <f t="shared" si="28"/>
        <v>1</v>
      </c>
      <c r="R12" s="46" t="b">
        <f t="shared" si="29"/>
        <v>0</v>
      </c>
      <c r="S12" s="42" t="b">
        <f t="shared" si="30"/>
        <v>1</v>
      </c>
      <c r="T12" s="44" t="b">
        <f t="shared" si="31"/>
        <v>0</v>
      </c>
      <c r="U12" s="148">
        <f>IF(T12,LOOKUP(A12,Discrete_NFET[PARTNUMBER],Discrete_NFET[RDSON10])*1000,IF(S12,LOOKUP(A12,Discrete_NFET[PARTNUMBER],Discrete_NFET[RDSON8])*1000,IF(R12,LOOKUP(A12,Discrete_NFET[PARTNUMBER],Discrete_NFET[RDSON6])*1000,IF(Q12,LOOKUP(A12,Discrete_NFET[PARTNUMBER],Discrete_NFET[RDSON45])*1000,IF(P12,LOOKUP(A12,Discrete_NFET[PARTNUMBER],Discrete_NFET[RDSON3])*1000,IF(O12,LOOKUP(A12,Discrete_NFET[PARTNUMBER],Discrete_NFET[RDSON25])*1000,""))))))</f>
        <v>5.4</v>
      </c>
      <c r="V12" s="48">
        <f>IF(AND(A12&lt;&gt;0,A12&lt;&gt;""),U12*(1+(Tj-25)*(LOOKUP(A12,Discrete_NFET[PARTNUMBER],Discrete_NFET[RDSDELTA])/((LOOKUP(A12,Discrete_NFET[PARTNUMBER],Discrete_NFET[TJMAX])-25)))),"")</f>
        <v>5.821200000000001</v>
      </c>
      <c r="W12" s="35">
        <f>IF(AND($A12&lt;&gt;0,$A12&lt;&gt;""),LOOKUP($A12,Discrete_NFET[PARTNUMBER],Discrete_NFET[QGS]),"")</f>
        <v>2.5</v>
      </c>
      <c r="X12" s="35">
        <f>IF(AND($A12&lt;&gt;0,$A12&lt;&gt;""),LOOKUP($A12,Discrete_NFET[PARTNUMBER],Discrete_NFET[QGD]),"")</f>
        <v>1.7</v>
      </c>
      <c r="Y12" s="35">
        <f>IF(AND($A12&lt;&gt;0,$A12&lt;&gt;""),LOOKUP($A12,Discrete_NFET[PARTNUMBER],Discrete_NFET[QGTH]),"")</f>
        <v>1.3</v>
      </c>
      <c r="Z12" s="35">
        <f t="shared" si="32"/>
        <v>2.9000000000000004</v>
      </c>
      <c r="AA12" s="35">
        <f>IF(AND($A12&lt;&gt;0,$A12&lt;&gt;""),LOOKUP($A12,Discrete_NFET[PARTNUMBER],Discrete_NFET[QOSSTYP]),"")</f>
        <v>15</v>
      </c>
      <c r="AB12" s="35">
        <f>IF(AND($A12&lt;&gt;0,$A12&lt;&gt;""),LOOKUP($A12,Discrete_NFET[PARTNUMBER],Discrete_NFET[QRR]),"")</f>
        <v>30</v>
      </c>
      <c r="AC12" s="35">
        <f>IF(AND(A12&lt;&gt;0,A12&lt;&gt;""),LOOKUP(A12,Discrete_NFET[PARTNUMBER],Discrete_NFET[VF_TYP]),"")</f>
        <v>0.85</v>
      </c>
      <c r="AD12" s="127">
        <f>IF(AND($A12&lt;&gt;0,$A12&lt;&gt;"",OR(RIGHT(Logic!B12,2)="C)",LEFT(Logic!B12,4)="CSD1")),(1+(1-DUTY))*IM_RMS_120^2*V12*m/3/Num_FETS,"")</f>
        <v>0.24495758310249308</v>
      </c>
      <c r="AE12" s="127">
        <f>IF(AND($A12&lt;&gt;0,$A12&lt;&gt;"",OR(RIGHT(Logic!B12,2)="C)",LEFT(Logic!B12,4)="CSD1")),Num_FETS*0.5*IM_RMS_120*VDC_AVG*Z12*n*MOT_ELEC_FREQ/GDR_SRC,"")</f>
        <v>9.3524251805985566E-6</v>
      </c>
      <c r="AF12" s="127">
        <f>IF(AND($A12&lt;&gt;0,$A12&lt;&gt;"",OR(RIGHT(Logic!B12,2)="C)",LEFT(Logic!B12,4)="CSD1")),Num_FETS*0.5*IM_RMS_120*VDC_AVG*Z12*n*MOT_ELEC_FREQ/GDR_SINK,"")</f>
        <v>6.3596491228070184E-6</v>
      </c>
      <c r="AG12" s="127">
        <f>IF(AND($A12&lt;&gt;0,$A12&lt;&gt;"",OR(RIGHT(Logic!B12,2)="T)",LEFT(Logic!B12,4)="CSD1")),DUTY*IM_RMS_120^2*V12*m/3/Num_FETS,"")</f>
        <v>0.22162828947368421</v>
      </c>
      <c r="AH12" s="127">
        <f>IF(AND($A12&lt;&gt;0,$A12&lt;&gt;"",OR(RIGHT(Logic!B12,2)="T)",LEFT(Logic!B12,4)="CSD1")),Num_FETS*0.5*IM_RMS_120*VDC_AVG*Z12*n*FSW*k/GDR_SRC/3,"")</f>
        <v>1.870485036119711E-3</v>
      </c>
      <c r="AI12" s="127">
        <f>IF(AND($A12&lt;&gt;0,$A12&lt;&gt;"",OR(RIGHT(Logic!B12,2)="T)",LEFT(Logic!B12,4)="CSD1")),Num_FETS*0.5*IM_RMS_120*VDC_AVG*Z12*n*FSW*k/GDR_SINK/3,"")</f>
        <v>1.2719298245614035E-3</v>
      </c>
      <c r="AJ12" s="127">
        <f t="shared" si="14"/>
        <v>1.8000000000000002E-3</v>
      </c>
      <c r="AK12" s="127">
        <f t="shared" si="15"/>
        <v>1.3190478390718382E-2</v>
      </c>
      <c r="AL12" s="127">
        <f t="shared" si="16"/>
        <v>7.2120000000000005E-3</v>
      </c>
      <c r="AM12" s="127">
        <f t="shared" si="33"/>
        <v>0.39571435172155139</v>
      </c>
      <c r="AN12" s="127">
        <f>IF(AND($A12&lt;&gt;0,$A12&lt;&gt;"",OR(RIGHT(Logic!B12,2)="C)",LEFT(Logic!B12,4)="CSD1")),SUM(AD12:AF12)+(AJ12/3)+AK12+AL12/6+AM12/6,AN13)</f>
        <v>0.32591816552110675</v>
      </c>
      <c r="AO12" s="127">
        <f>IF(AND($A12&lt;&gt;0,$A12&lt;&gt;"",OR(RIGHT(Logic!B12,2)="T)",LEFT(Logic!B12,4)="CSD1")),SUM(AG12:AI12)+(AJ12/3)+AL12/6+AM12/6,AO11)</f>
        <v>0.2925250962879572</v>
      </c>
      <c r="AP12" s="48">
        <f t="shared" si="34"/>
        <v>0.62</v>
      </c>
      <c r="AQ12" s="35" t="str">
        <f>IF(AND(A12&lt;&gt;0,A12&lt;&gt;""),LOOKUP(A12,Discrete_NFET[PARTNUMBER],Discrete_NFET[TI_EQ_PACKAGE]),"")</f>
        <v>SON3X3</v>
      </c>
      <c r="AR12" s="49">
        <f>IF(AND(A12&lt;&gt;0,A12&lt;&gt;""),LOOKUP(A12,Discrete_NFET[PARTNUMBER],Discrete_NFET[1KPRICE]),"")</f>
        <v>0.33</v>
      </c>
      <c r="AS12" s="35" t="str">
        <f>IF(AND($A12&lt;&gt;0,$A12&lt;&gt;""),CONCATENATE(TEXT(AP12,"0.00"),"W, ",IF('User Input'!F$11="Single Discrete",A12,IF('User Input'!F$11="Dual/Power Block",LEFT(A12,FIND(")",A12)-7),A12)),", ",AQ12,", ",TEXT(AR12,"$0.00")),"Invalid Part")</f>
        <v>0.62W, CSD17309Q3, SON3X3, $0.33</v>
      </c>
      <c r="AT12" t="s">
        <v>779</v>
      </c>
      <c r="AW12"/>
    </row>
    <row r="13" spans="1:54" ht="15" customHeight="1" x14ac:dyDescent="0.25">
      <c r="A13" s="35" t="str">
        <f>IF(OR(AND(FET_config="Dual/Power Block",LEFT(Logic!B13,4)="CSD8"),AND(FET_config="Single Discrete",LEFT(Logic!B13,4)="CSD1")),Logic!B13,"")</f>
        <v>CSD17310Q5A</v>
      </c>
      <c r="B13" s="37" t="str">
        <f>IF(OR($A13=0,$A13=""),"0",IF(LOOKUP($A13,Discrete_NFET[PARTNUMBER],Discrete_NFET[RDSON25])="(NULL)","0","1"))</f>
        <v>0</v>
      </c>
      <c r="C13" s="38" t="str">
        <f>IF(OR($A13=0,$A13=""),"0",IF(LOOKUP($A13,Discrete_NFET[PARTNUMBER],Discrete_NFET[RDSON3])="(NULL)","0","1"))</f>
        <v>1</v>
      </c>
      <c r="D13" s="40" t="str">
        <f>IF(OR($A13=0,$A13=""),"0",IF(LOOKUP($A13,Discrete_NFET[PARTNUMBER],Discrete_NFET[RDSON45])="(NULL)","0","1"))</f>
        <v>1</v>
      </c>
      <c r="E13" s="45" t="str">
        <f>IF(OR($A13=0,$A13=""),"0",IF(LOOKUP($A13,Discrete_NFET[PARTNUMBER],Discrete_NFET[RDSON6])="(NULL)","0","1"))</f>
        <v>0</v>
      </c>
      <c r="F13" s="34" t="str">
        <f>IF(OR($A13=0,$A13=""),"0",IF(LOOKUP($A13,Discrete_NFET[PARTNUMBER],Discrete_NFET[RDSON8])="(NULL)","0","1"))</f>
        <v>1</v>
      </c>
      <c r="G13" s="43" t="str">
        <f>IF(OR($A13=0,$A13=""),"0",IF(LOOKUP($A13,Discrete_NFET[PARTNUMBER],Discrete_NFET[RDSON10])="(NULL)","0","1"))</f>
        <v>0</v>
      </c>
      <c r="H13" s="36" t="b">
        <f t="shared" si="19"/>
        <v>0</v>
      </c>
      <c r="I13" s="39" t="b">
        <f t="shared" si="20"/>
        <v>1</v>
      </c>
      <c r="J13" s="41" t="b">
        <f t="shared" si="21"/>
        <v>1</v>
      </c>
      <c r="K13" s="46" t="b">
        <f t="shared" si="22"/>
        <v>0</v>
      </c>
      <c r="L13" s="42" t="b">
        <f t="shared" si="23"/>
        <v>1</v>
      </c>
      <c r="M13" s="44" t="b">
        <f t="shared" si="24"/>
        <v>0</v>
      </c>
      <c r="N13" s="47" t="b">
        <f t="shared" si="25"/>
        <v>1</v>
      </c>
      <c r="O13" s="36" t="b">
        <f t="shared" si="26"/>
        <v>0</v>
      </c>
      <c r="P13" s="39" t="b">
        <f t="shared" si="27"/>
        <v>1</v>
      </c>
      <c r="Q13" s="41" t="b">
        <f t="shared" si="28"/>
        <v>1</v>
      </c>
      <c r="R13" s="46" t="b">
        <f t="shared" si="29"/>
        <v>0</v>
      </c>
      <c r="S13" s="42" t="b">
        <f t="shared" si="30"/>
        <v>1</v>
      </c>
      <c r="T13" s="44" t="b">
        <f t="shared" si="31"/>
        <v>0</v>
      </c>
      <c r="U13" s="148">
        <f>IF(T13,LOOKUP(A13,Discrete_NFET[PARTNUMBER],Discrete_NFET[RDSON10])*1000,IF(S13,LOOKUP(A13,Discrete_NFET[PARTNUMBER],Discrete_NFET[RDSON8])*1000,IF(R13,LOOKUP(A13,Discrete_NFET[PARTNUMBER],Discrete_NFET[RDSON6])*1000,IF(Q13,LOOKUP(A13,Discrete_NFET[PARTNUMBER],Discrete_NFET[RDSON45])*1000,IF(P13,LOOKUP(A13,Discrete_NFET[PARTNUMBER],Discrete_NFET[RDSON3])*1000,IF(O13,LOOKUP(A13,Discrete_NFET[PARTNUMBER],Discrete_NFET[RDSON25])*1000,""))))))</f>
        <v>5.1000000000000005</v>
      </c>
      <c r="V13" s="48">
        <f>IF(AND(A13&lt;&gt;0,A13&lt;&gt;""),U13*(1+(Tj-25)*(LOOKUP(A13,Discrete_NFET[PARTNUMBER],Discrete_NFET[RDSDELTA])/((LOOKUP(A13,Discrete_NFET[PARTNUMBER],Discrete_NFET[TJMAX])-25)))),"")</f>
        <v>5.5080000000000009</v>
      </c>
      <c r="W13" s="35">
        <f>IF(AND($A13&lt;&gt;0,$A13&lt;&gt;""),LOOKUP($A13,Discrete_NFET[PARTNUMBER],Discrete_NFET[QGS]),"")</f>
        <v>2.7</v>
      </c>
      <c r="X13" s="35">
        <f>IF(AND($A13&lt;&gt;0,$A13&lt;&gt;""),LOOKUP($A13,Discrete_NFET[PARTNUMBER],Discrete_NFET[QGD]),"")</f>
        <v>2.1</v>
      </c>
      <c r="Y13" s="35">
        <f>IF(AND($A13&lt;&gt;0,$A13&lt;&gt;""),LOOKUP($A13,Discrete_NFET[PARTNUMBER],Discrete_NFET[QGTH]),"")</f>
        <v>1.4</v>
      </c>
      <c r="Z13" s="35">
        <f t="shared" si="32"/>
        <v>3.4000000000000008</v>
      </c>
      <c r="AA13" s="35">
        <f>IF(AND($A13&lt;&gt;0,$A13&lt;&gt;""),LOOKUP($A13,Discrete_NFET[PARTNUMBER],Discrete_NFET[QOSSTYP]),"")</f>
        <v>15.9</v>
      </c>
      <c r="AB13" s="35">
        <f>IF(AND($A13&lt;&gt;0,$A13&lt;&gt;""),LOOKUP($A13,Discrete_NFET[PARTNUMBER],Discrete_NFET[QRR]),"")</f>
        <v>21</v>
      </c>
      <c r="AC13" s="35">
        <f>IF(AND(A13&lt;&gt;0,A13&lt;&gt;""),LOOKUP(A13,Discrete_NFET[PARTNUMBER],Discrete_NFET[VF_TYP]),"")</f>
        <v>0.85</v>
      </c>
      <c r="AD13" s="127">
        <f>IF(AND($A13&lt;&gt;0,$A13&lt;&gt;"",OR(RIGHT(Logic!B13,2)="C)",LEFT(Logic!B13,4)="CSD1")),(1+(1-DUTY))*IM_RMS_120^2*V13*m/3/Num_FETS,"")</f>
        <v>0.23177804709141273</v>
      </c>
      <c r="AE13" s="127">
        <f>IF(AND($A13&lt;&gt;0,$A13&lt;&gt;"",OR(RIGHT(Logic!B13,2)="C)",LEFT(Logic!B13,4)="CSD1")),Num_FETS*0.5*IM_RMS_120*VDC_AVG*Z13*n*MOT_ELEC_FREQ/GDR_SRC,"")</f>
        <v>1.0964912280701755E-5</v>
      </c>
      <c r="AF13" s="127">
        <f>IF(AND($A13&lt;&gt;0,$A13&lt;&gt;"",OR(RIGHT(Logic!B13,2)="C)",LEFT(Logic!B13,4)="CSD1")),Num_FETS*0.5*IM_RMS_120*VDC_AVG*Z13*n*MOT_ELEC_FREQ/GDR_SINK,"")</f>
        <v>7.4561403508771946E-6</v>
      </c>
      <c r="AG13" s="127">
        <f>IF(AND($A13&lt;&gt;0,$A13&lt;&gt;"",OR(RIGHT(Logic!B13,2)="T)",LEFT(Logic!B13,4)="CSD1")),DUTY*IM_RMS_120^2*V13*m/3/Num_FETS,"")</f>
        <v>0.20970394736842105</v>
      </c>
      <c r="AH13" s="127">
        <f>IF(AND($A13&lt;&gt;0,$A13&lt;&gt;"",OR(RIGHT(Logic!B13,2)="T)",LEFT(Logic!B13,4)="CSD1")),Num_FETS*0.5*IM_RMS_120*VDC_AVG*Z13*n*FSW*k/GDR_SRC/3,"")</f>
        <v>2.1929824561403512E-3</v>
      </c>
      <c r="AI13" s="127">
        <f>IF(AND($A13&lt;&gt;0,$A13&lt;&gt;"",OR(RIGHT(Logic!B13,2)="T)",LEFT(Logic!B13,4)="CSD1")),Num_FETS*0.5*IM_RMS_120*VDC_AVG*Z13*n*FSW*k/GDR_SINK/3,"")</f>
        <v>1.4912280701754391E-3</v>
      </c>
      <c r="AJ13" s="127">
        <f t="shared" si="14"/>
        <v>1.9080000000000002E-3</v>
      </c>
      <c r="AK13" s="127">
        <f t="shared" si="15"/>
        <v>1.3190478390718382E-2</v>
      </c>
      <c r="AL13" s="127">
        <f t="shared" si="16"/>
        <v>5.0484000000000006E-3</v>
      </c>
      <c r="AM13" s="127">
        <f t="shared" si="33"/>
        <v>0.39571435172155139</v>
      </c>
      <c r="AN13" s="127">
        <f>IF(AND($A13&lt;&gt;0,$A13&lt;&gt;"",OR(RIGHT(Logic!B13,2)="C)",LEFT(Logic!B13,4)="CSD1")),SUM(AD13:AF13)+(AJ13/3)+AK13+AL13/6+AM13/6,AN14)</f>
        <v>0.31241673848835461</v>
      </c>
      <c r="AO13" s="127">
        <f>IF(AND($A13&lt;&gt;0,$A13&lt;&gt;"",OR(RIGHT(Logic!B13,2)="T)",LEFT(Logic!B13,4)="CSD1")),SUM(AG13:AI13)+(AJ13/3)+AL13/6+AM13/6,AO12)</f>
        <v>0.28081794984832875</v>
      </c>
      <c r="AP13" s="48">
        <f t="shared" si="34"/>
        <v>0.59</v>
      </c>
      <c r="AQ13" s="35" t="str">
        <f>IF(AND(A13&lt;&gt;0,A13&lt;&gt;""),LOOKUP(A13,Discrete_NFET[PARTNUMBER],Discrete_NFET[TI_EQ_PACKAGE]),"")</f>
        <v>SON5X6</v>
      </c>
      <c r="AR13" s="49">
        <f>IF(AND(A13&lt;&gt;0,A13&lt;&gt;""),LOOKUP(A13,Discrete_NFET[PARTNUMBER],Discrete_NFET[1KPRICE]),"")</f>
        <v>0.28000000000000003</v>
      </c>
      <c r="AS13" s="35" t="str">
        <f>IF(AND($A13&lt;&gt;0,$A13&lt;&gt;""),CONCATENATE(TEXT(AP13,"0.00"),"W, ",IF('User Input'!F$11="Single Discrete",A13,IF('User Input'!F$11="Dual/Power Block",LEFT(A13,FIND(")",A13)-7),A13)),", ",AQ13,", ",TEXT(AR13,"$0.00")),"Invalid Part")</f>
        <v>0.59W, CSD17310Q5A, SON5X6, $0.28</v>
      </c>
      <c r="AT13" t="s">
        <v>765</v>
      </c>
      <c r="AW13"/>
    </row>
    <row r="14" spans="1:54" ht="15" customHeight="1" x14ac:dyDescent="0.25">
      <c r="A14" s="35" t="str">
        <f>IF(OR(AND(FET_config="Dual/Power Block",LEFT(Logic!B14,4)="CSD8"),AND(FET_config="Single Discrete",LEFT(Logic!B14,4)="CSD1")),Logic!B14,"")</f>
        <v>CSD17311Q5</v>
      </c>
      <c r="B14" s="37" t="str">
        <f>IF(OR($A14=0,$A14=""),"0",IF(LOOKUP($A14,Discrete_NFET[PARTNUMBER],Discrete_NFET[RDSON25])="(NULL)","0","1"))</f>
        <v>0</v>
      </c>
      <c r="C14" s="38" t="str">
        <f>IF(OR($A14=0,$A14=""),"0",IF(LOOKUP($A14,Discrete_NFET[PARTNUMBER],Discrete_NFET[RDSON3])="(NULL)","0","1"))</f>
        <v>1</v>
      </c>
      <c r="D14" s="40" t="str">
        <f>IF(OR($A14=0,$A14=""),"0",IF(LOOKUP($A14,Discrete_NFET[PARTNUMBER],Discrete_NFET[RDSON45])="(NULL)","0","1"))</f>
        <v>1</v>
      </c>
      <c r="E14" s="45" t="str">
        <f>IF(OR($A14=0,$A14=""),"0",IF(LOOKUP($A14,Discrete_NFET[PARTNUMBER],Discrete_NFET[RDSON6])="(NULL)","0","1"))</f>
        <v>0</v>
      </c>
      <c r="F14" s="34" t="str">
        <f>IF(OR($A14=0,$A14=""),"0",IF(LOOKUP($A14,Discrete_NFET[PARTNUMBER],Discrete_NFET[RDSON8])="(NULL)","0","1"))</f>
        <v>1</v>
      </c>
      <c r="G14" s="43" t="str">
        <f>IF(OR($A14=0,$A14=""),"0",IF(LOOKUP($A14,Discrete_NFET[PARTNUMBER],Discrete_NFET[RDSON10])="(NULL)","0","1"))</f>
        <v>0</v>
      </c>
      <c r="H14" s="36" t="b">
        <f t="shared" si="19"/>
        <v>0</v>
      </c>
      <c r="I14" s="39" t="b">
        <f t="shared" si="20"/>
        <v>1</v>
      </c>
      <c r="J14" s="41" t="b">
        <f t="shared" si="21"/>
        <v>1</v>
      </c>
      <c r="K14" s="46" t="b">
        <f t="shared" si="22"/>
        <v>0</v>
      </c>
      <c r="L14" s="42" t="b">
        <f t="shared" si="23"/>
        <v>1</v>
      </c>
      <c r="M14" s="44" t="b">
        <f t="shared" si="24"/>
        <v>0</v>
      </c>
      <c r="N14" s="47" t="b">
        <f t="shared" si="25"/>
        <v>1</v>
      </c>
      <c r="O14" s="36" t="b">
        <f t="shared" si="26"/>
        <v>0</v>
      </c>
      <c r="P14" s="39" t="b">
        <f t="shared" si="27"/>
        <v>1</v>
      </c>
      <c r="Q14" s="41" t="b">
        <f t="shared" si="28"/>
        <v>1</v>
      </c>
      <c r="R14" s="46" t="b">
        <f t="shared" si="29"/>
        <v>0</v>
      </c>
      <c r="S14" s="42" t="b">
        <f t="shared" si="30"/>
        <v>1</v>
      </c>
      <c r="T14" s="44" t="b">
        <f t="shared" si="31"/>
        <v>0</v>
      </c>
      <c r="U14" s="148">
        <f>IF(T14,LOOKUP(A14,Discrete_NFET[PARTNUMBER],Discrete_NFET[RDSON10])*1000,IF(S14,LOOKUP(A14,Discrete_NFET[PARTNUMBER],Discrete_NFET[RDSON8])*1000,IF(R14,LOOKUP(A14,Discrete_NFET[PARTNUMBER],Discrete_NFET[RDSON6])*1000,IF(Q14,LOOKUP(A14,Discrete_NFET[PARTNUMBER],Discrete_NFET[RDSON45])*1000,IF(P14,LOOKUP(A14,Discrete_NFET[PARTNUMBER],Discrete_NFET[RDSON3])*1000,IF(O14,LOOKUP(A14,Discrete_NFET[PARTNUMBER],Discrete_NFET[RDSON25])*1000,""))))))</f>
        <v>2</v>
      </c>
      <c r="V14" s="48">
        <f>IF(AND(A14&lt;&gt;0,A14&lt;&gt;""),U14*(1+(Tj-25)*(LOOKUP(A14,Discrete_NFET[PARTNUMBER],Discrete_NFET[RDSDELTA])/((LOOKUP(A14,Discrete_NFET[PARTNUMBER],Discrete_NFET[TJMAX])-25)))),"")</f>
        <v>2.2395999999999998</v>
      </c>
      <c r="W14" s="35">
        <f>IF(AND($A14&lt;&gt;0,$A14&lt;&gt;""),LOOKUP($A14,Discrete_NFET[PARTNUMBER],Discrete_NFET[QGS]),"")</f>
        <v>6.6</v>
      </c>
      <c r="X14" s="35">
        <f>IF(AND($A14&lt;&gt;0,$A14&lt;&gt;""),LOOKUP($A14,Discrete_NFET[PARTNUMBER],Discrete_NFET[QGD]),"")</f>
        <v>5.2</v>
      </c>
      <c r="Y14" s="35">
        <f>IF(AND($A14&lt;&gt;0,$A14&lt;&gt;""),LOOKUP($A14,Discrete_NFET[PARTNUMBER],Discrete_NFET[QGTH]),"")</f>
        <v>3.9</v>
      </c>
      <c r="Z14" s="35">
        <f t="shared" si="32"/>
        <v>7.9</v>
      </c>
      <c r="AA14" s="35">
        <f>IF(AND($A14&lt;&gt;0,$A14&lt;&gt;""),LOOKUP($A14,Discrete_NFET[PARTNUMBER],Discrete_NFET[QOSSTYP]),"")</f>
        <v>47</v>
      </c>
      <c r="AB14" s="35">
        <f>IF(AND($A14&lt;&gt;0,$A14&lt;&gt;""),LOOKUP($A14,Discrete_NFET[PARTNUMBER],Discrete_NFET[QRR]),"")</f>
        <v>74</v>
      </c>
      <c r="AC14" s="35">
        <f>IF(AND(A14&lt;&gt;0,A14&lt;&gt;""),LOOKUP(A14,Discrete_NFET[PARTNUMBER],Discrete_NFET[VF_TYP]),"")</f>
        <v>0.85</v>
      </c>
      <c r="AD14" s="127">
        <f>IF(AND($A14&lt;&gt;0,$A14&lt;&gt;"",OR(RIGHT(Logic!B14,2)="C)",LEFT(Logic!B14,4)="CSD1")),(1+(1-DUTY))*IM_RMS_120^2*V14*m/3/Num_FETS,"")</f>
        <v>9.4242940135426265E-2</v>
      </c>
      <c r="AE14" s="127">
        <f>IF(AND($A14&lt;&gt;0,$A14&lt;&gt;"",OR(RIGHT(Logic!B14,2)="C)",LEFT(Logic!B14,4)="CSD1")),Num_FETS*0.5*IM_RMS_120*VDC_AVG*Z14*n*MOT_ELEC_FREQ/GDR_SRC,"")</f>
        <v>2.5477296181630545E-5</v>
      </c>
      <c r="AF14" s="127">
        <f>IF(AND($A14&lt;&gt;0,$A14&lt;&gt;"",OR(RIGHT(Logic!B14,2)="C)",LEFT(Logic!B14,4)="CSD1")),Num_FETS*0.5*IM_RMS_120*VDC_AVG*Z14*n*MOT_ELEC_FREQ/GDR_SINK,"")</f>
        <v>1.7324561403508773E-5</v>
      </c>
      <c r="AG14" s="127">
        <f>IF(AND($A14&lt;&gt;0,$A14&lt;&gt;"",OR(RIGHT(Logic!B14,2)="T)",LEFT(Logic!B14,4)="CSD1")),DUTY*IM_RMS_120^2*V14*m/3/Num_FETS,"")</f>
        <v>8.5267422027290429E-2</v>
      </c>
      <c r="AH14" s="127">
        <f>IF(AND($A14&lt;&gt;0,$A14&lt;&gt;"",OR(RIGHT(Logic!B14,2)="T)",LEFT(Logic!B14,4)="CSD1")),Num_FETS*0.5*IM_RMS_120*VDC_AVG*Z14*n*FSW*k/GDR_SRC/3,"")</f>
        <v>5.095459236326109E-3</v>
      </c>
      <c r="AI14" s="127">
        <f>IF(AND($A14&lt;&gt;0,$A14&lt;&gt;"",OR(RIGHT(Logic!B14,2)="T)",LEFT(Logic!B14,4)="CSD1")),Num_FETS*0.5*IM_RMS_120*VDC_AVG*Z14*n*FSW*k/GDR_SINK/3,"")</f>
        <v>3.4649122807017541E-3</v>
      </c>
      <c r="AJ14" s="127">
        <f t="shared" si="14"/>
        <v>5.64E-3</v>
      </c>
      <c r="AK14" s="127">
        <f t="shared" si="15"/>
        <v>1.3190478390718382E-2</v>
      </c>
      <c r="AL14" s="127">
        <f t="shared" si="16"/>
        <v>1.7789600000000003E-2</v>
      </c>
      <c r="AM14" s="127">
        <f t="shared" si="33"/>
        <v>0.39571435172155139</v>
      </c>
      <c r="AN14" s="127">
        <f>IF(AND($A14&lt;&gt;0,$A14&lt;&gt;"",OR(RIGHT(Logic!B14,2)="C)",LEFT(Logic!B14,4)="CSD1")),SUM(AD14:AF14)+(AJ14/3)+AK14+AL14/6+AM14/6,AN15)</f>
        <v>0.17827354567065501</v>
      </c>
      <c r="AO14" s="127">
        <f>IF(AND($A14&lt;&gt;0,$A14&lt;&gt;"",OR(RIGHT(Logic!B14,2)="T)",LEFT(Logic!B14,4)="CSD1")),SUM(AG14:AI14)+(AJ14/3)+AL14/6+AM14/6,AO13)</f>
        <v>0.16462511883124353</v>
      </c>
      <c r="AP14" s="48">
        <f t="shared" si="34"/>
        <v>0.34</v>
      </c>
      <c r="AQ14" s="35" t="str">
        <f>IF(AND(A14&lt;&gt;0,A14&lt;&gt;""),LOOKUP(A14,Discrete_NFET[PARTNUMBER],Discrete_NFET[TI_EQ_PACKAGE]),"")</f>
        <v>SON5X6</v>
      </c>
      <c r="AR14" s="49">
        <f>IF(AND(A14&lt;&gt;0,A14&lt;&gt;""),LOOKUP(A14,Discrete_NFET[PARTNUMBER],Discrete_NFET[1KPRICE]),"")</f>
        <v>0.64</v>
      </c>
      <c r="AS14" s="35" t="str">
        <f>IF(AND($A14&lt;&gt;0,$A14&lt;&gt;""),CONCATENATE(TEXT(AP14,"0.00"),"W, ",IF('User Input'!F$11="Single Discrete",A14,IF('User Input'!F$11="Dual/Power Block",LEFT(A14,FIND(")",A14)-7),A14)),", ",AQ14,", ",TEXT(AR14,"$0.00")),"Invalid Part")</f>
        <v>0.34W, CSD17311Q5, SON5X6, $0.64</v>
      </c>
      <c r="AT14" t="s">
        <v>719</v>
      </c>
      <c r="AW14"/>
    </row>
    <row r="15" spans="1:54" ht="15" customHeight="1" x14ac:dyDescent="0.25">
      <c r="A15" s="35" t="str">
        <f>IF(OR(AND(FET_config="Dual/Power Block",LEFT(Logic!B15,4)="CSD8"),AND(FET_config="Single Discrete",LEFT(Logic!B15,4)="CSD1")),Logic!B15,"")</f>
        <v>CSD17312Q5</v>
      </c>
      <c r="B15" s="37" t="str">
        <f>IF(OR($A15=0,$A15=""),"0",IF(LOOKUP($A15,Discrete_NFET[PARTNUMBER],Discrete_NFET[RDSON25])="(NULL)","0","1"))</f>
        <v>0</v>
      </c>
      <c r="C15" s="38" t="str">
        <f>IF(OR($A15=0,$A15=""),"0",IF(LOOKUP($A15,Discrete_NFET[PARTNUMBER],Discrete_NFET[RDSON3])="(NULL)","0","1"))</f>
        <v>1</v>
      </c>
      <c r="D15" s="40" t="str">
        <f>IF(OR($A15=0,$A15=""),"0",IF(LOOKUP($A15,Discrete_NFET[PARTNUMBER],Discrete_NFET[RDSON45])="(NULL)","0","1"))</f>
        <v>1</v>
      </c>
      <c r="E15" s="45" t="str">
        <f>IF(OR($A15=0,$A15=""),"0",IF(LOOKUP($A15,Discrete_NFET[PARTNUMBER],Discrete_NFET[RDSON6])="(NULL)","0","1"))</f>
        <v>0</v>
      </c>
      <c r="F15" s="34" t="str">
        <f>IF(OR($A15=0,$A15=""),"0",IF(LOOKUP($A15,Discrete_NFET[PARTNUMBER],Discrete_NFET[RDSON8])="(NULL)","0","1"))</f>
        <v>1</v>
      </c>
      <c r="G15" s="43" t="str">
        <f>IF(OR($A15=0,$A15=""),"0",IF(LOOKUP($A15,Discrete_NFET[PARTNUMBER],Discrete_NFET[RDSON10])="(NULL)","0","1"))</f>
        <v>0</v>
      </c>
      <c r="H15" s="36" t="b">
        <f t="shared" si="19"/>
        <v>0</v>
      </c>
      <c r="I15" s="39" t="b">
        <f t="shared" si="20"/>
        <v>1</v>
      </c>
      <c r="J15" s="41" t="b">
        <f t="shared" si="21"/>
        <v>1</v>
      </c>
      <c r="K15" s="46" t="b">
        <f t="shared" si="22"/>
        <v>0</v>
      </c>
      <c r="L15" s="42" t="b">
        <f t="shared" si="23"/>
        <v>1</v>
      </c>
      <c r="M15" s="44" t="b">
        <f t="shared" si="24"/>
        <v>0</v>
      </c>
      <c r="N15" s="47" t="b">
        <f t="shared" si="25"/>
        <v>1</v>
      </c>
      <c r="O15" s="36" t="b">
        <f t="shared" si="26"/>
        <v>0</v>
      </c>
      <c r="P15" s="39" t="b">
        <f t="shared" si="27"/>
        <v>1</v>
      </c>
      <c r="Q15" s="41" t="b">
        <f t="shared" si="28"/>
        <v>1</v>
      </c>
      <c r="R15" s="46" t="b">
        <f t="shared" si="29"/>
        <v>0</v>
      </c>
      <c r="S15" s="42" t="b">
        <f t="shared" si="30"/>
        <v>1</v>
      </c>
      <c r="T15" s="44" t="b">
        <f t="shared" si="31"/>
        <v>0</v>
      </c>
      <c r="U15" s="148">
        <f>IF(T15,LOOKUP(A15,Discrete_NFET[PARTNUMBER],Discrete_NFET[RDSON10])*1000,IF(S15,LOOKUP(A15,Discrete_NFET[PARTNUMBER],Discrete_NFET[RDSON8])*1000,IF(R15,LOOKUP(A15,Discrete_NFET[PARTNUMBER],Discrete_NFET[RDSON6])*1000,IF(Q15,LOOKUP(A15,Discrete_NFET[PARTNUMBER],Discrete_NFET[RDSON45])*1000,IF(P15,LOOKUP(A15,Discrete_NFET[PARTNUMBER],Discrete_NFET[RDSON3])*1000,IF(O15,LOOKUP(A15,Discrete_NFET[PARTNUMBER],Discrete_NFET[RDSON25])*1000,""))))))</f>
        <v>1.5</v>
      </c>
      <c r="V15" s="48">
        <f>IF(AND(A15&lt;&gt;0,A15&lt;&gt;""),U15*(1+(Tj-25)*(LOOKUP(A15,Discrete_NFET[PARTNUMBER],Discrete_NFET[RDSDELTA])/((LOOKUP(A15,Discrete_NFET[PARTNUMBER],Discrete_NFET[TJMAX])-25)))),"")</f>
        <v>1.6797</v>
      </c>
      <c r="W15" s="35">
        <f>IF(AND($A15&lt;&gt;0,$A15&lt;&gt;""),LOOKUP($A15,Discrete_NFET[PARTNUMBER],Discrete_NFET[QGS]),"")</f>
        <v>8.4</v>
      </c>
      <c r="X15" s="35">
        <f>IF(AND($A15&lt;&gt;0,$A15&lt;&gt;""),LOOKUP($A15,Discrete_NFET[PARTNUMBER],Discrete_NFET[QGD]),"")</f>
        <v>6</v>
      </c>
      <c r="Y15" s="35">
        <f>IF(AND($A15&lt;&gt;0,$A15&lt;&gt;""),LOOKUP($A15,Discrete_NFET[PARTNUMBER],Discrete_NFET[QGTH]),"")</f>
        <v>4.4000000000000004</v>
      </c>
      <c r="Z15" s="35">
        <f t="shared" si="32"/>
        <v>10</v>
      </c>
      <c r="AA15" s="35">
        <f>IF(AND($A15&lt;&gt;0,$A15&lt;&gt;""),LOOKUP($A15,Discrete_NFET[PARTNUMBER],Discrete_NFET[QOSSTYP]),"")</f>
        <v>57</v>
      </c>
      <c r="AB15" s="35">
        <f>IF(AND($A15&lt;&gt;0,$A15&lt;&gt;""),LOOKUP($A15,Discrete_NFET[PARTNUMBER],Discrete_NFET[QRR]),"")</f>
        <v>88</v>
      </c>
      <c r="AC15" s="35">
        <f>IF(AND(A15&lt;&gt;0,A15&lt;&gt;""),LOOKUP(A15,Discrete_NFET[PARTNUMBER],Discrete_NFET[VF_TYP]),"")</f>
        <v>0.8</v>
      </c>
      <c r="AD15" s="127">
        <f>IF(AND($A15&lt;&gt;0,$A15&lt;&gt;"",OR(RIGHT(Logic!B15,2)="C)",LEFT(Logic!B15,4)="CSD1")),(1+(1-DUTY))*IM_RMS_120^2*V15*m/3/Num_FETS,"")</f>
        <v>7.0682205101569695E-2</v>
      </c>
      <c r="AE15" s="127">
        <f>IF(AND($A15&lt;&gt;0,$A15&lt;&gt;"",OR(RIGHT(Logic!B15,2)="C)",LEFT(Logic!B15,4)="CSD1")),Num_FETS*0.5*IM_RMS_120*VDC_AVG*Z15*n*MOT_ELEC_FREQ/GDR_SRC,"")</f>
        <v>3.2249742002063981E-5</v>
      </c>
      <c r="AF15" s="127">
        <f>IF(AND($A15&lt;&gt;0,$A15&lt;&gt;"",OR(RIGHT(Logic!B15,2)="C)",LEFT(Logic!B15,4)="CSD1")),Num_FETS*0.5*IM_RMS_120*VDC_AVG*Z15*n*MOT_ELEC_FREQ/GDR_SINK,"")</f>
        <v>2.1929824561403511E-5</v>
      </c>
      <c r="AG15" s="127">
        <f>IF(AND($A15&lt;&gt;0,$A15&lt;&gt;"",OR(RIGHT(Logic!B15,2)="T)",LEFT(Logic!B15,4)="CSD1")),DUTY*IM_RMS_120^2*V15*m/3/Num_FETS,"")</f>
        <v>6.3950566520467822E-2</v>
      </c>
      <c r="AH15" s="127">
        <f>IF(AND($A15&lt;&gt;0,$A15&lt;&gt;"",OR(RIGHT(Logic!B15,2)="T)",LEFT(Logic!B15,4)="CSD1")),Num_FETS*0.5*IM_RMS_120*VDC_AVG*Z15*n*FSW*k/GDR_SRC/3,"")</f>
        <v>6.4499484004127972E-3</v>
      </c>
      <c r="AI15" s="127">
        <f>IF(AND($A15&lt;&gt;0,$A15&lt;&gt;"",OR(RIGHT(Logic!B15,2)="T)",LEFT(Logic!B15,4)="CSD1")),Num_FETS*0.5*IM_RMS_120*VDC_AVG*Z15*n*FSW*k/GDR_SINK/3,"")</f>
        <v>4.3859649122807024E-3</v>
      </c>
      <c r="AJ15" s="127">
        <f t="shared" si="14"/>
        <v>6.8400000000000006E-3</v>
      </c>
      <c r="AK15" s="127">
        <f t="shared" si="15"/>
        <v>1.2414567897146714E-2</v>
      </c>
      <c r="AL15" s="127">
        <f t="shared" si="16"/>
        <v>2.1155200000000002E-2</v>
      </c>
      <c r="AM15" s="127">
        <f t="shared" si="33"/>
        <v>0.37243703691440144</v>
      </c>
      <c r="AN15" s="127">
        <f>IF(AND($A15&lt;&gt;0,$A15&lt;&gt;"",OR(RIGHT(Logic!B15,2)="C)",LEFT(Logic!B15,4)="CSD1")),SUM(AD15:AF15)+(AJ15/3)+AK15+AL15/6+AM15/6,AN16)</f>
        <v>0.15102965871768015</v>
      </c>
      <c r="AO15" s="127">
        <f>IF(AND($A15&lt;&gt;0,$A15&lt;&gt;"",OR(RIGHT(Logic!B15,2)="T)",LEFT(Logic!B15,4)="CSD1")),SUM(AG15:AI15)+(AJ15/3)+AL15/6+AM15/6,AO14)</f>
        <v>0.14266518598556158</v>
      </c>
      <c r="AP15" s="48">
        <f t="shared" si="34"/>
        <v>0.28999999999999998</v>
      </c>
      <c r="AQ15" s="35" t="str">
        <f>IF(AND(A15&lt;&gt;0,A15&lt;&gt;""),LOOKUP(A15,Discrete_NFET[PARTNUMBER],Discrete_NFET[TI_EQ_PACKAGE]),"")</f>
        <v>SON5X6</v>
      </c>
      <c r="AR15" s="49">
        <f>IF(AND(A15&lt;&gt;0,A15&lt;&gt;""),LOOKUP(A15,Discrete_NFET[PARTNUMBER],Discrete_NFET[1KPRICE]),"")</f>
        <v>0.73</v>
      </c>
      <c r="AS15" s="35" t="str">
        <f>IF(AND($A15&lt;&gt;0,$A15&lt;&gt;""),CONCATENATE(TEXT(AP15,"0.00"),"W, ",IF('User Input'!F$11="Single Discrete",A15,IF('User Input'!F$11="Dual/Power Block",LEFT(A15,FIND(")",A15)-7),A15)),", ",AQ15,", ",TEXT(AR15,"$0.00")),"Invalid Part")</f>
        <v>0.29W, CSD17312Q5, SON5X6, $0.73</v>
      </c>
      <c r="AT15" t="s">
        <v>708</v>
      </c>
      <c r="AW15"/>
    </row>
    <row r="16" spans="1:54" ht="15" customHeight="1" x14ac:dyDescent="0.25">
      <c r="A16" s="35" t="str">
        <f>IF(OR(AND(FET_config="Dual/Power Block",LEFT(Logic!B16,4)="CSD8"),AND(FET_config="Single Discrete",LEFT(Logic!B16,4)="CSD1")),Logic!B16,"")</f>
        <v>CSD17313Q2</v>
      </c>
      <c r="B16" s="37" t="str">
        <f>IF(OR($A16=0,$A16=""),"0",IF(LOOKUP($A16,Discrete_NFET[PARTNUMBER],Discrete_NFET[RDSON25])="(NULL)","0","1"))</f>
        <v>0</v>
      </c>
      <c r="C16" s="38" t="str">
        <f>IF(OR($A16=0,$A16=""),"0",IF(LOOKUP($A16,Discrete_NFET[PARTNUMBER],Discrete_NFET[RDSON3])="(NULL)","0","1"))</f>
        <v>1</v>
      </c>
      <c r="D16" s="40" t="str">
        <f>IF(OR($A16=0,$A16=""),"0",IF(LOOKUP($A16,Discrete_NFET[PARTNUMBER],Discrete_NFET[RDSON45])="(NULL)","0","1"))</f>
        <v>1</v>
      </c>
      <c r="E16" s="45" t="str">
        <f>IF(OR($A16=0,$A16=""),"0",IF(LOOKUP($A16,Discrete_NFET[PARTNUMBER],Discrete_NFET[RDSON6])="(NULL)","0","1"))</f>
        <v>0</v>
      </c>
      <c r="F16" s="34" t="str">
        <f>IF(OR($A16=0,$A16=""),"0",IF(LOOKUP($A16,Discrete_NFET[PARTNUMBER],Discrete_NFET[RDSON8])="(NULL)","0","1"))</f>
        <v>1</v>
      </c>
      <c r="G16" s="43" t="str">
        <f>IF(OR($A16=0,$A16=""),"0",IF(LOOKUP($A16,Discrete_NFET[PARTNUMBER],Discrete_NFET[RDSON10])="(NULL)","0","1"))</f>
        <v>0</v>
      </c>
      <c r="H16" s="36" t="b">
        <f t="shared" si="19"/>
        <v>0</v>
      </c>
      <c r="I16" s="39" t="b">
        <f t="shared" si="20"/>
        <v>1</v>
      </c>
      <c r="J16" s="41" t="b">
        <f t="shared" si="21"/>
        <v>1</v>
      </c>
      <c r="K16" s="46" t="b">
        <f t="shared" si="22"/>
        <v>0</v>
      </c>
      <c r="L16" s="42" t="b">
        <f t="shared" si="23"/>
        <v>1</v>
      </c>
      <c r="M16" s="44" t="b">
        <f t="shared" si="24"/>
        <v>0</v>
      </c>
      <c r="N16" s="47" t="b">
        <f t="shared" si="25"/>
        <v>1</v>
      </c>
      <c r="O16" s="36" t="b">
        <f t="shared" si="26"/>
        <v>0</v>
      </c>
      <c r="P16" s="39" t="b">
        <f t="shared" si="27"/>
        <v>1</v>
      </c>
      <c r="Q16" s="41" t="b">
        <f t="shared" si="28"/>
        <v>1</v>
      </c>
      <c r="R16" s="46" t="b">
        <f t="shared" si="29"/>
        <v>0</v>
      </c>
      <c r="S16" s="42" t="b">
        <f t="shared" si="30"/>
        <v>1</v>
      </c>
      <c r="T16" s="44" t="b">
        <f t="shared" si="31"/>
        <v>0</v>
      </c>
      <c r="U16" s="148">
        <f>IF(T16,LOOKUP(A16,Discrete_NFET[PARTNUMBER],Discrete_NFET[RDSON10])*1000,IF(S16,LOOKUP(A16,Discrete_NFET[PARTNUMBER],Discrete_NFET[RDSON8])*1000,IF(R16,LOOKUP(A16,Discrete_NFET[PARTNUMBER],Discrete_NFET[RDSON6])*1000,IF(Q16,LOOKUP(A16,Discrete_NFET[PARTNUMBER],Discrete_NFET[RDSON45])*1000,IF(P16,LOOKUP(A16,Discrete_NFET[PARTNUMBER],Discrete_NFET[RDSON3])*1000,IF(O16,LOOKUP(A16,Discrete_NFET[PARTNUMBER],Discrete_NFET[RDSON25])*1000,""))))))</f>
        <v>30</v>
      </c>
      <c r="V16" s="48">
        <f>IF(AND(A16&lt;&gt;0,A16&lt;&gt;""),U16*(1+(Tj-25)*(LOOKUP(A16,Discrete_NFET[PARTNUMBER],Discrete_NFET[RDSDELTA])/((LOOKUP(A16,Discrete_NFET[PARTNUMBER],Discrete_NFET[TJMAX])-25)))),"")</f>
        <v>32.880000000000003</v>
      </c>
      <c r="W16" s="35">
        <f>IF(AND($A16&lt;&gt;0,$A16&lt;&gt;""),LOOKUP($A16,Discrete_NFET[PARTNUMBER],Discrete_NFET[QGS]),"")</f>
        <v>0.7</v>
      </c>
      <c r="X16" s="35">
        <f>IF(AND($A16&lt;&gt;0,$A16&lt;&gt;""),LOOKUP($A16,Discrete_NFET[PARTNUMBER],Discrete_NFET[QGD]),"")</f>
        <v>0.4</v>
      </c>
      <c r="Y16" s="35">
        <f>IF(AND($A16&lt;&gt;0,$A16&lt;&gt;""),LOOKUP($A16,Discrete_NFET[PARTNUMBER],Discrete_NFET[QGTH]),"")</f>
        <v>0.3</v>
      </c>
      <c r="Z16" s="35">
        <f t="shared" si="32"/>
        <v>0.8</v>
      </c>
      <c r="AA16" s="35">
        <f>IF(AND($A16&lt;&gt;0,$A16&lt;&gt;""),LOOKUP($A16,Discrete_NFET[PARTNUMBER],Discrete_NFET[QOSSTYP]),"")</f>
        <v>3.8</v>
      </c>
      <c r="AB16" s="35">
        <f>IF(AND($A16&lt;&gt;0,$A16&lt;&gt;""),LOOKUP($A16,Discrete_NFET[PARTNUMBER],Discrete_NFET[QRR]),"")</f>
        <v>6.4</v>
      </c>
      <c r="AC16" s="35">
        <f>IF(AND(A16&lt;&gt;0,A16&lt;&gt;""),LOOKUP(A16,Discrete_NFET[PARTNUMBER],Discrete_NFET[VF_TYP]),"")</f>
        <v>0.85</v>
      </c>
      <c r="AD16" s="127">
        <f>IF(AND($A16&lt;&gt;0,$A16&lt;&gt;"",OR(RIGHT(Logic!B16,2)="C)",LEFT(Logic!B16,4)="CSD1")),(1+(1-DUTY))*IM_RMS_120^2*V16*m/3/Num_FETS,"")</f>
        <v>1.3835987996306554</v>
      </c>
      <c r="AE16" s="127">
        <f>IF(AND($A16&lt;&gt;0,$A16&lt;&gt;"",OR(RIGHT(Logic!B16,2)="C)",LEFT(Logic!B16,4)="CSD1")),Num_FETS*0.5*IM_RMS_120*VDC_AVG*Z16*n*MOT_ELEC_FREQ/GDR_SRC,"")</f>
        <v>2.5799793601651189E-6</v>
      </c>
      <c r="AF16" s="127">
        <f>IF(AND($A16&lt;&gt;0,$A16&lt;&gt;"",OR(RIGHT(Logic!B16,2)="C)",LEFT(Logic!B16,4)="CSD1")),Num_FETS*0.5*IM_RMS_120*VDC_AVG*Z16*n*MOT_ELEC_FREQ/GDR_SINK,"")</f>
        <v>1.754385964912281E-6</v>
      </c>
      <c r="AG16" s="127">
        <f>IF(AND($A16&lt;&gt;0,$A16&lt;&gt;"",OR(RIGHT(Logic!B16,2)="T)",LEFT(Logic!B16,4)="CSD1")),DUTY*IM_RMS_120^2*V16*m/3/Num_FETS,"")</f>
        <v>1.2518274853801168</v>
      </c>
      <c r="AH16" s="127">
        <f>IF(AND($A16&lt;&gt;0,$A16&lt;&gt;"",OR(RIGHT(Logic!B16,2)="T)",LEFT(Logic!B16,4)="CSD1")),Num_FETS*0.5*IM_RMS_120*VDC_AVG*Z16*n*FSW*k/GDR_SRC/3,"")</f>
        <v>5.159958720330238E-4</v>
      </c>
      <c r="AI16" s="127">
        <f>IF(AND($A16&lt;&gt;0,$A16&lt;&gt;"",OR(RIGHT(Logic!B16,2)="T)",LEFT(Logic!B16,4)="CSD1")),Num_FETS*0.5*IM_RMS_120*VDC_AVG*Z16*n*FSW*k/GDR_SINK/3,"")</f>
        <v>3.5087719298245622E-4</v>
      </c>
      <c r="AJ16" s="127">
        <f t="shared" si="14"/>
        <v>4.5599999999999997E-4</v>
      </c>
      <c r="AK16" s="127">
        <f t="shared" si="15"/>
        <v>1.3190478390718382E-2</v>
      </c>
      <c r="AL16" s="127">
        <f t="shared" si="16"/>
        <v>1.5385600000000002E-3</v>
      </c>
      <c r="AM16" s="127">
        <f t="shared" si="33"/>
        <v>0.39571435172155139</v>
      </c>
      <c r="AN16" s="127">
        <f>IF(AND($A16&lt;&gt;0,$A16&lt;&gt;"",OR(RIGHT(Logic!B16,2)="C)",LEFT(Logic!B16,4)="CSD1")),SUM(AD16:AF16)+(AJ16/3)+AK16+AL16/6+AM16/6,AN17)</f>
        <v>1.4631544310069573</v>
      </c>
      <c r="AO16" s="127">
        <f>IF(AND($A16&lt;&gt;0,$A16&lt;&gt;"",OR(RIGHT(Logic!B16,2)="T)",LEFT(Logic!B16,4)="CSD1")),SUM(AG16:AI16)+(AJ16/3)+AL16/6+AM16/6,AO15)</f>
        <v>1.3190551770653909</v>
      </c>
      <c r="AP16" s="48">
        <f t="shared" si="34"/>
        <v>2.78</v>
      </c>
      <c r="AQ16" s="35" t="str">
        <f>IF(AND(A16&lt;&gt;0,A16&lt;&gt;""),LOOKUP(A16,Discrete_NFET[PARTNUMBER],Discrete_NFET[TI_EQ_PACKAGE]),"")</f>
        <v>SON2X2</v>
      </c>
      <c r="AR16" s="49">
        <f>IF(AND(A16&lt;&gt;0,A16&lt;&gt;""),LOOKUP(A16,Discrete_NFET[PARTNUMBER],Discrete_NFET[1KPRICE]),"")</f>
        <v>0.13</v>
      </c>
      <c r="AS16" s="35" t="str">
        <f>IF(AND($A16&lt;&gt;0,$A16&lt;&gt;""),CONCATENATE(TEXT(AP16,"0.00"),"W, ",IF('User Input'!F$11="Single Discrete",A16,IF('User Input'!F$11="Dual/Power Block",LEFT(A16,FIND(")",A16)-7),A16)),", ",AQ16,", ",TEXT(AR16,"$0.00")),"Invalid Part")</f>
        <v>2.78W, CSD17313Q2, SON2X2, $0.13</v>
      </c>
      <c r="AT16" t="s">
        <v>742</v>
      </c>
      <c r="AW16"/>
    </row>
    <row r="17" spans="1:50" ht="15" customHeight="1" x14ac:dyDescent="0.25">
      <c r="A17" s="35" t="str">
        <f>IF(OR(AND(FET_config="Dual/Power Block",LEFT(Logic!B17,4)="CSD8"),AND(FET_config="Single Discrete",LEFT(Logic!B17,4)="CSD1")),Logic!B17,"")</f>
        <v>CSD17318Q2</v>
      </c>
      <c r="B17" s="37" t="str">
        <f>IF(OR($A17=0,$A17=""),"0",IF(LOOKUP($A17,Discrete_NFET[PARTNUMBER],Discrete_NFET[RDSON25])="(NULL)","0","1"))</f>
        <v>1</v>
      </c>
      <c r="C17" s="38" t="str">
        <f>IF(OR($A17=0,$A17=""),"0",IF(LOOKUP($A17,Discrete_NFET[PARTNUMBER],Discrete_NFET[RDSON3])="(NULL)","0","1"))</f>
        <v>0</v>
      </c>
      <c r="D17" s="40" t="str">
        <f>IF(OR($A17=0,$A17=""),"0",IF(LOOKUP($A17,Discrete_NFET[PARTNUMBER],Discrete_NFET[RDSON45])="(NULL)","0","1"))</f>
        <v>1</v>
      </c>
      <c r="E17" s="45" t="str">
        <f>IF(OR($A17=0,$A17=""),"0",IF(LOOKUP($A17,Discrete_NFET[PARTNUMBER],Discrete_NFET[RDSON6])="(NULL)","0","1"))</f>
        <v>0</v>
      </c>
      <c r="F17" s="34" t="str">
        <f>IF(OR($A17=0,$A17=""),"0",IF(LOOKUP($A17,Discrete_NFET[PARTNUMBER],Discrete_NFET[RDSON8])="(NULL)","0","1"))</f>
        <v>1</v>
      </c>
      <c r="G17" s="43" t="str">
        <f>IF(OR($A17=0,$A17=""),"0",IF(LOOKUP($A17,Discrete_NFET[PARTNUMBER],Discrete_NFET[RDSON10])="(NULL)","0","1"))</f>
        <v>0</v>
      </c>
      <c r="H17" s="36" t="b">
        <f t="shared" si="19"/>
        <v>1</v>
      </c>
      <c r="I17" s="39" t="b">
        <f t="shared" si="20"/>
        <v>0</v>
      </c>
      <c r="J17" s="41" t="b">
        <f t="shared" si="21"/>
        <v>1</v>
      </c>
      <c r="K17" s="46" t="b">
        <f t="shared" si="22"/>
        <v>0</v>
      </c>
      <c r="L17" s="42" t="b">
        <f t="shared" si="23"/>
        <v>1</v>
      </c>
      <c r="M17" s="44" t="b">
        <f t="shared" si="24"/>
        <v>0</v>
      </c>
      <c r="N17" s="47" t="b">
        <f t="shared" si="25"/>
        <v>1</v>
      </c>
      <c r="O17" s="36" t="b">
        <f t="shared" si="26"/>
        <v>1</v>
      </c>
      <c r="P17" s="39" t="b">
        <f t="shared" si="27"/>
        <v>0</v>
      </c>
      <c r="Q17" s="41" t="b">
        <f t="shared" si="28"/>
        <v>1</v>
      </c>
      <c r="R17" s="46" t="b">
        <f t="shared" si="29"/>
        <v>0</v>
      </c>
      <c r="S17" s="42" t="b">
        <f t="shared" si="30"/>
        <v>1</v>
      </c>
      <c r="T17" s="44" t="b">
        <f t="shared" si="31"/>
        <v>0</v>
      </c>
      <c r="U17" s="148">
        <f>IF(T17,LOOKUP(A17,Discrete_NFET[PARTNUMBER],Discrete_NFET[RDSON10])*1000,IF(S17,LOOKUP(A17,Discrete_NFET[PARTNUMBER],Discrete_NFET[RDSON8])*1000,IF(R17,LOOKUP(A17,Discrete_NFET[PARTNUMBER],Discrete_NFET[RDSON6])*1000,IF(Q17,LOOKUP(A17,Discrete_NFET[PARTNUMBER],Discrete_NFET[RDSON45])*1000,IF(P17,LOOKUP(A17,Discrete_NFET[PARTNUMBER],Discrete_NFET[RDSON3])*1000,IF(O17,LOOKUP(A17,Discrete_NFET[PARTNUMBER],Discrete_NFET[RDSON25])*1000,""))))))</f>
        <v>15.100000000000001</v>
      </c>
      <c r="V17" s="48">
        <f>IF(AND(A17&lt;&gt;0,A17&lt;&gt;""),U17*(1+(Tj-25)*(LOOKUP(A17,Discrete_NFET[PARTNUMBER],Discrete_NFET[RDSDELTA])/((LOOKUP(A17,Discrete_NFET[PARTNUMBER],Discrete_NFET[TJMAX])-25)))),"")</f>
        <v>17.062999999999999</v>
      </c>
      <c r="W17" s="35">
        <f>IF(AND($A17&lt;&gt;0,$A17&lt;&gt;""),LOOKUP($A17,Discrete_NFET[PARTNUMBER],Discrete_NFET[QGS]),"")</f>
        <v>1.5</v>
      </c>
      <c r="X17" s="35">
        <f>IF(AND($A17&lt;&gt;0,$A17&lt;&gt;""),LOOKUP($A17,Discrete_NFET[PARTNUMBER],Discrete_NFET[QGD]),"")</f>
        <v>1.3</v>
      </c>
      <c r="Y17" s="35">
        <f>IF(AND($A17&lt;&gt;0,$A17&lt;&gt;""),LOOKUP($A17,Discrete_NFET[PARTNUMBER],Discrete_NFET[QGTH]),"")</f>
        <v>0.7</v>
      </c>
      <c r="Z17" s="35">
        <f t="shared" si="32"/>
        <v>2.0999999999999996</v>
      </c>
      <c r="AA17" s="35">
        <f>IF(AND($A17&lt;&gt;0,$A17&lt;&gt;""),LOOKUP($A17,Discrete_NFET[PARTNUMBER],Discrete_NFET[QOSSTYP]),"")</f>
        <v>2.7</v>
      </c>
      <c r="AB17" s="35">
        <f>IF(AND($A17&lt;&gt;0,$A17&lt;&gt;""),LOOKUP($A17,Discrete_NFET[PARTNUMBER],Discrete_NFET[QRR]),"")</f>
        <v>2.9</v>
      </c>
      <c r="AC17" s="35">
        <f>IF(AND(A17&lt;&gt;0,A17&lt;&gt;""),LOOKUP(A17,Discrete_NFET[PARTNUMBER],Discrete_NFET[VF_TYP]),"")</f>
        <v>0.8</v>
      </c>
      <c r="AD17" s="127">
        <f>IF(AND($A17&lt;&gt;0,$A17&lt;&gt;"",OR(RIGHT(Logic!B17,2)="C)",LEFT(Logic!B17,4)="CSD1")),(1+(1-DUTY))*IM_RMS_120^2*V17*m/3/Num_FETS,"")</f>
        <v>0.71801539896891331</v>
      </c>
      <c r="AE17" s="127">
        <f>IF(AND($A17&lt;&gt;0,$A17&lt;&gt;"",OR(RIGHT(Logic!B17,2)="C)",LEFT(Logic!B17,4)="CSD1")),Num_FETS*0.5*IM_RMS_120*VDC_AVG*Z17*n*MOT_ELEC_FREQ/GDR_SRC,"")</f>
        <v>6.7724458204334364E-6</v>
      </c>
      <c r="AF17" s="127">
        <f>IF(AND($A17&lt;&gt;0,$A17&lt;&gt;"",OR(RIGHT(Logic!B17,2)="C)",LEFT(Logic!B17,4)="CSD1")),Num_FETS*0.5*IM_RMS_120*VDC_AVG*Z17*n*MOT_ELEC_FREQ/GDR_SINK,"")</f>
        <v>4.6052631578947368E-6</v>
      </c>
      <c r="AG17" s="127">
        <f>IF(AND($A17&lt;&gt;0,$A17&lt;&gt;"",OR(RIGHT(Logic!B17,2)="T)",LEFT(Logic!B17,4)="CSD1")),DUTY*IM_RMS_120^2*V17*m/3/Num_FETS,"")</f>
        <v>0.64963298001949299</v>
      </c>
      <c r="AH17" s="127">
        <f>IF(AND($A17&lt;&gt;0,$A17&lt;&gt;"",OR(RIGHT(Logic!B17,2)="T)",LEFT(Logic!B17,4)="CSD1")),Num_FETS*0.5*IM_RMS_120*VDC_AVG*Z17*n*FSW*k/GDR_SRC/3,"")</f>
        <v>1.3544891640866871E-3</v>
      </c>
      <c r="AI17" s="127">
        <f>IF(AND($A17&lt;&gt;0,$A17&lt;&gt;"",OR(RIGHT(Logic!B17,2)="T)",LEFT(Logic!B17,4)="CSD1")),Num_FETS*0.5*IM_RMS_120*VDC_AVG*Z17*n*FSW*k/GDR_SINK/3,"")</f>
        <v>9.2105263157894713E-4</v>
      </c>
      <c r="AJ17" s="127">
        <f t="shared" si="14"/>
        <v>3.2400000000000007E-4</v>
      </c>
      <c r="AK17" s="127">
        <f t="shared" si="15"/>
        <v>1.2414567897146714E-2</v>
      </c>
      <c r="AL17" s="127">
        <f t="shared" si="16"/>
        <v>6.9715999999999995E-4</v>
      </c>
      <c r="AM17" s="127">
        <f t="shared" si="33"/>
        <v>0.37243703691440144</v>
      </c>
      <c r="AN17" s="127">
        <f>IF(AND($A17&lt;&gt;0,$A17&lt;&gt;"",OR(RIGHT(Logic!B17,2)="C)",LEFT(Logic!B17,4)="CSD1")),SUM(AD17:AF17)+(AJ17/3)+AK17+AL17/6+AM17/6,AN18)</f>
        <v>0.79273837739410535</v>
      </c>
      <c r="AO17" s="127">
        <f>IF(AND($A17&lt;&gt;0,$A17&lt;&gt;"",OR(RIGHT(Logic!B17,2)="T)",LEFT(Logic!B17,4)="CSD1")),SUM(AG17:AI17)+(AJ17/3)+AL17/6+AM17/6,AO16)</f>
        <v>0.71420555463422553</v>
      </c>
      <c r="AP17" s="48">
        <f t="shared" si="34"/>
        <v>1.51</v>
      </c>
      <c r="AQ17" s="35" t="str">
        <f>IF(AND(A17&lt;&gt;0,A17&lt;&gt;""),LOOKUP(A17,Discrete_NFET[PARTNUMBER],Discrete_NFET[TI_EQ_PACKAGE]),"")</f>
        <v>SON2X2</v>
      </c>
      <c r="AR17" s="49">
        <f>IF(AND(A17&lt;&gt;0,A17&lt;&gt;""),LOOKUP(A17,Discrete_NFET[PARTNUMBER],Discrete_NFET[1KPRICE]),"")</f>
        <v>0.11</v>
      </c>
      <c r="AS17" s="35" t="str">
        <f>IF(AND($A17&lt;&gt;0,$A17&lt;&gt;""),CONCATENATE(TEXT(AP17,"0.00"),"W, ",IF('User Input'!F$11="Single Discrete",A17,IF('User Input'!F$11="Dual/Power Block",LEFT(A17,FIND(")",A17)-7),A17)),", ",AQ17,", ",TEXT(AR17,"$0.00")),"Invalid Part")</f>
        <v>1.51W, CSD17318Q2, SON2X2, $0.11</v>
      </c>
      <c r="AT17" t="s">
        <v>759</v>
      </c>
      <c r="AW17"/>
    </row>
    <row r="18" spans="1:50" ht="15" customHeight="1" x14ac:dyDescent="0.25">
      <c r="A18" s="35" t="str">
        <f>IF(OR(AND(FET_config="Dual/Power Block",LEFT(Logic!B18,4)="CSD8"),AND(FET_config="Single Discrete",LEFT(Logic!B18,4)="CSD1")),Logic!B18,"")</f>
        <v>CSD17322Q5A</v>
      </c>
      <c r="B18" s="37" t="str">
        <f>IF(OR($A18=0,$A18=""),"0",IF(LOOKUP($A18,Discrete_NFET[PARTNUMBER],Discrete_NFET[RDSON25])="(NULL)","0","1"))</f>
        <v>0</v>
      </c>
      <c r="C18" s="38" t="str">
        <f>IF(OR($A18=0,$A18=""),"0",IF(LOOKUP($A18,Discrete_NFET[PARTNUMBER],Discrete_NFET[RDSON3])="(NULL)","0","1"))</f>
        <v>0</v>
      </c>
      <c r="D18" s="40" t="str">
        <f>IF(OR($A18=0,$A18=""),"0",IF(LOOKUP($A18,Discrete_NFET[PARTNUMBER],Discrete_NFET[RDSON45])="(NULL)","0","1"))</f>
        <v>1</v>
      </c>
      <c r="E18" s="45" t="str">
        <f>IF(OR($A18=0,$A18=""),"0",IF(LOOKUP($A18,Discrete_NFET[PARTNUMBER],Discrete_NFET[RDSON6])="(NULL)","0","1"))</f>
        <v>0</v>
      </c>
      <c r="F18" s="34" t="str">
        <f>IF(OR($A18=0,$A18=""),"0",IF(LOOKUP($A18,Discrete_NFET[PARTNUMBER],Discrete_NFET[RDSON8])="(NULL)","0","1"))</f>
        <v>1</v>
      </c>
      <c r="G18" s="43" t="str">
        <f>IF(OR($A18=0,$A18=""),"0",IF(LOOKUP($A18,Discrete_NFET[PARTNUMBER],Discrete_NFET[RDSON10])="(NULL)","0","1"))</f>
        <v>0</v>
      </c>
      <c r="H18" s="36" t="b">
        <f t="shared" si="19"/>
        <v>0</v>
      </c>
      <c r="I18" s="39" t="b">
        <f t="shared" si="20"/>
        <v>0</v>
      </c>
      <c r="J18" s="41" t="b">
        <f t="shared" si="21"/>
        <v>1</v>
      </c>
      <c r="K18" s="46" t="b">
        <f t="shared" si="22"/>
        <v>0</v>
      </c>
      <c r="L18" s="42" t="b">
        <f t="shared" si="23"/>
        <v>1</v>
      </c>
      <c r="M18" s="44" t="b">
        <f t="shared" si="24"/>
        <v>0</v>
      </c>
      <c r="N18" s="47" t="b">
        <f t="shared" si="25"/>
        <v>1</v>
      </c>
      <c r="O18" s="36" t="b">
        <f t="shared" si="26"/>
        <v>0</v>
      </c>
      <c r="P18" s="39" t="b">
        <f t="shared" si="27"/>
        <v>0</v>
      </c>
      <c r="Q18" s="41" t="b">
        <f t="shared" si="28"/>
        <v>1</v>
      </c>
      <c r="R18" s="46" t="b">
        <f t="shared" si="29"/>
        <v>0</v>
      </c>
      <c r="S18" s="42" t="b">
        <f t="shared" si="30"/>
        <v>1</v>
      </c>
      <c r="T18" s="44" t="b">
        <f t="shared" si="31"/>
        <v>0</v>
      </c>
      <c r="U18" s="148">
        <f>IF(T18,LOOKUP(A18,Discrete_NFET[PARTNUMBER],Discrete_NFET[RDSON10])*1000,IF(S18,LOOKUP(A18,Discrete_NFET[PARTNUMBER],Discrete_NFET[RDSON8])*1000,IF(R18,LOOKUP(A18,Discrete_NFET[PARTNUMBER],Discrete_NFET[RDSON6])*1000,IF(Q18,LOOKUP(A18,Discrete_NFET[PARTNUMBER],Discrete_NFET[RDSON45])*1000,IF(P18,LOOKUP(A18,Discrete_NFET[PARTNUMBER],Discrete_NFET[RDSON3])*1000,IF(O18,LOOKUP(A18,Discrete_NFET[PARTNUMBER],Discrete_NFET[RDSON25])*1000,""))))))</f>
        <v>8.8000000000000007</v>
      </c>
      <c r="V18" s="48">
        <f>IF(AND(A18&lt;&gt;0,A18&lt;&gt;""),U18*(1+(Tj-25)*(LOOKUP(A18,Discrete_NFET[PARTNUMBER],Discrete_NFET[RDSDELTA])/((LOOKUP(A18,Discrete_NFET[PARTNUMBER],Discrete_NFET[TJMAX])-25)))),"")</f>
        <v>9.6800000000000015</v>
      </c>
      <c r="W18" s="35">
        <f>IF(AND($A18&lt;&gt;0,$A18&lt;&gt;""),LOOKUP($A18,Discrete_NFET[PARTNUMBER],Discrete_NFET[QGS]),"")</f>
        <v>1.6</v>
      </c>
      <c r="X18" s="35">
        <f>IF(AND($A18&lt;&gt;0,$A18&lt;&gt;""),LOOKUP($A18,Discrete_NFET[PARTNUMBER],Discrete_NFET[QGD]),"")</f>
        <v>1.1000000000000001</v>
      </c>
      <c r="Y18" s="35">
        <f>IF(AND($A18&lt;&gt;0,$A18&lt;&gt;""),LOOKUP($A18,Discrete_NFET[PARTNUMBER],Discrete_NFET[QGTH]),"")</f>
        <v>0.9</v>
      </c>
      <c r="Z18" s="35">
        <f t="shared" si="32"/>
        <v>1.8000000000000003</v>
      </c>
      <c r="AA18" s="35">
        <f>IF(AND($A18&lt;&gt;0,$A18&lt;&gt;""),LOOKUP($A18,Discrete_NFET[PARTNUMBER],Discrete_NFET[QOSSTYP]),"")</f>
        <v>8.6</v>
      </c>
      <c r="AB18" s="35">
        <f>IF(AND($A18&lt;&gt;0,$A18&lt;&gt;""),LOOKUP($A18,Discrete_NFET[PARTNUMBER],Discrete_NFET[QRR]),"")</f>
        <v>19.600000000000001</v>
      </c>
      <c r="AC18" s="35">
        <f>IF(AND(A18&lt;&gt;0,A18&lt;&gt;""),LOOKUP(A18,Discrete_NFET[PARTNUMBER],Discrete_NFET[VF_TYP]),"")</f>
        <v>0.85</v>
      </c>
      <c r="AD18" s="127">
        <f>IF(AND($A18&lt;&gt;0,$A18&lt;&gt;"",OR(RIGHT(Logic!B18,2)="C)",LEFT(Logic!B18,4)="CSD1")),(1+(1-DUTY))*IM_RMS_120^2*V18*m/3/Num_FETS,"")</f>
        <v>0.40733687288396431</v>
      </c>
      <c r="AE18" s="127">
        <f>IF(AND($A18&lt;&gt;0,$A18&lt;&gt;"",OR(RIGHT(Logic!B18,2)="C)",LEFT(Logic!B18,4)="CSD1")),Num_FETS*0.5*IM_RMS_120*VDC_AVG*Z18*n*MOT_ELEC_FREQ/GDR_SRC,"")</f>
        <v>5.8049535603715175E-6</v>
      </c>
      <c r="AF18" s="127">
        <f>IF(AND($A18&lt;&gt;0,$A18&lt;&gt;"",OR(RIGHT(Logic!B18,2)="C)",LEFT(Logic!B18,4)="CSD1")),Num_FETS*0.5*IM_RMS_120*VDC_AVG*Z18*n*MOT_ELEC_FREQ/GDR_SINK,"")</f>
        <v>3.9473684210526323E-6</v>
      </c>
      <c r="AG18" s="127">
        <f>IF(AND($A18&lt;&gt;0,$A18&lt;&gt;"",OR(RIGHT(Logic!B18,2)="T)",LEFT(Logic!B18,4)="CSD1")),DUTY*IM_RMS_120^2*V18*m/3/Num_FETS,"")</f>
        <v>0.36854288499025339</v>
      </c>
      <c r="AH18" s="127">
        <f>IF(AND($A18&lt;&gt;0,$A18&lt;&gt;"",OR(RIGHT(Logic!B18,2)="T)",LEFT(Logic!B18,4)="CSD1")),Num_FETS*0.5*IM_RMS_120*VDC_AVG*Z18*n*FSW*k/GDR_SRC/3,"")</f>
        <v>1.1609907120743034E-3</v>
      </c>
      <c r="AI18" s="127">
        <f>IF(AND($A18&lt;&gt;0,$A18&lt;&gt;"",OR(RIGHT(Logic!B18,2)="T)",LEFT(Logic!B18,4)="CSD1")),Num_FETS*0.5*IM_RMS_120*VDC_AVG*Z18*n*FSW*k/GDR_SINK/3,"")</f>
        <v>7.8947368421052641E-4</v>
      </c>
      <c r="AJ18" s="127">
        <f t="shared" si="14"/>
        <v>1.0319999999999999E-3</v>
      </c>
      <c r="AK18" s="127">
        <f t="shared" si="15"/>
        <v>1.3190478390718382E-2</v>
      </c>
      <c r="AL18" s="127">
        <f t="shared" si="16"/>
        <v>4.7118400000000001E-3</v>
      </c>
      <c r="AM18" s="127">
        <f t="shared" si="33"/>
        <v>0.39571435172155139</v>
      </c>
      <c r="AN18" s="127">
        <f>IF(AND($A18&lt;&gt;0,$A18&lt;&gt;"",OR(RIGHT(Logic!B18,2)="C)",LEFT(Logic!B18,4)="CSD1")),SUM(AD18:AF18)+(AJ18/3)+AK18+AL18/6+AM18/6,AN19)</f>
        <v>0.48761880221692278</v>
      </c>
      <c r="AO18" s="127">
        <f>IF(AND($A18&lt;&gt;0,$A18&lt;&gt;"",OR(RIGHT(Logic!B18,2)="T)",LEFT(Logic!B18,4)="CSD1")),SUM(AG18:AI18)+(AJ18/3)+AL18/6+AM18/6,AO17)</f>
        <v>0.43757504800679681</v>
      </c>
      <c r="AP18" s="48">
        <f t="shared" si="34"/>
        <v>0.93</v>
      </c>
      <c r="AQ18" s="35" t="str">
        <f>IF(AND(A18&lt;&gt;0,A18&lt;&gt;""),LOOKUP(A18,Discrete_NFET[PARTNUMBER],Discrete_NFET[TI_EQ_PACKAGE]),"")</f>
        <v>SON5X6</v>
      </c>
      <c r="AR18" s="49">
        <f>IF(AND(A18&lt;&gt;0,A18&lt;&gt;""),LOOKUP(A18,Discrete_NFET[PARTNUMBER],Discrete_NFET[1KPRICE]),"")</f>
        <v>0.3</v>
      </c>
      <c r="AS18" s="35" t="str">
        <f>IF(AND($A18&lt;&gt;0,$A18&lt;&gt;""),CONCATENATE(TEXT(AP18,"0.00"),"W, ",IF('User Input'!F$11="Single Discrete",A18,IF('User Input'!F$11="Dual/Power Block",LEFT(A18,FIND(")",A18)-7),A18)),", ",AQ18,", ",TEXT(AR18,"$0.00")),"Invalid Part")</f>
        <v>0.93W, CSD17322Q5A, SON5X6, $0.30</v>
      </c>
      <c r="AT18" t="s">
        <v>760</v>
      </c>
      <c r="AW18"/>
    </row>
    <row r="19" spans="1:50" ht="15" customHeight="1" x14ac:dyDescent="0.25">
      <c r="A19" s="35" t="str">
        <f>IF(OR(AND(FET_config="Dual/Power Block",LEFT(Logic!B19,4)="CSD8"),AND(FET_config="Single Discrete",LEFT(Logic!B19,4)="CSD1")),Logic!B19,"")</f>
        <v>CSD17327Q5A</v>
      </c>
      <c r="B19" s="37" t="str">
        <f>IF(OR($A19=0,$A19=""),"0",IF(LOOKUP($A19,Discrete_NFET[PARTNUMBER],Discrete_NFET[RDSON25])="(NULL)","0","1"))</f>
        <v>0</v>
      </c>
      <c r="C19" s="38" t="str">
        <f>IF(OR($A19=0,$A19=""),"0",IF(LOOKUP($A19,Discrete_NFET[PARTNUMBER],Discrete_NFET[RDSON3])="(NULL)","0","1"))</f>
        <v>0</v>
      </c>
      <c r="D19" s="40" t="str">
        <f>IF(OR($A19=0,$A19=""),"0",IF(LOOKUP($A19,Discrete_NFET[PARTNUMBER],Discrete_NFET[RDSON45])="(NULL)","0","1"))</f>
        <v>1</v>
      </c>
      <c r="E19" s="45" t="str">
        <f>IF(OR($A19=0,$A19=""),"0",IF(LOOKUP($A19,Discrete_NFET[PARTNUMBER],Discrete_NFET[RDSON6])="(NULL)","0","1"))</f>
        <v>0</v>
      </c>
      <c r="F19" s="34" t="str">
        <f>IF(OR($A19=0,$A19=""),"0",IF(LOOKUP($A19,Discrete_NFET[PARTNUMBER],Discrete_NFET[RDSON8])="(NULL)","0","1"))</f>
        <v>1</v>
      </c>
      <c r="G19" s="43" t="str">
        <f>IF(OR($A19=0,$A19=""),"0",IF(LOOKUP($A19,Discrete_NFET[PARTNUMBER],Discrete_NFET[RDSON10])="(NULL)","0","1"))</f>
        <v>0</v>
      </c>
      <c r="H19" s="36" t="b">
        <f t="shared" si="19"/>
        <v>0</v>
      </c>
      <c r="I19" s="39" t="b">
        <f t="shared" si="20"/>
        <v>0</v>
      </c>
      <c r="J19" s="41" t="b">
        <f t="shared" si="21"/>
        <v>1</v>
      </c>
      <c r="K19" s="46" t="b">
        <f t="shared" si="22"/>
        <v>0</v>
      </c>
      <c r="L19" s="42" t="b">
        <f t="shared" si="23"/>
        <v>1</v>
      </c>
      <c r="M19" s="44" t="b">
        <f t="shared" si="24"/>
        <v>0</v>
      </c>
      <c r="N19" s="47" t="b">
        <f t="shared" si="25"/>
        <v>1</v>
      </c>
      <c r="O19" s="36" t="b">
        <f t="shared" si="26"/>
        <v>0</v>
      </c>
      <c r="P19" s="39" t="b">
        <f t="shared" si="27"/>
        <v>0</v>
      </c>
      <c r="Q19" s="41" t="b">
        <f t="shared" si="28"/>
        <v>1</v>
      </c>
      <c r="R19" s="46" t="b">
        <f t="shared" si="29"/>
        <v>0</v>
      </c>
      <c r="S19" s="42" t="b">
        <f t="shared" si="30"/>
        <v>1</v>
      </c>
      <c r="T19" s="44" t="b">
        <f t="shared" si="31"/>
        <v>0</v>
      </c>
      <c r="U19" s="148">
        <f>IF(T19,LOOKUP(A19,Discrete_NFET[PARTNUMBER],Discrete_NFET[RDSON10])*1000,IF(S19,LOOKUP(A19,Discrete_NFET[PARTNUMBER],Discrete_NFET[RDSON8])*1000,IF(R19,LOOKUP(A19,Discrete_NFET[PARTNUMBER],Discrete_NFET[RDSON6])*1000,IF(Q19,LOOKUP(A19,Discrete_NFET[PARTNUMBER],Discrete_NFET[RDSON45])*1000,IF(P19,LOOKUP(A19,Discrete_NFET[PARTNUMBER],Discrete_NFET[RDSON3])*1000,IF(O19,LOOKUP(A19,Discrete_NFET[PARTNUMBER],Discrete_NFET[RDSON25])*1000,""))))))</f>
        <v>12.200000000000001</v>
      </c>
      <c r="V19" s="48">
        <f>IF(AND(A19&lt;&gt;0,A19&lt;&gt;""),U19*(1+(Tj-25)*(LOOKUP(A19,Discrete_NFET[PARTNUMBER],Discrete_NFET[RDSDELTA])/((LOOKUP(A19,Discrete_NFET[PARTNUMBER],Discrete_NFET[TJMAX])-25)))),"")</f>
        <v>13.371200000000002</v>
      </c>
      <c r="W19" s="35">
        <f>IF(AND($A19&lt;&gt;0,$A19&lt;&gt;""),LOOKUP($A19,Discrete_NFET[PARTNUMBER],Discrete_NFET[QGS]),"")</f>
        <v>1.2</v>
      </c>
      <c r="X19" s="35">
        <f>IF(AND($A19&lt;&gt;0,$A19&lt;&gt;""),LOOKUP($A19,Discrete_NFET[PARTNUMBER],Discrete_NFET[QGD]),"")</f>
        <v>0.8</v>
      </c>
      <c r="Y19" s="35">
        <f>IF(AND($A19&lt;&gt;0,$A19&lt;&gt;""),LOOKUP($A19,Discrete_NFET[PARTNUMBER],Discrete_NFET[QGTH]),"")</f>
        <v>0.6</v>
      </c>
      <c r="Z19" s="35">
        <f t="shared" si="32"/>
        <v>1.4</v>
      </c>
      <c r="AA19" s="35">
        <f>IF(AND($A19&lt;&gt;0,$A19&lt;&gt;""),LOOKUP($A19,Discrete_NFET[PARTNUMBER],Discrete_NFET[QOSSTYP]),"")</f>
        <v>6.8</v>
      </c>
      <c r="AB19" s="35">
        <f>IF(AND($A19&lt;&gt;0,$A19&lt;&gt;""),LOOKUP($A19,Discrete_NFET[PARTNUMBER],Discrete_NFET[QRR]),"")</f>
        <v>10.5</v>
      </c>
      <c r="AC19" s="35">
        <f>IF(AND(A19&lt;&gt;0,A19&lt;&gt;""),LOOKUP(A19,Discrete_NFET[PARTNUMBER],Discrete_NFET[VF_TYP]),"")</f>
        <v>0.85</v>
      </c>
      <c r="AD19" s="127">
        <f>IF(AND($A19&lt;&gt;0,$A19&lt;&gt;"",OR(RIGHT(Logic!B19,2)="C)",LEFT(Logic!B19,4)="CSD1")),(1+(1-DUTY))*IM_RMS_120^2*V19*m/3/Num_FETS,"")</f>
        <v>0.5626635118497999</v>
      </c>
      <c r="AE19" s="127">
        <f>IF(AND($A19&lt;&gt;0,$A19&lt;&gt;"",OR(RIGHT(Logic!B19,2)="C)",LEFT(Logic!B19,4)="CSD1")),Num_FETS*0.5*IM_RMS_120*VDC_AVG*Z19*n*MOT_ELEC_FREQ/GDR_SRC,"")</f>
        <v>4.5149638802889571E-6</v>
      </c>
      <c r="AF19" s="127">
        <f>IF(AND($A19&lt;&gt;0,$A19&lt;&gt;"",OR(RIGHT(Logic!B19,2)="C)",LEFT(Logic!B19,4)="CSD1")),Num_FETS*0.5*IM_RMS_120*VDC_AVG*Z19*n*MOT_ELEC_FREQ/GDR_SINK,"")</f>
        <v>3.0701754385964911E-6</v>
      </c>
      <c r="AG19" s="127">
        <f>IF(AND($A19&lt;&gt;0,$A19&lt;&gt;"",OR(RIGHT(Logic!B19,2)="T)",LEFT(Logic!B19,4)="CSD1")),DUTY*IM_RMS_120^2*V19*m/3/Num_FETS,"")</f>
        <v>0.50907651072124749</v>
      </c>
      <c r="AH19" s="127">
        <f>IF(AND($A19&lt;&gt;0,$A19&lt;&gt;"",OR(RIGHT(Logic!B19,2)="T)",LEFT(Logic!B19,4)="CSD1")),Num_FETS*0.5*IM_RMS_120*VDC_AVG*Z19*n*FSW*k/GDR_SRC/3,"")</f>
        <v>9.0299277605779141E-4</v>
      </c>
      <c r="AI19" s="127">
        <f>IF(AND($A19&lt;&gt;0,$A19&lt;&gt;"",OR(RIGHT(Logic!B19,2)="T)",LEFT(Logic!B19,4)="CSD1")),Num_FETS*0.5*IM_RMS_120*VDC_AVG*Z19*n*FSW*k/GDR_SINK/3,"")</f>
        <v>6.1403508771929827E-4</v>
      </c>
      <c r="AJ19" s="127">
        <f t="shared" si="14"/>
        <v>8.160000000000001E-4</v>
      </c>
      <c r="AK19" s="127">
        <f t="shared" si="15"/>
        <v>1.3190478390718382E-2</v>
      </c>
      <c r="AL19" s="127">
        <f t="shared" si="16"/>
        <v>2.5242000000000003E-3</v>
      </c>
      <c r="AM19" s="127">
        <f t="shared" si="33"/>
        <v>0.39571435172155139</v>
      </c>
      <c r="AN19" s="127">
        <f>IF(AND($A19&lt;&gt;0,$A19&lt;&gt;"",OR(RIGHT(Logic!B19,2)="C)",LEFT(Logic!B19,4)="CSD1")),SUM(AD19:AF19)+(AJ19/3)+AK19+AL19/6+AM19/6,AN20)</f>
        <v>0.6425066673334292</v>
      </c>
      <c r="AO19" s="127">
        <f>IF(AND($A19&lt;&gt;0,$A19&lt;&gt;"",OR(RIGHT(Logic!B19,2)="T)",LEFT(Logic!B19,4)="CSD1")),SUM(AG19:AI19)+(AJ19/3)+AL19/6+AM19/6,AO18)</f>
        <v>0.57723863053861657</v>
      </c>
      <c r="AP19" s="48">
        <f t="shared" si="34"/>
        <v>1.22</v>
      </c>
      <c r="AQ19" s="35" t="str">
        <f>IF(AND(A19&lt;&gt;0,A19&lt;&gt;""),LOOKUP(A19,Discrete_NFET[PARTNUMBER],Discrete_NFET[TI_EQ_PACKAGE]),"")</f>
        <v>SON5X6</v>
      </c>
      <c r="AR19" s="49">
        <f>IF(AND(A19&lt;&gt;0,A19&lt;&gt;""),LOOKUP(A19,Discrete_NFET[PARTNUMBER],Discrete_NFET[1KPRICE]),"")</f>
        <v>0.28000000000000003</v>
      </c>
      <c r="AS19" s="35" t="str">
        <f>IF(AND($A19&lt;&gt;0,$A19&lt;&gt;""),CONCATENATE(TEXT(AP19,"0.00"),"W, ",IF('User Input'!F$11="Single Discrete",A19,IF('User Input'!F$11="Dual/Power Block",LEFT(A19,FIND(")",A19)-7),A19)),", ",AQ19,", ",TEXT(AR19,"$0.00")),"Invalid Part")</f>
        <v>1.22W, CSD17327Q5A, SON5X6, $0.28</v>
      </c>
      <c r="AT19" t="s">
        <v>776</v>
      </c>
      <c r="AW19"/>
    </row>
    <row r="20" spans="1:50" ht="15" customHeight="1" x14ac:dyDescent="0.25">
      <c r="A20" s="35" t="str">
        <f>IF(OR(AND(FET_config="Dual/Power Block",LEFT(Logic!B20,4)="CSD8"),AND(FET_config="Single Discrete",LEFT(Logic!B20,4)="CSD1")),Logic!B20,"")</f>
        <v>CSD17501Q5A</v>
      </c>
      <c r="B20" s="37" t="str">
        <f>IF(OR($A20=0,$A20=""),"0",IF(LOOKUP($A20,Discrete_NFET[PARTNUMBER],Discrete_NFET[RDSON25])="(NULL)","0","1"))</f>
        <v>0</v>
      </c>
      <c r="C20" s="38" t="str">
        <f>IF(OR($A20=0,$A20=""),"0",IF(LOOKUP($A20,Discrete_NFET[PARTNUMBER],Discrete_NFET[RDSON3])="(NULL)","0","1"))</f>
        <v>0</v>
      </c>
      <c r="D20" s="40" t="str">
        <f>IF(OR($A20=0,$A20=""),"0",IF(LOOKUP($A20,Discrete_NFET[PARTNUMBER],Discrete_NFET[RDSON45])="(NULL)","0","1"))</f>
        <v>1</v>
      </c>
      <c r="E20" s="45" t="str">
        <f>IF(OR($A20=0,$A20=""),"0",IF(LOOKUP($A20,Discrete_NFET[PARTNUMBER],Discrete_NFET[RDSON6])="(NULL)","0","1"))</f>
        <v>0</v>
      </c>
      <c r="F20" s="34" t="str">
        <f>IF(OR($A20=0,$A20=""),"0",IF(LOOKUP($A20,Discrete_NFET[PARTNUMBER],Discrete_NFET[RDSON8])="(NULL)","0","1"))</f>
        <v>0</v>
      </c>
      <c r="G20" s="43" t="str">
        <f>IF(OR($A20=0,$A20=""),"0",IF(LOOKUP($A20,Discrete_NFET[PARTNUMBER],Discrete_NFET[RDSON10])="(NULL)","0","1"))</f>
        <v>1</v>
      </c>
      <c r="H20" s="36" t="b">
        <f t="shared" si="19"/>
        <v>0</v>
      </c>
      <c r="I20" s="39" t="b">
        <f t="shared" si="20"/>
        <v>0</v>
      </c>
      <c r="J20" s="41" t="b">
        <f t="shared" si="21"/>
        <v>1</v>
      </c>
      <c r="K20" s="46" t="b">
        <f t="shared" si="22"/>
        <v>0</v>
      </c>
      <c r="L20" s="42" t="b">
        <f t="shared" si="23"/>
        <v>0</v>
      </c>
      <c r="M20" s="44" t="b">
        <f t="shared" si="24"/>
        <v>1</v>
      </c>
      <c r="N20" s="47" t="b">
        <f t="shared" si="25"/>
        <v>1</v>
      </c>
      <c r="O20" s="36" t="b">
        <f t="shared" si="26"/>
        <v>0</v>
      </c>
      <c r="P20" s="39" t="b">
        <f t="shared" si="27"/>
        <v>0</v>
      </c>
      <c r="Q20" s="41" t="b">
        <f t="shared" si="28"/>
        <v>1</v>
      </c>
      <c r="R20" s="46" t="b">
        <f t="shared" si="29"/>
        <v>0</v>
      </c>
      <c r="S20" s="42" t="b">
        <f t="shared" si="30"/>
        <v>0</v>
      </c>
      <c r="T20" s="44" t="b">
        <f t="shared" si="31"/>
        <v>1</v>
      </c>
      <c r="U20" s="148">
        <f>IF(T20,LOOKUP(A20,Discrete_NFET[PARTNUMBER],Discrete_NFET[RDSON10])*1000,IF(S20,LOOKUP(A20,Discrete_NFET[PARTNUMBER],Discrete_NFET[RDSON8])*1000,IF(R20,LOOKUP(A20,Discrete_NFET[PARTNUMBER],Discrete_NFET[RDSON6])*1000,IF(Q20,LOOKUP(A20,Discrete_NFET[PARTNUMBER],Discrete_NFET[RDSON45])*1000,IF(P20,LOOKUP(A20,Discrete_NFET[PARTNUMBER],Discrete_NFET[RDSON3])*1000,IF(O20,LOOKUP(A20,Discrete_NFET[PARTNUMBER],Discrete_NFET[RDSON25])*1000,""))))))</f>
        <v>2.9</v>
      </c>
      <c r="V20" s="48">
        <f>IF(AND(A20&lt;&gt;0,A20&lt;&gt;""),U20*(1+(Tj-25)*(LOOKUP(A20,Discrete_NFET[PARTNUMBER],Discrete_NFET[RDSDELTA])/((LOOKUP(A20,Discrete_NFET[PARTNUMBER],Discrete_NFET[TJMAX])-25)))),"")</f>
        <v>3.161</v>
      </c>
      <c r="W20" s="35">
        <f>IF(AND($A20&lt;&gt;0,$A20&lt;&gt;""),LOOKUP($A20,Discrete_NFET[PARTNUMBER],Discrete_NFET[QGS]),"")</f>
        <v>5.4</v>
      </c>
      <c r="X20" s="35">
        <f>IF(AND($A20&lt;&gt;0,$A20&lt;&gt;""),LOOKUP($A20,Discrete_NFET[PARTNUMBER],Discrete_NFET[QGD]),"")</f>
        <v>3.5</v>
      </c>
      <c r="Y20" s="35">
        <f>IF(AND($A20&lt;&gt;0,$A20&lt;&gt;""),LOOKUP($A20,Discrete_NFET[PARTNUMBER],Discrete_NFET[QGTH]),"")</f>
        <v>2.9</v>
      </c>
      <c r="Z20" s="35">
        <f t="shared" si="32"/>
        <v>6</v>
      </c>
      <c r="AA20" s="35">
        <f>IF(AND($A20&lt;&gt;0,$A20&lt;&gt;""),LOOKUP($A20,Discrete_NFET[PARTNUMBER],Discrete_NFET[QOSSTYP]),"")</f>
        <v>35</v>
      </c>
      <c r="AB20" s="35">
        <f>IF(AND($A20&lt;&gt;0,$A20&lt;&gt;""),LOOKUP($A20,Discrete_NFET[PARTNUMBER],Discrete_NFET[QRR]),"")</f>
        <v>46</v>
      </c>
      <c r="AC20" s="35">
        <f>IF(AND(A20&lt;&gt;0,A20&lt;&gt;""),LOOKUP(A20,Discrete_NFET[PARTNUMBER],Discrete_NFET[VF_TYP]),"")</f>
        <v>0.8</v>
      </c>
      <c r="AD20" s="127">
        <f>IF(AND($A20&lt;&gt;0,$A20&lt;&gt;"",OR(RIGHT(Logic!B20,2)="C)",LEFT(Logic!B20,4)="CSD1")),(1+(1-DUTY))*IM_RMS_120^2*V20*m/3/Num_FETS,"")</f>
        <v>0.13301568751923667</v>
      </c>
      <c r="AE20" s="127">
        <f>IF(AND($A20&lt;&gt;0,$A20&lt;&gt;"",OR(RIGHT(Logic!B20,2)="C)",LEFT(Logic!B20,4)="CSD1")),Num_FETS*0.5*IM_RMS_120*VDC_AVG*Z20*n*MOT_ELEC_FREQ/GDR_SRC,"")</f>
        <v>1.9349845201238391E-5</v>
      </c>
      <c r="AF20" s="127">
        <f>IF(AND($A20&lt;&gt;0,$A20&lt;&gt;"",OR(RIGHT(Logic!B20,2)="C)",LEFT(Logic!B20,4)="CSD1")),Num_FETS*0.5*IM_RMS_120*VDC_AVG*Z20*n*MOT_ELEC_FREQ/GDR_SINK,"")</f>
        <v>1.3157894736842106E-5</v>
      </c>
      <c r="AG20" s="127">
        <f>IF(AND($A20&lt;&gt;0,$A20&lt;&gt;"",OR(RIGHT(Logic!B20,2)="T)",LEFT(Logic!B20,4)="CSD1")),DUTY*IM_RMS_120^2*V20*m/3/Num_FETS,"")</f>
        <v>0.12034752680311887</v>
      </c>
      <c r="AH20" s="127">
        <f>IF(AND($A20&lt;&gt;0,$A20&lt;&gt;"",OR(RIGHT(Logic!B20,2)="T)",LEFT(Logic!B20,4)="CSD1")),Num_FETS*0.5*IM_RMS_120*VDC_AVG*Z20*n*FSW*k/GDR_SRC/3,"")</f>
        <v>3.8699690402476776E-3</v>
      </c>
      <c r="AI20" s="127">
        <f>IF(AND($A20&lt;&gt;0,$A20&lt;&gt;"",OR(RIGHT(Logic!B20,2)="T)",LEFT(Logic!B20,4)="CSD1")),Num_FETS*0.5*IM_RMS_120*VDC_AVG*Z20*n*FSW*k/GDR_SINK/3,"")</f>
        <v>2.631578947368421E-3</v>
      </c>
      <c r="AJ20" s="127">
        <f t="shared" si="14"/>
        <v>4.2000000000000006E-3</v>
      </c>
      <c r="AK20" s="127">
        <f t="shared" si="15"/>
        <v>1.2414567897146714E-2</v>
      </c>
      <c r="AL20" s="127">
        <f t="shared" si="16"/>
        <v>1.1058400000000001E-2</v>
      </c>
      <c r="AM20" s="127">
        <f t="shared" si="33"/>
        <v>0.37243703691440144</v>
      </c>
      <c r="AN20" s="127">
        <f>IF(AND($A20&lt;&gt;0,$A20&lt;&gt;"",OR(RIGHT(Logic!B20,2)="C)",LEFT(Logic!B20,4)="CSD1")),SUM(AD20:AF20)+(AJ20/3)+AK20+AL20/6+AM20/6,AN21)</f>
        <v>0.21077866930872174</v>
      </c>
      <c r="AO20" s="127">
        <f>IF(AND($A20&lt;&gt;0,$A20&lt;&gt;"",OR(RIGHT(Logic!B20,2)="T)",LEFT(Logic!B20,4)="CSD1")),SUM(AG20:AI20)+(AJ20/3)+AL20/6+AM20/6,AO19)</f>
        <v>0.19216498094313525</v>
      </c>
      <c r="AP20" s="48">
        <f t="shared" si="34"/>
        <v>0.4</v>
      </c>
      <c r="AQ20" s="35" t="str">
        <f>IF(AND(A20&lt;&gt;0,A20&lt;&gt;""),LOOKUP(A20,Discrete_NFET[PARTNUMBER],Discrete_NFET[TI_EQ_PACKAGE]),"")</f>
        <v>SON5x6</v>
      </c>
      <c r="AR20" s="49">
        <f>IF(AND(A20&lt;&gt;0,A20&lt;&gt;""),LOOKUP(A20,Discrete_NFET[PARTNUMBER],Discrete_NFET[1KPRICE]),"")</f>
        <v>0.6</v>
      </c>
      <c r="AS20" s="35" t="str">
        <f>IF(AND($A20&lt;&gt;0,$A20&lt;&gt;""),CONCATENATE(TEXT(AP20,"0.00"),"W, ",IF('User Input'!F$11="Single Discrete",A20,IF('User Input'!F$11="Dual/Power Block",LEFT(A20,FIND(")",A20)-7),A20)),", ",AQ20,", ",TEXT(AR20,"$0.00")),"Invalid Part")</f>
        <v>0.40W, CSD17501Q5A, SON5x6, $0.60</v>
      </c>
      <c r="AT20" t="s">
        <v>741</v>
      </c>
      <c r="AW20"/>
      <c r="AX20" s="7" t="e">
        <f>LEFT(A91,FIND("L",A91)-1)</f>
        <v>#VALUE!</v>
      </c>
    </row>
    <row r="21" spans="1:50" ht="15" customHeight="1" x14ac:dyDescent="0.25">
      <c r="A21" s="35" t="str">
        <f>IF(OR(AND(FET_config="Dual/Power Block",LEFT(Logic!B21,4)="CSD8"),AND(FET_config="Single Discrete",LEFT(Logic!B21,4)="CSD1")),Logic!B21,"")</f>
        <v>CSD17505Q5A</v>
      </c>
      <c r="B21" s="37" t="str">
        <f>IF(OR($A21=0,$A21=""),"0",IF(LOOKUP($A21,Discrete_NFET[PARTNUMBER],Discrete_NFET[RDSON25])="(NULL)","0","1"))</f>
        <v>0</v>
      </c>
      <c r="C21" s="38" t="str">
        <f>IF(OR($A21=0,$A21=""),"0",IF(LOOKUP($A21,Discrete_NFET[PARTNUMBER],Discrete_NFET[RDSON3])="(NULL)","0","1"))</f>
        <v>0</v>
      </c>
      <c r="D21" s="40" t="str">
        <f>IF(OR($A21=0,$A21=""),"0",IF(LOOKUP($A21,Discrete_NFET[PARTNUMBER],Discrete_NFET[RDSON45])="(NULL)","0","1"))</f>
        <v>1</v>
      </c>
      <c r="E21" s="45" t="str">
        <f>IF(OR($A21=0,$A21=""),"0",IF(LOOKUP($A21,Discrete_NFET[PARTNUMBER],Discrete_NFET[RDSON6])="(NULL)","0","1"))</f>
        <v>0</v>
      </c>
      <c r="F21" s="34" t="str">
        <f>IF(OR($A21=0,$A21=""),"0",IF(LOOKUP($A21,Discrete_NFET[PARTNUMBER],Discrete_NFET[RDSON8])="(NULL)","0","1"))</f>
        <v>0</v>
      </c>
      <c r="G21" s="43" t="str">
        <f>IF(OR($A21=0,$A21=""),"0",IF(LOOKUP($A21,Discrete_NFET[PARTNUMBER],Discrete_NFET[RDSON10])="(NULL)","0","1"))</f>
        <v>1</v>
      </c>
      <c r="H21" s="36" t="b">
        <f t="shared" si="19"/>
        <v>0</v>
      </c>
      <c r="I21" s="39" t="b">
        <f t="shared" si="20"/>
        <v>0</v>
      </c>
      <c r="J21" s="41" t="b">
        <f t="shared" si="21"/>
        <v>1</v>
      </c>
      <c r="K21" s="46" t="b">
        <f t="shared" si="22"/>
        <v>0</v>
      </c>
      <c r="L21" s="42" t="b">
        <f t="shared" si="23"/>
        <v>0</v>
      </c>
      <c r="M21" s="44" t="b">
        <f t="shared" si="24"/>
        <v>1</v>
      </c>
      <c r="N21" s="47" t="b">
        <f t="shared" si="25"/>
        <v>1</v>
      </c>
      <c r="O21" s="36" t="b">
        <f t="shared" si="26"/>
        <v>0</v>
      </c>
      <c r="P21" s="39" t="b">
        <f t="shared" si="27"/>
        <v>0</v>
      </c>
      <c r="Q21" s="41" t="b">
        <f t="shared" si="28"/>
        <v>1</v>
      </c>
      <c r="R21" s="46" t="b">
        <f t="shared" si="29"/>
        <v>0</v>
      </c>
      <c r="S21" s="42" t="b">
        <f t="shared" si="30"/>
        <v>0</v>
      </c>
      <c r="T21" s="44" t="b">
        <f t="shared" si="31"/>
        <v>1</v>
      </c>
      <c r="U21" s="148">
        <f>IF(T21,LOOKUP(A21,Discrete_NFET[PARTNUMBER],Discrete_NFET[RDSON10])*1000,IF(S21,LOOKUP(A21,Discrete_NFET[PARTNUMBER],Discrete_NFET[RDSON8])*1000,IF(R21,LOOKUP(A21,Discrete_NFET[PARTNUMBER],Discrete_NFET[RDSON6])*1000,IF(Q21,LOOKUP(A21,Discrete_NFET[PARTNUMBER],Discrete_NFET[RDSON45])*1000,IF(P21,LOOKUP(A21,Discrete_NFET[PARTNUMBER],Discrete_NFET[RDSON3])*1000,IF(O21,LOOKUP(A21,Discrete_NFET[PARTNUMBER],Discrete_NFET[RDSON25])*1000,""))))))</f>
        <v>3.5</v>
      </c>
      <c r="V21" s="48">
        <f>IF(AND(A21&lt;&gt;0,A21&lt;&gt;""),U21*(1+(Tj-25)*(LOOKUP(A21,Discrete_NFET[PARTNUMBER],Discrete_NFET[RDSDELTA])/((LOOKUP(A21,Discrete_NFET[PARTNUMBER],Discrete_NFET[TJMAX])-25)))),"")</f>
        <v>3.8500000000000005</v>
      </c>
      <c r="W21" s="35">
        <f>IF(AND($A21&lt;&gt;0,$A21&lt;&gt;""),LOOKUP($A21,Discrete_NFET[PARTNUMBER],Discrete_NFET[QGS]),"")</f>
        <v>3.5</v>
      </c>
      <c r="X21" s="35">
        <f>IF(AND($A21&lt;&gt;0,$A21&lt;&gt;""),LOOKUP($A21,Discrete_NFET[PARTNUMBER],Discrete_NFET[QGD]),"")</f>
        <v>2.7</v>
      </c>
      <c r="Y21" s="35">
        <f>IF(AND($A21&lt;&gt;0,$A21&lt;&gt;""),LOOKUP($A21,Discrete_NFET[PARTNUMBER],Discrete_NFET[QGTH]),"")</f>
        <v>1.9</v>
      </c>
      <c r="Z21" s="35">
        <f t="shared" si="32"/>
        <v>4.3000000000000007</v>
      </c>
      <c r="AA21" s="35">
        <f>IF(AND($A21&lt;&gt;0,$A21&lt;&gt;""),LOOKUP($A21,Discrete_NFET[PARTNUMBER],Discrete_NFET[QOSSTYP]),"")</f>
        <v>26</v>
      </c>
      <c r="AB21" s="35">
        <f>IF(AND($A21&lt;&gt;0,$A21&lt;&gt;""),LOOKUP($A21,Discrete_NFET[PARTNUMBER],Discrete_NFET[QRR]),"")</f>
        <v>30</v>
      </c>
      <c r="AC21" s="35">
        <f>IF(AND(A21&lt;&gt;0,A21&lt;&gt;""),LOOKUP(A21,Discrete_NFET[PARTNUMBER],Discrete_NFET[VF_TYP]),"")</f>
        <v>0.8</v>
      </c>
      <c r="AD21" s="127">
        <f>IF(AND($A21&lt;&gt;0,$A21&lt;&gt;"",OR(RIGHT(Logic!B21,2)="C)",LEFT(Logic!B21,4)="CSD1")),(1+(1-DUTY))*IM_RMS_120^2*V21*m/3/Num_FETS,"")</f>
        <v>0.16200898353339488</v>
      </c>
      <c r="AE21" s="127">
        <f>IF(AND($A21&lt;&gt;0,$A21&lt;&gt;"",OR(RIGHT(Logic!B21,2)="C)",LEFT(Logic!B21,4)="CSD1")),Num_FETS*0.5*IM_RMS_120*VDC_AVG*Z21*n*MOT_ELEC_FREQ/GDR_SRC,"")</f>
        <v>1.3867389060887514E-5</v>
      </c>
      <c r="AF21" s="127">
        <f>IF(AND($A21&lt;&gt;0,$A21&lt;&gt;"",OR(RIGHT(Logic!B21,2)="C)",LEFT(Logic!B21,4)="CSD1")),Num_FETS*0.5*IM_RMS_120*VDC_AVG*Z21*n*MOT_ELEC_FREQ/GDR_SINK,"")</f>
        <v>9.4298245614035099E-6</v>
      </c>
      <c r="AG21" s="127">
        <f>IF(AND($A21&lt;&gt;0,$A21&lt;&gt;"",OR(RIGHT(Logic!B21,2)="T)",LEFT(Logic!B21,4)="CSD1")),DUTY*IM_RMS_120^2*V21*m/3/Num_FETS,"")</f>
        <v>0.1465795565302144</v>
      </c>
      <c r="AH21" s="127">
        <f>IF(AND($A21&lt;&gt;0,$A21&lt;&gt;"",OR(RIGHT(Logic!B21,2)="T)",LEFT(Logic!B21,4)="CSD1")),Num_FETS*0.5*IM_RMS_120*VDC_AVG*Z21*n*FSW*k/GDR_SRC/3,"")</f>
        <v>2.7734778121775022E-3</v>
      </c>
      <c r="AI21" s="127">
        <f>IF(AND($A21&lt;&gt;0,$A21&lt;&gt;"",OR(RIGHT(Logic!B21,2)="T)",LEFT(Logic!B21,4)="CSD1")),Num_FETS*0.5*IM_RMS_120*VDC_AVG*Z21*n*FSW*k/GDR_SINK/3,"")</f>
        <v>1.8859649122807017E-3</v>
      </c>
      <c r="AJ21" s="127">
        <f t="shared" si="14"/>
        <v>3.1200000000000004E-3</v>
      </c>
      <c r="AK21" s="127">
        <f t="shared" si="15"/>
        <v>1.2414567897146714E-2</v>
      </c>
      <c r="AL21" s="127">
        <f t="shared" si="16"/>
        <v>7.2120000000000005E-3</v>
      </c>
      <c r="AM21" s="127">
        <f t="shared" si="33"/>
        <v>0.37243703691440144</v>
      </c>
      <c r="AN21" s="127">
        <f>IF(AND($A21&lt;&gt;0,$A21&lt;&gt;"",OR(RIGHT(Logic!B21,2)="C)",LEFT(Logic!B21,4)="CSD1")),SUM(AD21:AF21)+(AJ21/3)+AK21+AL21/6+AM21/6,AN22)</f>
        <v>0.23876168812989748</v>
      </c>
      <c r="AO21" s="127">
        <f>IF(AND($A21&lt;&gt;0,$A21&lt;&gt;"",OR(RIGHT(Logic!B21,2)="T)",LEFT(Logic!B21,4)="CSD1")),SUM(AG21:AI21)+(AJ21/3)+AL21/6+AM21/6,AO20)</f>
        <v>0.21555383874040621</v>
      </c>
      <c r="AP21" s="48">
        <f t="shared" si="34"/>
        <v>0.45</v>
      </c>
      <c r="AQ21" s="35" t="str">
        <f>IF(AND(A21&lt;&gt;0,A21&lt;&gt;""),LOOKUP(A21,Discrete_NFET[PARTNUMBER],Discrete_NFET[TI_EQ_PACKAGE]),"")</f>
        <v>SON5x6</v>
      </c>
      <c r="AR21" s="49">
        <f>IF(AND(A21&lt;&gt;0,A21&lt;&gt;""),LOOKUP(A21,Discrete_NFET[PARTNUMBER],Discrete_NFET[1KPRICE]),"")</f>
        <v>0.54</v>
      </c>
      <c r="AS21" s="35" t="str">
        <f>IF(AND($A21&lt;&gt;0,$A21&lt;&gt;""),CONCATENATE(TEXT(AP21,"0.00"),"W, ",IF('User Input'!F$11="Single Discrete",A21,IF('User Input'!F$11="Dual/Power Block",LEFT(A21,FIND(")",A21)-7),A21)),", ",AQ21,", ",TEXT(AR21,"$0.00")),"Invalid Part")</f>
        <v>0.45W, CSD17505Q5A, SON5x6, $0.54</v>
      </c>
      <c r="AT21" t="s">
        <v>777</v>
      </c>
      <c r="AW21"/>
    </row>
    <row r="22" spans="1:50" ht="15" customHeight="1" x14ac:dyDescent="0.25">
      <c r="A22" s="35" t="str">
        <f>IF(OR(AND(FET_config="Dual/Power Block",LEFT(Logic!B22,4)="CSD8"),AND(FET_config="Single Discrete",LEFT(Logic!B22,4)="CSD1")),Logic!B22,"")</f>
        <v>CSD17506Q5A</v>
      </c>
      <c r="B22" s="37" t="str">
        <f>IF(OR($A22=0,$A22=""),"0",IF(LOOKUP($A22,Discrete_NFET[PARTNUMBER],Discrete_NFET[RDSON25])="(NULL)","0","1"))</f>
        <v>0</v>
      </c>
      <c r="C22" s="38" t="str">
        <f>IF(OR($A22=0,$A22=""),"0",IF(LOOKUP($A22,Discrete_NFET[PARTNUMBER],Discrete_NFET[RDSON3])="(NULL)","0","1"))</f>
        <v>0</v>
      </c>
      <c r="D22" s="40" t="str">
        <f>IF(OR($A22=0,$A22=""),"0",IF(LOOKUP($A22,Discrete_NFET[PARTNUMBER],Discrete_NFET[RDSON45])="(NULL)","0","1"))</f>
        <v>1</v>
      </c>
      <c r="E22" s="45" t="str">
        <f>IF(OR($A22=0,$A22=""),"0",IF(LOOKUP($A22,Discrete_NFET[PARTNUMBER],Discrete_NFET[RDSON6])="(NULL)","0","1"))</f>
        <v>0</v>
      </c>
      <c r="F22" s="34" t="str">
        <f>IF(OR($A22=0,$A22=""),"0",IF(LOOKUP($A22,Discrete_NFET[PARTNUMBER],Discrete_NFET[RDSON8])="(NULL)","0","1"))</f>
        <v>0</v>
      </c>
      <c r="G22" s="43" t="str">
        <f>IF(OR($A22=0,$A22=""),"0",IF(LOOKUP($A22,Discrete_NFET[PARTNUMBER],Discrete_NFET[RDSON10])="(NULL)","0","1"))</f>
        <v>1</v>
      </c>
      <c r="H22" s="36" t="b">
        <f t="shared" si="19"/>
        <v>0</v>
      </c>
      <c r="I22" s="39" t="b">
        <f t="shared" si="20"/>
        <v>0</v>
      </c>
      <c r="J22" s="41" t="b">
        <f t="shared" si="21"/>
        <v>1</v>
      </c>
      <c r="K22" s="46" t="b">
        <f t="shared" si="22"/>
        <v>0</v>
      </c>
      <c r="L22" s="42" t="b">
        <f t="shared" si="23"/>
        <v>0</v>
      </c>
      <c r="M22" s="44" t="b">
        <f t="shared" si="24"/>
        <v>1</v>
      </c>
      <c r="N22" s="47" t="b">
        <f t="shared" si="25"/>
        <v>1</v>
      </c>
      <c r="O22" s="36" t="b">
        <f t="shared" si="26"/>
        <v>0</v>
      </c>
      <c r="P22" s="39" t="b">
        <f t="shared" si="27"/>
        <v>0</v>
      </c>
      <c r="Q22" s="41" t="b">
        <f t="shared" si="28"/>
        <v>1</v>
      </c>
      <c r="R22" s="46" t="b">
        <f t="shared" si="29"/>
        <v>0</v>
      </c>
      <c r="S22" s="42" t="b">
        <f t="shared" si="30"/>
        <v>0</v>
      </c>
      <c r="T22" s="44" t="b">
        <f t="shared" si="31"/>
        <v>1</v>
      </c>
      <c r="U22" s="148">
        <f>IF(T22,LOOKUP(A22,Discrete_NFET[PARTNUMBER],Discrete_NFET[RDSON10])*1000,IF(S22,LOOKUP(A22,Discrete_NFET[PARTNUMBER],Discrete_NFET[RDSON8])*1000,IF(R22,LOOKUP(A22,Discrete_NFET[PARTNUMBER],Discrete_NFET[RDSON6])*1000,IF(Q22,LOOKUP(A22,Discrete_NFET[PARTNUMBER],Discrete_NFET[RDSON45])*1000,IF(P22,LOOKUP(A22,Discrete_NFET[PARTNUMBER],Discrete_NFET[RDSON3])*1000,IF(O22,LOOKUP(A22,Discrete_NFET[PARTNUMBER],Discrete_NFET[RDSON25])*1000,""))))))</f>
        <v>4</v>
      </c>
      <c r="V22" s="48">
        <f>IF(AND(A22&lt;&gt;0,A22&lt;&gt;""),U22*(1+(Tj-25)*(LOOKUP(A22,Discrete_NFET[PARTNUMBER],Discrete_NFET[RDSDELTA])/((LOOKUP(A22,Discrete_NFET[PARTNUMBER],Discrete_NFET[TJMAX])-25)))),"")</f>
        <v>4.3600000000000003</v>
      </c>
      <c r="W22" s="35">
        <f>IF(AND($A22&lt;&gt;0,$A22&lt;&gt;""),LOOKUP($A22,Discrete_NFET[PARTNUMBER],Discrete_NFET[QGS]),"")</f>
        <v>3.1</v>
      </c>
      <c r="X22" s="35">
        <f>IF(AND($A22&lt;&gt;0,$A22&lt;&gt;""),LOOKUP($A22,Discrete_NFET[PARTNUMBER],Discrete_NFET[QGD]),"")</f>
        <v>2.2999999999999998</v>
      </c>
      <c r="Y22" s="35">
        <f>IF(AND($A22&lt;&gt;0,$A22&lt;&gt;""),LOOKUP($A22,Discrete_NFET[PARTNUMBER],Discrete_NFET[QGTH]),"")</f>
        <v>1.6</v>
      </c>
      <c r="Z22" s="35">
        <f t="shared" si="32"/>
        <v>3.8000000000000003</v>
      </c>
      <c r="AA22" s="35">
        <f>IF(AND($A22&lt;&gt;0,$A22&lt;&gt;""),LOOKUP($A22,Discrete_NFET[PARTNUMBER],Discrete_NFET[QOSSTYP]),"")</f>
        <v>23</v>
      </c>
      <c r="AB22" s="35">
        <f>IF(AND($A22&lt;&gt;0,$A22&lt;&gt;""),LOOKUP($A22,Discrete_NFET[PARTNUMBER],Discrete_NFET[QRR]),"")</f>
        <v>33</v>
      </c>
      <c r="AC22" s="35">
        <f>IF(AND(A22&lt;&gt;0,A22&lt;&gt;""),LOOKUP(A22,Discrete_NFET[PARTNUMBER],Discrete_NFET[VF_TYP]),"")</f>
        <v>0.8</v>
      </c>
      <c r="AD22" s="127">
        <f>IF(AND($A22&lt;&gt;0,$A22&lt;&gt;"",OR(RIGHT(Logic!B22,2)="C)",LEFT(Logic!B22,4)="CSD1")),(1+(1-DUTY))*IM_RMS_120^2*V22*m/3/Num_FETS,"")</f>
        <v>0.18346991381963682</v>
      </c>
      <c r="AE22" s="127">
        <f>IF(AND($A22&lt;&gt;0,$A22&lt;&gt;"",OR(RIGHT(Logic!B22,2)="C)",LEFT(Logic!B22,4)="CSD1")),Num_FETS*0.5*IM_RMS_120*VDC_AVG*Z22*n*MOT_ELEC_FREQ/GDR_SRC,"")</f>
        <v>1.2254901960784317E-5</v>
      </c>
      <c r="AF22" s="127">
        <f>IF(AND($A22&lt;&gt;0,$A22&lt;&gt;"",OR(RIGHT(Logic!B22,2)="C)",LEFT(Logic!B22,4)="CSD1")),Num_FETS*0.5*IM_RMS_120*VDC_AVG*Z22*n*MOT_ELEC_FREQ/GDR_SINK,"")</f>
        <v>8.3333333333333354E-6</v>
      </c>
      <c r="AG22" s="127">
        <f>IF(AND($A22&lt;&gt;0,$A22&lt;&gt;"",OR(RIGHT(Logic!B22,2)="T)",LEFT(Logic!B22,4)="CSD1")),DUTY*IM_RMS_120^2*V22*m/3/Num_FETS,"")</f>
        <v>0.16599658869395709</v>
      </c>
      <c r="AH22" s="127">
        <f>IF(AND($A22&lt;&gt;0,$A22&lt;&gt;"",OR(RIGHT(Logic!B22,2)="T)",LEFT(Logic!B22,4)="CSD1")),Num_FETS*0.5*IM_RMS_120*VDC_AVG*Z22*n*FSW*k/GDR_SRC/3,"")</f>
        <v>2.4509803921568631E-3</v>
      </c>
      <c r="AI22" s="127">
        <f>IF(AND($A22&lt;&gt;0,$A22&lt;&gt;"",OR(RIGHT(Logic!B22,2)="T)",LEFT(Logic!B22,4)="CSD1")),Num_FETS*0.5*IM_RMS_120*VDC_AVG*Z22*n*FSW*k/GDR_SINK/3,"")</f>
        <v>1.666666666666667E-3</v>
      </c>
      <c r="AJ22" s="127">
        <f t="shared" si="14"/>
        <v>2.7600000000000003E-3</v>
      </c>
      <c r="AK22" s="127">
        <f t="shared" si="15"/>
        <v>1.2414567897146714E-2</v>
      </c>
      <c r="AL22" s="127">
        <f t="shared" si="16"/>
        <v>7.9331999999999996E-3</v>
      </c>
      <c r="AM22" s="127">
        <f t="shared" si="33"/>
        <v>0.37243703691440144</v>
      </c>
      <c r="AN22" s="127">
        <f>IF(AND($A22&lt;&gt;0,$A22&lt;&gt;"",OR(RIGHT(Logic!B22,2)="C)",LEFT(Logic!B22,4)="CSD1")),SUM(AD22:AF22)+(AJ22/3)+AK22+AL22/6+AM22/6,AN23)</f>
        <v>0.26022010943781121</v>
      </c>
      <c r="AO22" s="127">
        <f>IF(AND($A22&lt;&gt;0,$A22&lt;&gt;"",OR(RIGHT(Logic!B22,2)="T)",LEFT(Logic!B22,4)="CSD1")),SUM(AG22:AI22)+(AJ22/3)+AL22/6+AM22/6,AO21)</f>
        <v>0.2344292752385142</v>
      </c>
      <c r="AP22" s="48">
        <f t="shared" si="34"/>
        <v>0.49</v>
      </c>
      <c r="AQ22" s="35" t="str">
        <f>IF(AND(A22&lt;&gt;0,A22&lt;&gt;""),LOOKUP(A22,Discrete_NFET[PARTNUMBER],Discrete_NFET[TI_EQ_PACKAGE]),"")</f>
        <v>SON5x6</v>
      </c>
      <c r="AR22" s="49">
        <f>IF(AND(A22&lt;&gt;0,A22&lt;&gt;""),LOOKUP(A22,Discrete_NFET[PARTNUMBER],Discrete_NFET[1KPRICE]),"")</f>
        <v>0.47</v>
      </c>
      <c r="AS22" s="35" t="str">
        <f>IF(AND($A22&lt;&gt;0,$A22&lt;&gt;""),CONCATENATE(TEXT(AP22,"0.00"),"W, ",IF('User Input'!F$11="Single Discrete",A22,IF('User Input'!F$11="Dual/Power Block",LEFT(A22,FIND(")",A22)-7),A22)),", ",AQ22,", ",TEXT(AR22,"$0.00")),"Invalid Part")</f>
        <v>0.49W, CSD17506Q5A, SON5x6, $0.47</v>
      </c>
      <c r="AT22" t="s">
        <v>736</v>
      </c>
      <c r="AW22"/>
      <c r="AX22" s="7" t="str">
        <f>IF('User Input'!F13="Dual/Power Block",LEFT(A4,FIND("L",A4)-1),A4)</f>
        <v>CSD17301Q5A</v>
      </c>
    </row>
    <row r="23" spans="1:50" ht="15" customHeight="1" x14ac:dyDescent="0.25">
      <c r="A23" s="35" t="str">
        <f>IF(OR(AND(FET_config="Dual/Power Block",LEFT(Logic!B23,4)="CSD8"),AND(FET_config="Single Discrete",LEFT(Logic!B23,4)="CSD1")),Logic!B23,"")</f>
        <v>CSD17507Q5A</v>
      </c>
      <c r="B23" s="37" t="str">
        <f>IF(OR($A23=0,$A23=""),"0",IF(LOOKUP($A23,Discrete_NFET[PARTNUMBER],Discrete_NFET[RDSON25])="(NULL)","0","1"))</f>
        <v>0</v>
      </c>
      <c r="C23" s="38" t="str">
        <f>IF(OR($A23=0,$A23=""),"0",IF(LOOKUP($A23,Discrete_NFET[PARTNUMBER],Discrete_NFET[RDSON3])="(NULL)","0","1"))</f>
        <v>0</v>
      </c>
      <c r="D23" s="40" t="str">
        <f>IF(OR($A23=0,$A23=""),"0",IF(LOOKUP($A23,Discrete_NFET[PARTNUMBER],Discrete_NFET[RDSON45])="(NULL)","0","1"))</f>
        <v>1</v>
      </c>
      <c r="E23" s="45" t="str">
        <f>IF(OR($A23=0,$A23=""),"0",IF(LOOKUP($A23,Discrete_NFET[PARTNUMBER],Discrete_NFET[RDSON6])="(NULL)","0","1"))</f>
        <v>0</v>
      </c>
      <c r="F23" s="34" t="str">
        <f>IF(OR($A23=0,$A23=""),"0",IF(LOOKUP($A23,Discrete_NFET[PARTNUMBER],Discrete_NFET[RDSON8])="(NULL)","0","1"))</f>
        <v>0</v>
      </c>
      <c r="G23" s="43" t="str">
        <f>IF(OR($A23=0,$A23=""),"0",IF(LOOKUP($A23,Discrete_NFET[PARTNUMBER],Discrete_NFET[RDSON10])="(NULL)","0","1"))</f>
        <v>1</v>
      </c>
      <c r="H23" s="36" t="b">
        <f t="shared" si="19"/>
        <v>0</v>
      </c>
      <c r="I23" s="39" t="b">
        <f t="shared" si="20"/>
        <v>0</v>
      </c>
      <c r="J23" s="41" t="b">
        <f t="shared" si="21"/>
        <v>1</v>
      </c>
      <c r="K23" s="46" t="b">
        <f t="shared" si="22"/>
        <v>0</v>
      </c>
      <c r="L23" s="42" t="b">
        <f t="shared" si="23"/>
        <v>0</v>
      </c>
      <c r="M23" s="44" t="b">
        <f t="shared" si="24"/>
        <v>1</v>
      </c>
      <c r="N23" s="47" t="b">
        <f t="shared" si="25"/>
        <v>1</v>
      </c>
      <c r="O23" s="36" t="b">
        <f t="shared" si="26"/>
        <v>0</v>
      </c>
      <c r="P23" s="39" t="b">
        <f t="shared" si="27"/>
        <v>0</v>
      </c>
      <c r="Q23" s="41" t="b">
        <f t="shared" si="28"/>
        <v>1</v>
      </c>
      <c r="R23" s="46" t="b">
        <f t="shared" si="29"/>
        <v>0</v>
      </c>
      <c r="S23" s="42" t="b">
        <f t="shared" si="30"/>
        <v>0</v>
      </c>
      <c r="T23" s="44" t="b">
        <f t="shared" si="31"/>
        <v>1</v>
      </c>
      <c r="U23" s="148">
        <f>IF(T23,LOOKUP(A23,Discrete_NFET[PARTNUMBER],Discrete_NFET[RDSON10])*1000,IF(S23,LOOKUP(A23,Discrete_NFET[PARTNUMBER],Discrete_NFET[RDSON8])*1000,IF(R23,LOOKUP(A23,Discrete_NFET[PARTNUMBER],Discrete_NFET[RDSON6])*1000,IF(Q23,LOOKUP(A23,Discrete_NFET[PARTNUMBER],Discrete_NFET[RDSON45])*1000,IF(P23,LOOKUP(A23,Discrete_NFET[PARTNUMBER],Discrete_NFET[RDSON3])*1000,IF(O23,LOOKUP(A23,Discrete_NFET[PARTNUMBER],Discrete_NFET[RDSON25])*1000,""))))))</f>
        <v>10.8</v>
      </c>
      <c r="V23" s="48">
        <f>IF(AND(A23&lt;&gt;0,A23&lt;&gt;""),U23*(1+(Tj-25)*(LOOKUP(A23,Discrete_NFET[PARTNUMBER],Discrete_NFET[RDSDELTA])/((LOOKUP(A23,Discrete_NFET[PARTNUMBER],Discrete_NFET[TJMAX])-25)))),"")</f>
        <v>11.815200000000001</v>
      </c>
      <c r="W23" s="35">
        <f>IF(AND($A23&lt;&gt;0,$A23&lt;&gt;""),LOOKUP($A23,Discrete_NFET[PARTNUMBER],Discrete_NFET[QGS]),"")</f>
        <v>1.3</v>
      </c>
      <c r="X23" s="35">
        <f>IF(AND($A23&lt;&gt;0,$A23&lt;&gt;""),LOOKUP($A23,Discrete_NFET[PARTNUMBER],Discrete_NFET[QGD]),"")</f>
        <v>0.7</v>
      </c>
      <c r="Y23" s="35">
        <f>IF(AND($A23&lt;&gt;0,$A23&lt;&gt;""),LOOKUP($A23,Discrete_NFET[PARTNUMBER],Discrete_NFET[QGTH]),"")</f>
        <v>0.7</v>
      </c>
      <c r="Z23" s="35">
        <f t="shared" si="32"/>
        <v>1.3</v>
      </c>
      <c r="AA23" s="35">
        <f>IF(AND($A23&lt;&gt;0,$A23&lt;&gt;""),LOOKUP($A23,Discrete_NFET[PARTNUMBER],Discrete_NFET[QOSSTYP]),"")</f>
        <v>7.2</v>
      </c>
      <c r="AB23" s="35">
        <f>IF(AND($A23&lt;&gt;0,$A23&lt;&gt;""),LOOKUP($A23,Discrete_NFET[PARTNUMBER],Discrete_NFET[QRR]),"")</f>
        <v>11</v>
      </c>
      <c r="AC23" s="35">
        <f>IF(AND(A23&lt;&gt;0,A23&lt;&gt;""),LOOKUP(A23,Discrete_NFET[PARTNUMBER],Discrete_NFET[VF_TYP]),"")</f>
        <v>0.85</v>
      </c>
      <c r="AD23" s="127">
        <f>IF(AND($A23&lt;&gt;0,$A23&lt;&gt;"",OR(RIGHT(Logic!B23,2)="C)",LEFT(Logic!B23,4)="CSD1")),(1+(1-DUTY))*IM_RMS_120^2*V23*m/3/Num_FETS,"")</f>
        <v>0.49718663434903038</v>
      </c>
      <c r="AE23" s="127">
        <f>IF(AND($A23&lt;&gt;0,$A23&lt;&gt;"",OR(RIGHT(Logic!B23,2)="C)",LEFT(Logic!B23,4)="CSD1")),Num_FETS*0.5*IM_RMS_120*VDC_AVG*Z23*n*MOT_ELEC_FREQ/GDR_SRC,"")</f>
        <v>4.192466460268318E-6</v>
      </c>
      <c r="AF23" s="127">
        <f>IF(AND($A23&lt;&gt;0,$A23&lt;&gt;"",OR(RIGHT(Logic!B23,2)="C)",LEFT(Logic!B23,4)="CSD1")),Num_FETS*0.5*IM_RMS_120*VDC_AVG*Z23*n*MOT_ELEC_FREQ/GDR_SINK,"")</f>
        <v>2.8508771929824565E-6</v>
      </c>
      <c r="AG23" s="127">
        <f>IF(AND($A23&lt;&gt;0,$A23&lt;&gt;"",OR(RIGHT(Logic!B23,2)="T)",LEFT(Logic!B23,4)="CSD1")),DUTY*IM_RMS_120^2*V23*m/3/Num_FETS,"")</f>
        <v>0.44983552631578938</v>
      </c>
      <c r="AH23" s="127">
        <f>IF(AND($A23&lt;&gt;0,$A23&lt;&gt;"",OR(RIGHT(Logic!B23,2)="T)",LEFT(Logic!B23,4)="CSD1")),Num_FETS*0.5*IM_RMS_120*VDC_AVG*Z23*n*FSW*k/GDR_SRC/3,"")</f>
        <v>8.3849329205366375E-4</v>
      </c>
      <c r="AI23" s="127">
        <f>IF(AND($A23&lt;&gt;0,$A23&lt;&gt;"",OR(RIGHT(Logic!B23,2)="T)",LEFT(Logic!B23,4)="CSD1")),Num_FETS*0.5*IM_RMS_120*VDC_AVG*Z23*n*FSW*k/GDR_SINK/3,"")</f>
        <v>5.7017543859649129E-4</v>
      </c>
      <c r="AJ23" s="127">
        <f t="shared" si="14"/>
        <v>8.6400000000000008E-4</v>
      </c>
      <c r="AK23" s="127">
        <f t="shared" si="15"/>
        <v>1.3190478390718382E-2</v>
      </c>
      <c r="AL23" s="127">
        <f t="shared" si="16"/>
        <v>2.6444000000000003E-3</v>
      </c>
      <c r="AM23" s="127">
        <f t="shared" si="33"/>
        <v>0.39571435172155139</v>
      </c>
      <c r="AN23" s="127">
        <f>IF(AND($A23&lt;&gt;0,$A23&lt;&gt;"",OR(RIGHT(Logic!B23,2)="C)",LEFT(Logic!B23,4)="CSD1")),SUM(AD23:AF23)+(AJ23/3)+AK23+AL23/6+AM23/6,AN24)</f>
        <v>0.57706528137032731</v>
      </c>
      <c r="AO23" s="127">
        <f>IF(AND($A23&lt;&gt;0,$A23&lt;&gt;"",OR(RIGHT(Logic!B23,2)="T)",LEFT(Logic!B23,4)="CSD1")),SUM(AG23:AI23)+(AJ23/3)+AL23/6+AM23/6,AO22)</f>
        <v>0.5179253203333648</v>
      </c>
      <c r="AP23" s="48">
        <f t="shared" si="34"/>
        <v>1.0900000000000001</v>
      </c>
      <c r="AQ23" s="35" t="str">
        <f>IF(AND(A23&lt;&gt;0,A23&lt;&gt;""),LOOKUP(A23,Discrete_NFET[PARTNUMBER],Discrete_NFET[TI_EQ_PACKAGE]),"")</f>
        <v>SON5x6</v>
      </c>
      <c r="AR23" s="49">
        <f>IF(AND(A23&lt;&gt;0,A23&lt;&gt;""),LOOKUP(A23,Discrete_NFET[PARTNUMBER],Discrete_NFET[1KPRICE]),"")</f>
        <v>0.23</v>
      </c>
      <c r="AS23" s="35" t="str">
        <f>IF(AND($A23&lt;&gt;0,$A23&lt;&gt;""),CONCATENATE(TEXT(AP23,"0.00"),"W, ",IF('User Input'!F$11="Single Discrete",A23,IF('User Input'!F$11="Dual/Power Block",LEFT(A23,FIND(")",A23)-7),A23)),", ",AQ23,", ",TEXT(AR23,"$0.00")),"Invalid Part")</f>
        <v>1.09W, CSD17507Q5A, SON5x6, $0.23</v>
      </c>
      <c r="AT23" t="s">
        <v>782</v>
      </c>
      <c r="AW23"/>
    </row>
    <row r="24" spans="1:50" ht="15" customHeight="1" x14ac:dyDescent="0.25">
      <c r="A24" s="35" t="str">
        <f>IF(OR(AND(FET_config="Dual/Power Block",LEFT(Logic!B24,4)="CSD8"),AND(FET_config="Single Discrete",LEFT(Logic!B24,4)="CSD1")),Logic!B24,"")</f>
        <v>CSD17510Q5A</v>
      </c>
      <c r="B24" s="37" t="str">
        <f>IF(OR($A24=0,$A24=""),"0",IF(LOOKUP($A24,Discrete_NFET[PARTNUMBER],Discrete_NFET[RDSON25])="(NULL)","0","1"))</f>
        <v>0</v>
      </c>
      <c r="C24" s="38" t="str">
        <f>IF(OR($A24=0,$A24=""),"0",IF(LOOKUP($A24,Discrete_NFET[PARTNUMBER],Discrete_NFET[RDSON3])="(NULL)","0","1"))</f>
        <v>0</v>
      </c>
      <c r="D24" s="40" t="str">
        <f>IF(OR($A24=0,$A24=""),"0",IF(LOOKUP($A24,Discrete_NFET[PARTNUMBER],Discrete_NFET[RDSON45])="(NULL)","0","1"))</f>
        <v>1</v>
      </c>
      <c r="E24" s="45" t="str">
        <f>IF(OR($A24=0,$A24=""),"0",IF(LOOKUP($A24,Discrete_NFET[PARTNUMBER],Discrete_NFET[RDSON6])="(NULL)","0","1"))</f>
        <v>0</v>
      </c>
      <c r="F24" s="34" t="str">
        <f>IF(OR($A24=0,$A24=""),"0",IF(LOOKUP($A24,Discrete_NFET[PARTNUMBER],Discrete_NFET[RDSON8])="(NULL)","0","1"))</f>
        <v>0</v>
      </c>
      <c r="G24" s="43" t="str">
        <f>IF(OR($A24=0,$A24=""),"0",IF(LOOKUP($A24,Discrete_NFET[PARTNUMBER],Discrete_NFET[RDSON10])="(NULL)","0","1"))</f>
        <v>1</v>
      </c>
      <c r="H24" s="36" t="b">
        <f t="shared" si="19"/>
        <v>0</v>
      </c>
      <c r="I24" s="39" t="b">
        <f t="shared" si="20"/>
        <v>0</v>
      </c>
      <c r="J24" s="41" t="b">
        <f t="shared" si="21"/>
        <v>1</v>
      </c>
      <c r="K24" s="46" t="b">
        <f t="shared" si="22"/>
        <v>0</v>
      </c>
      <c r="L24" s="42" t="b">
        <f t="shared" si="23"/>
        <v>0</v>
      </c>
      <c r="M24" s="44" t="b">
        <f t="shared" si="24"/>
        <v>1</v>
      </c>
      <c r="N24" s="47" t="b">
        <f t="shared" si="25"/>
        <v>1</v>
      </c>
      <c r="O24" s="36" t="b">
        <f t="shared" si="26"/>
        <v>0</v>
      </c>
      <c r="P24" s="39" t="b">
        <f t="shared" si="27"/>
        <v>0</v>
      </c>
      <c r="Q24" s="41" t="b">
        <f t="shared" si="28"/>
        <v>1</v>
      </c>
      <c r="R24" s="46" t="b">
        <f t="shared" si="29"/>
        <v>0</v>
      </c>
      <c r="S24" s="42" t="b">
        <f t="shared" si="30"/>
        <v>0</v>
      </c>
      <c r="T24" s="44" t="b">
        <f t="shared" si="31"/>
        <v>1</v>
      </c>
      <c r="U24" s="148">
        <f>IF(T24,LOOKUP(A24,Discrete_NFET[PARTNUMBER],Discrete_NFET[RDSON10])*1000,IF(S24,LOOKUP(A24,Discrete_NFET[PARTNUMBER],Discrete_NFET[RDSON8])*1000,IF(R24,LOOKUP(A24,Discrete_NFET[PARTNUMBER],Discrete_NFET[RDSON6])*1000,IF(Q24,LOOKUP(A24,Discrete_NFET[PARTNUMBER],Discrete_NFET[RDSON45])*1000,IF(P24,LOOKUP(A24,Discrete_NFET[PARTNUMBER],Discrete_NFET[RDSON3])*1000,IF(O24,LOOKUP(A24,Discrete_NFET[PARTNUMBER],Discrete_NFET[RDSON25])*1000,""))))))</f>
        <v>5.2</v>
      </c>
      <c r="V24" s="48">
        <f>IF(AND(A24&lt;&gt;0,A24&lt;&gt;""),U24*(1+(Tj-25)*(LOOKUP(A24,Discrete_NFET[PARTNUMBER],Discrete_NFET[RDSDELTA])/((LOOKUP(A24,Discrete_NFET[PARTNUMBER],Discrete_NFET[TJMAX])-25)))),"")</f>
        <v>5.6888000000000005</v>
      </c>
      <c r="W24" s="35">
        <f>IF(AND($A24&lt;&gt;0,$A24&lt;&gt;""),LOOKUP($A24,Discrete_NFET[PARTNUMBER],Discrete_NFET[QGS]),"")</f>
        <v>2.7</v>
      </c>
      <c r="X24" s="35">
        <f>IF(AND($A24&lt;&gt;0,$A24&lt;&gt;""),LOOKUP($A24,Discrete_NFET[PARTNUMBER],Discrete_NFET[QGD]),"")</f>
        <v>1.9</v>
      </c>
      <c r="Y24" s="35">
        <f>IF(AND($A24&lt;&gt;0,$A24&lt;&gt;""),LOOKUP($A24,Discrete_NFET[PARTNUMBER],Discrete_NFET[QGTH]),"")</f>
        <v>1.5</v>
      </c>
      <c r="Z24" s="35">
        <f t="shared" si="32"/>
        <v>3.0999999999999996</v>
      </c>
      <c r="AA24" s="35">
        <f>IF(AND($A24&lt;&gt;0,$A24&lt;&gt;""),LOOKUP($A24,Discrete_NFET[PARTNUMBER],Discrete_NFET[QOSSTYP]),"")</f>
        <v>16</v>
      </c>
      <c r="AB24" s="35">
        <f>IF(AND($A24&lt;&gt;0,$A24&lt;&gt;""),LOOKUP($A24,Discrete_NFET[PARTNUMBER],Discrete_NFET[QRR]),"")</f>
        <v>25</v>
      </c>
      <c r="AC24" s="35">
        <f>IF(AND(A24&lt;&gt;0,A24&lt;&gt;""),LOOKUP(A24,Discrete_NFET[PARTNUMBER],Discrete_NFET[VF_TYP]),"")</f>
        <v>0.85</v>
      </c>
      <c r="AD24" s="127">
        <f>IF(AND($A24&lt;&gt;0,$A24&lt;&gt;"",OR(RIGHT(Logic!B24,2)="C)",LEFT(Logic!B24,4)="CSD1")),(1+(1-DUTY))*IM_RMS_120^2*V24*m/3/Num_FETS,"")</f>
        <v>0.23938615727916279</v>
      </c>
      <c r="AE24" s="127">
        <f>IF(AND($A24&lt;&gt;0,$A24&lt;&gt;"",OR(RIGHT(Logic!B24,2)="C)",LEFT(Logic!B24,4)="CSD1")),Num_FETS*0.5*IM_RMS_120*VDC_AVG*Z24*n*MOT_ELEC_FREQ/GDR_SRC,"")</f>
        <v>9.9974200206398347E-6</v>
      </c>
      <c r="AF24" s="127">
        <f>IF(AND($A24&lt;&gt;0,$A24&lt;&gt;"",OR(RIGHT(Logic!B24,2)="C)",LEFT(Logic!B24,4)="CSD1")),Num_FETS*0.5*IM_RMS_120*VDC_AVG*Z24*n*MOT_ELEC_FREQ/GDR_SINK,"")</f>
        <v>6.7982456140350876E-6</v>
      </c>
      <c r="AG24" s="127">
        <f>IF(AND($A24&lt;&gt;0,$A24&lt;&gt;"",OR(RIGHT(Logic!B24,2)="T)",LEFT(Logic!B24,4)="CSD1")),DUTY*IM_RMS_120^2*V24*m/3/Num_FETS,"")</f>
        <v>0.21658747563352823</v>
      </c>
      <c r="AH24" s="127">
        <f>IF(AND($A24&lt;&gt;0,$A24&lt;&gt;"",OR(RIGHT(Logic!B24,2)="T)",LEFT(Logic!B24,4)="CSD1")),Num_FETS*0.5*IM_RMS_120*VDC_AVG*Z24*n*FSW*k/GDR_SRC/3,"")</f>
        <v>1.9994840041279668E-3</v>
      </c>
      <c r="AI24" s="127">
        <f>IF(AND($A24&lt;&gt;0,$A24&lt;&gt;"",OR(RIGHT(Logic!B24,2)="T)",LEFT(Logic!B24,4)="CSD1")),Num_FETS*0.5*IM_RMS_120*VDC_AVG*Z24*n*FSW*k/GDR_SINK/3,"")</f>
        <v>1.3596491228070175E-3</v>
      </c>
      <c r="AJ24" s="127">
        <f t="shared" si="14"/>
        <v>1.92E-3</v>
      </c>
      <c r="AK24" s="127">
        <f t="shared" si="15"/>
        <v>1.3190478390718382E-2</v>
      </c>
      <c r="AL24" s="127">
        <f t="shared" si="16"/>
        <v>6.0100000000000006E-3</v>
      </c>
      <c r="AM24" s="127">
        <f t="shared" si="33"/>
        <v>0.39571435172155139</v>
      </c>
      <c r="AN24" s="127">
        <f>IF(AND($A24&lt;&gt;0,$A24&lt;&gt;"",OR(RIGHT(Logic!B24,2)="C)",LEFT(Logic!B24,4)="CSD1")),SUM(AD24:AF24)+(AJ24/3)+AK24+AL24/6+AM24/6,AN25)</f>
        <v>0.3201874899557744</v>
      </c>
      <c r="AO24" s="127">
        <f>IF(AND($A24&lt;&gt;0,$A24&lt;&gt;"",OR(RIGHT(Logic!B24,2)="T)",LEFT(Logic!B24,4)="CSD1")),SUM(AG24:AI24)+(AJ24/3)+AL24/6+AM24/6,AO23)</f>
        <v>0.28754066738072181</v>
      </c>
      <c r="AP24" s="48">
        <f t="shared" si="34"/>
        <v>0.61</v>
      </c>
      <c r="AQ24" s="35" t="str">
        <f>IF(AND(A24&lt;&gt;0,A24&lt;&gt;""),LOOKUP(A24,Discrete_NFET[PARTNUMBER],Discrete_NFET[TI_EQ_PACKAGE]),"")</f>
        <v>SON5x6</v>
      </c>
      <c r="AR24" s="49">
        <f>IF(AND(A24&lt;&gt;0,A24&lt;&gt;""),LOOKUP(A24,Discrete_NFET[PARTNUMBER],Discrete_NFET[1KPRICE]),"")</f>
        <v>0.34</v>
      </c>
      <c r="AS24" s="35" t="str">
        <f>IF(AND($A24&lt;&gt;0,$A24&lt;&gt;""),CONCATENATE(TEXT(AP24,"0.00"),"W, ",IF('User Input'!F$11="Single Discrete",A24,IF('User Input'!F$11="Dual/Power Block",LEFT(A24,FIND(")",A24)-7),A24)),", ",AQ24,", ",TEXT(AR24,"$0.00")),"Invalid Part")</f>
        <v>0.61W, CSD17510Q5A, SON5x6, $0.34</v>
      </c>
      <c r="AT24" t="s">
        <v>753</v>
      </c>
      <c r="AW24"/>
    </row>
    <row r="25" spans="1:50" ht="15" customHeight="1" x14ac:dyDescent="0.25">
      <c r="A25" s="35" t="str">
        <f>IF(OR(AND(FET_config="Dual/Power Block",LEFT(Logic!B25,4)="CSD8"),AND(FET_config="Single Discrete",LEFT(Logic!B25,4)="CSD1")),Logic!B25,"")</f>
        <v>CSD17522Q5A</v>
      </c>
      <c r="B25" s="37" t="str">
        <f>IF(OR($A25=0,$A25=""),"0",IF(LOOKUP($A25,Discrete_NFET[PARTNUMBER],Discrete_NFET[RDSON25])="(NULL)","0","1"))</f>
        <v>0</v>
      </c>
      <c r="C25" s="38" t="str">
        <f>IF(OR($A25=0,$A25=""),"0",IF(LOOKUP($A25,Discrete_NFET[PARTNUMBER],Discrete_NFET[RDSON3])="(NULL)","0","1"))</f>
        <v>0</v>
      </c>
      <c r="D25" s="40" t="str">
        <f>IF(OR($A25=0,$A25=""),"0",IF(LOOKUP($A25,Discrete_NFET[PARTNUMBER],Discrete_NFET[RDSON45])="(NULL)","0","1"))</f>
        <v>1</v>
      </c>
      <c r="E25" s="45" t="str">
        <f>IF(OR($A25=0,$A25=""),"0",IF(LOOKUP($A25,Discrete_NFET[PARTNUMBER],Discrete_NFET[RDSON6])="(NULL)","0","1"))</f>
        <v>0</v>
      </c>
      <c r="F25" s="34" t="str">
        <f>IF(OR($A25=0,$A25=""),"0",IF(LOOKUP($A25,Discrete_NFET[PARTNUMBER],Discrete_NFET[RDSON8])="(NULL)","0","1"))</f>
        <v>0</v>
      </c>
      <c r="G25" s="43" t="str">
        <f>IF(OR($A25=0,$A25=""),"0",IF(LOOKUP($A25,Discrete_NFET[PARTNUMBER],Discrete_NFET[RDSON10])="(NULL)","0","1"))</f>
        <v>1</v>
      </c>
      <c r="H25" s="36" t="b">
        <f t="shared" si="19"/>
        <v>0</v>
      </c>
      <c r="I25" s="39" t="b">
        <f t="shared" si="20"/>
        <v>0</v>
      </c>
      <c r="J25" s="41" t="b">
        <f t="shared" si="21"/>
        <v>1</v>
      </c>
      <c r="K25" s="46" t="b">
        <f t="shared" si="22"/>
        <v>0</v>
      </c>
      <c r="L25" s="42" t="b">
        <f t="shared" si="23"/>
        <v>0</v>
      </c>
      <c r="M25" s="44" t="b">
        <f t="shared" si="24"/>
        <v>1</v>
      </c>
      <c r="N25" s="47" t="b">
        <f t="shared" si="25"/>
        <v>1</v>
      </c>
      <c r="O25" s="36" t="b">
        <f t="shared" si="26"/>
        <v>0</v>
      </c>
      <c r="P25" s="39" t="b">
        <f t="shared" si="27"/>
        <v>0</v>
      </c>
      <c r="Q25" s="41" t="b">
        <f t="shared" si="28"/>
        <v>1</v>
      </c>
      <c r="R25" s="46" t="b">
        <f t="shared" si="29"/>
        <v>0</v>
      </c>
      <c r="S25" s="42" t="b">
        <f t="shared" si="30"/>
        <v>0</v>
      </c>
      <c r="T25" s="44" t="b">
        <f t="shared" si="31"/>
        <v>1</v>
      </c>
      <c r="U25" s="148">
        <f>IF(T25,LOOKUP(A25,Discrete_NFET[PARTNUMBER],Discrete_NFET[RDSON10])*1000,IF(S25,LOOKUP(A25,Discrete_NFET[PARTNUMBER],Discrete_NFET[RDSON8])*1000,IF(R25,LOOKUP(A25,Discrete_NFET[PARTNUMBER],Discrete_NFET[RDSON6])*1000,IF(Q25,LOOKUP(A25,Discrete_NFET[PARTNUMBER],Discrete_NFET[RDSON45])*1000,IF(P25,LOOKUP(A25,Discrete_NFET[PARTNUMBER],Discrete_NFET[RDSON3])*1000,IF(O25,LOOKUP(A25,Discrete_NFET[PARTNUMBER],Discrete_NFET[RDSON25])*1000,""))))))</f>
        <v>8.1</v>
      </c>
      <c r="V25" s="48">
        <f>IF(AND(A25&lt;&gt;0,A25&lt;&gt;""),U25*(1+(Tj-25)*(LOOKUP(A25,Discrete_NFET[PARTNUMBER],Discrete_NFET[RDSDELTA])/((LOOKUP(A25,Discrete_NFET[PARTNUMBER],Discrete_NFET[TJMAX])-25)))),"")</f>
        <v>8.7804000000000002</v>
      </c>
      <c r="W25" s="35">
        <f>IF(AND($A25&lt;&gt;0,$A25&lt;&gt;""),LOOKUP($A25,Discrete_NFET[PARTNUMBER],Discrete_NFET[QGS]),"")</f>
        <v>1.6</v>
      </c>
      <c r="X25" s="35">
        <f>IF(AND($A25&lt;&gt;0,$A25&lt;&gt;""),LOOKUP($A25,Discrete_NFET[PARTNUMBER],Discrete_NFET[QGD]),"")</f>
        <v>1.1000000000000001</v>
      </c>
      <c r="Y25" s="35">
        <f>IF(AND($A25&lt;&gt;0,$A25&lt;&gt;""),LOOKUP($A25,Discrete_NFET[PARTNUMBER],Discrete_NFET[QGTH]),"")</f>
        <v>0.9</v>
      </c>
      <c r="Z25" s="35">
        <f t="shared" si="32"/>
        <v>1.8000000000000003</v>
      </c>
      <c r="AA25" s="35">
        <f>IF(AND($A25&lt;&gt;0,$A25&lt;&gt;""),LOOKUP($A25,Discrete_NFET[PARTNUMBER],Discrete_NFET[QOSSTYP]),"")</f>
        <v>8.6</v>
      </c>
      <c r="AB25" s="35">
        <f>IF(AND($A25&lt;&gt;0,$A25&lt;&gt;""),LOOKUP($A25,Discrete_NFET[PARTNUMBER],Discrete_NFET[QRR]),"")</f>
        <v>19.600000000000001</v>
      </c>
      <c r="AC25" s="35">
        <f>IF(AND(A25&lt;&gt;0,A25&lt;&gt;""),LOOKUP(A25,Discrete_NFET[PARTNUMBER],Discrete_NFET[VF_TYP]),"")</f>
        <v>0.85</v>
      </c>
      <c r="AD25" s="127">
        <f>IF(AND($A25&lt;&gt;0,$A25&lt;&gt;"",OR(RIGHT(Logic!B25,2)="C)",LEFT(Logic!B25,4)="CSD1")),(1+(1-DUTY))*IM_RMS_120^2*V25*m/3/Num_FETS,"")</f>
        <v>0.36948147506925205</v>
      </c>
      <c r="AE25" s="127">
        <f>IF(AND($A25&lt;&gt;0,$A25&lt;&gt;"",OR(RIGHT(Logic!B25,2)="C)",LEFT(Logic!B25,4)="CSD1")),Num_FETS*0.5*IM_RMS_120*VDC_AVG*Z25*n*MOT_ELEC_FREQ/GDR_SRC,"")</f>
        <v>5.8049535603715175E-6</v>
      </c>
      <c r="AF25" s="127">
        <f>IF(AND($A25&lt;&gt;0,$A25&lt;&gt;"",OR(RIGHT(Logic!B25,2)="C)",LEFT(Logic!B25,4)="CSD1")),Num_FETS*0.5*IM_RMS_120*VDC_AVG*Z25*n*MOT_ELEC_FREQ/GDR_SINK,"")</f>
        <v>3.9473684210526323E-6</v>
      </c>
      <c r="AG25" s="127">
        <f>IF(AND($A25&lt;&gt;0,$A25&lt;&gt;"",OR(RIGHT(Logic!B25,2)="T)",LEFT(Logic!B25,4)="CSD1")),DUTY*IM_RMS_120^2*V25*m/3/Num_FETS,"")</f>
        <v>0.33429276315789463</v>
      </c>
      <c r="AH25" s="127">
        <f>IF(AND($A25&lt;&gt;0,$A25&lt;&gt;"",OR(RIGHT(Logic!B25,2)="T)",LEFT(Logic!B25,4)="CSD1")),Num_FETS*0.5*IM_RMS_120*VDC_AVG*Z25*n*FSW*k/GDR_SRC/3,"")</f>
        <v>1.1609907120743034E-3</v>
      </c>
      <c r="AI25" s="127">
        <f>IF(AND($A25&lt;&gt;0,$A25&lt;&gt;"",OR(RIGHT(Logic!B25,2)="T)",LEFT(Logic!B25,4)="CSD1")),Num_FETS*0.5*IM_RMS_120*VDC_AVG*Z25*n*FSW*k/GDR_SINK/3,"")</f>
        <v>7.8947368421052641E-4</v>
      </c>
      <c r="AJ25" s="127">
        <f t="shared" si="14"/>
        <v>1.0319999999999999E-3</v>
      </c>
      <c r="AK25" s="127">
        <f t="shared" si="15"/>
        <v>1.3190478390718382E-2</v>
      </c>
      <c r="AL25" s="127">
        <f t="shared" si="16"/>
        <v>4.7118400000000001E-3</v>
      </c>
      <c r="AM25" s="127">
        <f t="shared" si="33"/>
        <v>0.39571435172155139</v>
      </c>
      <c r="AN25" s="127">
        <f>IF(AND($A25&lt;&gt;0,$A25&lt;&gt;"",OR(RIGHT(Logic!B25,2)="C)",LEFT(Logic!B25,4)="CSD1")),SUM(AD25:AF25)+(AJ25/3)+AK25+AL25/6+AM25/6,AN26)</f>
        <v>0.44976340440221052</v>
      </c>
      <c r="AO25" s="127">
        <f>IF(AND($A25&lt;&gt;0,$A25&lt;&gt;"",OR(RIGHT(Logic!B25,2)="T)",LEFT(Logic!B25,4)="CSD1")),SUM(AG25:AI25)+(AJ25/3)+AL25/6+AM25/6,AO24)</f>
        <v>0.40332492617443805</v>
      </c>
      <c r="AP25" s="48">
        <f t="shared" si="34"/>
        <v>0.85</v>
      </c>
      <c r="AQ25" s="35" t="str">
        <f>IF(AND(A25&lt;&gt;0,A25&lt;&gt;""),LOOKUP(A25,Discrete_NFET[PARTNUMBER],Discrete_NFET[TI_EQ_PACKAGE]),"")</f>
        <v>SON5x6</v>
      </c>
      <c r="AR25" s="49">
        <f>IF(AND(A25&lt;&gt;0,A25&lt;&gt;""),LOOKUP(A25,Discrete_NFET[PARTNUMBER],Discrete_NFET[1KPRICE]),"")</f>
        <v>0.36</v>
      </c>
      <c r="AS25" s="35" t="str">
        <f>IF(AND($A25&lt;&gt;0,$A25&lt;&gt;""),CONCATENATE(TEXT(AP25,"0.00"),"W, ",IF('User Input'!F$11="Single Discrete",A25,IF('User Input'!F$11="Dual/Power Block",LEFT(A25,FIND(")",A25)-7),A25)),", ",AQ25,", ",TEXT(AR25,"$0.00")),"Invalid Part")</f>
        <v>0.85W, CSD17522Q5A, SON5x6, $0.36</v>
      </c>
      <c r="AT25" t="s">
        <v>712</v>
      </c>
      <c r="AW25"/>
    </row>
    <row r="26" spans="1:50" ht="15" customHeight="1" x14ac:dyDescent="0.25">
      <c r="A26" s="35" t="str">
        <f>IF(OR(AND(FET_config="Dual/Power Block",LEFT(Logic!B26,4)="CSD8"),AND(FET_config="Single Discrete",LEFT(Logic!B26,4)="CSD1")),Logic!B26,"")</f>
        <v>CSD17527Q5A</v>
      </c>
      <c r="B26" s="37" t="str">
        <f>IF(OR($A26=0,$A26=""),"0",IF(LOOKUP($A26,Discrete_NFET[PARTNUMBER],Discrete_NFET[RDSON25])="(NULL)","0","1"))</f>
        <v>0</v>
      </c>
      <c r="C26" s="38" t="str">
        <f>IF(OR($A26=0,$A26=""),"0",IF(LOOKUP($A26,Discrete_NFET[PARTNUMBER],Discrete_NFET[RDSON3])="(NULL)","0","1"))</f>
        <v>0</v>
      </c>
      <c r="D26" s="40" t="str">
        <f>IF(OR($A26=0,$A26=""),"0",IF(LOOKUP($A26,Discrete_NFET[PARTNUMBER],Discrete_NFET[RDSON45])="(NULL)","0","1"))</f>
        <v>1</v>
      </c>
      <c r="E26" s="45" t="str">
        <f>IF(OR($A26=0,$A26=""),"0",IF(LOOKUP($A26,Discrete_NFET[PARTNUMBER],Discrete_NFET[RDSON6])="(NULL)","0","1"))</f>
        <v>0</v>
      </c>
      <c r="F26" s="34" t="str">
        <f>IF(OR($A26=0,$A26=""),"0",IF(LOOKUP($A26,Discrete_NFET[PARTNUMBER],Discrete_NFET[RDSON8])="(NULL)","0","1"))</f>
        <v>0</v>
      </c>
      <c r="G26" s="43" t="str">
        <f>IF(OR($A26=0,$A26=""),"0",IF(LOOKUP($A26,Discrete_NFET[PARTNUMBER],Discrete_NFET[RDSON10])="(NULL)","0","1"))</f>
        <v>1</v>
      </c>
      <c r="H26" s="36" t="b">
        <f t="shared" si="19"/>
        <v>0</v>
      </c>
      <c r="I26" s="39" t="b">
        <f t="shared" si="20"/>
        <v>0</v>
      </c>
      <c r="J26" s="41" t="b">
        <f t="shared" si="21"/>
        <v>1</v>
      </c>
      <c r="K26" s="46" t="b">
        <f t="shared" si="22"/>
        <v>0</v>
      </c>
      <c r="L26" s="42" t="b">
        <f t="shared" si="23"/>
        <v>0</v>
      </c>
      <c r="M26" s="44" t="b">
        <f t="shared" si="24"/>
        <v>1</v>
      </c>
      <c r="N26" s="47" t="b">
        <f t="shared" si="25"/>
        <v>1</v>
      </c>
      <c r="O26" s="36" t="b">
        <f t="shared" si="26"/>
        <v>0</v>
      </c>
      <c r="P26" s="39" t="b">
        <f t="shared" si="27"/>
        <v>0</v>
      </c>
      <c r="Q26" s="41" t="b">
        <f t="shared" si="28"/>
        <v>1</v>
      </c>
      <c r="R26" s="46" t="b">
        <f t="shared" si="29"/>
        <v>0</v>
      </c>
      <c r="S26" s="42" t="b">
        <f t="shared" si="30"/>
        <v>0</v>
      </c>
      <c r="T26" s="44" t="b">
        <f t="shared" si="31"/>
        <v>1</v>
      </c>
      <c r="U26" s="148">
        <f>IF(T26,LOOKUP(A26,Discrete_NFET[PARTNUMBER],Discrete_NFET[RDSON10])*1000,IF(S26,LOOKUP(A26,Discrete_NFET[PARTNUMBER],Discrete_NFET[RDSON8])*1000,IF(R26,LOOKUP(A26,Discrete_NFET[PARTNUMBER],Discrete_NFET[RDSON6])*1000,IF(Q26,LOOKUP(A26,Discrete_NFET[PARTNUMBER],Discrete_NFET[RDSON45])*1000,IF(P26,LOOKUP(A26,Discrete_NFET[PARTNUMBER],Discrete_NFET[RDSON3])*1000,IF(O26,LOOKUP(A26,Discrete_NFET[PARTNUMBER],Discrete_NFET[RDSON25])*1000,""))))))</f>
        <v>10.8</v>
      </c>
      <c r="V26" s="48">
        <f>IF(AND(A26&lt;&gt;0,A26&lt;&gt;""),U26*(1+(Tj-25)*(LOOKUP(A26,Discrete_NFET[PARTNUMBER],Discrete_NFET[RDSDELTA])/((LOOKUP(A26,Discrete_NFET[PARTNUMBER],Discrete_NFET[TJMAX])-25)))),"")</f>
        <v>11.880000000000003</v>
      </c>
      <c r="W26" s="35">
        <f>IF(AND($A26&lt;&gt;0,$A26&lt;&gt;""),LOOKUP($A26,Discrete_NFET[PARTNUMBER],Discrete_NFET[QGS]),"")</f>
        <v>1.2</v>
      </c>
      <c r="X26" s="35">
        <f>IF(AND($A26&lt;&gt;0,$A26&lt;&gt;""),LOOKUP($A26,Discrete_NFET[PARTNUMBER],Discrete_NFET[QGD]),"")</f>
        <v>0.8</v>
      </c>
      <c r="Y26" s="35">
        <f>IF(AND($A26&lt;&gt;0,$A26&lt;&gt;""),LOOKUP($A26,Discrete_NFET[PARTNUMBER],Discrete_NFET[QGTH]),"")</f>
        <v>0.6</v>
      </c>
      <c r="Z26" s="35">
        <f t="shared" si="32"/>
        <v>1.4</v>
      </c>
      <c r="AA26" s="35">
        <f>IF(AND($A26&lt;&gt;0,$A26&lt;&gt;""),LOOKUP($A26,Discrete_NFET[PARTNUMBER],Discrete_NFET[QOSSTYP]),"")</f>
        <v>6.8</v>
      </c>
      <c r="AB26" s="35">
        <f>IF(AND($A26&lt;&gt;0,$A26&lt;&gt;""),LOOKUP($A26,Discrete_NFET[PARTNUMBER],Discrete_NFET[QRR]),"")</f>
        <v>10.5</v>
      </c>
      <c r="AC26" s="35">
        <f>IF(AND(A26&lt;&gt;0,A26&lt;&gt;""),LOOKUP(A26,Discrete_NFET[PARTNUMBER],Discrete_NFET[VF_TYP]),"")</f>
        <v>0.85</v>
      </c>
      <c r="AD26" s="127">
        <f>IF(AND($A26&lt;&gt;0,$A26&lt;&gt;"",OR(RIGHT(Logic!B26,2)="C)",LEFT(Logic!B26,4)="CSD1")),(1+(1-DUTY))*IM_RMS_120^2*V26*m/3/Num_FETS,"")</f>
        <v>0.49991343490304713</v>
      </c>
      <c r="AE26" s="127">
        <f>IF(AND($A26&lt;&gt;0,$A26&lt;&gt;"",OR(RIGHT(Logic!B26,2)="C)",LEFT(Logic!B26,4)="CSD1")),Num_FETS*0.5*IM_RMS_120*VDC_AVG*Z26*n*MOT_ELEC_FREQ/GDR_SRC,"")</f>
        <v>4.5149638802889571E-6</v>
      </c>
      <c r="AF26" s="127">
        <f>IF(AND($A26&lt;&gt;0,$A26&lt;&gt;"",OR(RIGHT(Logic!B26,2)="C)",LEFT(Logic!B26,4)="CSD1")),Num_FETS*0.5*IM_RMS_120*VDC_AVG*Z26*n*MOT_ELEC_FREQ/GDR_SINK,"")</f>
        <v>3.0701754385964911E-6</v>
      </c>
      <c r="AG26" s="127">
        <f>IF(AND($A26&lt;&gt;0,$A26&lt;&gt;"",OR(RIGHT(Logic!B26,2)="T)",LEFT(Logic!B26,4)="CSD1")),DUTY*IM_RMS_120^2*V26*m/3/Num_FETS,"")</f>
        <v>0.45230263157894735</v>
      </c>
      <c r="AH26" s="127">
        <f>IF(AND($A26&lt;&gt;0,$A26&lt;&gt;"",OR(RIGHT(Logic!B26,2)="T)",LEFT(Logic!B26,4)="CSD1")),Num_FETS*0.5*IM_RMS_120*VDC_AVG*Z26*n*FSW*k/GDR_SRC/3,"")</f>
        <v>9.0299277605779141E-4</v>
      </c>
      <c r="AI26" s="127">
        <f>IF(AND($A26&lt;&gt;0,$A26&lt;&gt;"",OR(RIGHT(Logic!B26,2)="T)",LEFT(Logic!B26,4)="CSD1")),Num_FETS*0.5*IM_RMS_120*VDC_AVG*Z26*n*FSW*k/GDR_SINK/3,"")</f>
        <v>6.1403508771929827E-4</v>
      </c>
      <c r="AJ26" s="127">
        <f t="shared" si="14"/>
        <v>8.160000000000001E-4</v>
      </c>
      <c r="AK26" s="127">
        <f t="shared" si="15"/>
        <v>1.3190478390718382E-2</v>
      </c>
      <c r="AL26" s="127">
        <f t="shared" si="16"/>
        <v>2.5242000000000003E-3</v>
      </c>
      <c r="AM26" s="127">
        <f t="shared" si="33"/>
        <v>0.39571435172155139</v>
      </c>
      <c r="AN26" s="127">
        <f>IF(AND($A26&lt;&gt;0,$A26&lt;&gt;"",OR(RIGHT(Logic!B26,2)="C)",LEFT(Logic!B26,4)="CSD1")),SUM(AD26:AF26)+(AJ26/3)+AK26+AL26/6+AM26/6,AN27)</f>
        <v>0.57975659038667637</v>
      </c>
      <c r="AO26" s="127">
        <f>IF(AND($A26&lt;&gt;0,$A26&lt;&gt;"",OR(RIGHT(Logic!B26,2)="T)",LEFT(Logic!B26,4)="CSD1")),SUM(AG26:AI26)+(AJ26/3)+AL26/6+AM26/6,AO25)</f>
        <v>0.52046475139631632</v>
      </c>
      <c r="AP26" s="48">
        <f t="shared" si="34"/>
        <v>1.1000000000000001</v>
      </c>
      <c r="AQ26" s="35" t="str">
        <f>IF(AND(A26&lt;&gt;0,A26&lt;&gt;""),LOOKUP(A26,Discrete_NFET[PARTNUMBER],Discrete_NFET[TI_EQ_PACKAGE]),"")</f>
        <v>SON5x6</v>
      </c>
      <c r="AR26" s="49">
        <f>IF(AND(A26&lt;&gt;0,A26&lt;&gt;""),LOOKUP(A26,Discrete_NFET[PARTNUMBER],Discrete_NFET[1KPRICE]),"")</f>
        <v>0.33</v>
      </c>
      <c r="AS26" s="35" t="str">
        <f>IF(AND($A26&lt;&gt;0,$A26&lt;&gt;""),CONCATENATE(TEXT(AP26,"0.00"),"W, ",IF('User Input'!F$11="Single Discrete",A26,IF('User Input'!F$11="Dual/Power Block",LEFT(A26,FIND(")",A26)-7),A26)),", ",AQ26,", ",TEXT(AR26,"$0.00")),"Invalid Part")</f>
        <v>1.10W, CSD17527Q5A, SON5x6, $0.33</v>
      </c>
      <c r="AT26" t="s">
        <v>724</v>
      </c>
      <c r="AW26"/>
    </row>
    <row r="27" spans="1:50" ht="15" customHeight="1" x14ac:dyDescent="0.25">
      <c r="A27" s="35" t="str">
        <f>IF(OR(AND(FET_config="Dual/Power Block",LEFT(Logic!B27,4)="CSD8"),AND(FET_config="Single Discrete",LEFT(Logic!B27,4)="CSD1")),Logic!B27,"")</f>
        <v>CSD17551Q3A</v>
      </c>
      <c r="B27" s="37" t="str">
        <f>IF(OR($A27=0,$A27=""),"0",IF(LOOKUP($A27,Discrete_NFET[PARTNUMBER],Discrete_NFET[RDSON25])="(NULL)","0","1"))</f>
        <v>0</v>
      </c>
      <c r="C27" s="38" t="str">
        <f>IF(OR($A27=0,$A27=""),"0",IF(LOOKUP($A27,Discrete_NFET[PARTNUMBER],Discrete_NFET[RDSON3])="(NULL)","0","1"))</f>
        <v>0</v>
      </c>
      <c r="D27" s="40" t="str">
        <f>IF(OR($A27=0,$A27=""),"0",IF(LOOKUP($A27,Discrete_NFET[PARTNUMBER],Discrete_NFET[RDSON45])="(NULL)","0","1"))</f>
        <v>1</v>
      </c>
      <c r="E27" s="45" t="str">
        <f>IF(OR($A27=0,$A27=""),"0",IF(LOOKUP($A27,Discrete_NFET[PARTNUMBER],Discrete_NFET[RDSON6])="(NULL)","0","1"))</f>
        <v>0</v>
      </c>
      <c r="F27" s="34" t="str">
        <f>IF(OR($A27=0,$A27=""),"0",IF(LOOKUP($A27,Discrete_NFET[PARTNUMBER],Discrete_NFET[RDSON8])="(NULL)","0","1"))</f>
        <v>0</v>
      </c>
      <c r="G27" s="43" t="str">
        <f>IF(OR($A27=0,$A27=""),"0",IF(LOOKUP($A27,Discrete_NFET[PARTNUMBER],Discrete_NFET[RDSON10])="(NULL)","0","1"))</f>
        <v>1</v>
      </c>
      <c r="H27" s="36" t="b">
        <f t="shared" si="19"/>
        <v>0</v>
      </c>
      <c r="I27" s="39" t="b">
        <f t="shared" si="20"/>
        <v>0</v>
      </c>
      <c r="J27" s="41" t="b">
        <f t="shared" si="21"/>
        <v>1</v>
      </c>
      <c r="K27" s="46" t="b">
        <f t="shared" si="22"/>
        <v>0</v>
      </c>
      <c r="L27" s="42" t="b">
        <f t="shared" si="23"/>
        <v>0</v>
      </c>
      <c r="M27" s="44" t="b">
        <f t="shared" si="24"/>
        <v>1</v>
      </c>
      <c r="N27" s="47" t="b">
        <f t="shared" si="25"/>
        <v>1</v>
      </c>
      <c r="O27" s="36" t="b">
        <f t="shared" si="26"/>
        <v>0</v>
      </c>
      <c r="P27" s="39" t="b">
        <f t="shared" si="27"/>
        <v>0</v>
      </c>
      <c r="Q27" s="41" t="b">
        <f t="shared" si="28"/>
        <v>1</v>
      </c>
      <c r="R27" s="46" t="b">
        <f t="shared" si="29"/>
        <v>0</v>
      </c>
      <c r="S27" s="42" t="b">
        <f t="shared" si="30"/>
        <v>0</v>
      </c>
      <c r="T27" s="44" t="b">
        <f t="shared" si="31"/>
        <v>1</v>
      </c>
      <c r="U27" s="148">
        <f>IF(T27,LOOKUP(A27,Discrete_NFET[PARTNUMBER],Discrete_NFET[RDSON10])*1000,IF(S27,LOOKUP(A27,Discrete_NFET[PARTNUMBER],Discrete_NFET[RDSON8])*1000,IF(R27,LOOKUP(A27,Discrete_NFET[PARTNUMBER],Discrete_NFET[RDSON6])*1000,IF(Q27,LOOKUP(A27,Discrete_NFET[PARTNUMBER],Discrete_NFET[RDSON45])*1000,IF(P27,LOOKUP(A27,Discrete_NFET[PARTNUMBER],Discrete_NFET[RDSON3])*1000,IF(O27,LOOKUP(A27,Discrete_NFET[PARTNUMBER],Discrete_NFET[RDSON25])*1000,""))))))</f>
        <v>9</v>
      </c>
      <c r="V27" s="48">
        <f>IF(AND(A27&lt;&gt;0,A27&lt;&gt;""),U27*(1+(Tj-25)*(LOOKUP(A27,Discrete_NFET[PARTNUMBER],Discrete_NFET[RDSDELTA])/((LOOKUP(A27,Discrete_NFET[PARTNUMBER],Discrete_NFET[TJMAX])-25)))),"")</f>
        <v>10.26</v>
      </c>
      <c r="W27" s="35">
        <f>IF(AND($A27&lt;&gt;0,$A27&lt;&gt;""),LOOKUP($A27,Discrete_NFET[PARTNUMBER],Discrete_NFET[QGS]),"")</f>
        <v>2.2999999999999998</v>
      </c>
      <c r="X27" s="35">
        <f>IF(AND($A27&lt;&gt;0,$A27&lt;&gt;""),LOOKUP($A27,Discrete_NFET[PARTNUMBER],Discrete_NFET[QGD]),"")</f>
        <v>1.5</v>
      </c>
      <c r="Y27" s="35">
        <f>IF(AND($A27&lt;&gt;0,$A27&lt;&gt;""),LOOKUP($A27,Discrete_NFET[PARTNUMBER],Discrete_NFET[QGTH]),"")</f>
        <v>1.4</v>
      </c>
      <c r="Z27" s="35">
        <f t="shared" si="32"/>
        <v>2.4</v>
      </c>
      <c r="AA27" s="35">
        <f>IF(AND($A27&lt;&gt;0,$A27&lt;&gt;""),LOOKUP($A27,Discrete_NFET[PARTNUMBER],Discrete_NFET[QOSSTYP]),"")</f>
        <v>7.4</v>
      </c>
      <c r="AB27" s="35">
        <f>IF(AND($A27&lt;&gt;0,$A27&lt;&gt;""),LOOKUP($A27,Discrete_NFET[PARTNUMBER],Discrete_NFET[QRR]),"")</f>
        <v>13</v>
      </c>
      <c r="AC27" s="35">
        <f>IF(AND(A27&lt;&gt;0,A27&lt;&gt;""),LOOKUP(A27,Discrete_NFET[PARTNUMBER],Discrete_NFET[VF_TYP]),"")</f>
        <v>0.8</v>
      </c>
      <c r="AD27" s="127">
        <f>IF(AND($A27&lt;&gt;0,$A27&lt;&gt;"",OR(RIGHT(Logic!B27,2)="C)",LEFT(Logic!B27,4)="CSD1")),(1+(1-DUTY))*IM_RMS_120^2*V27*m/3/Num_FETS,"")</f>
        <v>0.43174342105263158</v>
      </c>
      <c r="AE27" s="127">
        <f>IF(AND($A27&lt;&gt;0,$A27&lt;&gt;"",OR(RIGHT(Logic!B27,2)="C)",LEFT(Logic!B27,4)="CSD1")),Num_FETS*0.5*IM_RMS_120*VDC_AVG*Z27*n*MOT_ELEC_FREQ/GDR_SRC,"")</f>
        <v>7.7399380804953562E-6</v>
      </c>
      <c r="AF27" s="127">
        <f>IF(AND($A27&lt;&gt;0,$A27&lt;&gt;"",OR(RIGHT(Logic!B27,2)="C)",LEFT(Logic!B27,4)="CSD1")),Num_FETS*0.5*IM_RMS_120*VDC_AVG*Z27*n*MOT_ELEC_FREQ/GDR_SINK,"")</f>
        <v>5.2631578947368422E-6</v>
      </c>
      <c r="AG27" s="127">
        <f>IF(AND($A27&lt;&gt;0,$A27&lt;&gt;"",OR(RIGHT(Logic!B27,2)="T)",LEFT(Logic!B27,4)="CSD1")),DUTY*IM_RMS_120^2*V27*m/3/Num_FETS,"")</f>
        <v>0.39062499999999994</v>
      </c>
      <c r="AH27" s="127">
        <f>IF(AND($A27&lt;&gt;0,$A27&lt;&gt;"",OR(RIGHT(Logic!B27,2)="T)",LEFT(Logic!B27,4)="CSD1")),Num_FETS*0.5*IM_RMS_120*VDC_AVG*Z27*n*FSW*k/GDR_SRC/3,"")</f>
        <v>1.5479876160990711E-3</v>
      </c>
      <c r="AI27" s="127">
        <f>IF(AND($A27&lt;&gt;0,$A27&lt;&gt;"",OR(RIGHT(Logic!B27,2)="T)",LEFT(Logic!B27,4)="CSD1")),Num_FETS*0.5*IM_RMS_120*VDC_AVG*Z27*n*FSW*k/GDR_SINK/3,"")</f>
        <v>1.0526315789473684E-3</v>
      </c>
      <c r="AJ27" s="127">
        <f t="shared" si="14"/>
        <v>8.8800000000000023E-4</v>
      </c>
      <c r="AK27" s="127">
        <f t="shared" si="15"/>
        <v>1.2414567897146714E-2</v>
      </c>
      <c r="AL27" s="127">
        <f t="shared" si="16"/>
        <v>3.1252000000000003E-3</v>
      </c>
      <c r="AM27" s="127">
        <f t="shared" si="33"/>
        <v>0.37243703691440144</v>
      </c>
      <c r="AN27" s="127">
        <f>IF(AND($A27&lt;&gt;0,$A27&lt;&gt;"",OR(RIGHT(Logic!B27,2)="C)",LEFT(Logic!B27,4)="CSD1")),SUM(AD27:AF27)+(AJ27/3)+AK27+AL27/6+AM27/6,AN28)</f>
        <v>0.5070606981981538</v>
      </c>
      <c r="AO27" s="127">
        <f>IF(AND($A27&lt;&gt;0,$A27&lt;&gt;"",OR(RIGHT(Logic!B27,2)="T)",LEFT(Logic!B27,4)="CSD1")),SUM(AG27:AI27)+(AJ27/3)+AL27/6+AM27/6,AO26)</f>
        <v>0.45611532534744664</v>
      </c>
      <c r="AP27" s="48">
        <f t="shared" si="34"/>
        <v>0.96</v>
      </c>
      <c r="AQ27" s="35" t="str">
        <f>IF(AND(A27&lt;&gt;0,A27&lt;&gt;""),LOOKUP(A27,Discrete_NFET[PARTNUMBER],Discrete_NFET[TI_EQ_PACKAGE]),"")</f>
        <v>SON3X3</v>
      </c>
      <c r="AR27" s="49">
        <f>IF(AND(A27&lt;&gt;0,A27&lt;&gt;""),LOOKUP(A27,Discrete_NFET[PARTNUMBER],Discrete_NFET[1KPRICE]),"")</f>
        <v>0.23</v>
      </c>
      <c r="AS27" s="35" t="str">
        <f>IF(AND($A27&lt;&gt;0,$A27&lt;&gt;""),CONCATENATE(TEXT(AP27,"0.00"),"W, ",IF('User Input'!F$11="Single Discrete",A27,IF('User Input'!F$11="Dual/Power Block",LEFT(A27,FIND(")",A27)-7),A27)),", ",AQ27,", ",TEXT(AR27,"$0.00")),"Invalid Part")</f>
        <v>0.96W, CSD17551Q3A, SON3X3, $0.23</v>
      </c>
      <c r="AT27" t="s">
        <v>764</v>
      </c>
      <c r="AW27"/>
    </row>
    <row r="28" spans="1:50" ht="15" customHeight="1" x14ac:dyDescent="0.25">
      <c r="A28" s="35" t="str">
        <f>IF(OR(AND(FET_config="Dual/Power Block",LEFT(Logic!B28,4)="CSD8"),AND(FET_config="Single Discrete",LEFT(Logic!B28,4)="CSD1")),Logic!B28,"")</f>
        <v>CSD17551Q5A</v>
      </c>
      <c r="B28" s="37" t="str">
        <f>IF(OR($A28=0,$A28=""),"0",IF(LOOKUP($A28,Discrete_NFET[PARTNUMBER],Discrete_NFET[RDSON25])="(NULL)","0","1"))</f>
        <v>0</v>
      </c>
      <c r="C28" s="38" t="str">
        <f>IF(OR($A28=0,$A28=""),"0",IF(LOOKUP($A28,Discrete_NFET[PARTNUMBER],Discrete_NFET[RDSON3])="(NULL)","0","1"))</f>
        <v>0</v>
      </c>
      <c r="D28" s="40" t="str">
        <f>IF(OR($A28=0,$A28=""),"0",IF(LOOKUP($A28,Discrete_NFET[PARTNUMBER],Discrete_NFET[RDSON45])="(NULL)","0","1"))</f>
        <v>1</v>
      </c>
      <c r="E28" s="45" t="str">
        <f>IF(OR($A28=0,$A28=""),"0",IF(LOOKUP($A28,Discrete_NFET[PARTNUMBER],Discrete_NFET[RDSON6])="(NULL)","0","1"))</f>
        <v>0</v>
      </c>
      <c r="F28" s="34" t="str">
        <f>IF(OR($A28=0,$A28=""),"0",IF(LOOKUP($A28,Discrete_NFET[PARTNUMBER],Discrete_NFET[RDSON8])="(NULL)","0","1"))</f>
        <v>0</v>
      </c>
      <c r="G28" s="43" t="str">
        <f>IF(OR($A28=0,$A28=""),"0",IF(LOOKUP($A28,Discrete_NFET[PARTNUMBER],Discrete_NFET[RDSON10])="(NULL)","0","1"))</f>
        <v>1</v>
      </c>
      <c r="H28" s="36" t="b">
        <f t="shared" si="19"/>
        <v>0</v>
      </c>
      <c r="I28" s="39" t="b">
        <f t="shared" si="20"/>
        <v>0</v>
      </c>
      <c r="J28" s="41" t="b">
        <f t="shared" si="21"/>
        <v>1</v>
      </c>
      <c r="K28" s="46" t="b">
        <f t="shared" si="22"/>
        <v>0</v>
      </c>
      <c r="L28" s="42" t="b">
        <f t="shared" si="23"/>
        <v>0</v>
      </c>
      <c r="M28" s="44" t="b">
        <f t="shared" si="24"/>
        <v>1</v>
      </c>
      <c r="N28" s="47" t="b">
        <f t="shared" si="25"/>
        <v>1</v>
      </c>
      <c r="O28" s="36" t="b">
        <f t="shared" si="26"/>
        <v>0</v>
      </c>
      <c r="P28" s="39" t="b">
        <f t="shared" si="27"/>
        <v>0</v>
      </c>
      <c r="Q28" s="41" t="b">
        <f t="shared" si="28"/>
        <v>1</v>
      </c>
      <c r="R28" s="46" t="b">
        <f t="shared" si="29"/>
        <v>0</v>
      </c>
      <c r="S28" s="42" t="b">
        <f t="shared" si="30"/>
        <v>0</v>
      </c>
      <c r="T28" s="44" t="b">
        <f t="shared" si="31"/>
        <v>1</v>
      </c>
      <c r="U28" s="148">
        <f>IF(T28,LOOKUP(A28,Discrete_NFET[PARTNUMBER],Discrete_NFET[RDSON10])*1000,IF(S28,LOOKUP(A28,Discrete_NFET[PARTNUMBER],Discrete_NFET[RDSON8])*1000,IF(R28,LOOKUP(A28,Discrete_NFET[PARTNUMBER],Discrete_NFET[RDSON6])*1000,IF(Q28,LOOKUP(A28,Discrete_NFET[PARTNUMBER],Discrete_NFET[RDSON45])*1000,IF(P28,LOOKUP(A28,Discrete_NFET[PARTNUMBER],Discrete_NFET[RDSON3])*1000,IF(O28,LOOKUP(A28,Discrete_NFET[PARTNUMBER],Discrete_NFET[RDSON25])*1000,""))))))</f>
        <v>8.8000000000000007</v>
      </c>
      <c r="V28" s="48">
        <f>IF(AND(A28&lt;&gt;0,A28&lt;&gt;""),U28*(1+(Tj-25)*(LOOKUP(A28,Discrete_NFET[PARTNUMBER],Discrete_NFET[RDSDELTA])/((LOOKUP(A28,Discrete_NFET[PARTNUMBER],Discrete_NFET[TJMAX])-25)))),"")</f>
        <v>10.119999999999999</v>
      </c>
      <c r="W28" s="35">
        <f>IF(AND($A28&lt;&gt;0,$A28&lt;&gt;""),LOOKUP($A28,Discrete_NFET[PARTNUMBER],Discrete_NFET[QGS]),"")</f>
        <v>2.8</v>
      </c>
      <c r="X28" s="35">
        <f>IF(AND($A28&lt;&gt;0,$A28&lt;&gt;""),LOOKUP($A28,Discrete_NFET[PARTNUMBER],Discrete_NFET[QGD]),"")</f>
        <v>1.4</v>
      </c>
      <c r="Y28" s="35">
        <f>IF(AND($A28&lt;&gt;0,$A28&lt;&gt;""),LOOKUP($A28,Discrete_NFET[PARTNUMBER],Discrete_NFET[QGTH]),"")</f>
        <v>1.4</v>
      </c>
      <c r="Z28" s="35">
        <f t="shared" si="32"/>
        <v>2.7999999999999994</v>
      </c>
      <c r="AA28" s="35">
        <f>IF(AND($A28&lt;&gt;0,$A28&lt;&gt;""),LOOKUP($A28,Discrete_NFET[PARTNUMBER],Discrete_NFET[QOSSTYP]),"")</f>
        <v>7.2</v>
      </c>
      <c r="AB28" s="35">
        <f>IF(AND($A28&lt;&gt;0,$A28&lt;&gt;""),LOOKUP($A28,Discrete_NFET[PARTNUMBER],Discrete_NFET[QRR]),"")</f>
        <v>8.6999999999999993</v>
      </c>
      <c r="AC28" s="35">
        <f>IF(AND(A28&lt;&gt;0,A28&lt;&gt;""),LOOKUP(A28,Discrete_NFET[PARTNUMBER],Discrete_NFET[VF_TYP]),"")</f>
        <v>0.8</v>
      </c>
      <c r="AD28" s="127">
        <f>IF(AND($A28&lt;&gt;0,$A28&lt;&gt;"",OR(RIGHT(Logic!B28,2)="C)",LEFT(Logic!B28,4)="CSD1")),(1+(1-DUTY))*IM_RMS_120^2*V28*m/3/Num_FETS,"")</f>
        <v>0.42585218528778079</v>
      </c>
      <c r="AE28" s="127">
        <f>IF(AND($A28&lt;&gt;0,$A28&lt;&gt;"",OR(RIGHT(Logic!B28,2)="C)",LEFT(Logic!B28,4)="CSD1")),Num_FETS*0.5*IM_RMS_120*VDC_AVG*Z28*n*MOT_ELEC_FREQ/GDR_SRC,"")</f>
        <v>9.0299277605779124E-6</v>
      </c>
      <c r="AF28" s="127">
        <f>IF(AND($A28&lt;&gt;0,$A28&lt;&gt;"",OR(RIGHT(Logic!B28,2)="C)",LEFT(Logic!B28,4)="CSD1")),Num_FETS*0.5*IM_RMS_120*VDC_AVG*Z28*n*MOT_ELEC_FREQ/GDR_SINK,"")</f>
        <v>6.1403508771929813E-6</v>
      </c>
      <c r="AG28" s="127">
        <f>IF(AND($A28&lt;&gt;0,$A28&lt;&gt;"",OR(RIGHT(Logic!B28,2)="T)",LEFT(Logic!B28,4)="CSD1")),DUTY*IM_RMS_120^2*V28*m/3/Num_FETS,"")</f>
        <v>0.38529483430799211</v>
      </c>
      <c r="AH28" s="127">
        <f>IF(AND($A28&lt;&gt;0,$A28&lt;&gt;"",OR(RIGHT(Logic!B28,2)="T)",LEFT(Logic!B28,4)="CSD1")),Num_FETS*0.5*IM_RMS_120*VDC_AVG*Z28*n*FSW*k/GDR_SRC/3,"")</f>
        <v>1.8059855521155828E-3</v>
      </c>
      <c r="AI28" s="127">
        <f>IF(AND($A28&lt;&gt;0,$A28&lt;&gt;"",OR(RIGHT(Logic!B28,2)="T)",LEFT(Logic!B28,4)="CSD1")),Num_FETS*0.5*IM_RMS_120*VDC_AVG*Z28*n*FSW*k/GDR_SINK/3,"")</f>
        <v>1.2280701754385963E-3</v>
      </c>
      <c r="AJ28" s="127">
        <f t="shared" si="14"/>
        <v>8.6400000000000008E-4</v>
      </c>
      <c r="AK28" s="127">
        <f t="shared" si="15"/>
        <v>1.2414567897146714E-2</v>
      </c>
      <c r="AL28" s="127">
        <f t="shared" si="16"/>
        <v>2.0914799999999997E-3</v>
      </c>
      <c r="AM28" s="127">
        <f t="shared" si="33"/>
        <v>0.37243703691440144</v>
      </c>
      <c r="AN28" s="127">
        <f>IF(AND($A28&lt;&gt;0,$A28&lt;&gt;"",OR(RIGHT(Logic!B28,2)="C)",LEFT(Logic!B28,4)="CSD1")),SUM(AD28:AF28)+(AJ28/3)+AK28+AL28/6+AM28/6,AN29)</f>
        <v>0.50099134294929892</v>
      </c>
      <c r="AO28" s="127">
        <f>IF(AND($A28&lt;&gt;0,$A28&lt;&gt;"",OR(RIGHT(Logic!B28,2)="T)",LEFT(Logic!B28,4)="CSD1")),SUM(AG28:AI28)+(AJ28/3)+AL28/6+AM28/6,AO27)</f>
        <v>0.45103830952127982</v>
      </c>
      <c r="AP28" s="48">
        <f t="shared" si="34"/>
        <v>0.95</v>
      </c>
      <c r="AQ28" s="35" t="str">
        <f>IF(AND(A28&lt;&gt;0,A28&lt;&gt;""),LOOKUP(A28,Discrete_NFET[PARTNUMBER],Discrete_NFET[TI_EQ_PACKAGE]),"")</f>
        <v>SON5X6</v>
      </c>
      <c r="AR28" s="49">
        <f>IF(AND(A28&lt;&gt;0,A28&lt;&gt;""),LOOKUP(A28,Discrete_NFET[PARTNUMBER],Discrete_NFET[1KPRICE]),"")</f>
        <v>0.28999999999999998</v>
      </c>
      <c r="AS28" s="35" t="str">
        <f>IF(AND($A28&lt;&gt;0,$A28&lt;&gt;""),CONCATENATE(TEXT(AP28,"0.00"),"W, ",IF('User Input'!F$11="Single Discrete",A28,IF('User Input'!F$11="Dual/Power Block",LEFT(A28,FIND(")",A28)-7),A28)),", ",AQ28,", ",TEXT(AR28,"$0.00")),"Invalid Part")</f>
        <v>0.95W, CSD17551Q5A, SON5X6, $0.29</v>
      </c>
      <c r="AT28" t="s">
        <v>792</v>
      </c>
      <c r="AW28"/>
    </row>
    <row r="29" spans="1:50" ht="15" customHeight="1" x14ac:dyDescent="0.25">
      <c r="A29" s="35" t="str">
        <f>IF(OR(AND(FET_config="Dual/Power Block",LEFT(Logic!B29,4)="CSD8"),AND(FET_config="Single Discrete",LEFT(Logic!B29,4)="CSD1")),Logic!B29,"")</f>
        <v>CSD17552Q3A</v>
      </c>
      <c r="B29" s="37" t="str">
        <f>IF(OR($A29=0,$A29=""),"0",IF(LOOKUP($A29,Discrete_NFET[PARTNUMBER],Discrete_NFET[RDSON25])="(NULL)","0","1"))</f>
        <v>0</v>
      </c>
      <c r="C29" s="38" t="str">
        <f>IF(OR($A29=0,$A29=""),"0",IF(LOOKUP($A29,Discrete_NFET[PARTNUMBER],Discrete_NFET[RDSON3])="(NULL)","0","1"))</f>
        <v>0</v>
      </c>
      <c r="D29" s="40" t="str">
        <f>IF(OR($A29=0,$A29=""),"0",IF(LOOKUP($A29,Discrete_NFET[PARTNUMBER],Discrete_NFET[RDSON45])="(NULL)","0","1"))</f>
        <v>1</v>
      </c>
      <c r="E29" s="45" t="str">
        <f>IF(OR($A29=0,$A29=""),"0",IF(LOOKUP($A29,Discrete_NFET[PARTNUMBER],Discrete_NFET[RDSON6])="(NULL)","0","1"))</f>
        <v>0</v>
      </c>
      <c r="F29" s="34" t="str">
        <f>IF(OR($A29=0,$A29=""),"0",IF(LOOKUP($A29,Discrete_NFET[PARTNUMBER],Discrete_NFET[RDSON8])="(NULL)","0","1"))</f>
        <v>0</v>
      </c>
      <c r="G29" s="43" t="str">
        <f>IF(OR($A29=0,$A29=""),"0",IF(LOOKUP($A29,Discrete_NFET[PARTNUMBER],Discrete_NFET[RDSON10])="(NULL)","0","1"))</f>
        <v>1</v>
      </c>
      <c r="H29" s="36" t="b">
        <f t="shared" si="19"/>
        <v>0</v>
      </c>
      <c r="I29" s="39" t="b">
        <f t="shared" si="20"/>
        <v>0</v>
      </c>
      <c r="J29" s="41" t="b">
        <f t="shared" si="21"/>
        <v>1</v>
      </c>
      <c r="K29" s="46" t="b">
        <f t="shared" si="22"/>
        <v>0</v>
      </c>
      <c r="L29" s="42" t="b">
        <f t="shared" si="23"/>
        <v>0</v>
      </c>
      <c r="M29" s="44" t="b">
        <f t="shared" si="24"/>
        <v>1</v>
      </c>
      <c r="N29" s="47" t="b">
        <f t="shared" si="25"/>
        <v>1</v>
      </c>
      <c r="O29" s="36" t="b">
        <f t="shared" si="26"/>
        <v>0</v>
      </c>
      <c r="P29" s="39" t="b">
        <f t="shared" si="27"/>
        <v>0</v>
      </c>
      <c r="Q29" s="41" t="b">
        <f t="shared" si="28"/>
        <v>1</v>
      </c>
      <c r="R29" s="46" t="b">
        <f t="shared" si="29"/>
        <v>0</v>
      </c>
      <c r="S29" s="42" t="b">
        <f t="shared" si="30"/>
        <v>0</v>
      </c>
      <c r="T29" s="44" t="b">
        <f t="shared" si="31"/>
        <v>1</v>
      </c>
      <c r="U29" s="148">
        <f>IF(T29,LOOKUP(A29,Discrete_NFET[PARTNUMBER],Discrete_NFET[RDSON10])*1000,IF(S29,LOOKUP(A29,Discrete_NFET[PARTNUMBER],Discrete_NFET[RDSON8])*1000,IF(R29,LOOKUP(A29,Discrete_NFET[PARTNUMBER],Discrete_NFET[RDSON6])*1000,IF(Q29,LOOKUP(A29,Discrete_NFET[PARTNUMBER],Discrete_NFET[RDSON45])*1000,IF(P29,LOOKUP(A29,Discrete_NFET[PARTNUMBER],Discrete_NFET[RDSON3])*1000,IF(O29,LOOKUP(A29,Discrete_NFET[PARTNUMBER],Discrete_NFET[RDSON25])*1000,""))))))</f>
        <v>6</v>
      </c>
      <c r="V29" s="48">
        <f>IF(AND(A29&lt;&gt;0,A29&lt;&gt;""),U29*(1+(Tj-25)*(LOOKUP(A29,Discrete_NFET[PARTNUMBER],Discrete_NFET[RDSDELTA])/((LOOKUP(A29,Discrete_NFET[PARTNUMBER],Discrete_NFET[TJMAX])-25)))),"")</f>
        <v>6.84</v>
      </c>
      <c r="W29" s="35">
        <f>IF(AND($A29&lt;&gt;0,$A29&lt;&gt;""),LOOKUP($A29,Discrete_NFET[PARTNUMBER],Discrete_NFET[QGS]),"")</f>
        <v>3.6</v>
      </c>
      <c r="X29" s="35">
        <f>IF(AND($A29&lt;&gt;0,$A29&lt;&gt;""),LOOKUP($A29,Discrete_NFET[PARTNUMBER],Discrete_NFET[QGD]),"")</f>
        <v>2.2999999999999998</v>
      </c>
      <c r="Y29" s="35">
        <f>IF(AND($A29&lt;&gt;0,$A29&lt;&gt;""),LOOKUP($A29,Discrete_NFET[PARTNUMBER],Discrete_NFET[QGTH]),"")</f>
        <v>1.8</v>
      </c>
      <c r="Z29" s="35">
        <f t="shared" si="32"/>
        <v>4.1000000000000005</v>
      </c>
      <c r="AA29" s="35">
        <f>IF(AND($A29&lt;&gt;0,$A29&lt;&gt;""),LOOKUP($A29,Discrete_NFET[PARTNUMBER],Discrete_NFET[QOSSTYP]),"")</f>
        <v>11</v>
      </c>
      <c r="AB29" s="35">
        <f>IF(AND($A29&lt;&gt;0,$A29&lt;&gt;""),LOOKUP($A29,Discrete_NFET[PARTNUMBER],Discrete_NFET[QRR]),"")</f>
        <v>17</v>
      </c>
      <c r="AC29" s="35">
        <f>IF(AND(A29&lt;&gt;0,A29&lt;&gt;""),LOOKUP(A29,Discrete_NFET[PARTNUMBER],Discrete_NFET[VF_TYP]),"")</f>
        <v>0.8</v>
      </c>
      <c r="AD29" s="127">
        <f>IF(AND($A29&lt;&gt;0,$A29&lt;&gt;"",OR(RIGHT(Logic!B29,2)="C)",LEFT(Logic!B29,4)="CSD1")),(1+(1-DUTY))*IM_RMS_120^2*V29*m/3/Num_FETS,"")</f>
        <v>0.28782894736842102</v>
      </c>
      <c r="AE29" s="127">
        <f>IF(AND($A29&lt;&gt;0,$A29&lt;&gt;"",OR(RIGHT(Logic!B29,2)="C)",LEFT(Logic!B29,4)="CSD1")),Num_FETS*0.5*IM_RMS_120*VDC_AVG*Z29*n*MOT_ELEC_FREQ/GDR_SRC,"")</f>
        <v>1.3222394220846234E-5</v>
      </c>
      <c r="AF29" s="127">
        <f>IF(AND($A29&lt;&gt;0,$A29&lt;&gt;"",OR(RIGHT(Logic!B29,2)="C)",LEFT(Logic!B29,4)="CSD1")),Num_FETS*0.5*IM_RMS_120*VDC_AVG*Z29*n*MOT_ELEC_FREQ/GDR_SINK,"")</f>
        <v>8.9912280701754391E-6</v>
      </c>
      <c r="AG29" s="127">
        <f>IF(AND($A29&lt;&gt;0,$A29&lt;&gt;"",OR(RIGHT(Logic!B29,2)="T)",LEFT(Logic!B29,4)="CSD1")),DUTY*IM_RMS_120^2*V29*m/3/Num_FETS,"")</f>
        <v>0.26041666666666657</v>
      </c>
      <c r="AH29" s="127">
        <f>IF(AND($A29&lt;&gt;0,$A29&lt;&gt;"",OR(RIGHT(Logic!B29,2)="T)",LEFT(Logic!B29,4)="CSD1")),Num_FETS*0.5*IM_RMS_120*VDC_AVG*Z29*n*FSW*k/GDR_SRC/3,"")</f>
        <v>2.6444788441692467E-3</v>
      </c>
      <c r="AI29" s="127">
        <f>IF(AND($A29&lt;&gt;0,$A29&lt;&gt;"",OR(RIGHT(Logic!B29,2)="T)",LEFT(Logic!B29,4)="CSD1")),Num_FETS*0.5*IM_RMS_120*VDC_AVG*Z29*n*FSW*k/GDR_SINK/3,"")</f>
        <v>1.7982456140350877E-3</v>
      </c>
      <c r="AJ29" s="127">
        <f t="shared" si="14"/>
        <v>1.32E-3</v>
      </c>
      <c r="AK29" s="127">
        <f t="shared" si="15"/>
        <v>1.2414567897146714E-2</v>
      </c>
      <c r="AL29" s="127">
        <f t="shared" si="16"/>
        <v>4.0867999999999998E-3</v>
      </c>
      <c r="AM29" s="127">
        <f t="shared" si="33"/>
        <v>0.37243703691440144</v>
      </c>
      <c r="AN29" s="127">
        <f>IF(AND($A29&lt;&gt;0,$A29&lt;&gt;"",OR(RIGHT(Logic!B29,2)="C)",LEFT(Logic!B29,4)="CSD1")),SUM(AD29:AF29)+(AJ29/3)+AK29+AL29/6+AM29/6,AN30)</f>
        <v>0.36345970170692565</v>
      </c>
      <c r="AO29" s="127">
        <f>IF(AND($A29&lt;&gt;0,$A29&lt;&gt;"",OR(RIGHT(Logic!B29,2)="T)",LEFT(Logic!B29,4)="CSD1")),SUM(AG29:AI29)+(AJ29/3)+AL29/6+AM29/6,AO28)</f>
        <v>0.32805336394393775</v>
      </c>
      <c r="AP29" s="48">
        <f t="shared" si="34"/>
        <v>0.69</v>
      </c>
      <c r="AQ29" s="35" t="str">
        <f>IF(AND(A29&lt;&gt;0,A29&lt;&gt;""),LOOKUP(A29,Discrete_NFET[PARTNUMBER],Discrete_NFET[TI_EQ_PACKAGE]),"")</f>
        <v>SON3X3</v>
      </c>
      <c r="AR29" s="49">
        <f>IF(AND(A29&lt;&gt;0,A29&lt;&gt;""),LOOKUP(A29,Discrete_NFET[PARTNUMBER],Discrete_NFET[1KPRICE]),"")</f>
        <v>0.28000000000000003</v>
      </c>
      <c r="AS29" s="35" t="str">
        <f>IF(AND($A29&lt;&gt;0,$A29&lt;&gt;""),CONCATENATE(TEXT(AP29,"0.00"),"W, ",IF('User Input'!F$11="Single Discrete",A29,IF('User Input'!F$11="Dual/Power Block",LEFT(A29,FIND(")",A29)-7),A29)),", ",AQ29,", ",TEXT(AR29,"$0.00")),"Invalid Part")</f>
        <v>0.69W, CSD17552Q3A, SON3X3, $0.28</v>
      </c>
      <c r="AT29" t="s">
        <v>793</v>
      </c>
      <c r="AW29"/>
    </row>
    <row r="30" spans="1:50" ht="15" customHeight="1" x14ac:dyDescent="0.25">
      <c r="A30" s="35" t="str">
        <f>IF(OR(AND(FET_config="Dual/Power Block",LEFT(Logic!B30,4)="CSD8"),AND(FET_config="Single Discrete",LEFT(Logic!B30,4)="CSD1")),Logic!B30,"")</f>
        <v>CSD17552Q5A</v>
      </c>
      <c r="B30" s="37" t="str">
        <f>IF(OR($A30=0,$A30=""),"0",IF(LOOKUP($A30,Discrete_NFET[PARTNUMBER],Discrete_NFET[RDSON25])="(NULL)","0","1"))</f>
        <v>0</v>
      </c>
      <c r="C30" s="38" t="str">
        <f>IF(OR($A30=0,$A30=""),"0",IF(LOOKUP($A30,Discrete_NFET[PARTNUMBER],Discrete_NFET[RDSON3])="(NULL)","0","1"))</f>
        <v>0</v>
      </c>
      <c r="D30" s="40" t="str">
        <f>IF(OR($A30=0,$A30=""),"0",IF(LOOKUP($A30,Discrete_NFET[PARTNUMBER],Discrete_NFET[RDSON45])="(NULL)","0","1"))</f>
        <v>1</v>
      </c>
      <c r="E30" s="45" t="str">
        <f>IF(OR($A30=0,$A30=""),"0",IF(LOOKUP($A30,Discrete_NFET[PARTNUMBER],Discrete_NFET[RDSON6])="(NULL)","0","1"))</f>
        <v>0</v>
      </c>
      <c r="F30" s="34" t="str">
        <f>IF(OR($A30=0,$A30=""),"0",IF(LOOKUP($A30,Discrete_NFET[PARTNUMBER],Discrete_NFET[RDSON8])="(NULL)","0","1"))</f>
        <v>0</v>
      </c>
      <c r="G30" s="43" t="str">
        <f>IF(OR($A30=0,$A30=""),"0",IF(LOOKUP($A30,Discrete_NFET[PARTNUMBER],Discrete_NFET[RDSON10])="(NULL)","0","1"))</f>
        <v>1</v>
      </c>
      <c r="H30" s="36" t="b">
        <f t="shared" si="19"/>
        <v>0</v>
      </c>
      <c r="I30" s="39" t="b">
        <f t="shared" si="20"/>
        <v>0</v>
      </c>
      <c r="J30" s="41" t="b">
        <f t="shared" si="21"/>
        <v>1</v>
      </c>
      <c r="K30" s="46" t="b">
        <f t="shared" si="22"/>
        <v>0</v>
      </c>
      <c r="L30" s="42" t="b">
        <f t="shared" si="23"/>
        <v>0</v>
      </c>
      <c r="M30" s="44" t="b">
        <f t="shared" si="24"/>
        <v>1</v>
      </c>
      <c r="N30" s="47" t="b">
        <f t="shared" si="25"/>
        <v>1</v>
      </c>
      <c r="O30" s="36" t="b">
        <f t="shared" si="26"/>
        <v>0</v>
      </c>
      <c r="P30" s="39" t="b">
        <f t="shared" si="27"/>
        <v>0</v>
      </c>
      <c r="Q30" s="41" t="b">
        <f t="shared" si="28"/>
        <v>1</v>
      </c>
      <c r="R30" s="46" t="b">
        <f t="shared" si="29"/>
        <v>0</v>
      </c>
      <c r="S30" s="42" t="b">
        <f t="shared" si="30"/>
        <v>0</v>
      </c>
      <c r="T30" s="44" t="b">
        <f t="shared" si="31"/>
        <v>1</v>
      </c>
      <c r="U30" s="148">
        <f>IF(T30,LOOKUP(A30,Discrete_NFET[PARTNUMBER],Discrete_NFET[RDSON10])*1000,IF(S30,LOOKUP(A30,Discrete_NFET[PARTNUMBER],Discrete_NFET[RDSON8])*1000,IF(R30,LOOKUP(A30,Discrete_NFET[PARTNUMBER],Discrete_NFET[RDSON6])*1000,IF(Q30,LOOKUP(A30,Discrete_NFET[PARTNUMBER],Discrete_NFET[RDSON45])*1000,IF(P30,LOOKUP(A30,Discrete_NFET[PARTNUMBER],Discrete_NFET[RDSON3])*1000,IF(O30,LOOKUP(A30,Discrete_NFET[PARTNUMBER],Discrete_NFET[RDSON25])*1000,""))))))</f>
        <v>6.2</v>
      </c>
      <c r="V30" s="48">
        <f>IF(AND(A30&lt;&gt;0,A30&lt;&gt;""),U30*(1+(Tj-25)*(LOOKUP(A30,Discrete_NFET[PARTNUMBER],Discrete_NFET[RDSDELTA])/((LOOKUP(A30,Discrete_NFET[PARTNUMBER],Discrete_NFET[TJMAX])-25)))),"")</f>
        <v>7.13</v>
      </c>
      <c r="W30" s="35">
        <f>IF(AND($A30&lt;&gt;0,$A30&lt;&gt;""),LOOKUP($A30,Discrete_NFET[PARTNUMBER],Discrete_NFET[QGS]),"")</f>
        <v>3.6</v>
      </c>
      <c r="X30" s="35">
        <f>IF(AND($A30&lt;&gt;0,$A30&lt;&gt;""),LOOKUP($A30,Discrete_NFET[PARTNUMBER],Discrete_NFET[QGD]),"")</f>
        <v>2</v>
      </c>
      <c r="Y30" s="35">
        <f>IF(AND($A30&lt;&gt;0,$A30&lt;&gt;""),LOOKUP($A30,Discrete_NFET[PARTNUMBER],Discrete_NFET[QGTH]),"")</f>
        <v>2.1</v>
      </c>
      <c r="Z30" s="35">
        <f t="shared" si="32"/>
        <v>3.4999999999999996</v>
      </c>
      <c r="AA30" s="35">
        <f>IF(AND($A30&lt;&gt;0,$A30&lt;&gt;""),LOOKUP($A30,Discrete_NFET[PARTNUMBER],Discrete_NFET[QOSSTYP]),"")</f>
        <v>11</v>
      </c>
      <c r="AB30" s="35">
        <f>IF(AND($A30&lt;&gt;0,$A30&lt;&gt;""),LOOKUP($A30,Discrete_NFET[PARTNUMBER],Discrete_NFET[QRR]),"")</f>
        <v>20</v>
      </c>
      <c r="AC30" s="35">
        <f>IF(AND(A30&lt;&gt;0,A30&lt;&gt;""),LOOKUP(A30,Discrete_NFET[PARTNUMBER],Discrete_NFET[VF_TYP]),"")</f>
        <v>0.8</v>
      </c>
      <c r="AD30" s="127">
        <f>IF(AND($A30&lt;&gt;0,$A30&lt;&gt;"",OR(RIGHT(Logic!B30,2)="C)",LEFT(Logic!B30,4)="CSD1")),(1+(1-DUTY))*IM_RMS_120^2*V30*m/3/Num_FETS,"")</f>
        <v>0.3000322214527546</v>
      </c>
      <c r="AE30" s="127">
        <f>IF(AND($A30&lt;&gt;0,$A30&lt;&gt;"",OR(RIGHT(Logic!B30,2)="C)",LEFT(Logic!B30,4)="CSD1")),Num_FETS*0.5*IM_RMS_120*VDC_AVG*Z30*n*MOT_ELEC_FREQ/GDR_SRC,"")</f>
        <v>1.1287409700722391E-5</v>
      </c>
      <c r="AF30" s="127">
        <f>IF(AND($A30&lt;&gt;0,$A30&lt;&gt;"",OR(RIGHT(Logic!B30,2)="C)",LEFT(Logic!B30,4)="CSD1")),Num_FETS*0.5*IM_RMS_120*VDC_AVG*Z30*n*MOT_ELEC_FREQ/GDR_SINK,"")</f>
        <v>7.6754385964912267E-6</v>
      </c>
      <c r="AG30" s="127">
        <f>IF(AND($A30&lt;&gt;0,$A30&lt;&gt;"",OR(RIGHT(Logic!B30,2)="T)",LEFT(Logic!B30,4)="CSD1")),DUTY*IM_RMS_120^2*V30*m/3/Num_FETS,"")</f>
        <v>0.2714577241715399</v>
      </c>
      <c r="AH30" s="127">
        <f>IF(AND($A30&lt;&gt;0,$A30&lt;&gt;"",OR(RIGHT(Logic!B30,2)="T)",LEFT(Logic!B30,4)="CSD1")),Num_FETS*0.5*IM_RMS_120*VDC_AVG*Z30*n*FSW*k/GDR_SRC/3,"")</f>
        <v>2.2574819401444787E-3</v>
      </c>
      <c r="AI30" s="127">
        <f>IF(AND($A30&lt;&gt;0,$A30&lt;&gt;"",OR(RIGHT(Logic!B30,2)="T)",LEFT(Logic!B30,4)="CSD1")),Num_FETS*0.5*IM_RMS_120*VDC_AVG*Z30*n*FSW*k/GDR_SINK/3,"")</f>
        <v>1.5350877192982454E-3</v>
      </c>
      <c r="AJ30" s="127">
        <f t="shared" si="14"/>
        <v>1.32E-3</v>
      </c>
      <c r="AK30" s="127">
        <f t="shared" si="15"/>
        <v>1.2414567897146714E-2</v>
      </c>
      <c r="AL30" s="127">
        <f t="shared" si="16"/>
        <v>4.8080000000000006E-3</v>
      </c>
      <c r="AM30" s="127">
        <f t="shared" si="33"/>
        <v>0.37243703691440144</v>
      </c>
      <c r="AN30" s="127">
        <f>IF(AND($A30&lt;&gt;0,$A30&lt;&gt;"",OR(RIGHT(Logic!B30,2)="C)",LEFT(Logic!B30,4)="CSD1")),SUM(AD30:AF30)+(AJ30/3)+AK30+AL30/6+AM30/6,AN31)</f>
        <v>0.37577992501726543</v>
      </c>
      <c r="AO30" s="127">
        <f>IF(AND($A30&lt;&gt;0,$A30&lt;&gt;"",OR(RIGHT(Logic!B30,2)="T)",LEFT(Logic!B30,4)="CSD1")),SUM(AG30:AI30)+(AJ30/3)+AL30/6+AM30/6,AO29)</f>
        <v>0.33856446665004947</v>
      </c>
      <c r="AP30" s="48">
        <f t="shared" si="34"/>
        <v>0.71</v>
      </c>
      <c r="AQ30" s="35" t="str">
        <f>IF(AND(A30&lt;&gt;0,A30&lt;&gt;""),LOOKUP(A30,Discrete_NFET[PARTNUMBER],Discrete_NFET[TI_EQ_PACKAGE]),"")</f>
        <v>SON5X6</v>
      </c>
      <c r="AR30" s="49">
        <f>IF(AND(A30&lt;&gt;0,A30&lt;&gt;""),LOOKUP(A30,Discrete_NFET[PARTNUMBER],Discrete_NFET[1KPRICE]),"")</f>
        <v>0.3</v>
      </c>
      <c r="AS30" s="35" t="str">
        <f>IF(AND($A30&lt;&gt;0,$A30&lt;&gt;""),CONCATENATE(TEXT(AP30,"0.00"),"W, ",IF('User Input'!F$11="Single Discrete",A30,IF('User Input'!F$11="Dual/Power Block",LEFT(A30,FIND(")",A30)-7),A30)),", ",AQ30,", ",TEXT(AR30,"$0.00")),"Invalid Part")</f>
        <v>0.71W, CSD17552Q5A, SON5X6, $0.30</v>
      </c>
      <c r="AT30" t="s">
        <v>735</v>
      </c>
      <c r="AW30"/>
    </row>
    <row r="31" spans="1:50" ht="15" customHeight="1" x14ac:dyDescent="0.25">
      <c r="A31" s="35" t="str">
        <f>IF(OR(AND(FET_config="Dual/Power Block",LEFT(Logic!B31,4)="CSD8"),AND(FET_config="Single Discrete",LEFT(Logic!B31,4)="CSD1")),Logic!B31,"")</f>
        <v>CSD17553Q5A</v>
      </c>
      <c r="B31" s="37" t="str">
        <f>IF(OR($A31=0,$A31=""),"0",IF(LOOKUP($A31,Discrete_NFET[PARTNUMBER],Discrete_NFET[RDSON25])="(NULL)","0","1"))</f>
        <v>0</v>
      </c>
      <c r="C31" s="38" t="str">
        <f>IF(OR($A31=0,$A31=""),"0",IF(LOOKUP($A31,Discrete_NFET[PARTNUMBER],Discrete_NFET[RDSON3])="(NULL)","0","1"))</f>
        <v>0</v>
      </c>
      <c r="D31" s="40" t="str">
        <f>IF(OR($A31=0,$A31=""),"0",IF(LOOKUP($A31,Discrete_NFET[PARTNUMBER],Discrete_NFET[RDSON45])="(NULL)","0","1"))</f>
        <v>1</v>
      </c>
      <c r="E31" s="45" t="str">
        <f>IF(OR($A31=0,$A31=""),"0",IF(LOOKUP($A31,Discrete_NFET[PARTNUMBER],Discrete_NFET[RDSON6])="(NULL)","0","1"))</f>
        <v>0</v>
      </c>
      <c r="F31" s="34" t="str">
        <f>IF(OR($A31=0,$A31=""),"0",IF(LOOKUP($A31,Discrete_NFET[PARTNUMBER],Discrete_NFET[RDSON8])="(NULL)","0","1"))</f>
        <v>0</v>
      </c>
      <c r="G31" s="43" t="str">
        <f>IF(OR($A31=0,$A31=""),"0",IF(LOOKUP($A31,Discrete_NFET[PARTNUMBER],Discrete_NFET[RDSON10])="(NULL)","0","1"))</f>
        <v>1</v>
      </c>
      <c r="H31" s="36" t="b">
        <f t="shared" si="19"/>
        <v>0</v>
      </c>
      <c r="I31" s="39" t="b">
        <f t="shared" si="20"/>
        <v>0</v>
      </c>
      <c r="J31" s="41" t="b">
        <f t="shared" si="21"/>
        <v>1</v>
      </c>
      <c r="K31" s="46" t="b">
        <f t="shared" si="22"/>
        <v>0</v>
      </c>
      <c r="L31" s="42" t="b">
        <f t="shared" si="23"/>
        <v>0</v>
      </c>
      <c r="M31" s="44" t="b">
        <f t="shared" si="24"/>
        <v>1</v>
      </c>
      <c r="N31" s="47" t="b">
        <f t="shared" si="25"/>
        <v>1</v>
      </c>
      <c r="O31" s="36" t="b">
        <f t="shared" si="26"/>
        <v>0</v>
      </c>
      <c r="P31" s="39" t="b">
        <f t="shared" si="27"/>
        <v>0</v>
      </c>
      <c r="Q31" s="41" t="b">
        <f t="shared" si="28"/>
        <v>1</v>
      </c>
      <c r="R31" s="46" t="b">
        <f t="shared" si="29"/>
        <v>0</v>
      </c>
      <c r="S31" s="42" t="b">
        <f t="shared" si="30"/>
        <v>0</v>
      </c>
      <c r="T31" s="44" t="b">
        <f t="shared" si="31"/>
        <v>1</v>
      </c>
      <c r="U31" s="148">
        <f>IF(T31,LOOKUP(A31,Discrete_NFET[PARTNUMBER],Discrete_NFET[RDSON10])*1000,IF(S31,LOOKUP(A31,Discrete_NFET[PARTNUMBER],Discrete_NFET[RDSON8])*1000,IF(R31,LOOKUP(A31,Discrete_NFET[PARTNUMBER],Discrete_NFET[RDSON6])*1000,IF(Q31,LOOKUP(A31,Discrete_NFET[PARTNUMBER],Discrete_NFET[RDSON45])*1000,IF(P31,LOOKUP(A31,Discrete_NFET[PARTNUMBER],Discrete_NFET[RDSON3])*1000,IF(O31,LOOKUP(A31,Discrete_NFET[PARTNUMBER],Discrete_NFET[RDSON25])*1000,""))))))</f>
        <v>3.1</v>
      </c>
      <c r="V31" s="48">
        <f>IF(AND(A31&lt;&gt;0,A31&lt;&gt;""),U31*(1+(Tj-25)*(LOOKUP(A31,Discrete_NFET[PARTNUMBER],Discrete_NFET[RDSDELTA])/((LOOKUP(A31,Discrete_NFET[PARTNUMBER],Discrete_NFET[TJMAX])-25)))),"")</f>
        <v>3.5339999999999998</v>
      </c>
      <c r="W31" s="35">
        <f>IF(AND($A31&lt;&gt;0,$A31&lt;&gt;""),LOOKUP($A31,Discrete_NFET[PARTNUMBER],Discrete_NFET[QGS]),"")</f>
        <v>5.8</v>
      </c>
      <c r="X31" s="35">
        <f>IF(AND($A31&lt;&gt;0,$A31&lt;&gt;""),LOOKUP($A31,Discrete_NFET[PARTNUMBER],Discrete_NFET[QGD]),"")</f>
        <v>4.7</v>
      </c>
      <c r="Y31" s="35">
        <f>IF(AND($A31&lt;&gt;0,$A31&lt;&gt;""),LOOKUP($A31,Discrete_NFET[PARTNUMBER],Discrete_NFET[QGTH]),"")</f>
        <v>4.0999999999999996</v>
      </c>
      <c r="Z31" s="35">
        <f t="shared" si="32"/>
        <v>6.4</v>
      </c>
      <c r="AA31" s="35">
        <f>IF(AND($A31&lt;&gt;0,$A31&lt;&gt;""),LOOKUP($A31,Discrete_NFET[PARTNUMBER],Discrete_NFET[QOSSTYP]),"")</f>
        <v>19.600000000000001</v>
      </c>
      <c r="AB31" s="35">
        <f>IF(AND($A31&lt;&gt;0,$A31&lt;&gt;""),LOOKUP($A31,Discrete_NFET[PARTNUMBER],Discrete_NFET[QRR]),"")</f>
        <v>23.8</v>
      </c>
      <c r="AC31" s="35">
        <f>IF(AND(A31&lt;&gt;0,A31&lt;&gt;""),LOOKUP(A31,Discrete_NFET[PARTNUMBER],Discrete_NFET[VF_TYP]),"")</f>
        <v>0.8</v>
      </c>
      <c r="AD31" s="127">
        <f>IF(AND($A31&lt;&gt;0,$A31&lt;&gt;"",OR(RIGHT(Logic!B31,2)="C)",LEFT(Logic!B31,4)="CSD1")),(1+(1-DUTY))*IM_RMS_120^2*V31*m/3/Num_FETS,"")</f>
        <v>0.14871162280701752</v>
      </c>
      <c r="AE31" s="127">
        <f>IF(AND($A31&lt;&gt;0,$A31&lt;&gt;"",OR(RIGHT(Logic!B31,2)="C)",LEFT(Logic!B31,4)="CSD1")),Num_FETS*0.5*IM_RMS_120*VDC_AVG*Z31*n*MOT_ELEC_FREQ/GDR_SRC,"")</f>
        <v>2.0639834881320951E-5</v>
      </c>
      <c r="AF31" s="127">
        <f>IF(AND($A31&lt;&gt;0,$A31&lt;&gt;"",OR(RIGHT(Logic!B31,2)="C)",LEFT(Logic!B31,4)="CSD1")),Num_FETS*0.5*IM_RMS_120*VDC_AVG*Z31*n*MOT_ELEC_FREQ/GDR_SINK,"")</f>
        <v>1.4035087719298248E-5</v>
      </c>
      <c r="AG31" s="127">
        <f>IF(AND($A31&lt;&gt;0,$A31&lt;&gt;"",OR(RIGHT(Logic!B31,2)="T)",LEFT(Logic!B31,4)="CSD1")),DUTY*IM_RMS_120^2*V31*m/3/Num_FETS,"")</f>
        <v>0.13454861111111108</v>
      </c>
      <c r="AH31" s="127">
        <f>IF(AND($A31&lt;&gt;0,$A31&lt;&gt;"",OR(RIGHT(Logic!B31,2)="T)",LEFT(Logic!B31,4)="CSD1")),Num_FETS*0.5*IM_RMS_120*VDC_AVG*Z31*n*FSW*k/GDR_SRC/3,"")</f>
        <v>4.1279669762641904E-3</v>
      </c>
      <c r="AI31" s="127">
        <f>IF(AND($A31&lt;&gt;0,$A31&lt;&gt;"",OR(RIGHT(Logic!B31,2)="T)",LEFT(Logic!B31,4)="CSD1")),Num_FETS*0.5*IM_RMS_120*VDC_AVG*Z31*n*FSW*k/GDR_SINK/3,"")</f>
        <v>2.8070175438596498E-3</v>
      </c>
      <c r="AJ31" s="127">
        <f t="shared" si="14"/>
        <v>2.3520000000000004E-3</v>
      </c>
      <c r="AK31" s="127">
        <f t="shared" si="15"/>
        <v>1.2414567897146714E-2</v>
      </c>
      <c r="AL31" s="127">
        <f t="shared" si="16"/>
        <v>5.7215200000000008E-3</v>
      </c>
      <c r="AM31" s="127">
        <f t="shared" si="33"/>
        <v>0.37243703691440144</v>
      </c>
      <c r="AN31" s="127">
        <f>IF(AND($A31&lt;&gt;0,$A31&lt;&gt;"",OR(RIGHT(Logic!B31,2)="C)",LEFT(Logic!B31,4)="CSD1")),SUM(AD31:AF31)+(AJ31/3)+AK31+AL31/6+AM31/6,AN32)</f>
        <v>0.22497129177916511</v>
      </c>
      <c r="AO31" s="127">
        <f>IF(AND($A31&lt;&gt;0,$A31&lt;&gt;"",OR(RIGHT(Logic!B31,2)="T)",LEFT(Logic!B31,4)="CSD1")),SUM(AG31:AI31)+(AJ31/3)+AL31/6+AM31/6,AO30)</f>
        <v>0.20529402178363518</v>
      </c>
      <c r="AP31" s="48">
        <f t="shared" si="34"/>
        <v>0.43</v>
      </c>
      <c r="AQ31" s="35" t="str">
        <f>IF(AND(A31&lt;&gt;0,A31&lt;&gt;""),LOOKUP(A31,Discrete_NFET[PARTNUMBER],Discrete_NFET[TI_EQ_PACKAGE]),"")</f>
        <v>SON5X6</v>
      </c>
      <c r="AR31" s="49">
        <f>IF(AND(A31&lt;&gt;0,A31&lt;&gt;""),LOOKUP(A31,Discrete_NFET[PARTNUMBER],Discrete_NFET[1KPRICE]),"")</f>
        <v>0.42</v>
      </c>
      <c r="AS31" s="35" t="str">
        <f>IF(AND($A31&lt;&gt;0,$A31&lt;&gt;""),CONCATENATE(TEXT(AP31,"0.00"),"W, ",IF('User Input'!F$11="Single Discrete",A31,IF('User Input'!F$11="Dual/Power Block",LEFT(A31,FIND(")",A31)-7),A31)),", ",AQ31,", ",TEXT(AR31,"$0.00")),"Invalid Part")</f>
        <v>0.43W, CSD17553Q5A, SON5X6, $0.42</v>
      </c>
      <c r="AT31" t="s">
        <v>713</v>
      </c>
      <c r="AW31"/>
    </row>
    <row r="32" spans="1:50" ht="15" customHeight="1" x14ac:dyDescent="0.25">
      <c r="A32" s="35" t="str">
        <f>IF(OR(AND(FET_config="Dual/Power Block",LEFT(Logic!B32,4)="CSD8"),AND(FET_config="Single Discrete",LEFT(Logic!B32,4)="CSD1")),Logic!B32,"")</f>
        <v>CSD17555Q5A</v>
      </c>
      <c r="B32" s="37" t="str">
        <f>IF(OR($A32=0,$A32=""),"0",IF(LOOKUP($A32,Discrete_NFET[PARTNUMBER],Discrete_NFET[RDSON25])="(NULL)","0","1"))</f>
        <v>0</v>
      </c>
      <c r="C32" s="38" t="str">
        <f>IF(OR($A32=0,$A32=""),"0",IF(LOOKUP($A32,Discrete_NFET[PARTNUMBER],Discrete_NFET[RDSON3])="(NULL)","0","1"))</f>
        <v>0</v>
      </c>
      <c r="D32" s="40" t="str">
        <f>IF(OR($A32=0,$A32=""),"0",IF(LOOKUP($A32,Discrete_NFET[PARTNUMBER],Discrete_NFET[RDSON45])="(NULL)","0","1"))</f>
        <v>1</v>
      </c>
      <c r="E32" s="45" t="str">
        <f>IF(OR($A32=0,$A32=""),"0",IF(LOOKUP($A32,Discrete_NFET[PARTNUMBER],Discrete_NFET[RDSON6])="(NULL)","0","1"))</f>
        <v>0</v>
      </c>
      <c r="F32" s="34" t="str">
        <f>IF(OR($A32=0,$A32=""),"0",IF(LOOKUP($A32,Discrete_NFET[PARTNUMBER],Discrete_NFET[RDSON8])="(NULL)","0","1"))</f>
        <v>0</v>
      </c>
      <c r="G32" s="43" t="str">
        <f>IF(OR($A32=0,$A32=""),"0",IF(LOOKUP($A32,Discrete_NFET[PARTNUMBER],Discrete_NFET[RDSON10])="(NULL)","0","1"))</f>
        <v>1</v>
      </c>
      <c r="H32" s="36" t="b">
        <f t="shared" si="19"/>
        <v>0</v>
      </c>
      <c r="I32" s="39" t="b">
        <f t="shared" si="20"/>
        <v>0</v>
      </c>
      <c r="J32" s="41" t="b">
        <f t="shared" si="21"/>
        <v>1</v>
      </c>
      <c r="K32" s="46" t="b">
        <f t="shared" si="22"/>
        <v>0</v>
      </c>
      <c r="L32" s="42" t="b">
        <f t="shared" si="23"/>
        <v>0</v>
      </c>
      <c r="M32" s="44" t="b">
        <f t="shared" si="24"/>
        <v>1</v>
      </c>
      <c r="N32" s="47" t="b">
        <f t="shared" si="25"/>
        <v>1</v>
      </c>
      <c r="O32" s="36" t="b">
        <f t="shared" si="26"/>
        <v>0</v>
      </c>
      <c r="P32" s="39" t="b">
        <f t="shared" si="27"/>
        <v>0</v>
      </c>
      <c r="Q32" s="41" t="b">
        <f t="shared" si="28"/>
        <v>1</v>
      </c>
      <c r="R32" s="46" t="b">
        <f t="shared" si="29"/>
        <v>0</v>
      </c>
      <c r="S32" s="42" t="b">
        <f t="shared" si="30"/>
        <v>0</v>
      </c>
      <c r="T32" s="44" t="b">
        <f t="shared" si="31"/>
        <v>1</v>
      </c>
      <c r="U32" s="148">
        <f>IF(T32,LOOKUP(A32,Discrete_NFET[PARTNUMBER],Discrete_NFET[RDSON10])*1000,IF(S32,LOOKUP(A32,Discrete_NFET[PARTNUMBER],Discrete_NFET[RDSON8])*1000,IF(R32,LOOKUP(A32,Discrete_NFET[PARTNUMBER],Discrete_NFET[RDSON6])*1000,IF(Q32,LOOKUP(A32,Discrete_NFET[PARTNUMBER],Discrete_NFET[RDSON45])*1000,IF(P32,LOOKUP(A32,Discrete_NFET[PARTNUMBER],Discrete_NFET[RDSON3])*1000,IF(O32,LOOKUP(A32,Discrete_NFET[PARTNUMBER],Discrete_NFET[RDSON25])*1000,""))))))</f>
        <v>2.7</v>
      </c>
      <c r="V32" s="48">
        <f>IF(AND(A32&lt;&gt;0,A32&lt;&gt;""),U32*(1+(Tj-25)*(LOOKUP(A32,Discrete_NFET[PARTNUMBER],Discrete_NFET[RDSDELTA])/((LOOKUP(A32,Discrete_NFET[PARTNUMBER],Discrete_NFET[TJMAX])-25)))),"")</f>
        <v>3.0779999999999998</v>
      </c>
      <c r="W32" s="35">
        <f>IF(AND($A32&lt;&gt;0,$A32&lt;&gt;""),LOOKUP($A32,Discrete_NFET[PARTNUMBER],Discrete_NFET[QGS]),"")</f>
        <v>7.5</v>
      </c>
      <c r="X32" s="35">
        <f>IF(AND($A32&lt;&gt;0,$A32&lt;&gt;""),LOOKUP($A32,Discrete_NFET[PARTNUMBER],Discrete_NFET[QGD]),"")</f>
        <v>5</v>
      </c>
      <c r="Y32" s="35">
        <f>IF(AND($A32&lt;&gt;0,$A32&lt;&gt;""),LOOKUP($A32,Discrete_NFET[PARTNUMBER],Discrete_NFET[QGTH]),"")</f>
        <v>5</v>
      </c>
      <c r="Z32" s="35">
        <f t="shared" si="32"/>
        <v>7.5</v>
      </c>
      <c r="AA32" s="35">
        <f>IF(AND($A32&lt;&gt;0,$A32&lt;&gt;""),LOOKUP($A32,Discrete_NFET[PARTNUMBER],Discrete_NFET[QOSSTYP]),"")</f>
        <v>25</v>
      </c>
      <c r="AB32" s="35">
        <f>IF(AND($A32&lt;&gt;0,$A32&lt;&gt;""),LOOKUP($A32,Discrete_NFET[PARTNUMBER],Discrete_NFET[QRR]),"")</f>
        <v>31</v>
      </c>
      <c r="AC32" s="35">
        <f>IF(AND(A32&lt;&gt;0,A32&lt;&gt;""),LOOKUP(A32,Discrete_NFET[PARTNUMBER],Discrete_NFET[VF_TYP]),"")</f>
        <v>0.8</v>
      </c>
      <c r="AD32" s="127">
        <f>IF(AND($A32&lt;&gt;0,$A32&lt;&gt;"",OR(RIGHT(Logic!B32,2)="C)",LEFT(Logic!B32,4)="CSD1")),(1+(1-DUTY))*IM_RMS_120^2*V32*m/3/Num_FETS,"")</f>
        <v>0.12952302631578944</v>
      </c>
      <c r="AE32" s="127">
        <f>IF(AND($A32&lt;&gt;0,$A32&lt;&gt;"",OR(RIGHT(Logic!B32,2)="C)",LEFT(Logic!B32,4)="CSD1")),Num_FETS*0.5*IM_RMS_120*VDC_AVG*Z32*n*MOT_ELEC_FREQ/GDR_SRC,"")</f>
        <v>2.4187306501547986E-5</v>
      </c>
      <c r="AF32" s="127">
        <f>IF(AND($A32&lt;&gt;0,$A32&lt;&gt;"",OR(RIGHT(Logic!B32,2)="C)",LEFT(Logic!B32,4)="CSD1")),Num_FETS*0.5*IM_RMS_120*VDC_AVG*Z32*n*MOT_ELEC_FREQ/GDR_SINK,"")</f>
        <v>1.6447368421052631E-5</v>
      </c>
      <c r="AG32" s="127">
        <f>IF(AND($A32&lt;&gt;0,$A32&lt;&gt;"",OR(RIGHT(Logic!B32,2)="T)",LEFT(Logic!B32,4)="CSD1")),DUTY*IM_RMS_120^2*V32*m/3/Num_FETS,"")</f>
        <v>0.11718749999999996</v>
      </c>
      <c r="AH32" s="127">
        <f>IF(AND($A32&lt;&gt;0,$A32&lt;&gt;"",OR(RIGHT(Logic!B32,2)="T)",LEFT(Logic!B32,4)="CSD1")),Num_FETS*0.5*IM_RMS_120*VDC_AVG*Z32*n*FSW*k/GDR_SRC/3,"")</f>
        <v>4.837461300309597E-3</v>
      </c>
      <c r="AI32" s="127">
        <f>IF(AND($A32&lt;&gt;0,$A32&lt;&gt;"",OR(RIGHT(Logic!B32,2)="T)",LEFT(Logic!B32,4)="CSD1")),Num_FETS*0.5*IM_RMS_120*VDC_AVG*Z32*n*FSW*k/GDR_SINK/3,"")</f>
        <v>3.2894736842105261E-3</v>
      </c>
      <c r="AJ32" s="127">
        <f t="shared" si="14"/>
        <v>3.0000000000000001E-3</v>
      </c>
      <c r="AK32" s="127">
        <f t="shared" si="15"/>
        <v>1.2414567897146714E-2</v>
      </c>
      <c r="AL32" s="127">
        <f t="shared" si="16"/>
        <v>7.4524000000000005E-3</v>
      </c>
      <c r="AM32" s="127">
        <f t="shared" si="33"/>
        <v>0.37243703691440144</v>
      </c>
      <c r="AN32" s="127">
        <f>IF(AND($A32&lt;&gt;0,$A32&lt;&gt;"",OR(RIGHT(Logic!B32,2)="C)",LEFT(Logic!B32,4)="CSD1")),SUM(AD32:AF32)+(AJ32/3)+AK32+AL32/6+AM32/6,AN33)</f>
        <v>0.20629313504025901</v>
      </c>
      <c r="AO32" s="127">
        <f>IF(AND($A32&lt;&gt;0,$A32&lt;&gt;"",OR(RIGHT(Logic!B32,2)="T)",LEFT(Logic!B32,4)="CSD1")),SUM(AG32:AI32)+(AJ32/3)+AL32/6+AM32/6,AO31)</f>
        <v>0.18962934113692034</v>
      </c>
      <c r="AP32" s="48">
        <f t="shared" si="34"/>
        <v>0.4</v>
      </c>
      <c r="AQ32" s="35" t="str">
        <f>IF(AND(A32&lt;&gt;0,A32&lt;&gt;""),LOOKUP(A32,Discrete_NFET[PARTNUMBER],Discrete_NFET[TI_EQ_PACKAGE]),"")</f>
        <v>SON5X6</v>
      </c>
      <c r="AR32" s="49">
        <f>IF(AND(A32&lt;&gt;0,A32&lt;&gt;""),LOOKUP(A32,Discrete_NFET[PARTNUMBER],Discrete_NFET[1KPRICE]),"")</f>
        <v>0.54</v>
      </c>
      <c r="AS32" s="35" t="str">
        <f>IF(AND($A32&lt;&gt;0,$A32&lt;&gt;""),CONCATENATE(TEXT(AP32,"0.00"),"W, ",IF('User Input'!F$11="Single Discrete",A32,IF('User Input'!F$11="Dual/Power Block",LEFT(A32,FIND(")",A32)-7),A32)),", ",AQ32,", ",TEXT(AR32,"$0.00")),"Invalid Part")</f>
        <v>0.40W, CSD17555Q5A, SON5X6, $0.54</v>
      </c>
      <c r="AT32" t="s">
        <v>750</v>
      </c>
      <c r="AW32"/>
    </row>
    <row r="33" spans="1:49" ht="15" customHeight="1" x14ac:dyDescent="0.25">
      <c r="A33" s="35" t="str">
        <f>IF(OR(AND(FET_config="Dual/Power Block",LEFT(Logic!B33,4)="CSD8"),AND(FET_config="Single Discrete",LEFT(Logic!B33,4)="CSD1")),Logic!B33,"")</f>
        <v>CSD17556Q5B</v>
      </c>
      <c r="B33" s="37" t="str">
        <f>IF(OR($A33=0,$A33=""),"0",IF(LOOKUP($A33,Discrete_NFET[PARTNUMBER],Discrete_NFET[RDSON25])="(NULL)","0","1"))</f>
        <v>0</v>
      </c>
      <c r="C33" s="38" t="str">
        <f>IF(OR($A33=0,$A33=""),"0",IF(LOOKUP($A33,Discrete_NFET[PARTNUMBER],Discrete_NFET[RDSON3])="(NULL)","0","1"))</f>
        <v>0</v>
      </c>
      <c r="D33" s="40" t="str">
        <f>IF(OR($A33=0,$A33=""),"0",IF(LOOKUP($A33,Discrete_NFET[PARTNUMBER],Discrete_NFET[RDSON45])="(NULL)","0","1"))</f>
        <v>1</v>
      </c>
      <c r="E33" s="45" t="str">
        <f>IF(OR($A33=0,$A33=""),"0",IF(LOOKUP($A33,Discrete_NFET[PARTNUMBER],Discrete_NFET[RDSON6])="(NULL)","0","1"))</f>
        <v>0</v>
      </c>
      <c r="F33" s="34" t="str">
        <f>IF(OR($A33=0,$A33=""),"0",IF(LOOKUP($A33,Discrete_NFET[PARTNUMBER],Discrete_NFET[RDSON8])="(NULL)","0","1"))</f>
        <v>0</v>
      </c>
      <c r="G33" s="43" t="str">
        <f>IF(OR($A33=0,$A33=""),"0",IF(LOOKUP($A33,Discrete_NFET[PARTNUMBER],Discrete_NFET[RDSON10])="(NULL)","0","1"))</f>
        <v>1</v>
      </c>
      <c r="H33" s="36" t="b">
        <f t="shared" si="19"/>
        <v>0</v>
      </c>
      <c r="I33" s="39" t="b">
        <f t="shared" si="20"/>
        <v>0</v>
      </c>
      <c r="J33" s="41" t="b">
        <f t="shared" si="21"/>
        <v>1</v>
      </c>
      <c r="K33" s="46" t="b">
        <f t="shared" si="22"/>
        <v>0</v>
      </c>
      <c r="L33" s="42" t="b">
        <f t="shared" si="23"/>
        <v>0</v>
      </c>
      <c r="M33" s="44" t="b">
        <f t="shared" si="24"/>
        <v>1</v>
      </c>
      <c r="N33" s="47" t="b">
        <f t="shared" si="25"/>
        <v>1</v>
      </c>
      <c r="O33" s="36" t="b">
        <f t="shared" si="26"/>
        <v>0</v>
      </c>
      <c r="P33" s="39" t="b">
        <f t="shared" si="27"/>
        <v>0</v>
      </c>
      <c r="Q33" s="41" t="b">
        <f t="shared" si="28"/>
        <v>1</v>
      </c>
      <c r="R33" s="46" t="b">
        <f t="shared" si="29"/>
        <v>0</v>
      </c>
      <c r="S33" s="42" t="b">
        <f t="shared" si="30"/>
        <v>0</v>
      </c>
      <c r="T33" s="44" t="b">
        <f t="shared" si="31"/>
        <v>1</v>
      </c>
      <c r="U33" s="148">
        <f>IF(T33,LOOKUP(A33,Discrete_NFET[PARTNUMBER],Discrete_NFET[RDSON10])*1000,IF(S33,LOOKUP(A33,Discrete_NFET[PARTNUMBER],Discrete_NFET[RDSON8])*1000,IF(R33,LOOKUP(A33,Discrete_NFET[PARTNUMBER],Discrete_NFET[RDSON6])*1000,IF(Q33,LOOKUP(A33,Discrete_NFET[PARTNUMBER],Discrete_NFET[RDSON45])*1000,IF(P33,LOOKUP(A33,Discrete_NFET[PARTNUMBER],Discrete_NFET[RDSON3])*1000,IF(O33,LOOKUP(A33,Discrete_NFET[PARTNUMBER],Discrete_NFET[RDSON25])*1000,""))))))</f>
        <v>1.4</v>
      </c>
      <c r="V33" s="48">
        <f>IF(AND(A33&lt;&gt;0,A33&lt;&gt;""),U33*(1+(Tj-25)*(LOOKUP(A33,Discrete_NFET[PARTNUMBER],Discrete_NFET[RDSDELTA])/((LOOKUP(A33,Discrete_NFET[PARTNUMBER],Discrete_NFET[TJMAX])-25)))),"")</f>
        <v>1.6099999999999999</v>
      </c>
      <c r="W33" s="35">
        <f>IF(AND($A33&lt;&gt;0,$A33&lt;&gt;""),LOOKUP($A33,Discrete_NFET[PARTNUMBER],Discrete_NFET[QGS]),"")</f>
        <v>11</v>
      </c>
      <c r="X33" s="35">
        <f>IF(AND($A33&lt;&gt;0,$A33&lt;&gt;""),LOOKUP($A33,Discrete_NFET[PARTNUMBER],Discrete_NFET[QGD]),"")</f>
        <v>7.5</v>
      </c>
      <c r="Y33" s="35">
        <f>IF(AND($A33&lt;&gt;0,$A33&lt;&gt;""),LOOKUP($A33,Discrete_NFET[PARTNUMBER],Discrete_NFET[QGTH]),"")</f>
        <v>6.1</v>
      </c>
      <c r="Z33" s="35">
        <f t="shared" si="32"/>
        <v>12.4</v>
      </c>
      <c r="AA33" s="35">
        <f>IF(AND($A33&lt;&gt;0,$A33&lt;&gt;""),LOOKUP($A33,Discrete_NFET[PARTNUMBER],Discrete_NFET[QOSSTYP]),"")</f>
        <v>48</v>
      </c>
      <c r="AB33" s="35">
        <f>IF(AND($A33&lt;&gt;0,$A33&lt;&gt;""),LOOKUP($A33,Discrete_NFET[PARTNUMBER],Discrete_NFET[QRR]),"")</f>
        <v>68</v>
      </c>
      <c r="AC33" s="35">
        <f>IF(AND(A33&lt;&gt;0,A33&lt;&gt;""),LOOKUP(A33,Discrete_NFET[PARTNUMBER],Discrete_NFET[VF_TYP]),"")</f>
        <v>0.8</v>
      </c>
      <c r="AD33" s="127">
        <f>IF(AND($A33&lt;&gt;0,$A33&lt;&gt;"",OR(RIGHT(Logic!B33,2)="C)",LEFT(Logic!B33,4)="CSD1")),(1+(1-DUTY))*IM_RMS_120^2*V33*m/3/Num_FETS,"")</f>
        <v>6.7749211295783304E-2</v>
      </c>
      <c r="AE33" s="127">
        <f>IF(AND($A33&lt;&gt;0,$A33&lt;&gt;"",OR(RIGHT(Logic!B33,2)="C)",LEFT(Logic!B33,4)="CSD1")),Num_FETS*0.5*IM_RMS_120*VDC_AVG*Z33*n*MOT_ELEC_FREQ/GDR_SRC,"")</f>
        <v>3.9989680082559339E-5</v>
      </c>
      <c r="AF33" s="127">
        <f>IF(AND($A33&lt;&gt;0,$A33&lt;&gt;"",OR(RIGHT(Logic!B33,2)="C)",LEFT(Logic!B33,4)="CSD1")),Num_FETS*0.5*IM_RMS_120*VDC_AVG*Z33*n*MOT_ELEC_FREQ/GDR_SINK,"")</f>
        <v>2.7192982456140354E-5</v>
      </c>
      <c r="AG33" s="127">
        <f>IF(AND($A33&lt;&gt;0,$A33&lt;&gt;"",OR(RIGHT(Logic!B33,2)="T)",LEFT(Logic!B33,4)="CSD1")),DUTY*IM_RMS_120^2*V33*m/3/Num_FETS,"")</f>
        <v>6.1296905458089655E-2</v>
      </c>
      <c r="AH33" s="127">
        <f>IF(AND($A33&lt;&gt;0,$A33&lt;&gt;"",OR(RIGHT(Logic!B33,2)="T)",LEFT(Logic!B33,4)="CSD1")),Num_FETS*0.5*IM_RMS_120*VDC_AVG*Z33*n*FSW*k/GDR_SRC/3,"")</f>
        <v>7.9979360165118689E-3</v>
      </c>
      <c r="AI33" s="127">
        <f>IF(AND($A33&lt;&gt;0,$A33&lt;&gt;"",OR(RIGHT(Logic!B33,2)="T)",LEFT(Logic!B33,4)="CSD1")),Num_FETS*0.5*IM_RMS_120*VDC_AVG*Z33*n*FSW*k/GDR_SINK/3,"")</f>
        <v>5.4385964912280716E-3</v>
      </c>
      <c r="AJ33" s="127">
        <f t="shared" si="14"/>
        <v>5.7600000000000004E-3</v>
      </c>
      <c r="AK33" s="127">
        <f t="shared" si="15"/>
        <v>1.2414567897146714E-2</v>
      </c>
      <c r="AL33" s="127">
        <f t="shared" si="16"/>
        <v>1.6347199999999999E-2</v>
      </c>
      <c r="AM33" s="127">
        <f t="shared" si="33"/>
        <v>0.37243703691440144</v>
      </c>
      <c r="AN33" s="127">
        <f>IF(AND($A33&lt;&gt;0,$A33&lt;&gt;"",OR(RIGHT(Logic!B33,2)="C)",LEFT(Logic!B33,4)="CSD1")),SUM(AD33:AF33)+(AJ33/3)+AK33+AL33/6+AM33/6,AN34)</f>
        <v>0.14694833467453564</v>
      </c>
      <c r="AO33" s="127">
        <f>IF(AND($A33&lt;&gt;0,$A33&lt;&gt;"",OR(RIGHT(Logic!B33,2)="T)",LEFT(Logic!B33,4)="CSD1")),SUM(AG33:AI33)+(AJ33/3)+AL33/6+AM33/6,AO32)</f>
        <v>0.14145081078489652</v>
      </c>
      <c r="AP33" s="48">
        <f t="shared" si="34"/>
        <v>0.28999999999999998</v>
      </c>
      <c r="AQ33" s="35" t="str">
        <f>IF(AND(A33&lt;&gt;0,A33&lt;&gt;""),LOOKUP(A33,Discrete_NFET[PARTNUMBER],Discrete_NFET[TI_EQ_PACKAGE]),"")</f>
        <v>SON5x6</v>
      </c>
      <c r="AR33" s="49">
        <f>IF(AND(A33&lt;&gt;0,A33&lt;&gt;""),LOOKUP(A33,Discrete_NFET[PARTNUMBER],Discrete_NFET[1KPRICE]),"")</f>
        <v>0.77</v>
      </c>
      <c r="AS33" s="35" t="str">
        <f>IF(AND($A33&lt;&gt;0,$A33&lt;&gt;""),CONCATENATE(TEXT(AP33,"0.00"),"W, ",IF('User Input'!F$11="Single Discrete",A33,IF('User Input'!F$11="Dual/Power Block",LEFT(A33,FIND(")",A33)-7),A33)),", ",AQ33,", ",TEXT(AR33,"$0.00")),"Invalid Part")</f>
        <v>0.29W, CSD17556Q5B, SON5x6, $0.77</v>
      </c>
      <c r="AT33" t="s">
        <v>762</v>
      </c>
      <c r="AW33"/>
    </row>
    <row r="34" spans="1:49" ht="15" customHeight="1" x14ac:dyDescent="0.25">
      <c r="A34" s="35" t="str">
        <f>IF(OR(AND(FET_config="Dual/Power Block",LEFT(Logic!B34,4)="CSD8"),AND(FET_config="Single Discrete",LEFT(Logic!B34,4)="CSD1")),Logic!B34,"")</f>
        <v>CSD17559Q5</v>
      </c>
      <c r="B34" s="37" t="str">
        <f>IF(OR($A34=0,$A34=""),"0",IF(LOOKUP($A34,Discrete_NFET[PARTNUMBER],Discrete_NFET[RDSON25])="(NULL)","0","1"))</f>
        <v>0</v>
      </c>
      <c r="C34" s="38" t="str">
        <f>IF(OR($A34=0,$A34=""),"0",IF(LOOKUP($A34,Discrete_NFET[PARTNUMBER],Discrete_NFET[RDSON3])="(NULL)","0","1"))</f>
        <v>0</v>
      </c>
      <c r="D34" s="40" t="str">
        <f>IF(OR($A34=0,$A34=""),"0",IF(LOOKUP($A34,Discrete_NFET[PARTNUMBER],Discrete_NFET[RDSON45])="(NULL)","0","1"))</f>
        <v>1</v>
      </c>
      <c r="E34" s="45" t="str">
        <f>IF(OR($A34=0,$A34=""),"0",IF(LOOKUP($A34,Discrete_NFET[PARTNUMBER],Discrete_NFET[RDSON6])="(NULL)","0","1"))</f>
        <v>0</v>
      </c>
      <c r="F34" s="34" t="str">
        <f>IF(OR($A34=0,$A34=""),"0",IF(LOOKUP($A34,Discrete_NFET[PARTNUMBER],Discrete_NFET[RDSON8])="(NULL)","0","1"))</f>
        <v>0</v>
      </c>
      <c r="G34" s="43" t="str">
        <f>IF(OR($A34=0,$A34=""),"0",IF(LOOKUP($A34,Discrete_NFET[PARTNUMBER],Discrete_NFET[RDSON10])="(NULL)","0","1"))</f>
        <v>1</v>
      </c>
      <c r="H34" s="36" t="b">
        <f t="shared" si="19"/>
        <v>0</v>
      </c>
      <c r="I34" s="39" t="b">
        <f t="shared" si="20"/>
        <v>0</v>
      </c>
      <c r="J34" s="41" t="b">
        <f t="shared" si="21"/>
        <v>1</v>
      </c>
      <c r="K34" s="46" t="b">
        <f t="shared" si="22"/>
        <v>0</v>
      </c>
      <c r="L34" s="42" t="b">
        <f t="shared" si="23"/>
        <v>0</v>
      </c>
      <c r="M34" s="44" t="b">
        <f t="shared" si="24"/>
        <v>1</v>
      </c>
      <c r="N34" s="47" t="b">
        <f t="shared" si="25"/>
        <v>1</v>
      </c>
      <c r="O34" s="36" t="b">
        <f t="shared" si="26"/>
        <v>0</v>
      </c>
      <c r="P34" s="39" t="b">
        <f t="shared" si="27"/>
        <v>0</v>
      </c>
      <c r="Q34" s="41" t="b">
        <f t="shared" si="28"/>
        <v>1</v>
      </c>
      <c r="R34" s="46" t="b">
        <f t="shared" si="29"/>
        <v>0</v>
      </c>
      <c r="S34" s="42" t="b">
        <f t="shared" si="30"/>
        <v>0</v>
      </c>
      <c r="T34" s="44" t="b">
        <f t="shared" si="31"/>
        <v>1</v>
      </c>
      <c r="U34" s="148">
        <f>IF(T34,LOOKUP(A34,Discrete_NFET[PARTNUMBER],Discrete_NFET[RDSON10])*1000,IF(S34,LOOKUP(A34,Discrete_NFET[PARTNUMBER],Discrete_NFET[RDSON8])*1000,IF(R34,LOOKUP(A34,Discrete_NFET[PARTNUMBER],Discrete_NFET[RDSON6])*1000,IF(Q34,LOOKUP(A34,Discrete_NFET[PARTNUMBER],Discrete_NFET[RDSON45])*1000,IF(P34,LOOKUP(A34,Discrete_NFET[PARTNUMBER],Discrete_NFET[RDSON3])*1000,IF(O34,LOOKUP(A34,Discrete_NFET[PARTNUMBER],Discrete_NFET[RDSON25])*1000,""))))))</f>
        <v>1.1000000000000001</v>
      </c>
      <c r="V34" s="48">
        <f>IF(AND(A34&lt;&gt;0,A34&lt;&gt;""),U34*(1+(Tj-25)*(LOOKUP(A34,Discrete_NFET[PARTNUMBER],Discrete_NFET[RDSDELTA])/((LOOKUP(A34,Discrete_NFET[PARTNUMBER],Discrete_NFET[TJMAX])-25)))),"")</f>
        <v>1.254</v>
      </c>
      <c r="W34" s="35">
        <f>IF(AND($A34&lt;&gt;0,$A34&lt;&gt;""),LOOKUP($A34,Discrete_NFET[PARTNUMBER],Discrete_NFET[QGS]),"")</f>
        <v>14.4</v>
      </c>
      <c r="X34" s="35">
        <f>IF(AND($A34&lt;&gt;0,$A34&lt;&gt;""),LOOKUP($A34,Discrete_NFET[PARTNUMBER],Discrete_NFET[QGD]),"")</f>
        <v>9.3000000000000007</v>
      </c>
      <c r="Y34" s="35">
        <f>IF(AND($A34&lt;&gt;0,$A34&lt;&gt;""),LOOKUP($A34,Discrete_NFET[PARTNUMBER],Discrete_NFET[QGTH]),"")</f>
        <v>8.3000000000000007</v>
      </c>
      <c r="Z34" s="35">
        <f t="shared" si="32"/>
        <v>15.400000000000002</v>
      </c>
      <c r="AA34" s="35">
        <f>IF(AND($A34&lt;&gt;0,$A34&lt;&gt;""),LOOKUP($A34,Discrete_NFET[PARTNUMBER],Discrete_NFET[QOSSTYP]),"")</f>
        <v>50</v>
      </c>
      <c r="AB34" s="35">
        <f>IF(AND($A34&lt;&gt;0,$A34&lt;&gt;""),LOOKUP($A34,Discrete_NFET[PARTNUMBER],Discrete_NFET[QRR]),"")</f>
        <v>80</v>
      </c>
      <c r="AC34" s="35">
        <f>IF(AND(A34&lt;&gt;0,A34&lt;&gt;""),LOOKUP(A34,Discrete_NFET[PARTNUMBER],Discrete_NFET[VF_TYP]),"")</f>
        <v>0.8</v>
      </c>
      <c r="AD34" s="127">
        <f>IF(AND($A34&lt;&gt;0,$A34&lt;&gt;"",OR(RIGHT(Logic!B34,2)="C)",LEFT(Logic!B34,4)="CSD1")),(1+(1-DUTY))*IM_RMS_120^2*V34*m/3/Num_FETS,"")</f>
        <v>5.2768640350877187E-2</v>
      </c>
      <c r="AE34" s="127">
        <f>IF(AND($A34&lt;&gt;0,$A34&lt;&gt;"",OR(RIGHT(Logic!B34,2)="C)",LEFT(Logic!B34,4)="CSD1")),Num_FETS*0.5*IM_RMS_120*VDC_AVG*Z34*n*MOT_ELEC_FREQ/GDR_SRC,"")</f>
        <v>4.9664602683178548E-5</v>
      </c>
      <c r="AF34" s="127">
        <f>IF(AND($A34&lt;&gt;0,$A34&lt;&gt;"",OR(RIGHT(Logic!B34,2)="C)",LEFT(Logic!B34,4)="CSD1")),Num_FETS*0.5*IM_RMS_120*VDC_AVG*Z34*n*MOT_ELEC_FREQ/GDR_SINK,"")</f>
        <v>3.3771929824561414E-5</v>
      </c>
      <c r="AG34" s="127">
        <f>IF(AND($A34&lt;&gt;0,$A34&lt;&gt;"",OR(RIGHT(Logic!B34,2)="T)",LEFT(Logic!B34,4)="CSD1")),DUTY*IM_RMS_120^2*V34*m/3/Num_FETS,"")</f>
        <v>4.7743055555555546E-2</v>
      </c>
      <c r="AH34" s="127">
        <f>IF(AND($A34&lt;&gt;0,$A34&lt;&gt;"",OR(RIGHT(Logic!B34,2)="T)",LEFT(Logic!B34,4)="CSD1")),Num_FETS*0.5*IM_RMS_120*VDC_AVG*Z34*n*FSW*k/GDR_SRC/3,"")</f>
        <v>9.9329205366357077E-3</v>
      </c>
      <c r="AI34" s="127">
        <f>IF(AND($A34&lt;&gt;0,$A34&lt;&gt;"",OR(RIGHT(Logic!B34,2)="T)",LEFT(Logic!B34,4)="CSD1")),Num_FETS*0.5*IM_RMS_120*VDC_AVG*Z34*n*FSW*k/GDR_SINK/3,"")</f>
        <v>6.7543859649122811E-3</v>
      </c>
      <c r="AJ34" s="127">
        <f t="shared" ref="AJ34:AJ65" si="35">IF(AND($A34&lt;&gt;0,$A34&lt;&gt;""),Num_FETS*((AA34*VDC_AVG)*((FSW*k)))*n/2,"")</f>
        <v>6.0000000000000001E-3</v>
      </c>
      <c r="AK34" s="127">
        <f t="shared" ref="AK34:AK65" si="36">IF(AND($A34&lt;&gt;0,$A34&lt;&gt;""),2*T_DEAD*n*AC34*IM_PEAK*(FSW*k)/3,"")</f>
        <v>1.2414567897146714E-2</v>
      </c>
      <c r="AL34" s="127">
        <f t="shared" ref="AL34:AL65" si="37">IF(AND($A34&lt;&gt;0,$A34&lt;&gt;""),Num_FETS*((AB34*VDC_AVG)*((MOT_ELEC_FREQ+FSW*k)))*n,"")</f>
        <v>1.9232000000000003E-2</v>
      </c>
      <c r="AM34" s="127">
        <f t="shared" si="33"/>
        <v>0.37243703691440144</v>
      </c>
      <c r="AN34" s="127">
        <f>IF(AND($A34&lt;&gt;0,$A34&lt;&gt;"",OR(RIGHT(Logic!B34,2)="C)",LEFT(Logic!B34,4)="CSD1")),SUM(AD34:AF34)+(AJ34/3)+AK34+AL34/6+AM34/6,AN35)</f>
        <v>0.13254481759959855</v>
      </c>
      <c r="AO34" s="127">
        <f>IF(AND($A34&lt;&gt;0,$A34&lt;&gt;"",OR(RIGHT(Logic!B34,2)="T)",LEFT(Logic!B34,4)="CSD1")),SUM(AG34:AI34)+(AJ34/3)+AL34/6+AM34/6,AO33)</f>
        <v>0.13170853487617046</v>
      </c>
      <c r="AP34" s="48">
        <f t="shared" si="34"/>
        <v>0.26</v>
      </c>
      <c r="AQ34" s="35" t="str">
        <f>IF(AND(A34&lt;&gt;0,A34&lt;&gt;""),LOOKUP(A34,Discrete_NFET[PARTNUMBER],Discrete_NFET[TI_EQ_PACKAGE]),"")</f>
        <v>SON5X6</v>
      </c>
      <c r="AR34" s="49">
        <f>IF(AND(A34&lt;&gt;0,A34&lt;&gt;""),LOOKUP(A34,Discrete_NFET[PARTNUMBER],Discrete_NFET[1KPRICE]),"")</f>
        <v>0.86</v>
      </c>
      <c r="AS34" s="35" t="str">
        <f>IF(AND($A34&lt;&gt;0,$A34&lt;&gt;""),CONCATENATE(TEXT(AP34,"0.00"),"W, ",IF('User Input'!F$11="Single Discrete",A34,IF('User Input'!F$11="Dual/Power Block",LEFT(A34,FIND(")",A34)-7),A34)),", ",AQ34,", ",TEXT(AR34,"$0.00")),"Invalid Part")</f>
        <v>0.26W, CSD17559Q5, SON5X6, $0.86</v>
      </c>
      <c r="AT34" t="s">
        <v>763</v>
      </c>
      <c r="AW34"/>
    </row>
    <row r="35" spans="1:49" ht="15" customHeight="1" x14ac:dyDescent="0.25">
      <c r="A35" s="35" t="str">
        <f>IF(OR(AND(FET_config="Dual/Power Block",LEFT(Logic!B35,4)="CSD8"),AND(FET_config="Single Discrete",LEFT(Logic!B35,4)="CSD1")),Logic!B35,"")</f>
        <v>CSD17571Q2</v>
      </c>
      <c r="B35" s="37" t="str">
        <f>IF(OR($A35=0,$A35=""),"0",IF(LOOKUP($A35,Discrete_NFET[PARTNUMBER],Discrete_NFET[RDSON25])="(NULL)","0","1"))</f>
        <v>0</v>
      </c>
      <c r="C35" s="38" t="str">
        <f>IF(OR($A35=0,$A35=""),"0",IF(LOOKUP($A35,Discrete_NFET[PARTNUMBER],Discrete_NFET[RDSON3])="(NULL)","0","1"))</f>
        <v>0</v>
      </c>
      <c r="D35" s="40" t="str">
        <f>IF(OR($A35=0,$A35=""),"0",IF(LOOKUP($A35,Discrete_NFET[PARTNUMBER],Discrete_NFET[RDSON45])="(NULL)","0","1"))</f>
        <v>1</v>
      </c>
      <c r="E35" s="45" t="str">
        <f>IF(OR($A35=0,$A35=""),"0",IF(LOOKUP($A35,Discrete_NFET[PARTNUMBER],Discrete_NFET[RDSON6])="(NULL)","0","1"))</f>
        <v>0</v>
      </c>
      <c r="F35" s="34" t="str">
        <f>IF(OR($A35=0,$A35=""),"0",IF(LOOKUP($A35,Discrete_NFET[PARTNUMBER],Discrete_NFET[RDSON8])="(NULL)","0","1"))</f>
        <v>0</v>
      </c>
      <c r="G35" s="43" t="str">
        <f>IF(OR($A35=0,$A35=""),"0",IF(LOOKUP($A35,Discrete_NFET[PARTNUMBER],Discrete_NFET[RDSON10])="(NULL)","0","1"))</f>
        <v>1</v>
      </c>
      <c r="H35" s="36" t="b">
        <f t="shared" si="19"/>
        <v>0</v>
      </c>
      <c r="I35" s="39" t="b">
        <f t="shared" si="20"/>
        <v>0</v>
      </c>
      <c r="J35" s="41" t="b">
        <f t="shared" si="21"/>
        <v>1</v>
      </c>
      <c r="K35" s="46" t="b">
        <f t="shared" si="22"/>
        <v>0</v>
      </c>
      <c r="L35" s="42" t="b">
        <f t="shared" si="23"/>
        <v>0</v>
      </c>
      <c r="M35" s="44" t="b">
        <f t="shared" si="24"/>
        <v>1</v>
      </c>
      <c r="N35" s="47" t="b">
        <f t="shared" si="25"/>
        <v>1</v>
      </c>
      <c r="O35" s="36" t="b">
        <f t="shared" si="26"/>
        <v>0</v>
      </c>
      <c r="P35" s="39" t="b">
        <f t="shared" si="27"/>
        <v>0</v>
      </c>
      <c r="Q35" s="41" t="b">
        <f t="shared" si="28"/>
        <v>1</v>
      </c>
      <c r="R35" s="46" t="b">
        <f t="shared" si="29"/>
        <v>0</v>
      </c>
      <c r="S35" s="42" t="b">
        <f t="shared" si="30"/>
        <v>0</v>
      </c>
      <c r="T35" s="44" t="b">
        <f t="shared" si="31"/>
        <v>1</v>
      </c>
      <c r="U35" s="148">
        <f>IF(T35,LOOKUP(A35,Discrete_NFET[PARTNUMBER],Discrete_NFET[RDSON10])*1000,IF(S35,LOOKUP(A35,Discrete_NFET[PARTNUMBER],Discrete_NFET[RDSON8])*1000,IF(R35,LOOKUP(A35,Discrete_NFET[PARTNUMBER],Discrete_NFET[RDSON6])*1000,IF(Q35,LOOKUP(A35,Discrete_NFET[PARTNUMBER],Discrete_NFET[RDSON45])*1000,IF(P35,LOOKUP(A35,Discrete_NFET[PARTNUMBER],Discrete_NFET[RDSON3])*1000,IF(O35,LOOKUP(A35,Discrete_NFET[PARTNUMBER],Discrete_NFET[RDSON25])*1000,""))))))</f>
        <v>24</v>
      </c>
      <c r="V35" s="48">
        <f>IF(AND(A35&lt;&gt;0,A35&lt;&gt;""),U35*(1+(Tj-25)*(LOOKUP(A35,Discrete_NFET[PARTNUMBER],Discrete_NFET[RDSDELTA])/((LOOKUP(A35,Discrete_NFET[PARTNUMBER],Discrete_NFET[TJMAX])-25)))),"")</f>
        <v>27.744</v>
      </c>
      <c r="W35" s="35">
        <f>IF(AND($A35&lt;&gt;0,$A35&lt;&gt;""),LOOKUP($A35,Discrete_NFET[PARTNUMBER],Discrete_NFET[QGS]),"")</f>
        <v>0.9</v>
      </c>
      <c r="X35" s="35">
        <f>IF(AND($A35&lt;&gt;0,$A35&lt;&gt;""),LOOKUP($A35,Discrete_NFET[PARTNUMBER],Discrete_NFET[QGD]),"")</f>
        <v>0.9</v>
      </c>
      <c r="Y35" s="35">
        <f>IF(AND($A35&lt;&gt;0,$A35&lt;&gt;""),LOOKUP($A35,Discrete_NFET[PARTNUMBER],Discrete_NFET[QGTH]),"")</f>
        <v>0.6</v>
      </c>
      <c r="Z35" s="35">
        <f t="shared" si="32"/>
        <v>1.2000000000000002</v>
      </c>
      <c r="AA35" s="35">
        <f>IF(AND($A35&lt;&gt;0,$A35&lt;&gt;""),LOOKUP($A35,Discrete_NFET[PARTNUMBER],Discrete_NFET[QOSSTYP]),"")</f>
        <v>3.4</v>
      </c>
      <c r="AB35" s="35">
        <f>IF(AND($A35&lt;&gt;0,$A35&lt;&gt;""),LOOKUP($A35,Discrete_NFET[PARTNUMBER],Discrete_NFET[QRR]),"")</f>
        <v>2.2999999999999998</v>
      </c>
      <c r="AC35" s="35">
        <f>IF(AND(A35&lt;&gt;0,A35&lt;&gt;""),LOOKUP(A35,Discrete_NFET[PARTNUMBER],Discrete_NFET[VF_TYP]),"")</f>
        <v>0.8</v>
      </c>
      <c r="AD35" s="127">
        <f>IF(AND($A35&lt;&gt;0,$A35&lt;&gt;"",OR(RIGHT(Logic!B35,2)="C)",LEFT(Logic!B35,4)="CSD1")),(1+(1-DUTY))*IM_RMS_120^2*V35*m/3/Num_FETS,"")</f>
        <v>1.1674746075715603</v>
      </c>
      <c r="AE35" s="127">
        <f>IF(AND($A35&lt;&gt;0,$A35&lt;&gt;"",OR(RIGHT(Logic!B35,2)="C)",LEFT(Logic!B35,4)="CSD1")),Num_FETS*0.5*IM_RMS_120*VDC_AVG*Z35*n*MOT_ELEC_FREQ/GDR_SRC,"")</f>
        <v>3.8699690402476781E-6</v>
      </c>
      <c r="AF35" s="127">
        <f>IF(AND($A35&lt;&gt;0,$A35&lt;&gt;"",OR(RIGHT(Logic!B35,2)="C)",LEFT(Logic!B35,4)="CSD1")),Num_FETS*0.5*IM_RMS_120*VDC_AVG*Z35*n*MOT_ELEC_FREQ/GDR_SINK,"")</f>
        <v>2.6315789473684215E-6</v>
      </c>
      <c r="AG35" s="127">
        <f>IF(AND($A35&lt;&gt;0,$A35&lt;&gt;"",OR(RIGHT(Logic!B35,2)="T)",LEFT(Logic!B35,4)="CSD1")),DUTY*IM_RMS_120^2*V35*m/3/Num_FETS,"")</f>
        <v>1.0562865497076022</v>
      </c>
      <c r="AH35" s="127">
        <f>IF(AND($A35&lt;&gt;0,$A35&lt;&gt;"",OR(RIGHT(Logic!B35,2)="T)",LEFT(Logic!B35,4)="CSD1")),Num_FETS*0.5*IM_RMS_120*VDC_AVG*Z35*n*FSW*k/GDR_SRC/3,"")</f>
        <v>7.7399380804953554E-4</v>
      </c>
      <c r="AI35" s="127">
        <f>IF(AND($A35&lt;&gt;0,$A35&lt;&gt;"",OR(RIGHT(Logic!B35,2)="T)",LEFT(Logic!B35,4)="CSD1")),Num_FETS*0.5*IM_RMS_120*VDC_AVG*Z35*n*FSW*k/GDR_SINK/3,"")</f>
        <v>5.2631578947368431E-4</v>
      </c>
      <c r="AJ35" s="127">
        <f t="shared" si="35"/>
        <v>4.0800000000000005E-4</v>
      </c>
      <c r="AK35" s="127">
        <f t="shared" si="36"/>
        <v>1.2414567897146714E-2</v>
      </c>
      <c r="AL35" s="127">
        <f t="shared" si="37"/>
        <v>5.5291999999999993E-4</v>
      </c>
      <c r="AM35" s="127">
        <f t="shared" si="33"/>
        <v>0.37243703691440144</v>
      </c>
      <c r="AN35" s="127">
        <f>IF(AND($A35&lt;&gt;0,$A35&lt;&gt;"",OR(RIGHT(Logic!B35,2)="C)",LEFT(Logic!B35,4)="CSD1")),SUM(AD35:AF35)+(AJ35/3)+AK35+AL35/6+AM35/6,AN36)</f>
        <v>1.2421966698357616</v>
      </c>
      <c r="AO35" s="127">
        <f>IF(AND($A35&lt;&gt;0,$A35&lt;&gt;"",OR(RIGHT(Logic!B35,2)="T)",LEFT(Logic!B35,4)="CSD1")),SUM(AG35:AI35)+(AJ35/3)+AL35/6+AM35/6,AO34)</f>
        <v>1.1198878521241922</v>
      </c>
      <c r="AP35" s="48">
        <f t="shared" si="34"/>
        <v>2.36</v>
      </c>
      <c r="AQ35" s="35" t="str">
        <f>IF(AND(A35&lt;&gt;0,A35&lt;&gt;""),LOOKUP(A35,Discrete_NFET[PARTNUMBER],Discrete_NFET[TI_EQ_PACKAGE]),"")</f>
        <v>SON2X2</v>
      </c>
      <c r="AR35" s="49">
        <f>IF(AND(A35&lt;&gt;0,A35&lt;&gt;""),LOOKUP(A35,Discrete_NFET[PARTNUMBER],Discrete_NFET[1KPRICE]),"")</f>
        <v>0.1</v>
      </c>
      <c r="AS35" s="35" t="str">
        <f>IF(AND($A35&lt;&gt;0,$A35&lt;&gt;""),CONCATENATE(TEXT(AP35,"0.00"),"W, ",IF('User Input'!F$11="Single Discrete",A35,IF('User Input'!F$11="Dual/Power Block",LEFT(A35,FIND(")",A35)-7),A35)),", ",AQ35,", ",TEXT(AR35,"$0.00")),"Invalid Part")</f>
        <v>2.36W, CSD17571Q2, SON2X2, $0.10</v>
      </c>
      <c r="AT35" t="s">
        <v>790</v>
      </c>
      <c r="AW35"/>
    </row>
    <row r="36" spans="1:49" ht="15" customHeight="1" x14ac:dyDescent="0.25">
      <c r="A36" s="35" t="str">
        <f>IF(OR(AND(FET_config="Dual/Power Block",LEFT(Logic!B36,4)="CSD8"),AND(FET_config="Single Discrete",LEFT(Logic!B36,4)="CSD1")),Logic!B36,"")</f>
        <v>CSD17573Q5B</v>
      </c>
      <c r="B36" s="37" t="str">
        <f>IF(OR($A36=0,$A36=""),"0",IF(LOOKUP($A36,Discrete_NFET[PARTNUMBER],Discrete_NFET[RDSON25])="(NULL)","0","1"))</f>
        <v>0</v>
      </c>
      <c r="C36" s="38" t="str">
        <f>IF(OR($A36=0,$A36=""),"0",IF(LOOKUP($A36,Discrete_NFET[PARTNUMBER],Discrete_NFET[RDSON3])="(NULL)","0","1"))</f>
        <v>0</v>
      </c>
      <c r="D36" s="40" t="str">
        <f>IF(OR($A36=0,$A36=""),"0",IF(LOOKUP($A36,Discrete_NFET[PARTNUMBER],Discrete_NFET[RDSON45])="(NULL)","0","1"))</f>
        <v>1</v>
      </c>
      <c r="E36" s="45" t="str">
        <f>IF(OR($A36=0,$A36=""),"0",IF(LOOKUP($A36,Discrete_NFET[PARTNUMBER],Discrete_NFET[RDSON6])="(NULL)","0","1"))</f>
        <v>0</v>
      </c>
      <c r="F36" s="34" t="str">
        <f>IF(OR($A36=0,$A36=""),"0",IF(LOOKUP($A36,Discrete_NFET[PARTNUMBER],Discrete_NFET[RDSON8])="(NULL)","0","1"))</f>
        <v>0</v>
      </c>
      <c r="G36" s="43" t="str">
        <f>IF(OR($A36=0,$A36=""),"0",IF(LOOKUP($A36,Discrete_NFET[PARTNUMBER],Discrete_NFET[RDSON10])="(NULL)","0","1"))</f>
        <v>1</v>
      </c>
      <c r="H36" s="36" t="b">
        <f t="shared" si="19"/>
        <v>0</v>
      </c>
      <c r="I36" s="39" t="b">
        <f t="shared" si="20"/>
        <v>0</v>
      </c>
      <c r="J36" s="41" t="b">
        <f t="shared" si="21"/>
        <v>1</v>
      </c>
      <c r="K36" s="46" t="b">
        <f t="shared" si="22"/>
        <v>0</v>
      </c>
      <c r="L36" s="42" t="b">
        <f t="shared" si="23"/>
        <v>0</v>
      </c>
      <c r="M36" s="44" t="b">
        <f t="shared" si="24"/>
        <v>1</v>
      </c>
      <c r="N36" s="47" t="b">
        <f t="shared" si="25"/>
        <v>1</v>
      </c>
      <c r="O36" s="36" t="b">
        <f t="shared" si="26"/>
        <v>0</v>
      </c>
      <c r="P36" s="39" t="b">
        <f t="shared" si="27"/>
        <v>0</v>
      </c>
      <c r="Q36" s="41" t="b">
        <f t="shared" si="28"/>
        <v>1</v>
      </c>
      <c r="R36" s="46" t="b">
        <f t="shared" si="29"/>
        <v>0</v>
      </c>
      <c r="S36" s="42" t="b">
        <f t="shared" si="30"/>
        <v>0</v>
      </c>
      <c r="T36" s="44" t="b">
        <f t="shared" si="31"/>
        <v>1</v>
      </c>
      <c r="U36" s="148">
        <f>IF(T36,LOOKUP(A36,Discrete_NFET[PARTNUMBER],Discrete_NFET[RDSON10])*1000,IF(S36,LOOKUP(A36,Discrete_NFET[PARTNUMBER],Discrete_NFET[RDSON8])*1000,IF(R36,LOOKUP(A36,Discrete_NFET[PARTNUMBER],Discrete_NFET[RDSON6])*1000,IF(Q36,LOOKUP(A36,Discrete_NFET[PARTNUMBER],Discrete_NFET[RDSON45])*1000,IF(P36,LOOKUP(A36,Discrete_NFET[PARTNUMBER],Discrete_NFET[RDSON3])*1000,IF(O36,LOOKUP(A36,Discrete_NFET[PARTNUMBER],Discrete_NFET[RDSON25])*1000,""))))))</f>
        <v>1</v>
      </c>
      <c r="V36" s="48">
        <f>IF(AND(A36&lt;&gt;0,A36&lt;&gt;""),U36*(1+(Tj-25)*(LOOKUP(A36,Discrete_NFET[PARTNUMBER],Discrete_NFET[RDSDELTA])/((LOOKUP(A36,Discrete_NFET[PARTNUMBER],Discrete_NFET[TJMAX])-25)))),"")</f>
        <v>1.1539999999999999</v>
      </c>
      <c r="W36" s="35">
        <f>IF(AND($A36&lt;&gt;0,$A36&lt;&gt;""),LOOKUP($A36,Discrete_NFET[PARTNUMBER],Discrete_NFET[QGS]),"")</f>
        <v>17.100000000000001</v>
      </c>
      <c r="X36" s="35">
        <f>IF(AND($A36&lt;&gt;0,$A36&lt;&gt;""),LOOKUP($A36,Discrete_NFET[PARTNUMBER],Discrete_NFET[QGD]),"")</f>
        <v>11.9</v>
      </c>
      <c r="Y36" s="35">
        <f>IF(AND($A36&lt;&gt;0,$A36&lt;&gt;""),LOOKUP($A36,Discrete_NFET[PARTNUMBER],Discrete_NFET[QGTH]),"")</f>
        <v>8.6</v>
      </c>
      <c r="Z36" s="35">
        <f t="shared" si="32"/>
        <v>20.399999999999999</v>
      </c>
      <c r="AA36" s="35">
        <f>IF(AND($A36&lt;&gt;0,$A36&lt;&gt;""),LOOKUP($A36,Discrete_NFET[PARTNUMBER],Discrete_NFET[QOSSTYP]),"")</f>
        <v>21</v>
      </c>
      <c r="AB36" s="35">
        <f>IF(AND($A36&lt;&gt;0,$A36&lt;&gt;""),LOOKUP($A36,Discrete_NFET[PARTNUMBER],Discrete_NFET[QRR]),"")</f>
        <v>29</v>
      </c>
      <c r="AC36" s="35">
        <f>IF(AND(A36&lt;&gt;0,A36&lt;&gt;""),LOOKUP(A36,Discrete_NFET[PARTNUMBER],Discrete_NFET[VF_TYP]),"")</f>
        <v>0.8</v>
      </c>
      <c r="AD36" s="127">
        <f>IF(AND($A36&lt;&gt;0,$A36&lt;&gt;"",OR(RIGHT(Logic!B36,2)="C)",LEFT(Logic!B36,4)="CSD1")),(1+(1-DUTY))*IM_RMS_120^2*V36*m/3/Num_FETS,"")</f>
        <v>4.8560614804555237E-2</v>
      </c>
      <c r="AE36" s="127">
        <f>IF(AND($A36&lt;&gt;0,$A36&lt;&gt;"",OR(RIGHT(Logic!B36,2)="C)",LEFT(Logic!B36,4)="CSD1")),Num_FETS*0.5*IM_RMS_120*VDC_AVG*Z36*n*MOT_ELEC_FREQ/GDR_SRC,"")</f>
        <v>6.5789473684210525E-5</v>
      </c>
      <c r="AF36" s="127">
        <f>IF(AND($A36&lt;&gt;0,$A36&lt;&gt;"",OR(RIGHT(Logic!B36,2)="C)",LEFT(Logic!B36,4)="CSD1")),Num_FETS*0.5*IM_RMS_120*VDC_AVG*Z36*n*MOT_ELEC_FREQ/GDR_SINK,"")</f>
        <v>4.4736842105263159E-5</v>
      </c>
      <c r="AG36" s="127">
        <f>IF(AND($A36&lt;&gt;0,$A36&lt;&gt;"",OR(RIGHT(Logic!B36,2)="T)",LEFT(Logic!B36,4)="CSD1")),DUTY*IM_RMS_120^2*V36*m/3/Num_FETS,"")</f>
        <v>4.393579434697855E-2</v>
      </c>
      <c r="AH36" s="127">
        <f>IF(AND($A36&lt;&gt;0,$A36&lt;&gt;"",OR(RIGHT(Logic!B36,2)="T)",LEFT(Logic!B36,4)="CSD1")),Num_FETS*0.5*IM_RMS_120*VDC_AVG*Z36*n*FSW*k/GDR_SRC/3,"")</f>
        <v>1.3157894736842105E-2</v>
      </c>
      <c r="AI36" s="127">
        <f>IF(AND($A36&lt;&gt;0,$A36&lt;&gt;"",OR(RIGHT(Logic!B36,2)="T)",LEFT(Logic!B36,4)="CSD1")),Num_FETS*0.5*IM_RMS_120*VDC_AVG*Z36*n*FSW*k/GDR_SINK/3,"")</f>
        <v>8.9473684210526327E-3</v>
      </c>
      <c r="AJ36" s="127">
        <f t="shared" si="35"/>
        <v>2.5200000000000001E-3</v>
      </c>
      <c r="AK36" s="127">
        <f t="shared" si="36"/>
        <v>1.2414567897146714E-2</v>
      </c>
      <c r="AL36" s="127">
        <f t="shared" si="37"/>
        <v>6.9716000000000005E-3</v>
      </c>
      <c r="AM36" s="127">
        <f t="shared" si="33"/>
        <v>0.37243703691440144</v>
      </c>
      <c r="AN36" s="127">
        <f>IF(AND($A36&lt;&gt;0,$A36&lt;&gt;"",OR(RIGHT(Logic!B36,2)="C)",LEFT(Logic!B36,4)="CSD1")),SUM(AD36:AF36)+(AJ36/3)+AK36+AL36/6+AM36/6,AN37)</f>
        <v>0.12516048183655834</v>
      </c>
      <c r="AO36" s="127">
        <f>IF(AND($A36&lt;&gt;0,$A36&lt;&gt;"",OR(RIGHT(Logic!B36,2)="T)",LEFT(Logic!B36,4)="CSD1")),SUM(AG36:AI36)+(AJ36/3)+AL36/6+AM36/6,AO35)</f>
        <v>0.1301158303239402</v>
      </c>
      <c r="AP36" s="48">
        <f t="shared" si="34"/>
        <v>0.26</v>
      </c>
      <c r="AQ36" s="35" t="str">
        <f>IF(AND(A36&lt;&gt;0,A36&lt;&gt;""),LOOKUP(A36,Discrete_NFET[PARTNUMBER],Discrete_NFET[TI_EQ_PACKAGE]),"")</f>
        <v>SON5x6</v>
      </c>
      <c r="AR36" s="49">
        <f>IF(AND(A36&lt;&gt;0,A36&lt;&gt;""),LOOKUP(A36,Discrete_NFET[PARTNUMBER],Discrete_NFET[1KPRICE]),"")</f>
        <v>0.52</v>
      </c>
      <c r="AS36" s="35" t="str">
        <f>IF(AND($A36&lt;&gt;0,$A36&lt;&gt;""),CONCATENATE(TEXT(AP36,"0.00"),"W, ",IF('User Input'!F$11="Single Discrete",A36,IF('User Input'!F$11="Dual/Power Block",LEFT(A36,FIND(")",A36)-7),A36)),", ",AQ36,", ",TEXT(AR36,"$0.00")),"Invalid Part")</f>
        <v>0.26W, CSD17573Q5B, SON5x6, $0.52</v>
      </c>
      <c r="AT36" t="s">
        <v>791</v>
      </c>
      <c r="AW36"/>
    </row>
    <row r="37" spans="1:49" ht="15" customHeight="1" x14ac:dyDescent="0.25">
      <c r="A37" s="35" t="str">
        <f>IF(OR(AND(FET_config="Dual/Power Block",LEFT(Logic!B37,4)="CSD8"),AND(FET_config="Single Discrete",LEFT(Logic!B37,4)="CSD1")),Logic!B37,"")</f>
        <v>CSD17575Q3</v>
      </c>
      <c r="B37" s="37" t="str">
        <f>IF(OR($A37=0,$A37=""),"0",IF(LOOKUP($A37,Discrete_NFET[PARTNUMBER],Discrete_NFET[RDSON25])="(NULL)","0","1"))</f>
        <v>0</v>
      </c>
      <c r="C37" s="38" t="str">
        <f>IF(OR($A37=0,$A37=""),"0",IF(LOOKUP($A37,Discrete_NFET[PARTNUMBER],Discrete_NFET[RDSON3])="(NULL)","0","1"))</f>
        <v>0</v>
      </c>
      <c r="D37" s="40" t="str">
        <f>IF(OR($A37=0,$A37=""),"0",IF(LOOKUP($A37,Discrete_NFET[PARTNUMBER],Discrete_NFET[RDSON45])="(NULL)","0","1"))</f>
        <v>1</v>
      </c>
      <c r="E37" s="45" t="str">
        <f>IF(OR($A37=0,$A37=""),"0",IF(LOOKUP($A37,Discrete_NFET[PARTNUMBER],Discrete_NFET[RDSON6])="(NULL)","0","1"))</f>
        <v>0</v>
      </c>
      <c r="F37" s="34" t="str">
        <f>IF(OR($A37=0,$A37=""),"0",IF(LOOKUP($A37,Discrete_NFET[PARTNUMBER],Discrete_NFET[RDSON8])="(NULL)","0","1"))</f>
        <v>0</v>
      </c>
      <c r="G37" s="43" t="str">
        <f>IF(OR($A37=0,$A37=""),"0",IF(LOOKUP($A37,Discrete_NFET[PARTNUMBER],Discrete_NFET[RDSON10])="(NULL)","0","1"))</f>
        <v>1</v>
      </c>
      <c r="H37" s="36" t="b">
        <f t="shared" si="19"/>
        <v>0</v>
      </c>
      <c r="I37" s="39" t="b">
        <f t="shared" si="20"/>
        <v>0</v>
      </c>
      <c r="J37" s="41" t="b">
        <f t="shared" si="21"/>
        <v>1</v>
      </c>
      <c r="K37" s="46" t="b">
        <f t="shared" si="22"/>
        <v>0</v>
      </c>
      <c r="L37" s="42" t="b">
        <f t="shared" si="23"/>
        <v>0</v>
      </c>
      <c r="M37" s="44" t="b">
        <f t="shared" si="24"/>
        <v>1</v>
      </c>
      <c r="N37" s="47" t="b">
        <f t="shared" si="25"/>
        <v>1</v>
      </c>
      <c r="O37" s="36" t="b">
        <f t="shared" si="26"/>
        <v>0</v>
      </c>
      <c r="P37" s="39" t="b">
        <f t="shared" si="27"/>
        <v>0</v>
      </c>
      <c r="Q37" s="41" t="b">
        <f t="shared" si="28"/>
        <v>1</v>
      </c>
      <c r="R37" s="46" t="b">
        <f t="shared" si="29"/>
        <v>0</v>
      </c>
      <c r="S37" s="42" t="b">
        <f t="shared" si="30"/>
        <v>0</v>
      </c>
      <c r="T37" s="44" t="b">
        <f t="shared" si="31"/>
        <v>1</v>
      </c>
      <c r="U37" s="148">
        <f>IF(T37,LOOKUP(A37,Discrete_NFET[PARTNUMBER],Discrete_NFET[RDSON10])*1000,IF(S37,LOOKUP(A37,Discrete_NFET[PARTNUMBER],Discrete_NFET[RDSON8])*1000,IF(R37,LOOKUP(A37,Discrete_NFET[PARTNUMBER],Discrete_NFET[RDSON6])*1000,IF(Q37,LOOKUP(A37,Discrete_NFET[PARTNUMBER],Discrete_NFET[RDSON45])*1000,IF(P37,LOOKUP(A37,Discrete_NFET[PARTNUMBER],Discrete_NFET[RDSON3])*1000,IF(O37,LOOKUP(A37,Discrete_NFET[PARTNUMBER],Discrete_NFET[RDSON25])*1000,""))))))</f>
        <v>2</v>
      </c>
      <c r="V37" s="48">
        <f>IF(AND(A37&lt;&gt;0,A37&lt;&gt;""),U37*(1+(Tj-25)*(LOOKUP(A37,Discrete_NFET[PARTNUMBER],Discrete_NFET[RDSDELTA])/((LOOKUP(A37,Discrete_NFET[PARTNUMBER],Discrete_NFET[TJMAX])-25)))),"")</f>
        <v>2.2999999999999998</v>
      </c>
      <c r="W37" s="35">
        <f>IF(AND($A37&lt;&gt;0,$A37&lt;&gt;""),LOOKUP($A37,Discrete_NFET[PARTNUMBER],Discrete_NFET[QGS]),"")</f>
        <v>8.5</v>
      </c>
      <c r="X37" s="35">
        <f>IF(AND($A37&lt;&gt;0,$A37&lt;&gt;""),LOOKUP($A37,Discrete_NFET[PARTNUMBER],Discrete_NFET[QGD]),"")</f>
        <v>5.4</v>
      </c>
      <c r="Y37" s="35">
        <f>IF(AND($A37&lt;&gt;0,$A37&lt;&gt;""),LOOKUP($A37,Discrete_NFET[PARTNUMBER],Discrete_NFET[QGTH]),"")</f>
        <v>4.5999999999999996</v>
      </c>
      <c r="Z37" s="35">
        <f t="shared" si="32"/>
        <v>9.3000000000000007</v>
      </c>
      <c r="AA37" s="35">
        <f>IF(AND($A37&lt;&gt;0,$A37&lt;&gt;""),LOOKUP($A37,Discrete_NFET[PARTNUMBER],Discrete_NFET[QOSSTYP]),"")</f>
        <v>11.6</v>
      </c>
      <c r="AB37" s="35">
        <f>IF(AND($A37&lt;&gt;0,$A37&lt;&gt;""),LOOKUP($A37,Discrete_NFET[PARTNUMBER],Discrete_NFET[QRR]),"")</f>
        <v>15</v>
      </c>
      <c r="AC37" s="35">
        <f>IF(AND(A37&lt;&gt;0,A37&lt;&gt;""),LOOKUP(A37,Discrete_NFET[PARTNUMBER],Discrete_NFET[VF_TYP]),"")</f>
        <v>0.8</v>
      </c>
      <c r="AD37" s="127">
        <f>IF(AND($A37&lt;&gt;0,$A37&lt;&gt;"",OR(RIGHT(Logic!B37,2)="C)",LEFT(Logic!B37,4)="CSD1")),(1+(1-DUTY))*IM_RMS_120^2*V37*m/3/Num_FETS,"")</f>
        <v>9.6784587565404701E-2</v>
      </c>
      <c r="AE37" s="127">
        <f>IF(AND($A37&lt;&gt;0,$A37&lt;&gt;"",OR(RIGHT(Logic!B37,2)="C)",LEFT(Logic!B37,4)="CSD1")),Num_FETS*0.5*IM_RMS_120*VDC_AVG*Z37*n*MOT_ELEC_FREQ/GDR_SRC,"")</f>
        <v>2.9992260061919509E-5</v>
      </c>
      <c r="AF37" s="127">
        <f>IF(AND($A37&lt;&gt;0,$A37&lt;&gt;"",OR(RIGHT(Logic!B37,2)="C)",LEFT(Logic!B37,4)="CSD1")),Num_FETS*0.5*IM_RMS_120*VDC_AVG*Z37*n*MOT_ELEC_FREQ/GDR_SINK,"")</f>
        <v>2.0394736842105267E-5</v>
      </c>
      <c r="AG37" s="127">
        <f>IF(AND($A37&lt;&gt;0,$A37&lt;&gt;"",OR(RIGHT(Logic!B37,2)="T)",LEFT(Logic!B37,4)="CSD1")),DUTY*IM_RMS_120^2*V37*m/3/Num_FETS,"")</f>
        <v>8.7567007797270932E-2</v>
      </c>
      <c r="AH37" s="127">
        <f>IF(AND($A37&lt;&gt;0,$A37&lt;&gt;"",OR(RIGHT(Logic!B37,2)="T)",LEFT(Logic!B37,4)="CSD1")),Num_FETS*0.5*IM_RMS_120*VDC_AVG*Z37*n*FSW*k/GDR_SRC/3,"")</f>
        <v>5.9984520123839008E-3</v>
      </c>
      <c r="AI37" s="127">
        <f>IF(AND($A37&lt;&gt;0,$A37&lt;&gt;"",OR(RIGHT(Logic!B37,2)="T)",LEFT(Logic!B37,4)="CSD1")),Num_FETS*0.5*IM_RMS_120*VDC_AVG*Z37*n*FSW*k/GDR_SINK/3,"")</f>
        <v>4.0789473684210526E-3</v>
      </c>
      <c r="AJ37" s="127">
        <f t="shared" si="35"/>
        <v>1.392E-3</v>
      </c>
      <c r="AK37" s="127">
        <f t="shared" si="36"/>
        <v>1.2414567897146714E-2</v>
      </c>
      <c r="AL37" s="127">
        <f t="shared" si="37"/>
        <v>3.6060000000000003E-3</v>
      </c>
      <c r="AM37" s="127">
        <f t="shared" si="33"/>
        <v>0.37243703691440144</v>
      </c>
      <c r="AN37" s="127">
        <f>IF(AND($A37&lt;&gt;0,$A37&lt;&gt;"",OR(RIGHT(Logic!B37,2)="C)",LEFT(Logic!B37,4)="CSD1")),SUM(AD37:AF37)+(AJ37/3)+AK37+AL37/6+AM37/6,AN38)</f>
        <v>0.17238738194518904</v>
      </c>
      <c r="AO37" s="127">
        <f>IF(AND($A37&lt;&gt;0,$A37&lt;&gt;"",OR(RIGHT(Logic!B37,2)="T)",LEFT(Logic!B37,4)="CSD1")),SUM(AG37:AI37)+(AJ37/3)+AL37/6+AM37/6,AO36)</f>
        <v>0.16078224666380947</v>
      </c>
      <c r="AP37" s="48">
        <f t="shared" si="34"/>
        <v>0.33</v>
      </c>
      <c r="AQ37" s="35" t="str">
        <f>IF(AND(A37&lt;&gt;0,A37&lt;&gt;""),LOOKUP(A37,Discrete_NFET[PARTNUMBER],Discrete_NFET[TI_EQ_PACKAGE]),"")</f>
        <v>SON3X3</v>
      </c>
      <c r="AR37" s="49">
        <f>IF(AND(A37&lt;&gt;0,A37&lt;&gt;""),LOOKUP(A37,Discrete_NFET[PARTNUMBER],Discrete_NFET[1KPRICE]),"")</f>
        <v>0.31</v>
      </c>
      <c r="AS37" s="35" t="str">
        <f>IF(AND($A37&lt;&gt;0,$A37&lt;&gt;""),CONCATENATE(TEXT(AP37,"0.00"),"W, ",IF('User Input'!F$11="Single Discrete",A37,IF('User Input'!F$11="Dual/Power Block",LEFT(A37,FIND(")",A37)-7),A37)),", ",AQ37,", ",TEXT(AR37,"$0.00")),"Invalid Part")</f>
        <v>0.33W, CSD17575Q3, SON3X3, $0.31</v>
      </c>
      <c r="AT37" t="s">
        <v>752</v>
      </c>
      <c r="AW37"/>
    </row>
    <row r="38" spans="1:49" ht="15" customHeight="1" x14ac:dyDescent="0.25">
      <c r="A38" s="35" t="str">
        <f>IF(OR(AND(FET_config="Dual/Power Block",LEFT(Logic!B38,4)="CSD8"),AND(FET_config="Single Discrete",LEFT(Logic!B38,4)="CSD1")),Logic!B38,"")</f>
        <v>CSD17576Q5B</v>
      </c>
      <c r="B38" s="37" t="str">
        <f>IF(OR($A38=0,$A38=""),"0",IF(LOOKUP($A38,Discrete_NFET[PARTNUMBER],Discrete_NFET[RDSON25])="(NULL)","0","1"))</f>
        <v>0</v>
      </c>
      <c r="C38" s="38" t="str">
        <f>IF(OR($A38=0,$A38=""),"0",IF(LOOKUP($A38,Discrete_NFET[PARTNUMBER],Discrete_NFET[RDSON3])="(NULL)","0","1"))</f>
        <v>0</v>
      </c>
      <c r="D38" s="40" t="str">
        <f>IF(OR($A38=0,$A38=""),"0",IF(LOOKUP($A38,Discrete_NFET[PARTNUMBER],Discrete_NFET[RDSON45])="(NULL)","0","1"))</f>
        <v>1</v>
      </c>
      <c r="E38" s="45" t="str">
        <f>IF(OR($A38=0,$A38=""),"0",IF(LOOKUP($A38,Discrete_NFET[PARTNUMBER],Discrete_NFET[RDSON6])="(NULL)","0","1"))</f>
        <v>0</v>
      </c>
      <c r="F38" s="34" t="str">
        <f>IF(OR($A38=0,$A38=""),"0",IF(LOOKUP($A38,Discrete_NFET[PARTNUMBER],Discrete_NFET[RDSON8])="(NULL)","0","1"))</f>
        <v>0</v>
      </c>
      <c r="G38" s="43" t="str">
        <f>IF(OR($A38=0,$A38=""),"0",IF(LOOKUP($A38,Discrete_NFET[PARTNUMBER],Discrete_NFET[RDSON10])="(NULL)","0","1"))</f>
        <v>1</v>
      </c>
      <c r="H38" s="36" t="b">
        <f t="shared" si="19"/>
        <v>0</v>
      </c>
      <c r="I38" s="39" t="b">
        <f t="shared" si="20"/>
        <v>0</v>
      </c>
      <c r="J38" s="41" t="b">
        <f t="shared" si="21"/>
        <v>1</v>
      </c>
      <c r="K38" s="46" t="b">
        <f t="shared" si="22"/>
        <v>0</v>
      </c>
      <c r="L38" s="42" t="b">
        <f t="shared" si="23"/>
        <v>0</v>
      </c>
      <c r="M38" s="44" t="b">
        <f t="shared" si="24"/>
        <v>1</v>
      </c>
      <c r="N38" s="47" t="b">
        <f t="shared" si="25"/>
        <v>1</v>
      </c>
      <c r="O38" s="36" t="b">
        <f t="shared" si="26"/>
        <v>0</v>
      </c>
      <c r="P38" s="39" t="b">
        <f t="shared" si="27"/>
        <v>0</v>
      </c>
      <c r="Q38" s="41" t="b">
        <f t="shared" si="28"/>
        <v>1</v>
      </c>
      <c r="R38" s="46" t="b">
        <f t="shared" si="29"/>
        <v>0</v>
      </c>
      <c r="S38" s="42" t="b">
        <f t="shared" si="30"/>
        <v>0</v>
      </c>
      <c r="T38" s="44" t="b">
        <f t="shared" si="31"/>
        <v>1</v>
      </c>
      <c r="U38" s="148">
        <f>IF(T38,LOOKUP(A38,Discrete_NFET[PARTNUMBER],Discrete_NFET[RDSON10])*1000,IF(S38,LOOKUP(A38,Discrete_NFET[PARTNUMBER],Discrete_NFET[RDSON8])*1000,IF(R38,LOOKUP(A38,Discrete_NFET[PARTNUMBER],Discrete_NFET[RDSON6])*1000,IF(Q38,LOOKUP(A38,Discrete_NFET[PARTNUMBER],Discrete_NFET[RDSON45])*1000,IF(P38,LOOKUP(A38,Discrete_NFET[PARTNUMBER],Discrete_NFET[RDSON3])*1000,IF(O38,LOOKUP(A38,Discrete_NFET[PARTNUMBER],Discrete_NFET[RDSON25])*1000,""))))))</f>
        <v>2</v>
      </c>
      <c r="V38" s="48">
        <f>IF(AND(A38&lt;&gt;0,A38&lt;&gt;""),U38*(1+(Tj-25)*(LOOKUP(A38,Discrete_NFET[PARTNUMBER],Discrete_NFET[RDSDELTA])/((LOOKUP(A38,Discrete_NFET[PARTNUMBER],Discrete_NFET[TJMAX])-25)))),"")</f>
        <v>2.34</v>
      </c>
      <c r="W38" s="35">
        <f>IF(AND($A38&lt;&gt;0,$A38&lt;&gt;""),LOOKUP($A38,Discrete_NFET[PARTNUMBER],Discrete_NFET[QGS]),"")</f>
        <v>8.9</v>
      </c>
      <c r="X38" s="35">
        <f>IF(AND($A38&lt;&gt;0,$A38&lt;&gt;""),LOOKUP($A38,Discrete_NFET[PARTNUMBER],Discrete_NFET[QGD]),"")</f>
        <v>5.4</v>
      </c>
      <c r="Y38" s="35">
        <f>IF(AND($A38&lt;&gt;0,$A38&lt;&gt;""),LOOKUP($A38,Discrete_NFET[PARTNUMBER],Discrete_NFET[QGTH]),"")</f>
        <v>4.7</v>
      </c>
      <c r="Z38" s="35">
        <f t="shared" si="32"/>
        <v>9.6000000000000014</v>
      </c>
      <c r="AA38" s="35">
        <f>IF(AND($A38&lt;&gt;0,$A38&lt;&gt;""),LOOKUP($A38,Discrete_NFET[PARTNUMBER],Discrete_NFET[QOSSTYP]),"")</f>
        <v>12.3</v>
      </c>
      <c r="AB38" s="35">
        <f>IF(AND($A38&lt;&gt;0,$A38&lt;&gt;""),LOOKUP($A38,Discrete_NFET[PARTNUMBER],Discrete_NFET[QRR]),"")</f>
        <v>14.7</v>
      </c>
      <c r="AC38" s="35">
        <f>IF(AND(A38&lt;&gt;0,A38&lt;&gt;""),LOOKUP(A38,Discrete_NFET[PARTNUMBER],Discrete_NFET[VF_TYP]),"")</f>
        <v>0.8</v>
      </c>
      <c r="AD38" s="127">
        <f>IF(AND($A38&lt;&gt;0,$A38&lt;&gt;"",OR(RIGHT(Logic!B38,2)="C)",LEFT(Logic!B38,4)="CSD1")),(1+(1-DUTY))*IM_RMS_120^2*V38*m/3/Num_FETS,"")</f>
        <v>9.8467797783933497E-2</v>
      </c>
      <c r="AE38" s="127">
        <f>IF(AND($A38&lt;&gt;0,$A38&lt;&gt;"",OR(RIGHT(Logic!B38,2)="C)",LEFT(Logic!B38,4)="CSD1")),Num_FETS*0.5*IM_RMS_120*VDC_AVG*Z38*n*MOT_ELEC_FREQ/GDR_SRC,"")</f>
        <v>3.0959752321981425E-5</v>
      </c>
      <c r="AF38" s="127">
        <f>IF(AND($A38&lt;&gt;0,$A38&lt;&gt;"",OR(RIGHT(Logic!B38,2)="C)",LEFT(Logic!B38,4)="CSD1")),Num_FETS*0.5*IM_RMS_120*VDC_AVG*Z38*n*MOT_ELEC_FREQ/GDR_SINK,"")</f>
        <v>2.1052631578947372E-5</v>
      </c>
      <c r="AG38" s="127">
        <f>IF(AND($A38&lt;&gt;0,$A38&lt;&gt;"",OR(RIGHT(Logic!B38,2)="T)",LEFT(Logic!B38,4)="CSD1")),DUTY*IM_RMS_120^2*V38*m/3/Num_FETS,"")</f>
        <v>8.9089912280701733E-2</v>
      </c>
      <c r="AH38" s="127">
        <f>IF(AND($A38&lt;&gt;0,$A38&lt;&gt;"",OR(RIGHT(Logic!B38,2)="T)",LEFT(Logic!B38,4)="CSD1")),Num_FETS*0.5*IM_RMS_120*VDC_AVG*Z38*n*FSW*k/GDR_SRC/3,"")</f>
        <v>6.1919504643962843E-3</v>
      </c>
      <c r="AI38" s="127">
        <f>IF(AND($A38&lt;&gt;0,$A38&lt;&gt;"",OR(RIGHT(Logic!B38,2)="T)",LEFT(Logic!B38,4)="CSD1")),Num_FETS*0.5*IM_RMS_120*VDC_AVG*Z38*n*FSW*k/GDR_SINK/3,"")</f>
        <v>4.2105263157894745E-3</v>
      </c>
      <c r="AJ38" s="127">
        <f t="shared" si="35"/>
        <v>1.4760000000000003E-3</v>
      </c>
      <c r="AK38" s="127">
        <f t="shared" si="36"/>
        <v>1.2414567897146714E-2</v>
      </c>
      <c r="AL38" s="127">
        <f t="shared" si="37"/>
        <v>3.5338799999999997E-3</v>
      </c>
      <c r="AM38" s="127">
        <f t="shared" si="33"/>
        <v>0.37243703691440144</v>
      </c>
      <c r="AN38" s="127">
        <f>IF(AND($A38&lt;&gt;0,$A38&lt;&gt;"",OR(RIGHT(Logic!B38,2)="C)",LEFT(Logic!B38,4)="CSD1")),SUM(AD38:AF38)+(AJ38/3)+AK38+AL38/6+AM38/6,AN39)</f>
        <v>0.17408819755071472</v>
      </c>
      <c r="AO38" s="127">
        <f>IF(AND($A38&lt;&gt;0,$A38&lt;&gt;"",OR(RIGHT(Logic!B38,2)="T)",LEFT(Logic!B38,4)="CSD1")),SUM(AG38:AI38)+(AJ38/3)+AL38/6+AM38/6,AO37)</f>
        <v>0.16264620854662107</v>
      </c>
      <c r="AP38" s="48">
        <f t="shared" si="34"/>
        <v>0.34</v>
      </c>
      <c r="AQ38" s="35" t="str">
        <f>IF(AND(A38&lt;&gt;0,A38&lt;&gt;""),LOOKUP(A38,Discrete_NFET[PARTNUMBER],Discrete_NFET[TI_EQ_PACKAGE]),"")</f>
        <v>SON5X6</v>
      </c>
      <c r="AR38" s="49">
        <f>IF(AND(A38&lt;&gt;0,A38&lt;&gt;""),LOOKUP(A38,Discrete_NFET[PARTNUMBER],Discrete_NFET[1KPRICE]),"")</f>
        <v>0.38</v>
      </c>
      <c r="AS38" s="35" t="str">
        <f>IF(AND($A38&lt;&gt;0,$A38&lt;&gt;""),CONCATENATE(TEXT(AP38,"0.00"),"W, ",IF('User Input'!F$11="Single Discrete",A38,IF('User Input'!F$11="Dual/Power Block",LEFT(A38,FIND(")",A38)-7),A38)),", ",AQ38,", ",TEXT(AR38,"$0.00")),"Invalid Part")</f>
        <v>0.34W, CSD17576Q5B, SON5X6, $0.38</v>
      </c>
      <c r="AT38" t="s">
        <v>725</v>
      </c>
      <c r="AW38"/>
    </row>
    <row r="39" spans="1:49" ht="15" customHeight="1" x14ac:dyDescent="0.25">
      <c r="A39" s="35" t="str">
        <f>IF(OR(AND(FET_config="Dual/Power Block",LEFT(Logic!B39,4)="CSD8"),AND(FET_config="Single Discrete",LEFT(Logic!B39,4)="CSD1")),Logic!B39,"")</f>
        <v>CSD17577Q3A</v>
      </c>
      <c r="B39" s="37" t="str">
        <f>IF(OR($A39=0,$A39=""),"0",IF(LOOKUP($A39,Discrete_NFET[PARTNUMBER],Discrete_NFET[RDSON25])="(NULL)","0","1"))</f>
        <v>0</v>
      </c>
      <c r="C39" s="38" t="str">
        <f>IF(OR($A39=0,$A39=""),"0",IF(LOOKUP($A39,Discrete_NFET[PARTNUMBER],Discrete_NFET[RDSON3])="(NULL)","0","1"))</f>
        <v>0</v>
      </c>
      <c r="D39" s="40" t="str">
        <f>IF(OR($A39=0,$A39=""),"0",IF(LOOKUP($A39,Discrete_NFET[PARTNUMBER],Discrete_NFET[RDSON45])="(NULL)","0","1"))</f>
        <v>1</v>
      </c>
      <c r="E39" s="45" t="str">
        <f>IF(OR($A39=0,$A39=""),"0",IF(LOOKUP($A39,Discrete_NFET[PARTNUMBER],Discrete_NFET[RDSON6])="(NULL)","0","1"))</f>
        <v>0</v>
      </c>
      <c r="F39" s="34" t="str">
        <f>IF(OR($A39=0,$A39=""),"0",IF(LOOKUP($A39,Discrete_NFET[PARTNUMBER],Discrete_NFET[RDSON8])="(NULL)","0","1"))</f>
        <v>0</v>
      </c>
      <c r="G39" s="43" t="str">
        <f>IF(OR($A39=0,$A39=""),"0",IF(LOOKUP($A39,Discrete_NFET[PARTNUMBER],Discrete_NFET[RDSON10])="(NULL)","0","1"))</f>
        <v>1</v>
      </c>
      <c r="H39" s="36" t="b">
        <f t="shared" si="19"/>
        <v>0</v>
      </c>
      <c r="I39" s="39" t="b">
        <f t="shared" si="20"/>
        <v>0</v>
      </c>
      <c r="J39" s="41" t="b">
        <f t="shared" si="21"/>
        <v>1</v>
      </c>
      <c r="K39" s="46" t="b">
        <f t="shared" si="22"/>
        <v>0</v>
      </c>
      <c r="L39" s="42" t="b">
        <f t="shared" si="23"/>
        <v>0</v>
      </c>
      <c r="M39" s="44" t="b">
        <f t="shared" si="24"/>
        <v>1</v>
      </c>
      <c r="N39" s="47" t="b">
        <f t="shared" si="25"/>
        <v>1</v>
      </c>
      <c r="O39" s="36" t="b">
        <f t="shared" si="26"/>
        <v>0</v>
      </c>
      <c r="P39" s="39" t="b">
        <f t="shared" si="27"/>
        <v>0</v>
      </c>
      <c r="Q39" s="41" t="b">
        <f t="shared" si="28"/>
        <v>1</v>
      </c>
      <c r="R39" s="46" t="b">
        <f t="shared" si="29"/>
        <v>0</v>
      </c>
      <c r="S39" s="42" t="b">
        <f t="shared" si="30"/>
        <v>0</v>
      </c>
      <c r="T39" s="44" t="b">
        <f t="shared" si="31"/>
        <v>1</v>
      </c>
      <c r="U39" s="148">
        <f>IF(T39,LOOKUP(A39,Discrete_NFET[PARTNUMBER],Discrete_NFET[RDSON10])*1000,IF(S39,LOOKUP(A39,Discrete_NFET[PARTNUMBER],Discrete_NFET[RDSON8])*1000,IF(R39,LOOKUP(A39,Discrete_NFET[PARTNUMBER],Discrete_NFET[RDSON6])*1000,IF(Q39,LOOKUP(A39,Discrete_NFET[PARTNUMBER],Discrete_NFET[RDSON45])*1000,IF(P39,LOOKUP(A39,Discrete_NFET[PARTNUMBER],Discrete_NFET[RDSON3])*1000,IF(O39,LOOKUP(A39,Discrete_NFET[PARTNUMBER],Discrete_NFET[RDSON25])*1000,""))))))</f>
        <v>4</v>
      </c>
      <c r="V39" s="48">
        <f>IF(AND(A39&lt;&gt;0,A39&lt;&gt;""),U39*(1+(Tj-25)*(LOOKUP(A39,Discrete_NFET[PARTNUMBER],Discrete_NFET[RDSDELTA])/((LOOKUP(A39,Discrete_NFET[PARTNUMBER],Discrete_NFET[TJMAX])-25)))),"")</f>
        <v>4.4800000000000004</v>
      </c>
      <c r="W39" s="35">
        <f>IF(AND($A39&lt;&gt;0,$A39&lt;&gt;""),LOOKUP($A39,Discrete_NFET[PARTNUMBER],Discrete_NFET[QGS]),"")</f>
        <v>5.0999999999999996</v>
      </c>
      <c r="X39" s="35">
        <f>IF(AND($A39&lt;&gt;0,$A39&lt;&gt;""),LOOKUP($A39,Discrete_NFET[PARTNUMBER],Discrete_NFET[QGD]),"")</f>
        <v>2.8</v>
      </c>
      <c r="Y39" s="35">
        <f>IF(AND($A39&lt;&gt;0,$A39&lt;&gt;""),LOOKUP($A39,Discrete_NFET[PARTNUMBER],Discrete_NFET[QGTH]),"")</f>
        <v>2.5</v>
      </c>
      <c r="Z39" s="35">
        <f t="shared" si="32"/>
        <v>5.3999999999999995</v>
      </c>
      <c r="AA39" s="35">
        <f>IF(AND($A39&lt;&gt;0,$A39&lt;&gt;""),LOOKUP($A39,Discrete_NFET[PARTNUMBER],Discrete_NFET[QOSSTYP]),"")</f>
        <v>6</v>
      </c>
      <c r="AB39" s="35">
        <f>IF(AND($A39&lt;&gt;0,$A39&lt;&gt;""),LOOKUP($A39,Discrete_NFET[PARTNUMBER],Discrete_NFET[QRR]),"")</f>
        <v>8.1999999999999993</v>
      </c>
      <c r="AC39" s="35">
        <f>IF(AND(A39&lt;&gt;0,A39&lt;&gt;""),LOOKUP(A39,Discrete_NFET[PARTNUMBER],Discrete_NFET[VF_TYP]),"")</f>
        <v>0.8</v>
      </c>
      <c r="AD39" s="127">
        <f>IF(AND($A39&lt;&gt;0,$A39&lt;&gt;"",OR(RIGHT(Logic!B39,2)="C)",LEFT(Logic!B39,4)="CSD1")),(1+(1-DUTY))*IM_RMS_120^2*V39*m/3/Num_FETS,"")</f>
        <v>0.18851954447522315</v>
      </c>
      <c r="AE39" s="127">
        <f>IF(AND($A39&lt;&gt;0,$A39&lt;&gt;"",OR(RIGHT(Logic!B39,2)="C)",LEFT(Logic!B39,4)="CSD1")),Num_FETS*0.5*IM_RMS_120*VDC_AVG*Z39*n*MOT_ELEC_FREQ/GDR_SRC,"")</f>
        <v>1.7414860681114547E-5</v>
      </c>
      <c r="AF39" s="127">
        <f>IF(AND($A39&lt;&gt;0,$A39&lt;&gt;"",OR(RIGHT(Logic!B39,2)="C)",LEFT(Logic!B39,4)="CSD1")),Num_FETS*0.5*IM_RMS_120*VDC_AVG*Z39*n*MOT_ELEC_FREQ/GDR_SINK,"")</f>
        <v>1.1842105263157894E-5</v>
      </c>
      <c r="AG39" s="127">
        <f>IF(AND($A39&lt;&gt;0,$A39&lt;&gt;"",OR(RIGHT(Logic!B39,2)="T)",LEFT(Logic!B39,4)="CSD1")),DUTY*IM_RMS_120^2*V39*m/3/Num_FETS,"")</f>
        <v>0.1705653021442495</v>
      </c>
      <c r="AH39" s="127">
        <f>IF(AND($A39&lt;&gt;0,$A39&lt;&gt;"",OR(RIGHT(Logic!B39,2)="T)",LEFT(Logic!B39,4)="CSD1")),Num_FETS*0.5*IM_RMS_120*VDC_AVG*Z39*n*FSW*k/GDR_SRC/3,"")</f>
        <v>3.4829721362229092E-3</v>
      </c>
      <c r="AI39" s="127">
        <f>IF(AND($A39&lt;&gt;0,$A39&lt;&gt;"",OR(RIGHT(Logic!B39,2)="T)",LEFT(Logic!B39,4)="CSD1")),Num_FETS*0.5*IM_RMS_120*VDC_AVG*Z39*n*FSW*k/GDR_SINK/3,"")</f>
        <v>2.3684210526315787E-3</v>
      </c>
      <c r="AJ39" s="127">
        <f t="shared" si="35"/>
        <v>7.2000000000000005E-4</v>
      </c>
      <c r="AK39" s="127">
        <f t="shared" si="36"/>
        <v>1.2414567897146714E-2</v>
      </c>
      <c r="AL39" s="127">
        <f t="shared" si="37"/>
        <v>1.9712799999999997E-3</v>
      </c>
      <c r="AM39" s="127">
        <f t="shared" si="33"/>
        <v>0.37243703691440144</v>
      </c>
      <c r="AN39" s="127">
        <f>IF(AND($A39&lt;&gt;0,$A39&lt;&gt;"",OR(RIGHT(Logic!B39,2)="C)",LEFT(Logic!B39,4)="CSD1")),SUM(AD39:AF39)+(AJ39/3)+AK39+AL39/6+AM39/6,AN40)</f>
        <v>0.26360475549071438</v>
      </c>
      <c r="AO39" s="127">
        <f>IF(AND($A39&lt;&gt;0,$A39&lt;&gt;"",OR(RIGHT(Logic!B39,2)="T)",LEFT(Logic!B39,4)="CSD1")),SUM(AG39:AI39)+(AJ39/3)+AL39/6+AM39/6,AO38)</f>
        <v>0.23905808148550425</v>
      </c>
      <c r="AP39" s="48">
        <f t="shared" si="34"/>
        <v>0.5</v>
      </c>
      <c r="AQ39" s="35" t="str">
        <f>IF(AND(A39&lt;&gt;0,A39&lt;&gt;""),LOOKUP(A39,Discrete_NFET[PARTNUMBER],Discrete_NFET[TI_EQ_PACKAGE]),"")</f>
        <v>SON3x3</v>
      </c>
      <c r="AR39" s="49">
        <f>IF(AND(A39&lt;&gt;0,A39&lt;&gt;""),LOOKUP(A39,Discrete_NFET[PARTNUMBER],Discrete_NFET[1KPRICE]),"")</f>
        <v>0.18</v>
      </c>
      <c r="AS39" s="35" t="str">
        <f>IF(AND($A39&lt;&gt;0,$A39&lt;&gt;""),CONCATENATE(TEXT(AP39,"0.00"),"W, ",IF('User Input'!F$11="Single Discrete",A39,IF('User Input'!F$11="Dual/Power Block",LEFT(A39,FIND(")",A39)-7),A39)),", ",AQ39,", ",TEXT(AR39,"$0.00")),"Invalid Part")</f>
        <v>0.50W, CSD17577Q3A, SON3x3, $0.18</v>
      </c>
      <c r="AT39" t="s">
        <v>751</v>
      </c>
      <c r="AW39"/>
    </row>
    <row r="40" spans="1:49" ht="15" customHeight="1" x14ac:dyDescent="0.25">
      <c r="A40" s="35" t="str">
        <f>IF(OR(AND(FET_config="Dual/Power Block",LEFT(Logic!B40,4)="CSD8"),AND(FET_config="Single Discrete",LEFT(Logic!B40,4)="CSD1")),Logic!B40,"")</f>
        <v>CSD17577Q5A</v>
      </c>
      <c r="B40" s="37" t="str">
        <f>IF(OR($A40=0,$A40=""),"0",IF(LOOKUP($A40,Discrete_NFET[PARTNUMBER],Discrete_NFET[RDSON25])="(NULL)","0","1"))</f>
        <v>0</v>
      </c>
      <c r="C40" s="38" t="str">
        <f>IF(OR($A40=0,$A40=""),"0",IF(LOOKUP($A40,Discrete_NFET[PARTNUMBER],Discrete_NFET[RDSON3])="(NULL)","0","1"))</f>
        <v>0</v>
      </c>
      <c r="D40" s="40" t="str">
        <f>IF(OR($A40=0,$A40=""),"0",IF(LOOKUP($A40,Discrete_NFET[PARTNUMBER],Discrete_NFET[RDSON45])="(NULL)","0","1"))</f>
        <v>1</v>
      </c>
      <c r="E40" s="45" t="str">
        <f>IF(OR($A40=0,$A40=""),"0",IF(LOOKUP($A40,Discrete_NFET[PARTNUMBER],Discrete_NFET[RDSON6])="(NULL)","0","1"))</f>
        <v>0</v>
      </c>
      <c r="F40" s="34" t="str">
        <f>IF(OR($A40=0,$A40=""),"0",IF(LOOKUP($A40,Discrete_NFET[PARTNUMBER],Discrete_NFET[RDSON8])="(NULL)","0","1"))</f>
        <v>0</v>
      </c>
      <c r="G40" s="43" t="str">
        <f>IF(OR($A40=0,$A40=""),"0",IF(LOOKUP($A40,Discrete_NFET[PARTNUMBER],Discrete_NFET[RDSON10])="(NULL)","0","1"))</f>
        <v>1</v>
      </c>
      <c r="H40" s="36" t="b">
        <f t="shared" si="19"/>
        <v>0</v>
      </c>
      <c r="I40" s="39" t="b">
        <f t="shared" si="20"/>
        <v>0</v>
      </c>
      <c r="J40" s="41" t="b">
        <f t="shared" si="21"/>
        <v>1</v>
      </c>
      <c r="K40" s="46" t="b">
        <f t="shared" si="22"/>
        <v>0</v>
      </c>
      <c r="L40" s="42" t="b">
        <f t="shared" si="23"/>
        <v>0</v>
      </c>
      <c r="M40" s="44" t="b">
        <f t="shared" si="24"/>
        <v>1</v>
      </c>
      <c r="N40" s="47" t="b">
        <f t="shared" si="25"/>
        <v>1</v>
      </c>
      <c r="O40" s="36" t="b">
        <f t="shared" si="26"/>
        <v>0</v>
      </c>
      <c r="P40" s="39" t="b">
        <f t="shared" si="27"/>
        <v>0</v>
      </c>
      <c r="Q40" s="41" t="b">
        <f t="shared" si="28"/>
        <v>1</v>
      </c>
      <c r="R40" s="46" t="b">
        <f t="shared" si="29"/>
        <v>0</v>
      </c>
      <c r="S40" s="42" t="b">
        <f t="shared" si="30"/>
        <v>0</v>
      </c>
      <c r="T40" s="44" t="b">
        <f t="shared" si="31"/>
        <v>1</v>
      </c>
      <c r="U40" s="148">
        <f>IF(T40,LOOKUP(A40,Discrete_NFET[PARTNUMBER],Discrete_NFET[RDSON10])*1000,IF(S40,LOOKUP(A40,Discrete_NFET[PARTNUMBER],Discrete_NFET[RDSON8])*1000,IF(R40,LOOKUP(A40,Discrete_NFET[PARTNUMBER],Discrete_NFET[RDSON6])*1000,IF(Q40,LOOKUP(A40,Discrete_NFET[PARTNUMBER],Discrete_NFET[RDSON45])*1000,IF(P40,LOOKUP(A40,Discrete_NFET[PARTNUMBER],Discrete_NFET[RDSON3])*1000,IF(O40,LOOKUP(A40,Discrete_NFET[PARTNUMBER],Discrete_NFET[RDSON25])*1000,""))))))</f>
        <v>4.2</v>
      </c>
      <c r="V40" s="48">
        <f>IF(AND(A40&lt;&gt;0,A40&lt;&gt;""),U40*(1+(Tj-25)*(LOOKUP(A40,Discrete_NFET[PARTNUMBER],Discrete_NFET[RDSDELTA])/((LOOKUP(A40,Discrete_NFET[PARTNUMBER],Discrete_NFET[TJMAX])-25)))),"")</f>
        <v>4.7040000000000006</v>
      </c>
      <c r="W40" s="35">
        <f>IF(AND($A40&lt;&gt;0,$A40&lt;&gt;""),LOOKUP($A40,Discrete_NFET[PARTNUMBER],Discrete_NFET[QGS]),"")</f>
        <v>5.0999999999999996</v>
      </c>
      <c r="X40" s="35">
        <f>IF(AND($A40&lt;&gt;0,$A40&lt;&gt;""),LOOKUP($A40,Discrete_NFET[PARTNUMBER],Discrete_NFET[QGD]),"")</f>
        <v>2.8</v>
      </c>
      <c r="Y40" s="35">
        <f>IF(AND($A40&lt;&gt;0,$A40&lt;&gt;""),LOOKUP($A40,Discrete_NFET[PARTNUMBER],Discrete_NFET[QGTH]),"")</f>
        <v>2.5</v>
      </c>
      <c r="Z40" s="35">
        <f t="shared" si="32"/>
        <v>5.3999999999999995</v>
      </c>
      <c r="AA40" s="35">
        <f>IF(AND($A40&lt;&gt;0,$A40&lt;&gt;""),LOOKUP($A40,Discrete_NFET[PARTNUMBER],Discrete_NFET[QOSSTYP]),"")</f>
        <v>6</v>
      </c>
      <c r="AB40" s="35">
        <f>IF(AND($A40&lt;&gt;0,$A40&lt;&gt;""),LOOKUP($A40,Discrete_NFET[PARTNUMBER],Discrete_NFET[QRR]),"")</f>
        <v>8.1999999999999993</v>
      </c>
      <c r="AC40" s="35">
        <f>IF(AND(A40&lt;&gt;0,A40&lt;&gt;""),LOOKUP(A40,Discrete_NFET[PARTNUMBER],Discrete_NFET[VF_TYP]),"")</f>
        <v>0.8</v>
      </c>
      <c r="AD40" s="127">
        <f>IF(AND($A40&lt;&gt;0,$A40&lt;&gt;"",OR(RIGHT(Logic!B40,2)="C)",LEFT(Logic!B40,4)="CSD1")),(1+(1-DUTY))*IM_RMS_120^2*V40*m/3/Num_FETS,"")</f>
        <v>0.1979455216989843</v>
      </c>
      <c r="AE40" s="127">
        <f>IF(AND($A40&lt;&gt;0,$A40&lt;&gt;"",OR(RIGHT(Logic!B40,2)="C)",LEFT(Logic!B40,4)="CSD1")),Num_FETS*0.5*IM_RMS_120*VDC_AVG*Z40*n*MOT_ELEC_FREQ/GDR_SRC,"")</f>
        <v>1.7414860681114547E-5</v>
      </c>
      <c r="AF40" s="127">
        <f>IF(AND($A40&lt;&gt;0,$A40&lt;&gt;"",OR(RIGHT(Logic!B40,2)="C)",LEFT(Logic!B40,4)="CSD1")),Num_FETS*0.5*IM_RMS_120*VDC_AVG*Z40*n*MOT_ELEC_FREQ/GDR_SINK,"")</f>
        <v>1.1842105263157894E-5</v>
      </c>
      <c r="AG40" s="127">
        <f>IF(AND($A40&lt;&gt;0,$A40&lt;&gt;"",OR(RIGHT(Logic!B40,2)="T)",LEFT(Logic!B40,4)="CSD1")),DUTY*IM_RMS_120^2*V40*m/3/Num_FETS,"")</f>
        <v>0.17909356725146197</v>
      </c>
      <c r="AH40" s="127">
        <f>IF(AND($A40&lt;&gt;0,$A40&lt;&gt;"",OR(RIGHT(Logic!B40,2)="T)",LEFT(Logic!B40,4)="CSD1")),Num_FETS*0.5*IM_RMS_120*VDC_AVG*Z40*n*FSW*k/GDR_SRC/3,"")</f>
        <v>3.4829721362229092E-3</v>
      </c>
      <c r="AI40" s="127">
        <f>IF(AND($A40&lt;&gt;0,$A40&lt;&gt;"",OR(RIGHT(Logic!B40,2)="T)",LEFT(Logic!B40,4)="CSD1")),Num_FETS*0.5*IM_RMS_120*VDC_AVG*Z40*n*FSW*k/GDR_SINK/3,"")</f>
        <v>2.3684210526315787E-3</v>
      </c>
      <c r="AJ40" s="127">
        <f t="shared" si="35"/>
        <v>7.2000000000000005E-4</v>
      </c>
      <c r="AK40" s="127">
        <f t="shared" si="36"/>
        <v>1.2414567897146714E-2</v>
      </c>
      <c r="AL40" s="127">
        <f t="shared" si="37"/>
        <v>1.9712799999999997E-3</v>
      </c>
      <c r="AM40" s="127">
        <f t="shared" si="33"/>
        <v>0.37243703691440144</v>
      </c>
      <c r="AN40" s="127">
        <f>IF(AND($A40&lt;&gt;0,$A40&lt;&gt;"",OR(RIGHT(Logic!B40,2)="C)",LEFT(Logic!B40,4)="CSD1")),SUM(AD40:AF40)+(AJ40/3)+AK40+AL40/6+AM40/6,AN41)</f>
        <v>0.27303073271447553</v>
      </c>
      <c r="AO40" s="127">
        <f>IF(AND($A40&lt;&gt;0,$A40&lt;&gt;"",OR(RIGHT(Logic!B40,2)="T)",LEFT(Logic!B40,4)="CSD1")),SUM(AG40:AI40)+(AJ40/3)+AL40/6+AM40/6,AO39)</f>
        <v>0.24758634659271672</v>
      </c>
      <c r="AP40" s="48">
        <f t="shared" si="34"/>
        <v>0.52</v>
      </c>
      <c r="AQ40" s="35" t="str">
        <f>IF(AND(A40&lt;&gt;0,A40&lt;&gt;""),LOOKUP(A40,Discrete_NFET[PARTNUMBER],Discrete_NFET[TI_EQ_PACKAGE]),"")</f>
        <v>SON5x6</v>
      </c>
      <c r="AR40" s="49">
        <f>IF(AND(A40&lt;&gt;0,A40&lt;&gt;""),LOOKUP(A40,Discrete_NFET[PARTNUMBER],Discrete_NFET[1KPRICE]),"")</f>
        <v>0.2</v>
      </c>
      <c r="AS40" s="35" t="str">
        <f>IF(AND($A40&lt;&gt;0,$A40&lt;&gt;""),CONCATENATE(TEXT(AP40,"0.00"),"W, ",IF('User Input'!F$11="Single Discrete",A40,IF('User Input'!F$11="Dual/Power Block",LEFT(A40,FIND(")",A40)-7),A40)),", ",AQ40,", ",TEXT(AR40,"$0.00")),"Invalid Part")</f>
        <v>0.52W, CSD17577Q5A, SON5x6, $0.20</v>
      </c>
      <c r="AT40" t="s">
        <v>749</v>
      </c>
      <c r="AW40"/>
    </row>
    <row r="41" spans="1:49" ht="15" customHeight="1" x14ac:dyDescent="0.25">
      <c r="A41" s="35" t="str">
        <f>IF(OR(AND(FET_config="Dual/Power Block",LEFT(Logic!B41,4)="CSD8"),AND(FET_config="Single Discrete",LEFT(Logic!B41,4)="CSD1")),Logic!B41,"")</f>
        <v>CSD17578Q3A</v>
      </c>
      <c r="B41" s="37" t="str">
        <f>IF(OR($A41=0,$A41=""),"0",IF(LOOKUP($A41,Discrete_NFET[PARTNUMBER],Discrete_NFET[RDSON25])="(NULL)","0","1"))</f>
        <v>0</v>
      </c>
      <c r="C41" s="38" t="str">
        <f>IF(OR($A41=0,$A41=""),"0",IF(LOOKUP($A41,Discrete_NFET[PARTNUMBER],Discrete_NFET[RDSON3])="(NULL)","0","1"))</f>
        <v>0</v>
      </c>
      <c r="D41" s="40" t="str">
        <f>IF(OR($A41=0,$A41=""),"0",IF(LOOKUP($A41,Discrete_NFET[PARTNUMBER],Discrete_NFET[RDSON45])="(NULL)","0","1"))</f>
        <v>1</v>
      </c>
      <c r="E41" s="45" t="str">
        <f>IF(OR($A41=0,$A41=""),"0",IF(LOOKUP($A41,Discrete_NFET[PARTNUMBER],Discrete_NFET[RDSON6])="(NULL)","0","1"))</f>
        <v>0</v>
      </c>
      <c r="F41" s="34" t="str">
        <f>IF(OR($A41=0,$A41=""),"0",IF(LOOKUP($A41,Discrete_NFET[PARTNUMBER],Discrete_NFET[RDSON8])="(NULL)","0","1"))</f>
        <v>0</v>
      </c>
      <c r="G41" s="43" t="str">
        <f>IF(OR($A41=0,$A41=""),"0",IF(LOOKUP($A41,Discrete_NFET[PARTNUMBER],Discrete_NFET[RDSON10])="(NULL)","0","1"))</f>
        <v>1</v>
      </c>
      <c r="H41" s="36" t="b">
        <f t="shared" si="19"/>
        <v>0</v>
      </c>
      <c r="I41" s="39" t="b">
        <f t="shared" si="20"/>
        <v>0</v>
      </c>
      <c r="J41" s="41" t="b">
        <f t="shared" si="21"/>
        <v>1</v>
      </c>
      <c r="K41" s="46" t="b">
        <f t="shared" si="22"/>
        <v>0</v>
      </c>
      <c r="L41" s="42" t="b">
        <f t="shared" si="23"/>
        <v>0</v>
      </c>
      <c r="M41" s="44" t="b">
        <f t="shared" si="24"/>
        <v>1</v>
      </c>
      <c r="N41" s="47" t="b">
        <f t="shared" si="25"/>
        <v>1</v>
      </c>
      <c r="O41" s="36" t="b">
        <f t="shared" si="26"/>
        <v>0</v>
      </c>
      <c r="P41" s="39" t="b">
        <f t="shared" si="27"/>
        <v>0</v>
      </c>
      <c r="Q41" s="41" t="b">
        <f t="shared" si="28"/>
        <v>1</v>
      </c>
      <c r="R41" s="46" t="b">
        <f t="shared" si="29"/>
        <v>0</v>
      </c>
      <c r="S41" s="42" t="b">
        <f t="shared" si="30"/>
        <v>0</v>
      </c>
      <c r="T41" s="44" t="b">
        <f t="shared" si="31"/>
        <v>1</v>
      </c>
      <c r="U41" s="148">
        <f>IF(T41,LOOKUP(A41,Discrete_NFET[PARTNUMBER],Discrete_NFET[RDSON10])*1000,IF(S41,LOOKUP(A41,Discrete_NFET[PARTNUMBER],Discrete_NFET[RDSON8])*1000,IF(R41,LOOKUP(A41,Discrete_NFET[PARTNUMBER],Discrete_NFET[RDSON6])*1000,IF(Q41,LOOKUP(A41,Discrete_NFET[PARTNUMBER],Discrete_NFET[RDSON45])*1000,IF(P41,LOOKUP(A41,Discrete_NFET[PARTNUMBER],Discrete_NFET[RDSON3])*1000,IF(O41,LOOKUP(A41,Discrete_NFET[PARTNUMBER],Discrete_NFET[RDSON25])*1000,""))))))</f>
        <v>6.2</v>
      </c>
      <c r="V41" s="48">
        <f>IF(AND(A41&lt;&gt;0,A41&lt;&gt;""),U41*(1+(Tj-25)*(LOOKUP(A41,Discrete_NFET[PARTNUMBER],Discrete_NFET[RDSDELTA])/((LOOKUP(A41,Discrete_NFET[PARTNUMBER],Discrete_NFET[TJMAX])-25)))),"")</f>
        <v>7.0679999999999996</v>
      </c>
      <c r="W41" s="35">
        <f>IF(AND($A41&lt;&gt;0,$A41&lt;&gt;""),LOOKUP($A41,Discrete_NFET[PARTNUMBER],Discrete_NFET[QGS]),"")</f>
        <v>3.3</v>
      </c>
      <c r="X41" s="35">
        <f>IF(AND($A41&lt;&gt;0,$A41&lt;&gt;""),LOOKUP($A41,Discrete_NFET[PARTNUMBER],Discrete_NFET[QGD]),"")</f>
        <v>1.7</v>
      </c>
      <c r="Y41" s="35">
        <f>IF(AND($A41&lt;&gt;0,$A41&lt;&gt;""),LOOKUP($A41,Discrete_NFET[PARTNUMBER],Discrete_NFET[QGTH]),"")</f>
        <v>1.7</v>
      </c>
      <c r="Z41" s="35">
        <f t="shared" si="32"/>
        <v>3.3</v>
      </c>
      <c r="AA41" s="35">
        <f>IF(AND($A41&lt;&gt;0,$A41&lt;&gt;""),LOOKUP($A41,Discrete_NFET[PARTNUMBER],Discrete_NFET[QOSSTYP]),"")</f>
        <v>4.2</v>
      </c>
      <c r="AB41" s="35">
        <f>IF(AND($A41&lt;&gt;0,$A41&lt;&gt;""),LOOKUP($A41,Discrete_NFET[PARTNUMBER],Discrete_NFET[QRR]),"")</f>
        <v>4.4000000000000004</v>
      </c>
      <c r="AC41" s="35">
        <f>IF(AND(A41&lt;&gt;0,A41&lt;&gt;""),LOOKUP(A41,Discrete_NFET[PARTNUMBER],Discrete_NFET[VF_TYP]),"")</f>
        <v>0.8</v>
      </c>
      <c r="AD41" s="127">
        <f>IF(AND($A41&lt;&gt;0,$A41&lt;&gt;"",OR(RIGHT(Logic!B41,2)="C)",LEFT(Logic!B41,4)="CSD1")),(1+(1-DUTY))*IM_RMS_120^2*V41*m/3/Num_FETS,"")</f>
        <v>0.29742324561403505</v>
      </c>
      <c r="AE41" s="127">
        <f>IF(AND($A41&lt;&gt;0,$A41&lt;&gt;"",OR(RIGHT(Logic!B41,2)="C)",LEFT(Logic!B41,4)="CSD1")),Num_FETS*0.5*IM_RMS_120*VDC_AVG*Z41*n*MOT_ELEC_FREQ/GDR_SRC,"")</f>
        <v>1.0642414860681115E-5</v>
      </c>
      <c r="AF41" s="127">
        <f>IF(AND($A41&lt;&gt;0,$A41&lt;&gt;"",OR(RIGHT(Logic!B41,2)="C)",LEFT(Logic!B41,4)="CSD1")),Num_FETS*0.5*IM_RMS_120*VDC_AVG*Z41*n*MOT_ELEC_FREQ/GDR_SINK,"")</f>
        <v>7.2368421052631584E-6</v>
      </c>
      <c r="AG41" s="127">
        <f>IF(AND($A41&lt;&gt;0,$A41&lt;&gt;"",OR(RIGHT(Logic!B41,2)="T)",LEFT(Logic!B41,4)="CSD1")),DUTY*IM_RMS_120^2*V41*m/3/Num_FETS,"")</f>
        <v>0.26909722222222215</v>
      </c>
      <c r="AH41" s="127">
        <f>IF(AND($A41&lt;&gt;0,$A41&lt;&gt;"",OR(RIGHT(Logic!B41,2)="T)",LEFT(Logic!B41,4)="CSD1")),Num_FETS*0.5*IM_RMS_120*VDC_AVG*Z41*n*FSW*k/GDR_SRC/3,"")</f>
        <v>2.1284829721362232E-3</v>
      </c>
      <c r="AI41" s="127">
        <f>IF(AND($A41&lt;&gt;0,$A41&lt;&gt;"",OR(RIGHT(Logic!B41,2)="T)",LEFT(Logic!B41,4)="CSD1")),Num_FETS*0.5*IM_RMS_120*VDC_AVG*Z41*n*FSW*k/GDR_SINK/3,"")</f>
        <v>1.4473684210526319E-3</v>
      </c>
      <c r="AJ41" s="127">
        <f t="shared" si="35"/>
        <v>5.0400000000000011E-4</v>
      </c>
      <c r="AK41" s="127">
        <f t="shared" si="36"/>
        <v>1.2414567897146714E-2</v>
      </c>
      <c r="AL41" s="127">
        <f t="shared" si="37"/>
        <v>1.05776E-3</v>
      </c>
      <c r="AM41" s="127">
        <f t="shared" si="33"/>
        <v>0.37243703691440144</v>
      </c>
      <c r="AN41" s="127">
        <f>IF(AND($A41&lt;&gt;0,$A41&lt;&gt;"",OR(RIGHT(Logic!B41,2)="C)",LEFT(Logic!B41,4)="CSD1")),SUM(AD41:AF41)+(AJ41/3)+AK41+AL41/6+AM41/6,AN42)</f>
        <v>0.37227282558721464</v>
      </c>
      <c r="AO41" s="127">
        <f>IF(AND($A41&lt;&gt;0,$A41&lt;&gt;"",OR(RIGHT(Logic!B41,2)="T)",LEFT(Logic!B41,4)="CSD1")),SUM(AG41:AI41)+(AJ41/3)+AL41/6+AM41/6,AO40)</f>
        <v>0.33509020643447796</v>
      </c>
      <c r="AP41" s="48">
        <f t="shared" si="34"/>
        <v>0.71</v>
      </c>
      <c r="AQ41" s="35" t="str">
        <f>IF(AND(A41&lt;&gt;0,A41&lt;&gt;""),LOOKUP(A41,Discrete_NFET[PARTNUMBER],Discrete_NFET[TI_EQ_PACKAGE]),"")</f>
        <v>SON3x3</v>
      </c>
      <c r="AR41" s="49">
        <f>IF(AND(A41&lt;&gt;0,A41&lt;&gt;""),LOOKUP(A41,Discrete_NFET[PARTNUMBER],Discrete_NFET[1KPRICE]),"")</f>
        <v>0.17</v>
      </c>
      <c r="AS41" s="35" t="str">
        <f>IF(AND($A41&lt;&gt;0,$A41&lt;&gt;""),CONCATENATE(TEXT(AP41,"0.00"),"W, ",IF('User Input'!F$11="Single Discrete",A41,IF('User Input'!F$11="Dual/Power Block",LEFT(A41,FIND(")",A41)-7),A41)),", ",AQ41,", ",TEXT(AR41,"$0.00")),"Invalid Part")</f>
        <v>0.71W, CSD17578Q3A, SON3x3, $0.17</v>
      </c>
      <c r="AT41" t="s">
        <v>770</v>
      </c>
      <c r="AW41"/>
    </row>
    <row r="42" spans="1:49" ht="15" customHeight="1" x14ac:dyDescent="0.25">
      <c r="A42" s="35" t="str">
        <f>IF(OR(AND(FET_config="Dual/Power Block",LEFT(Logic!B42,4)="CSD8"),AND(FET_config="Single Discrete",LEFT(Logic!B42,4)="CSD1")),Logic!B42,"")</f>
        <v>CSD17578Q5A</v>
      </c>
      <c r="B42" s="37" t="str">
        <f>IF(OR($A42=0,$A42=""),"0",IF(LOOKUP($A42,Discrete_NFET[PARTNUMBER],Discrete_NFET[RDSON25])="(NULL)","0","1"))</f>
        <v>0</v>
      </c>
      <c r="C42" s="38" t="str">
        <f>IF(OR($A42=0,$A42=""),"0",IF(LOOKUP($A42,Discrete_NFET[PARTNUMBER],Discrete_NFET[RDSON3])="(NULL)","0","1"))</f>
        <v>0</v>
      </c>
      <c r="D42" s="40" t="str">
        <f>IF(OR($A42=0,$A42=""),"0",IF(LOOKUP($A42,Discrete_NFET[PARTNUMBER],Discrete_NFET[RDSON45])="(NULL)","0","1"))</f>
        <v>1</v>
      </c>
      <c r="E42" s="45" t="str">
        <f>IF(OR($A42=0,$A42=""),"0",IF(LOOKUP($A42,Discrete_NFET[PARTNUMBER],Discrete_NFET[RDSON6])="(NULL)","0","1"))</f>
        <v>0</v>
      </c>
      <c r="F42" s="34" t="str">
        <f>IF(OR($A42=0,$A42=""),"0",IF(LOOKUP($A42,Discrete_NFET[PARTNUMBER],Discrete_NFET[RDSON8])="(NULL)","0","1"))</f>
        <v>0</v>
      </c>
      <c r="G42" s="43" t="str">
        <f>IF(OR($A42=0,$A42=""),"0",IF(LOOKUP($A42,Discrete_NFET[PARTNUMBER],Discrete_NFET[RDSON10])="(NULL)","0","1"))</f>
        <v>1</v>
      </c>
      <c r="H42" s="36" t="b">
        <f t="shared" si="19"/>
        <v>0</v>
      </c>
      <c r="I42" s="39" t="b">
        <f t="shared" si="20"/>
        <v>0</v>
      </c>
      <c r="J42" s="41" t="b">
        <f t="shared" si="21"/>
        <v>1</v>
      </c>
      <c r="K42" s="46" t="b">
        <f t="shared" si="22"/>
        <v>0</v>
      </c>
      <c r="L42" s="42" t="b">
        <f t="shared" si="23"/>
        <v>0</v>
      </c>
      <c r="M42" s="44" t="b">
        <f t="shared" si="24"/>
        <v>1</v>
      </c>
      <c r="N42" s="47" t="b">
        <f t="shared" si="25"/>
        <v>1</v>
      </c>
      <c r="O42" s="36" t="b">
        <f t="shared" si="26"/>
        <v>0</v>
      </c>
      <c r="P42" s="39" t="b">
        <f t="shared" si="27"/>
        <v>0</v>
      </c>
      <c r="Q42" s="41" t="b">
        <f t="shared" si="28"/>
        <v>1</v>
      </c>
      <c r="R42" s="46" t="b">
        <f t="shared" si="29"/>
        <v>0</v>
      </c>
      <c r="S42" s="42" t="b">
        <f t="shared" si="30"/>
        <v>0</v>
      </c>
      <c r="T42" s="44" t="b">
        <f t="shared" si="31"/>
        <v>1</v>
      </c>
      <c r="U42" s="148">
        <f>IF(T42,LOOKUP(A42,Discrete_NFET[PARTNUMBER],Discrete_NFET[RDSON10])*1000,IF(S42,LOOKUP(A42,Discrete_NFET[PARTNUMBER],Discrete_NFET[RDSON8])*1000,IF(R42,LOOKUP(A42,Discrete_NFET[PARTNUMBER],Discrete_NFET[RDSON6])*1000,IF(Q42,LOOKUP(A42,Discrete_NFET[PARTNUMBER],Discrete_NFET[RDSON45])*1000,IF(P42,LOOKUP(A42,Discrete_NFET[PARTNUMBER],Discrete_NFET[RDSON3])*1000,IF(O42,LOOKUP(A42,Discrete_NFET[PARTNUMBER],Discrete_NFET[RDSON25])*1000,""))))))</f>
        <v>6.8999999999999995</v>
      </c>
      <c r="V42" s="48">
        <f>IF(AND(A42&lt;&gt;0,A42&lt;&gt;""),U42*(1+(Tj-25)*(LOOKUP(A42,Discrete_NFET[PARTNUMBER],Discrete_NFET[RDSDELTA])/((LOOKUP(A42,Discrete_NFET[PARTNUMBER],Discrete_NFET[TJMAX])-25)))),"")</f>
        <v>7.9349999999999987</v>
      </c>
      <c r="W42" s="35">
        <f>IF(AND($A42&lt;&gt;0,$A42&lt;&gt;""),LOOKUP($A42,Discrete_NFET[PARTNUMBER],Discrete_NFET[QGS]),"")</f>
        <v>3.1</v>
      </c>
      <c r="X42" s="35">
        <f>IF(AND($A42&lt;&gt;0,$A42&lt;&gt;""),LOOKUP($A42,Discrete_NFET[PARTNUMBER],Discrete_NFET[QGD]),"")</f>
        <v>2</v>
      </c>
      <c r="Y42" s="35">
        <f>IF(AND($A42&lt;&gt;0,$A42&lt;&gt;""),LOOKUP($A42,Discrete_NFET[PARTNUMBER],Discrete_NFET[QGTH]),"")</f>
        <v>1.7</v>
      </c>
      <c r="Z42" s="35">
        <f t="shared" si="32"/>
        <v>3.3999999999999995</v>
      </c>
      <c r="AA42" s="35">
        <f>IF(AND($A42&lt;&gt;0,$A42&lt;&gt;""),LOOKUP($A42,Discrete_NFET[PARTNUMBER],Discrete_NFET[QOSSTYP]),"")</f>
        <v>4.2</v>
      </c>
      <c r="AB42" s="35">
        <f>IF(AND($A42&lt;&gt;0,$A42&lt;&gt;""),LOOKUP($A42,Discrete_NFET[PARTNUMBER],Discrete_NFET[QRR]),"")</f>
        <v>6.5</v>
      </c>
      <c r="AC42" s="35">
        <f>IF(AND(A42&lt;&gt;0,A42&lt;&gt;""),LOOKUP(A42,Discrete_NFET[PARTNUMBER],Discrete_NFET[VF_TYP]),"")</f>
        <v>0.8</v>
      </c>
      <c r="AD42" s="127">
        <f>IF(AND($A42&lt;&gt;0,$A42&lt;&gt;"",OR(RIGHT(Logic!B42,2)="C)",LEFT(Logic!B42,4)="CSD1")),(1+(1-DUTY))*IM_RMS_120^2*V42*m/3/Num_FETS,"")</f>
        <v>0.33390682710064623</v>
      </c>
      <c r="AE42" s="127">
        <f>IF(AND($A42&lt;&gt;0,$A42&lt;&gt;"",OR(RIGHT(Logic!B42,2)="C)",LEFT(Logic!B42,4)="CSD1")),Num_FETS*0.5*IM_RMS_120*VDC_AVG*Z42*n*MOT_ELEC_FREQ/GDR_SRC,"")</f>
        <v>1.0964912280701752E-5</v>
      </c>
      <c r="AF42" s="127">
        <f>IF(AND($A42&lt;&gt;0,$A42&lt;&gt;"",OR(RIGHT(Logic!B42,2)="C)",LEFT(Logic!B42,4)="CSD1")),Num_FETS*0.5*IM_RMS_120*VDC_AVG*Z42*n*MOT_ELEC_FREQ/GDR_SINK,"")</f>
        <v>7.4561403508771912E-6</v>
      </c>
      <c r="AG42" s="127">
        <f>IF(AND($A42&lt;&gt;0,$A42&lt;&gt;"",OR(RIGHT(Logic!B42,2)="T)",LEFT(Logic!B42,4)="CSD1")),DUTY*IM_RMS_120^2*V42*m/3/Num_FETS,"")</f>
        <v>0.30210617690058467</v>
      </c>
      <c r="AH42" s="127">
        <f>IF(AND($A42&lt;&gt;0,$A42&lt;&gt;"",OR(RIGHT(Logic!B42,2)="T)",LEFT(Logic!B42,4)="CSD1")),Num_FETS*0.5*IM_RMS_120*VDC_AVG*Z42*n*FSW*k/GDR_SRC/3,"")</f>
        <v>2.1929824561403503E-3</v>
      </c>
      <c r="AI42" s="127">
        <f>IF(AND($A42&lt;&gt;0,$A42&lt;&gt;"",OR(RIGHT(Logic!B42,2)="T)",LEFT(Logic!B42,4)="CSD1")),Num_FETS*0.5*IM_RMS_120*VDC_AVG*Z42*n*FSW*k/GDR_SINK/3,"")</f>
        <v>1.4912280701754382E-3</v>
      </c>
      <c r="AJ42" s="127">
        <f t="shared" si="35"/>
        <v>5.0400000000000011E-4</v>
      </c>
      <c r="AK42" s="127">
        <f t="shared" si="36"/>
        <v>1.2414567897146714E-2</v>
      </c>
      <c r="AL42" s="127">
        <f t="shared" si="37"/>
        <v>1.5626000000000001E-3</v>
      </c>
      <c r="AM42" s="127">
        <f t="shared" si="33"/>
        <v>0.37243703691440144</v>
      </c>
      <c r="AN42" s="127">
        <f>IF(AND($A42&lt;&gt;0,$A42&lt;&gt;"",OR(RIGHT(Logic!B42,2)="C)",LEFT(Logic!B42,4)="CSD1")),SUM(AD42:AF42)+(AJ42/3)+AK42+AL42/6+AM42/6,AN43)</f>
        <v>0.40884108886949139</v>
      </c>
      <c r="AO42" s="127">
        <f>IF(AND($A42&lt;&gt;0,$A42&lt;&gt;"",OR(RIGHT(Logic!B42,2)="T)",LEFT(Logic!B42,4)="CSD1")),SUM(AG42:AI42)+(AJ42/3)+AL42/6+AM42/6,AO41)</f>
        <v>0.36829166024596732</v>
      </c>
      <c r="AP42" s="48">
        <f t="shared" si="34"/>
        <v>0.78</v>
      </c>
      <c r="AQ42" s="35" t="str">
        <f>IF(AND(A42&lt;&gt;0,A42&lt;&gt;""),LOOKUP(A42,Discrete_NFET[PARTNUMBER],Discrete_NFET[TI_EQ_PACKAGE]),"")</f>
        <v>SON5x6</v>
      </c>
      <c r="AR42" s="49">
        <f>IF(AND(A42&lt;&gt;0,A42&lt;&gt;""),LOOKUP(A42,Discrete_NFET[PARTNUMBER],Discrete_NFET[1KPRICE]),"")</f>
        <v>0.18</v>
      </c>
      <c r="AS42" s="35" t="str">
        <f>IF(AND($A42&lt;&gt;0,$A42&lt;&gt;""),CONCATENATE(TEXT(AP42,"0.00"),"W, ",IF('User Input'!F$11="Single Discrete",A42,IF('User Input'!F$11="Dual/Power Block",LEFT(A42,FIND(")",A42)-7),A42)),", ",AQ42,", ",TEXT(AR42,"$0.00")),"Invalid Part")</f>
        <v>0.78W, CSD17578Q5A, SON5x6, $0.18</v>
      </c>
      <c r="AT42" t="s">
        <v>771</v>
      </c>
      <c r="AW42"/>
    </row>
    <row r="43" spans="1:49" ht="15" customHeight="1" x14ac:dyDescent="0.25">
      <c r="A43" s="35" t="str">
        <f>IF(OR(AND(FET_config="Dual/Power Block",LEFT(Logic!B43,4)="CSD8"),AND(FET_config="Single Discrete",LEFT(Logic!B43,4)="CSD1")),Logic!B43,"")</f>
        <v>CSD17579Q3A</v>
      </c>
      <c r="B43" s="37" t="str">
        <f>IF(OR($A43=0,$A43=""),"0",IF(LOOKUP($A43,Discrete_NFET[PARTNUMBER],Discrete_NFET[RDSON25])="(NULL)","0","1"))</f>
        <v>0</v>
      </c>
      <c r="C43" s="38" t="str">
        <f>IF(OR($A43=0,$A43=""),"0",IF(LOOKUP($A43,Discrete_NFET[PARTNUMBER],Discrete_NFET[RDSON3])="(NULL)","0","1"))</f>
        <v>0</v>
      </c>
      <c r="D43" s="40" t="str">
        <f>IF(OR($A43=0,$A43=""),"0",IF(LOOKUP($A43,Discrete_NFET[PARTNUMBER],Discrete_NFET[RDSON45])="(NULL)","0","1"))</f>
        <v>1</v>
      </c>
      <c r="E43" s="45" t="str">
        <f>IF(OR($A43=0,$A43=""),"0",IF(LOOKUP($A43,Discrete_NFET[PARTNUMBER],Discrete_NFET[RDSON6])="(NULL)","0","1"))</f>
        <v>0</v>
      </c>
      <c r="F43" s="34" t="str">
        <f>IF(OR($A43=0,$A43=""),"0",IF(LOOKUP($A43,Discrete_NFET[PARTNUMBER],Discrete_NFET[RDSON8])="(NULL)","0","1"))</f>
        <v>0</v>
      </c>
      <c r="G43" s="43" t="str">
        <f>IF(OR($A43=0,$A43=""),"0",IF(LOOKUP($A43,Discrete_NFET[PARTNUMBER],Discrete_NFET[RDSON10])="(NULL)","0","1"))</f>
        <v>1</v>
      </c>
      <c r="H43" s="36" t="b">
        <f t="shared" si="19"/>
        <v>0</v>
      </c>
      <c r="I43" s="39" t="b">
        <f t="shared" si="20"/>
        <v>0</v>
      </c>
      <c r="J43" s="41" t="b">
        <f t="shared" si="21"/>
        <v>1</v>
      </c>
      <c r="K43" s="46" t="b">
        <f t="shared" si="22"/>
        <v>0</v>
      </c>
      <c r="L43" s="42" t="b">
        <f t="shared" si="23"/>
        <v>0</v>
      </c>
      <c r="M43" s="44" t="b">
        <f t="shared" si="24"/>
        <v>1</v>
      </c>
      <c r="N43" s="47" t="b">
        <f t="shared" si="25"/>
        <v>1</v>
      </c>
      <c r="O43" s="36" t="b">
        <f t="shared" si="26"/>
        <v>0</v>
      </c>
      <c r="P43" s="39" t="b">
        <f t="shared" si="27"/>
        <v>0</v>
      </c>
      <c r="Q43" s="41" t="b">
        <f t="shared" si="28"/>
        <v>1</v>
      </c>
      <c r="R43" s="46" t="b">
        <f t="shared" si="29"/>
        <v>0</v>
      </c>
      <c r="S43" s="42" t="b">
        <f t="shared" si="30"/>
        <v>0</v>
      </c>
      <c r="T43" s="44" t="b">
        <f t="shared" si="31"/>
        <v>1</v>
      </c>
      <c r="U43" s="148">
        <f>IF(T43,LOOKUP(A43,Discrete_NFET[PARTNUMBER],Discrete_NFET[RDSON10])*1000,IF(S43,LOOKUP(A43,Discrete_NFET[PARTNUMBER],Discrete_NFET[RDSON8])*1000,IF(R43,LOOKUP(A43,Discrete_NFET[PARTNUMBER],Discrete_NFET[RDSON6])*1000,IF(Q43,LOOKUP(A43,Discrete_NFET[PARTNUMBER],Discrete_NFET[RDSON45])*1000,IF(P43,LOOKUP(A43,Discrete_NFET[PARTNUMBER],Discrete_NFET[RDSON3])*1000,IF(O43,LOOKUP(A43,Discrete_NFET[PARTNUMBER],Discrete_NFET[RDSON25])*1000,""))))))</f>
        <v>8.6999999999999993</v>
      </c>
      <c r="V43" s="48">
        <f>IF(AND(A43&lt;&gt;0,A43&lt;&gt;""),U43*(1+(Tj-25)*(LOOKUP(A43,Discrete_NFET[PARTNUMBER],Discrete_NFET[RDSDELTA])/((LOOKUP(A43,Discrete_NFET[PARTNUMBER],Discrete_NFET[TJMAX])-25)))),"")</f>
        <v>9.9527999999999981</v>
      </c>
      <c r="W43" s="35">
        <f>IF(AND($A43&lt;&gt;0,$A43&lt;&gt;""),LOOKUP($A43,Discrete_NFET[PARTNUMBER],Discrete_NFET[QGS]),"")</f>
        <v>2.2000000000000002</v>
      </c>
      <c r="X43" s="35">
        <f>IF(AND($A43&lt;&gt;0,$A43&lt;&gt;""),LOOKUP($A43,Discrete_NFET[PARTNUMBER],Discrete_NFET[QGD]),"")</f>
        <v>1.2</v>
      </c>
      <c r="Y43" s="35">
        <f>IF(AND($A43&lt;&gt;0,$A43&lt;&gt;""),LOOKUP($A43,Discrete_NFET[PARTNUMBER],Discrete_NFET[QGTH]),"")</f>
        <v>1.1000000000000001</v>
      </c>
      <c r="Z43" s="35">
        <f t="shared" si="32"/>
        <v>2.3000000000000003</v>
      </c>
      <c r="AA43" s="35">
        <f>IF(AND($A43&lt;&gt;0,$A43&lt;&gt;""),LOOKUP($A43,Discrete_NFET[PARTNUMBER],Discrete_NFET[QOSSTYP]),"")</f>
        <v>3</v>
      </c>
      <c r="AB43" s="35">
        <f>IF(AND($A43&lt;&gt;0,$A43&lt;&gt;""),LOOKUP($A43,Discrete_NFET[PARTNUMBER],Discrete_NFET[QRR]),"")</f>
        <v>3.4</v>
      </c>
      <c r="AC43" s="35">
        <f>IF(AND(A43&lt;&gt;0,A43&lt;&gt;""),LOOKUP(A43,Discrete_NFET[PARTNUMBER],Discrete_NFET[VF_TYP]),"")</f>
        <v>0.8</v>
      </c>
      <c r="AD43" s="127">
        <f>IF(AND($A43&lt;&gt;0,$A43&lt;&gt;"",OR(RIGHT(Logic!B43,2)="C)",LEFT(Logic!B43,4)="CSD1")),(1+(1-DUTY))*IM_RMS_120^2*V43*m/3/Num_FETS,"")</f>
        <v>0.41881636657433036</v>
      </c>
      <c r="AE43" s="127">
        <f>IF(AND($A43&lt;&gt;0,$A43&lt;&gt;"",OR(RIGHT(Logic!B43,2)="C)",LEFT(Logic!B43,4)="CSD1")),Num_FETS*0.5*IM_RMS_120*VDC_AVG*Z43*n*MOT_ELEC_FREQ/GDR_SRC,"")</f>
        <v>7.4174406604747163E-6</v>
      </c>
      <c r="AF43" s="127">
        <f>IF(AND($A43&lt;&gt;0,$A43&lt;&gt;"",OR(RIGHT(Logic!B43,2)="C)",LEFT(Logic!B43,4)="CSD1")),Num_FETS*0.5*IM_RMS_120*VDC_AVG*Z43*n*MOT_ELEC_FREQ/GDR_SINK,"")</f>
        <v>5.0438596491228077E-6</v>
      </c>
      <c r="AG43" s="127">
        <f>IF(AND($A43&lt;&gt;0,$A43&lt;&gt;"",OR(RIGHT(Logic!B43,2)="T)",LEFT(Logic!B43,4)="CSD1")),DUTY*IM_RMS_120^2*V43*m/3/Num_FETS,"")</f>
        <v>0.3789290935672513</v>
      </c>
      <c r="AH43" s="127">
        <f>IF(AND($A43&lt;&gt;0,$A43&lt;&gt;"",OR(RIGHT(Logic!B43,2)="T)",LEFT(Logic!B43,4)="CSD1")),Num_FETS*0.5*IM_RMS_120*VDC_AVG*Z43*n*FSW*k/GDR_SRC/3,"")</f>
        <v>1.4834881320949433E-3</v>
      </c>
      <c r="AI43" s="127">
        <f>IF(AND($A43&lt;&gt;0,$A43&lt;&gt;"",OR(RIGHT(Logic!B43,2)="T)",LEFT(Logic!B43,4)="CSD1")),Num_FETS*0.5*IM_RMS_120*VDC_AVG*Z43*n*FSW*k/GDR_SINK/3,"")</f>
        <v>1.0087719298245616E-3</v>
      </c>
      <c r="AJ43" s="127">
        <f t="shared" si="35"/>
        <v>3.6000000000000002E-4</v>
      </c>
      <c r="AK43" s="127">
        <f t="shared" si="36"/>
        <v>1.2414567897146714E-2</v>
      </c>
      <c r="AL43" s="127">
        <f t="shared" si="37"/>
        <v>8.1735999999999994E-4</v>
      </c>
      <c r="AM43" s="127">
        <f t="shared" si="33"/>
        <v>0.37243703691440144</v>
      </c>
      <c r="AN43" s="127">
        <f>IF(AND($A43&lt;&gt;0,$A43&lt;&gt;"",OR(RIGHT(Logic!B43,2)="C)",LEFT(Logic!B43,4)="CSD1")),SUM(AD43:AF43)+(AJ43/3)+AK43+AL43/6+AM43/6,AN44)</f>
        <v>0.49357246192418691</v>
      </c>
      <c r="AO43" s="127">
        <f>IF(AND($A43&lt;&gt;0,$A43&lt;&gt;"",OR(RIGHT(Logic!B43,2)="T)",LEFT(Logic!B43,4)="CSD1")),SUM(AG43:AI43)+(AJ43/3)+AL43/6+AM43/6,AO42)</f>
        <v>0.44375041978157104</v>
      </c>
      <c r="AP43" s="48">
        <f t="shared" si="34"/>
        <v>0.94</v>
      </c>
      <c r="AQ43" s="35" t="str">
        <f>IF(AND(A43&lt;&gt;0,A43&lt;&gt;""),LOOKUP(A43,Discrete_NFET[PARTNUMBER],Discrete_NFET[TI_EQ_PACKAGE]),"")</f>
        <v>SON3x3</v>
      </c>
      <c r="AR43" s="49">
        <f>IF(AND(A43&lt;&gt;0,A43&lt;&gt;""),LOOKUP(A43,Discrete_NFET[PARTNUMBER],Discrete_NFET[1KPRICE]),"")</f>
        <v>0.15</v>
      </c>
      <c r="AS43" s="35" t="str">
        <f>IF(AND($A43&lt;&gt;0,$A43&lt;&gt;""),CONCATENATE(TEXT(AP43,"0.00"),"W, ",IF('User Input'!F$11="Single Discrete",A43,IF('User Input'!F$11="Dual/Power Block",LEFT(A43,FIND(")",A43)-7),A43)),", ",AQ43,", ",TEXT(AR43,"$0.00")),"Invalid Part")</f>
        <v>0.94W, CSD17579Q3A, SON3x3, $0.15</v>
      </c>
      <c r="AT43" t="s">
        <v>739</v>
      </c>
      <c r="AW43"/>
    </row>
    <row r="44" spans="1:49" ht="15" customHeight="1" x14ac:dyDescent="0.25">
      <c r="A44" s="35" t="str">
        <f>IF(OR(AND(FET_config="Dual/Power Block",LEFT(Logic!B44,4)="CSD8"),AND(FET_config="Single Discrete",LEFT(Logic!B44,4)="CSD1")),Logic!B44,"")</f>
        <v>CSD17579Q5A</v>
      </c>
      <c r="B44" s="37" t="str">
        <f>IF(OR($A44=0,$A44=""),"0",IF(LOOKUP($A44,Discrete_NFET[PARTNUMBER],Discrete_NFET[RDSON25])="(NULL)","0","1"))</f>
        <v>0</v>
      </c>
      <c r="C44" s="38" t="str">
        <f>IF(OR($A44=0,$A44=""),"0",IF(LOOKUP($A44,Discrete_NFET[PARTNUMBER],Discrete_NFET[RDSON3])="(NULL)","0","1"))</f>
        <v>0</v>
      </c>
      <c r="D44" s="40" t="str">
        <f>IF(OR($A44=0,$A44=""),"0",IF(LOOKUP($A44,Discrete_NFET[PARTNUMBER],Discrete_NFET[RDSON45])="(NULL)","0","1"))</f>
        <v>1</v>
      </c>
      <c r="E44" s="45" t="str">
        <f>IF(OR($A44=0,$A44=""),"0",IF(LOOKUP($A44,Discrete_NFET[PARTNUMBER],Discrete_NFET[RDSON6])="(NULL)","0","1"))</f>
        <v>0</v>
      </c>
      <c r="F44" s="34" t="str">
        <f>IF(OR($A44=0,$A44=""),"0",IF(LOOKUP($A44,Discrete_NFET[PARTNUMBER],Discrete_NFET[RDSON8])="(NULL)","0","1"))</f>
        <v>0</v>
      </c>
      <c r="G44" s="43" t="str">
        <f>IF(OR($A44=0,$A44=""),"0",IF(LOOKUP($A44,Discrete_NFET[PARTNUMBER],Discrete_NFET[RDSON10])="(NULL)","0","1"))</f>
        <v>1</v>
      </c>
      <c r="H44" s="36" t="b">
        <f t="shared" si="19"/>
        <v>0</v>
      </c>
      <c r="I44" s="39" t="b">
        <f t="shared" si="20"/>
        <v>0</v>
      </c>
      <c r="J44" s="41" t="b">
        <f t="shared" si="21"/>
        <v>1</v>
      </c>
      <c r="K44" s="46" t="b">
        <f t="shared" si="22"/>
        <v>0</v>
      </c>
      <c r="L44" s="42" t="b">
        <f t="shared" si="23"/>
        <v>0</v>
      </c>
      <c r="M44" s="44" t="b">
        <f t="shared" si="24"/>
        <v>1</v>
      </c>
      <c r="N44" s="47" t="b">
        <f t="shared" si="25"/>
        <v>1</v>
      </c>
      <c r="O44" s="36" t="b">
        <f t="shared" si="26"/>
        <v>0</v>
      </c>
      <c r="P44" s="39" t="b">
        <f t="shared" si="27"/>
        <v>0</v>
      </c>
      <c r="Q44" s="41" t="b">
        <f t="shared" si="28"/>
        <v>1</v>
      </c>
      <c r="R44" s="46" t="b">
        <f t="shared" si="29"/>
        <v>0</v>
      </c>
      <c r="S44" s="42" t="b">
        <f t="shared" si="30"/>
        <v>0</v>
      </c>
      <c r="T44" s="44" t="b">
        <f t="shared" si="31"/>
        <v>1</v>
      </c>
      <c r="U44" s="148">
        <f>IF(T44,LOOKUP(A44,Discrete_NFET[PARTNUMBER],Discrete_NFET[RDSON10])*1000,IF(S44,LOOKUP(A44,Discrete_NFET[PARTNUMBER],Discrete_NFET[RDSON8])*1000,IF(R44,LOOKUP(A44,Discrete_NFET[PARTNUMBER],Discrete_NFET[RDSON6])*1000,IF(Q44,LOOKUP(A44,Discrete_NFET[PARTNUMBER],Discrete_NFET[RDSON45])*1000,IF(P44,LOOKUP(A44,Discrete_NFET[PARTNUMBER],Discrete_NFET[RDSON3])*1000,IF(O44,LOOKUP(A44,Discrete_NFET[PARTNUMBER],Discrete_NFET[RDSON25])*1000,""))))))</f>
        <v>9.7000000000000011</v>
      </c>
      <c r="V44" s="48">
        <f>IF(AND(A44&lt;&gt;0,A44&lt;&gt;""),U44*(1+(Tj-25)*(LOOKUP(A44,Discrete_NFET[PARTNUMBER],Discrete_NFET[RDSDELTA])/((LOOKUP(A44,Discrete_NFET[PARTNUMBER],Discrete_NFET[TJMAX])-25)))),"")</f>
        <v>11.155000000000001</v>
      </c>
      <c r="W44" s="35">
        <f>IF(AND($A44&lt;&gt;0,$A44&lt;&gt;""),LOOKUP($A44,Discrete_NFET[PARTNUMBER],Discrete_NFET[QGS]),"")</f>
        <v>2.2999999999999998</v>
      </c>
      <c r="X44" s="35">
        <f>IF(AND($A44&lt;&gt;0,$A44&lt;&gt;""),LOOKUP($A44,Discrete_NFET[PARTNUMBER],Discrete_NFET[QGD]),"")</f>
        <v>1.2</v>
      </c>
      <c r="Y44" s="35">
        <f>IF(AND($A44&lt;&gt;0,$A44&lt;&gt;""),LOOKUP($A44,Discrete_NFET[PARTNUMBER],Discrete_NFET[QGTH]),"")</f>
        <v>1.1000000000000001</v>
      </c>
      <c r="Z44" s="35">
        <f t="shared" si="32"/>
        <v>2.4</v>
      </c>
      <c r="AA44" s="35">
        <f>IF(AND($A44&lt;&gt;0,$A44&lt;&gt;""),LOOKUP($A44,Discrete_NFET[PARTNUMBER],Discrete_NFET[QOSSTYP]),"")</f>
        <v>2.9</v>
      </c>
      <c r="AB44" s="35">
        <f>IF(AND($A44&lt;&gt;0,$A44&lt;&gt;""),LOOKUP($A44,Discrete_NFET[PARTNUMBER],Discrete_NFET[QRR]),"")</f>
        <v>4.2</v>
      </c>
      <c r="AC44" s="35">
        <f>IF(AND(A44&lt;&gt;0,A44&lt;&gt;""),LOOKUP(A44,Discrete_NFET[PARTNUMBER],Discrete_NFET[VF_TYP]),"")</f>
        <v>0.8</v>
      </c>
      <c r="AD44" s="127">
        <f>IF(AND($A44&lt;&gt;0,$A44&lt;&gt;"",OR(RIGHT(Logic!B44,2)="C)",LEFT(Logic!B44,4)="CSD1")),(1+(1-DUTY))*IM_RMS_120^2*V44*m/3/Num_FETS,"")</f>
        <v>0.46940524969221292</v>
      </c>
      <c r="AE44" s="127">
        <f>IF(AND($A44&lt;&gt;0,$A44&lt;&gt;"",OR(RIGHT(Logic!B44,2)="C)",LEFT(Logic!B44,4)="CSD1")),Num_FETS*0.5*IM_RMS_120*VDC_AVG*Z44*n*MOT_ELEC_FREQ/GDR_SRC,"")</f>
        <v>7.7399380804953562E-6</v>
      </c>
      <c r="AF44" s="127">
        <f>IF(AND($A44&lt;&gt;0,$A44&lt;&gt;"",OR(RIGHT(Logic!B44,2)="C)",LEFT(Logic!B44,4)="CSD1")),Num_FETS*0.5*IM_RMS_120*VDC_AVG*Z44*n*MOT_ELEC_FREQ/GDR_SINK,"")</f>
        <v>5.2631578947368422E-6</v>
      </c>
      <c r="AG44" s="127">
        <f>IF(AND($A44&lt;&gt;0,$A44&lt;&gt;"",OR(RIGHT(Logic!B44,2)="T)",LEFT(Logic!B44,4)="CSD1")),DUTY*IM_RMS_120^2*V44*m/3/Num_FETS,"")</f>
        <v>0.4246999878167641</v>
      </c>
      <c r="AH44" s="127">
        <f>IF(AND($A44&lt;&gt;0,$A44&lt;&gt;"",OR(RIGHT(Logic!B44,2)="T)",LEFT(Logic!B44,4)="CSD1")),Num_FETS*0.5*IM_RMS_120*VDC_AVG*Z44*n*FSW*k/GDR_SRC/3,"")</f>
        <v>1.5479876160990711E-3</v>
      </c>
      <c r="AI44" s="127">
        <f>IF(AND($A44&lt;&gt;0,$A44&lt;&gt;"",OR(RIGHT(Logic!B44,2)="T)",LEFT(Logic!B44,4)="CSD1")),Num_FETS*0.5*IM_RMS_120*VDC_AVG*Z44*n*FSW*k/GDR_SINK/3,"")</f>
        <v>1.0526315789473684E-3</v>
      </c>
      <c r="AJ44" s="127">
        <f t="shared" si="35"/>
        <v>3.48E-4</v>
      </c>
      <c r="AK44" s="127">
        <f t="shared" si="36"/>
        <v>1.2414567897146714E-2</v>
      </c>
      <c r="AL44" s="127">
        <f t="shared" si="37"/>
        <v>1.00968E-3</v>
      </c>
      <c r="AM44" s="127">
        <f t="shared" si="33"/>
        <v>0.37243703691440144</v>
      </c>
      <c r="AN44" s="127">
        <f>IF(AND($A44&lt;&gt;0,$A44&lt;&gt;"",OR(RIGHT(Logic!B44,2)="C)",LEFT(Logic!B44,4)="CSD1")),SUM(AD44:AF44)+(AJ44/3)+AK44+AL44/6+AM44/6,AN45)</f>
        <v>0.54418994017106848</v>
      </c>
      <c r="AO44" s="127">
        <f>IF(AND($A44&lt;&gt;0,$A44&lt;&gt;"",OR(RIGHT(Logic!B44,2)="T)",LEFT(Logic!B44,4)="CSD1")),SUM(AG44:AI44)+(AJ44/3)+AL44/6+AM44/6,AO43)</f>
        <v>0.48965772649754413</v>
      </c>
      <c r="AP44" s="48">
        <f t="shared" si="34"/>
        <v>1.03</v>
      </c>
      <c r="AQ44" s="35" t="str">
        <f>IF(AND(A44&lt;&gt;0,A44&lt;&gt;""),LOOKUP(A44,Discrete_NFET[PARTNUMBER],Discrete_NFET[TI_EQ_PACKAGE]),"")</f>
        <v>SON5x6</v>
      </c>
      <c r="AR44" s="49">
        <f>IF(AND(A44&lt;&gt;0,A44&lt;&gt;""),LOOKUP(A44,Discrete_NFET[PARTNUMBER],Discrete_NFET[1KPRICE]),"")</f>
        <v>0.16</v>
      </c>
      <c r="AS44" s="35" t="str">
        <f>IF(AND($A44&lt;&gt;0,$A44&lt;&gt;""),CONCATENATE(TEXT(AP44,"0.00"),"W, ",IF('User Input'!F$11="Single Discrete",A44,IF('User Input'!F$11="Dual/Power Block",LEFT(A44,FIND(")",A44)-7),A44)),", ",AQ44,", ",TEXT(AR44,"$0.00")),"Invalid Part")</f>
        <v>1.03W, CSD17579Q5A, SON5x6, $0.16</v>
      </c>
      <c r="AT44" t="s">
        <v>720</v>
      </c>
      <c r="AW44"/>
    </row>
    <row r="45" spans="1:49" ht="15" customHeight="1" x14ac:dyDescent="0.25">
      <c r="A45" s="35" t="str">
        <f>IF(OR(AND(FET_config="Dual/Power Block",LEFT(Logic!B45,4)="CSD8"),AND(FET_config="Single Discrete",LEFT(Logic!B45,4)="CSD1")),Logic!B45,"")</f>
        <v>CSD17581Q3A</v>
      </c>
      <c r="B45" s="37" t="str">
        <f>IF(OR($A45=0,$A45=""),"0",IF(LOOKUP($A45,Discrete_NFET[PARTNUMBER],Discrete_NFET[RDSON25])="(NULL)","0","1"))</f>
        <v>0</v>
      </c>
      <c r="C45" s="38" t="str">
        <f>IF(OR($A45=0,$A45=""),"0",IF(LOOKUP($A45,Discrete_NFET[PARTNUMBER],Discrete_NFET[RDSON3])="(NULL)","0","1"))</f>
        <v>0</v>
      </c>
      <c r="D45" s="40" t="str">
        <f>IF(OR($A45=0,$A45=""),"0",IF(LOOKUP($A45,Discrete_NFET[PARTNUMBER],Discrete_NFET[RDSON45])="(NULL)","0","1"))</f>
        <v>1</v>
      </c>
      <c r="E45" s="45" t="str">
        <f>IF(OR($A45=0,$A45=""),"0",IF(LOOKUP($A45,Discrete_NFET[PARTNUMBER],Discrete_NFET[RDSON6])="(NULL)","0","1"))</f>
        <v>0</v>
      </c>
      <c r="F45" s="34" t="str">
        <f>IF(OR($A45=0,$A45=""),"0",IF(LOOKUP($A45,Discrete_NFET[PARTNUMBER],Discrete_NFET[RDSON8])="(NULL)","0","1"))</f>
        <v>0</v>
      </c>
      <c r="G45" s="43" t="str">
        <f>IF(OR($A45=0,$A45=""),"0",IF(LOOKUP($A45,Discrete_NFET[PARTNUMBER],Discrete_NFET[RDSON10])="(NULL)","0","1"))</f>
        <v>1</v>
      </c>
      <c r="H45" s="36" t="b">
        <f t="shared" si="19"/>
        <v>0</v>
      </c>
      <c r="I45" s="39" t="b">
        <f t="shared" si="20"/>
        <v>0</v>
      </c>
      <c r="J45" s="41" t="b">
        <f t="shared" si="21"/>
        <v>1</v>
      </c>
      <c r="K45" s="46" t="b">
        <f t="shared" si="22"/>
        <v>0</v>
      </c>
      <c r="L45" s="42" t="b">
        <f t="shared" si="23"/>
        <v>0</v>
      </c>
      <c r="M45" s="44" t="b">
        <f t="shared" si="24"/>
        <v>1</v>
      </c>
      <c r="N45" s="47" t="b">
        <f t="shared" si="25"/>
        <v>1</v>
      </c>
      <c r="O45" s="36" t="b">
        <f t="shared" si="26"/>
        <v>0</v>
      </c>
      <c r="P45" s="39" t="b">
        <f t="shared" si="27"/>
        <v>0</v>
      </c>
      <c r="Q45" s="41" t="b">
        <f t="shared" si="28"/>
        <v>1</v>
      </c>
      <c r="R45" s="46" t="b">
        <f t="shared" si="29"/>
        <v>0</v>
      </c>
      <c r="S45" s="42" t="b">
        <f t="shared" si="30"/>
        <v>0</v>
      </c>
      <c r="T45" s="44" t="b">
        <f t="shared" si="31"/>
        <v>1</v>
      </c>
      <c r="U45" s="148">
        <f>IF(T45,LOOKUP(A45,Discrete_NFET[PARTNUMBER],Discrete_NFET[RDSON10])*1000,IF(S45,LOOKUP(A45,Discrete_NFET[PARTNUMBER],Discrete_NFET[RDSON8])*1000,IF(R45,LOOKUP(A45,Discrete_NFET[PARTNUMBER],Discrete_NFET[RDSON6])*1000,IF(Q45,LOOKUP(A45,Discrete_NFET[PARTNUMBER],Discrete_NFET[RDSON45])*1000,IF(P45,LOOKUP(A45,Discrete_NFET[PARTNUMBER],Discrete_NFET[RDSON3])*1000,IF(O45,LOOKUP(A45,Discrete_NFET[PARTNUMBER],Discrete_NFET[RDSON25])*1000,""))))))</f>
        <v>3.8</v>
      </c>
      <c r="V45" s="48">
        <f>IF(AND(A45&lt;&gt;0,A45&lt;&gt;""),U45*(1+(Tj-25)*(LOOKUP(A45,Discrete_NFET[PARTNUMBER],Discrete_NFET[RDSDELTA])/((LOOKUP(A45,Discrete_NFET[PARTNUMBER],Discrete_NFET[TJMAX])-25)))),"")</f>
        <v>4.2560000000000002</v>
      </c>
      <c r="W45" s="35">
        <f>IF(AND($A45&lt;&gt;0,$A45&lt;&gt;""),LOOKUP($A45,Discrete_NFET[PARTNUMBER],Discrete_NFET[QGS]),"")</f>
        <v>6.9</v>
      </c>
      <c r="X45" s="35">
        <f>IF(AND($A45&lt;&gt;0,$A45&lt;&gt;""),LOOKUP($A45,Discrete_NFET[PARTNUMBER],Discrete_NFET[QGD]),"")</f>
        <v>4</v>
      </c>
      <c r="Y45" s="35">
        <f>IF(AND($A45&lt;&gt;0,$A45&lt;&gt;""),LOOKUP($A45,Discrete_NFET[PARTNUMBER],Discrete_NFET[QGTH]),"")</f>
        <v>3.6</v>
      </c>
      <c r="Z45" s="35">
        <f t="shared" si="32"/>
        <v>7.3000000000000007</v>
      </c>
      <c r="AA45" s="35">
        <f>IF(AND($A45&lt;&gt;0,$A45&lt;&gt;""),LOOKUP($A45,Discrete_NFET[PARTNUMBER],Discrete_NFET[QOSSTYP]),"")</f>
        <v>11.7</v>
      </c>
      <c r="AB45" s="35">
        <f>IF(AND($A45&lt;&gt;0,$A45&lt;&gt;""),LOOKUP($A45,Discrete_NFET[PARTNUMBER],Discrete_NFET[QRR]),"")</f>
        <v>10.199999999999999</v>
      </c>
      <c r="AC45" s="35">
        <f>IF(AND(A45&lt;&gt;0,A45&lt;&gt;""),LOOKUP(A45,Discrete_NFET[PARTNUMBER],Discrete_NFET[VF_TYP]),"")</f>
        <v>0.8</v>
      </c>
      <c r="AD45" s="127">
        <f>IF(AND($A45&lt;&gt;0,$A45&lt;&gt;"",OR(RIGHT(Logic!B45,2)="C)",LEFT(Logic!B45,4)="CSD1")),(1+(1-DUTY))*IM_RMS_120^2*V45*m/3/Num_FETS,"")</f>
        <v>0.17909356725146197</v>
      </c>
      <c r="AE45" s="127">
        <f>IF(AND($A45&lt;&gt;0,$A45&lt;&gt;"",OR(RIGHT(Logic!B45,2)="C)",LEFT(Logic!B45,4)="CSD1")),Num_FETS*0.5*IM_RMS_120*VDC_AVG*Z45*n*MOT_ELEC_FREQ/GDR_SRC,"")</f>
        <v>2.3542311661506708E-5</v>
      </c>
      <c r="AF45" s="127">
        <f>IF(AND($A45&lt;&gt;0,$A45&lt;&gt;"",OR(RIGHT(Logic!B45,2)="C)",LEFT(Logic!B45,4)="CSD1")),Num_FETS*0.5*IM_RMS_120*VDC_AVG*Z45*n*MOT_ELEC_FREQ/GDR_SINK,"")</f>
        <v>1.6008771929824562E-5</v>
      </c>
      <c r="AG45" s="127">
        <f>IF(AND($A45&lt;&gt;0,$A45&lt;&gt;"",OR(RIGHT(Logic!B45,2)="T)",LEFT(Logic!B45,4)="CSD1")),DUTY*IM_RMS_120^2*V45*m/3/Num_FETS,"")</f>
        <v>0.16203703703703701</v>
      </c>
      <c r="AH45" s="127">
        <f>IF(AND($A45&lt;&gt;0,$A45&lt;&gt;"",OR(RIGHT(Logic!B45,2)="T)",LEFT(Logic!B45,4)="CSD1")),Num_FETS*0.5*IM_RMS_120*VDC_AVG*Z45*n*FSW*k/GDR_SRC/3,"")</f>
        <v>4.708462332301341E-3</v>
      </c>
      <c r="AI45" s="127">
        <f>IF(AND($A45&lt;&gt;0,$A45&lt;&gt;"",OR(RIGHT(Logic!B45,2)="T)",LEFT(Logic!B45,4)="CSD1")),Num_FETS*0.5*IM_RMS_120*VDC_AVG*Z45*n*FSW*k/GDR_SINK/3,"")</f>
        <v>3.2017543859649122E-3</v>
      </c>
      <c r="AJ45" s="127">
        <f t="shared" si="35"/>
        <v>1.4039999999999999E-3</v>
      </c>
      <c r="AK45" s="127">
        <f t="shared" si="36"/>
        <v>1.2414567897146714E-2</v>
      </c>
      <c r="AL45" s="127">
        <f t="shared" si="37"/>
        <v>2.4520799999999997E-3</v>
      </c>
      <c r="AM45" s="127">
        <f t="shared" si="33"/>
        <v>0.37243703691440144</v>
      </c>
      <c r="AN45" s="127">
        <f>IF(AND($A45&lt;&gt;0,$A45&lt;&gt;"",OR(RIGHT(Logic!B45,2)="C)",LEFT(Logic!B45,4)="CSD1")),SUM(AD45:AF45)+(AJ45/3)+AK45+AL45/6+AM45/6,AN46)</f>
        <v>0.25449720571793361</v>
      </c>
      <c r="AO45" s="127">
        <f>IF(AND($A45&lt;&gt;0,$A45&lt;&gt;"",OR(RIGHT(Logic!B45,2)="T)",LEFT(Logic!B45,4)="CSD1")),SUM(AG45:AI45)+(AJ45/3)+AL45/6+AM45/6,AO44)</f>
        <v>0.23289677324103683</v>
      </c>
      <c r="AP45" s="48">
        <f t="shared" si="34"/>
        <v>0.49</v>
      </c>
      <c r="AQ45" s="35" t="str">
        <f>IF(AND(A45&lt;&gt;0,A45&lt;&gt;""),LOOKUP(A45,Discrete_NFET[PARTNUMBER],Discrete_NFET[TI_EQ_PACKAGE]),"")</f>
        <v>SON3X3</v>
      </c>
      <c r="AR45" s="49">
        <f>IF(AND(A45&lt;&gt;0,A45&lt;&gt;""),LOOKUP(A45,Discrete_NFET[PARTNUMBER],Discrete_NFET[1KPRICE]),"")</f>
        <v>0.22</v>
      </c>
      <c r="AS45" s="35" t="str">
        <f>IF(AND($A45&lt;&gt;0,$A45&lt;&gt;""),CONCATENATE(TEXT(AP45,"0.00"),"W, ",IF('User Input'!F$11="Single Discrete",A45,IF('User Input'!F$11="Dual/Power Block",LEFT(A45,FIND(")",A45)-7),A45)),", ",AQ45,", ",TEXT(AR45,"$0.00")),"Invalid Part")</f>
        <v>0.49W, CSD17581Q3A, SON3X3, $0.22</v>
      </c>
      <c r="AT45" t="s">
        <v>726</v>
      </c>
      <c r="AW45"/>
    </row>
    <row r="46" spans="1:49" ht="15" customHeight="1" x14ac:dyDescent="0.25">
      <c r="A46" s="35" t="str">
        <f>IF(OR(AND(FET_config="Dual/Power Block",LEFT(Logic!B46,4)="CSD8"),AND(FET_config="Single Discrete",LEFT(Logic!B46,4)="CSD1")),Logic!B46,"")</f>
        <v>CSD17581Q5A</v>
      </c>
      <c r="B46" s="37" t="str">
        <f>IF(OR($A46=0,$A46=""),"0",IF(LOOKUP($A46,Discrete_NFET[PARTNUMBER],Discrete_NFET[RDSON25])="(NULL)","0","1"))</f>
        <v>0</v>
      </c>
      <c r="C46" s="38" t="str">
        <f>IF(OR($A46=0,$A46=""),"0",IF(LOOKUP($A46,Discrete_NFET[PARTNUMBER],Discrete_NFET[RDSON3])="(NULL)","0","1"))</f>
        <v>0</v>
      </c>
      <c r="D46" s="40" t="str">
        <f>IF(OR($A46=0,$A46=""),"0",IF(LOOKUP($A46,Discrete_NFET[PARTNUMBER],Discrete_NFET[RDSON45])="(NULL)","0","1"))</f>
        <v>1</v>
      </c>
      <c r="E46" s="45" t="str">
        <f>IF(OR($A46=0,$A46=""),"0",IF(LOOKUP($A46,Discrete_NFET[PARTNUMBER],Discrete_NFET[RDSON6])="(NULL)","0","1"))</f>
        <v>0</v>
      </c>
      <c r="F46" s="34" t="str">
        <f>IF(OR($A46=0,$A46=""),"0",IF(LOOKUP($A46,Discrete_NFET[PARTNUMBER],Discrete_NFET[RDSON8])="(NULL)","0","1"))</f>
        <v>0</v>
      </c>
      <c r="G46" s="43" t="str">
        <f>IF(OR($A46=0,$A46=""),"0",IF(LOOKUP($A46,Discrete_NFET[PARTNUMBER],Discrete_NFET[RDSON10])="(NULL)","0","1"))</f>
        <v>1</v>
      </c>
      <c r="H46" s="36" t="b">
        <f t="shared" si="19"/>
        <v>0</v>
      </c>
      <c r="I46" s="39" t="b">
        <f t="shared" si="20"/>
        <v>0</v>
      </c>
      <c r="J46" s="41" t="b">
        <f t="shared" si="21"/>
        <v>1</v>
      </c>
      <c r="K46" s="46" t="b">
        <f t="shared" si="22"/>
        <v>0</v>
      </c>
      <c r="L46" s="42" t="b">
        <f t="shared" si="23"/>
        <v>0</v>
      </c>
      <c r="M46" s="44" t="b">
        <f t="shared" si="24"/>
        <v>1</v>
      </c>
      <c r="N46" s="47" t="b">
        <f t="shared" si="25"/>
        <v>1</v>
      </c>
      <c r="O46" s="36" t="b">
        <f t="shared" si="26"/>
        <v>0</v>
      </c>
      <c r="P46" s="39" t="b">
        <f t="shared" si="27"/>
        <v>0</v>
      </c>
      <c r="Q46" s="41" t="b">
        <f t="shared" si="28"/>
        <v>1</v>
      </c>
      <c r="R46" s="46" t="b">
        <f t="shared" si="29"/>
        <v>0</v>
      </c>
      <c r="S46" s="42" t="b">
        <f t="shared" si="30"/>
        <v>0</v>
      </c>
      <c r="T46" s="44" t="b">
        <f t="shared" si="31"/>
        <v>1</v>
      </c>
      <c r="U46" s="148">
        <f>IF(T46,LOOKUP(A46,Discrete_NFET[PARTNUMBER],Discrete_NFET[RDSON10])*1000,IF(S46,LOOKUP(A46,Discrete_NFET[PARTNUMBER],Discrete_NFET[RDSON8])*1000,IF(R46,LOOKUP(A46,Discrete_NFET[PARTNUMBER],Discrete_NFET[RDSON6])*1000,IF(Q46,LOOKUP(A46,Discrete_NFET[PARTNUMBER],Discrete_NFET[RDSON45])*1000,IF(P46,LOOKUP(A46,Discrete_NFET[PARTNUMBER],Discrete_NFET[RDSON3])*1000,IF(O46,LOOKUP(A46,Discrete_NFET[PARTNUMBER],Discrete_NFET[RDSON25])*1000,""))))))</f>
        <v>3.4</v>
      </c>
      <c r="V46" s="48">
        <f>IF(AND(A46&lt;&gt;0,A46&lt;&gt;""),U46*(1+(Tj-25)*(LOOKUP(A46,Discrete_NFET[PARTNUMBER],Discrete_NFET[RDSDELTA])/((LOOKUP(A46,Discrete_NFET[PARTNUMBER],Discrete_NFET[TJMAX])-25)))),"")</f>
        <v>3.8080000000000003</v>
      </c>
      <c r="W46" s="35">
        <f>IF(AND($A46&lt;&gt;0,$A46&lt;&gt;""),LOOKUP($A46,Discrete_NFET[PARTNUMBER],Discrete_NFET[QGS]),"")</f>
        <v>6.9</v>
      </c>
      <c r="X46" s="35">
        <f>IF(AND($A46&lt;&gt;0,$A46&lt;&gt;""),LOOKUP($A46,Discrete_NFET[PARTNUMBER],Discrete_NFET[QGD]),"")</f>
        <v>4</v>
      </c>
      <c r="Y46" s="35">
        <f>IF(AND($A46&lt;&gt;0,$A46&lt;&gt;""),LOOKUP($A46,Discrete_NFET[PARTNUMBER],Discrete_NFET[QGTH]),"")</f>
        <v>3.6</v>
      </c>
      <c r="Z46" s="35">
        <f t="shared" si="32"/>
        <v>7.3000000000000007</v>
      </c>
      <c r="AA46" s="35">
        <f>IF(AND($A46&lt;&gt;0,$A46&lt;&gt;""),LOOKUP($A46,Discrete_NFET[PARTNUMBER],Discrete_NFET[QOSSTYP]),"")</f>
        <v>11.7</v>
      </c>
      <c r="AB46" s="35">
        <f>IF(AND($A46&lt;&gt;0,$A46&lt;&gt;""),LOOKUP($A46,Discrete_NFET[PARTNUMBER],Discrete_NFET[QRR]),"")</f>
        <v>13</v>
      </c>
      <c r="AC46" s="35">
        <f>IF(AND(A46&lt;&gt;0,A46&lt;&gt;""),LOOKUP(A46,Discrete_NFET[PARTNUMBER],Discrete_NFET[VF_TYP]),"")</f>
        <v>0.8</v>
      </c>
      <c r="AD46" s="127">
        <f>IF(AND($A46&lt;&gt;0,$A46&lt;&gt;"",OR(RIGHT(Logic!B46,2)="C)",LEFT(Logic!B46,4)="CSD1")),(1+(1-DUTY))*IM_RMS_120^2*V46*m/3/Num_FETS,"")</f>
        <v>0.16024161280393964</v>
      </c>
      <c r="AE46" s="127">
        <f>IF(AND($A46&lt;&gt;0,$A46&lt;&gt;"",OR(RIGHT(Logic!B46,2)="C)",LEFT(Logic!B46,4)="CSD1")),Num_FETS*0.5*IM_RMS_120*VDC_AVG*Z46*n*MOT_ELEC_FREQ/GDR_SRC,"")</f>
        <v>2.3542311661506708E-5</v>
      </c>
      <c r="AF46" s="127">
        <f>IF(AND($A46&lt;&gt;0,$A46&lt;&gt;"",OR(RIGHT(Logic!B46,2)="C)",LEFT(Logic!B46,4)="CSD1")),Num_FETS*0.5*IM_RMS_120*VDC_AVG*Z46*n*MOT_ELEC_FREQ/GDR_SINK,"")</f>
        <v>1.6008771929824562E-5</v>
      </c>
      <c r="AG46" s="127">
        <f>IF(AND($A46&lt;&gt;0,$A46&lt;&gt;"",OR(RIGHT(Logic!B46,2)="T)",LEFT(Logic!B46,4)="CSD1")),DUTY*IM_RMS_120^2*V46*m/3/Num_FETS,"")</f>
        <v>0.14498050682261207</v>
      </c>
      <c r="AH46" s="127">
        <f>IF(AND($A46&lt;&gt;0,$A46&lt;&gt;"",OR(RIGHT(Logic!B46,2)="T)",LEFT(Logic!B46,4)="CSD1")),Num_FETS*0.5*IM_RMS_120*VDC_AVG*Z46*n*FSW*k/GDR_SRC/3,"")</f>
        <v>4.708462332301341E-3</v>
      </c>
      <c r="AI46" s="127">
        <f>IF(AND($A46&lt;&gt;0,$A46&lt;&gt;"",OR(RIGHT(Logic!B46,2)="T)",LEFT(Logic!B46,4)="CSD1")),Num_FETS*0.5*IM_RMS_120*VDC_AVG*Z46*n*FSW*k/GDR_SINK/3,"")</f>
        <v>3.2017543859649122E-3</v>
      </c>
      <c r="AJ46" s="127">
        <f t="shared" si="35"/>
        <v>1.4039999999999999E-3</v>
      </c>
      <c r="AK46" s="127">
        <f t="shared" si="36"/>
        <v>1.2414567897146714E-2</v>
      </c>
      <c r="AL46" s="127">
        <f t="shared" si="37"/>
        <v>3.1252000000000003E-3</v>
      </c>
      <c r="AM46" s="127">
        <f t="shared" si="33"/>
        <v>0.37243703691440144</v>
      </c>
      <c r="AN46" s="127">
        <f>IF(AND($A46&lt;&gt;0,$A46&lt;&gt;"",OR(RIGHT(Logic!B46,2)="C)",LEFT(Logic!B46,4)="CSD1")),SUM(AD46:AF46)+(AJ46/3)+AK46+AL46/6+AM46/6,AN47)</f>
        <v>0.23575743793707796</v>
      </c>
      <c r="AO46" s="127">
        <f>IF(AND($A46&lt;&gt;0,$A46&lt;&gt;"",OR(RIGHT(Logic!B46,2)="T)",LEFT(Logic!B46,4)="CSD1")),SUM(AG46:AI46)+(AJ46/3)+AL46/6+AM46/6,AO45)</f>
        <v>0.21595242969327857</v>
      </c>
      <c r="AP46" s="48">
        <f t="shared" si="34"/>
        <v>0.45</v>
      </c>
      <c r="AQ46" s="35" t="str">
        <f>IF(AND(A46&lt;&gt;0,A46&lt;&gt;""),LOOKUP(A46,Discrete_NFET[PARTNUMBER],Discrete_NFET[TI_EQ_PACKAGE]),"")</f>
        <v>SON5X6</v>
      </c>
      <c r="AR46" s="49">
        <f>IF(AND(A46&lt;&gt;0,A46&lt;&gt;""),LOOKUP(A46,Discrete_NFET[PARTNUMBER],Discrete_NFET[1KPRICE]),"")</f>
        <v>0.24</v>
      </c>
      <c r="AS46" s="35" t="str">
        <f>IF(AND($A46&lt;&gt;0,$A46&lt;&gt;""),CONCATENATE(TEXT(AP46,"0.00"),"W, ",IF('User Input'!F$11="Single Discrete",A46,IF('User Input'!F$11="Dual/Power Block",LEFT(A46,FIND(")",A46)-7),A46)),", ",AQ46,", ",TEXT(AR46,"$0.00")),"Invalid Part")</f>
        <v>0.45W, CSD17581Q5A, SON5X6, $0.24</v>
      </c>
      <c r="AT46" t="s">
        <v>788</v>
      </c>
      <c r="AW46"/>
    </row>
    <row r="47" spans="1:49" ht="15" customHeight="1" x14ac:dyDescent="0.25">
      <c r="A47" s="35" t="str">
        <f>IF(OR(AND(FET_config="Dual/Power Block",LEFT(Logic!B47,4)="CSD8"),AND(FET_config="Single Discrete",LEFT(Logic!B47,4)="CSD1")),Logic!B47,"")</f>
        <v>CSD18501Q5A</v>
      </c>
      <c r="B47" s="37" t="str">
        <f>IF(OR($A47=0,$A47=""),"0",IF(LOOKUP($A47,Discrete_NFET[PARTNUMBER],Discrete_NFET[RDSON25])="(NULL)","0","1"))</f>
        <v>0</v>
      </c>
      <c r="C47" s="38" t="str">
        <f>IF(OR($A47=0,$A47=""),"0",IF(LOOKUP($A47,Discrete_NFET[PARTNUMBER],Discrete_NFET[RDSON3])="(NULL)","0","1"))</f>
        <v>0</v>
      </c>
      <c r="D47" s="40" t="str">
        <f>IF(OR($A47=0,$A47=""),"0",IF(LOOKUP($A47,Discrete_NFET[PARTNUMBER],Discrete_NFET[RDSON45])="(NULL)","0","1"))</f>
        <v>1</v>
      </c>
      <c r="E47" s="45" t="str">
        <f>IF(OR($A47=0,$A47=""),"0",IF(LOOKUP($A47,Discrete_NFET[PARTNUMBER],Discrete_NFET[RDSON6])="(NULL)","0","1"))</f>
        <v>0</v>
      </c>
      <c r="F47" s="34" t="str">
        <f>IF(OR($A47=0,$A47=""),"0",IF(LOOKUP($A47,Discrete_NFET[PARTNUMBER],Discrete_NFET[RDSON8])="(NULL)","0","1"))</f>
        <v>0</v>
      </c>
      <c r="G47" s="43" t="str">
        <f>IF(OR($A47=0,$A47=""),"0",IF(LOOKUP($A47,Discrete_NFET[PARTNUMBER],Discrete_NFET[RDSON10])="(NULL)","0","1"))</f>
        <v>1</v>
      </c>
      <c r="H47" s="36" t="b">
        <f t="shared" si="19"/>
        <v>0</v>
      </c>
      <c r="I47" s="39" t="b">
        <f t="shared" si="20"/>
        <v>0</v>
      </c>
      <c r="J47" s="41" t="b">
        <f t="shared" si="21"/>
        <v>1</v>
      </c>
      <c r="K47" s="46" t="b">
        <f t="shared" si="22"/>
        <v>0</v>
      </c>
      <c r="L47" s="42" t="b">
        <f t="shared" si="23"/>
        <v>0</v>
      </c>
      <c r="M47" s="44" t="b">
        <f t="shared" si="24"/>
        <v>1</v>
      </c>
      <c r="N47" s="47" t="b">
        <f t="shared" si="25"/>
        <v>1</v>
      </c>
      <c r="O47" s="36" t="b">
        <f t="shared" si="26"/>
        <v>0</v>
      </c>
      <c r="P47" s="39" t="b">
        <f t="shared" si="27"/>
        <v>0</v>
      </c>
      <c r="Q47" s="41" t="b">
        <f t="shared" si="28"/>
        <v>1</v>
      </c>
      <c r="R47" s="46" t="b">
        <f t="shared" si="29"/>
        <v>0</v>
      </c>
      <c r="S47" s="42" t="b">
        <f t="shared" si="30"/>
        <v>0</v>
      </c>
      <c r="T47" s="44" t="b">
        <f t="shared" si="31"/>
        <v>1</v>
      </c>
      <c r="U47" s="148">
        <f>IF(T47,LOOKUP(A47,Discrete_NFET[PARTNUMBER],Discrete_NFET[RDSON10])*1000,IF(S47,LOOKUP(A47,Discrete_NFET[PARTNUMBER],Discrete_NFET[RDSON8])*1000,IF(R47,LOOKUP(A47,Discrete_NFET[PARTNUMBER],Discrete_NFET[RDSON6])*1000,IF(Q47,LOOKUP(A47,Discrete_NFET[PARTNUMBER],Discrete_NFET[RDSON45])*1000,IF(P47,LOOKUP(A47,Discrete_NFET[PARTNUMBER],Discrete_NFET[RDSON3])*1000,IF(O47,LOOKUP(A47,Discrete_NFET[PARTNUMBER],Discrete_NFET[RDSON25])*1000,""))))))</f>
        <v>3.2</v>
      </c>
      <c r="V47" s="48">
        <f>IF(AND(A47&lt;&gt;0,A47&lt;&gt;""),U47*(1+(Tj-25)*(LOOKUP(A47,Discrete_NFET[PARTNUMBER],Discrete_NFET[RDSDELTA])/((LOOKUP(A47,Discrete_NFET[PARTNUMBER],Discrete_NFET[TJMAX])-25)))),"")</f>
        <v>3.7376</v>
      </c>
      <c r="W47" s="35">
        <f>IF(AND($A47&lt;&gt;0,$A47&lt;&gt;""),LOOKUP($A47,Discrete_NFET[PARTNUMBER],Discrete_NFET[QGS]),"")</f>
        <v>8.1</v>
      </c>
      <c r="X47" s="35">
        <f>IF(AND($A47&lt;&gt;0,$A47&lt;&gt;""),LOOKUP($A47,Discrete_NFET[PARTNUMBER],Discrete_NFET[QGD]),"")</f>
        <v>5.9</v>
      </c>
      <c r="Y47" s="35">
        <f>IF(AND($A47&lt;&gt;0,$A47&lt;&gt;""),LOOKUP($A47,Discrete_NFET[PARTNUMBER],Discrete_NFET[QGTH]),"")</f>
        <v>5.7</v>
      </c>
      <c r="Z47" s="35">
        <f t="shared" si="32"/>
        <v>8.3000000000000007</v>
      </c>
      <c r="AA47" s="35">
        <f>IF(AND($A47&lt;&gt;0,$A47&lt;&gt;""),LOOKUP($A47,Discrete_NFET[PARTNUMBER],Discrete_NFET[QOSSTYP]),"")</f>
        <v>48</v>
      </c>
      <c r="AB47" s="35">
        <f>IF(AND($A47&lt;&gt;0,$A47&lt;&gt;""),LOOKUP($A47,Discrete_NFET[PARTNUMBER],Discrete_NFET[QRR]),"")</f>
        <v>70</v>
      </c>
      <c r="AC47" s="35">
        <f>IF(AND(A47&lt;&gt;0,A47&lt;&gt;""),LOOKUP(A47,Discrete_NFET[PARTNUMBER],Discrete_NFET[VF_TYP]),"")</f>
        <v>0.8</v>
      </c>
      <c r="AD47" s="127">
        <f>IF(AND($A47&lt;&gt;0,$A47&lt;&gt;"",OR(RIGHT(Logic!B47,2)="C)",LEFT(Logic!B47,4)="CSD1")),(1+(1-DUTY))*IM_RMS_120^2*V47*m/3/Num_FETS,"")</f>
        <v>0.15727916281932899</v>
      </c>
      <c r="AE47" s="127">
        <f>IF(AND($A47&lt;&gt;0,$A47&lt;&gt;"",OR(RIGHT(Logic!B47,2)="C)",LEFT(Logic!B47,4)="CSD1")),Num_FETS*0.5*IM_RMS_120*VDC_AVG*Z47*n*MOT_ELEC_FREQ/GDR_SRC,"")</f>
        <v>2.6767285861713108E-5</v>
      </c>
      <c r="AF47" s="127">
        <f>IF(AND($A47&lt;&gt;0,$A47&lt;&gt;"",OR(RIGHT(Logic!B47,2)="C)",LEFT(Logic!B47,4)="CSD1")),Num_FETS*0.5*IM_RMS_120*VDC_AVG*Z47*n*MOT_ELEC_FREQ/GDR_SINK,"")</f>
        <v>1.8201754385964914E-5</v>
      </c>
      <c r="AG47" s="127">
        <f>IF(AND($A47&lt;&gt;0,$A47&lt;&gt;"",OR(RIGHT(Logic!B47,2)="T)",LEFT(Logic!B47,4)="CSD1")),DUTY*IM_RMS_120^2*V47*m/3/Num_FETS,"")</f>
        <v>0.14230019493177384</v>
      </c>
      <c r="AH47" s="127">
        <f>IF(AND($A47&lt;&gt;0,$A47&lt;&gt;"",OR(RIGHT(Logic!B47,2)="T)",LEFT(Logic!B47,4)="CSD1")),Num_FETS*0.5*IM_RMS_120*VDC_AVG*Z47*n*FSW*k/GDR_SRC/3,"")</f>
        <v>5.3534571723426209E-3</v>
      </c>
      <c r="AI47" s="127">
        <f>IF(AND($A47&lt;&gt;0,$A47&lt;&gt;"",OR(RIGHT(Logic!B47,2)="T)",LEFT(Logic!B47,4)="CSD1")),Num_FETS*0.5*IM_RMS_120*VDC_AVG*Z47*n*FSW*k/GDR_SINK/3,"")</f>
        <v>3.6403508771929824E-3</v>
      </c>
      <c r="AJ47" s="127">
        <f t="shared" si="35"/>
        <v>5.7600000000000004E-3</v>
      </c>
      <c r="AK47" s="127">
        <f t="shared" si="36"/>
        <v>1.2414567897146714E-2</v>
      </c>
      <c r="AL47" s="127">
        <f t="shared" si="37"/>
        <v>1.6828000000000003E-2</v>
      </c>
      <c r="AM47" s="127">
        <f t="shared" si="33"/>
        <v>0.37243703691440144</v>
      </c>
      <c r="AN47" s="127">
        <f>IF(AND($A47&lt;&gt;0,$A47&lt;&gt;"",OR(RIGHT(Logic!B47,2)="C)",LEFT(Logic!B47,4)="CSD1")),SUM(AD47:AF47)+(AJ47/3)+AK47+AL47/6+AM47/6,AN48)</f>
        <v>0.23653620590912364</v>
      </c>
      <c r="AO47" s="127">
        <f>IF(AND($A47&lt;&gt;0,$A47&lt;&gt;"",OR(RIGHT(Logic!B47,2)="T)",LEFT(Logic!B47,4)="CSD1")),SUM(AG47:AI47)+(AJ47/3)+AL47/6+AM47/6,AO46)</f>
        <v>0.2180915091337097</v>
      </c>
      <c r="AP47" s="48">
        <f t="shared" si="34"/>
        <v>0.45</v>
      </c>
      <c r="AQ47" s="35" t="str">
        <f>IF(AND(A47&lt;&gt;0,A47&lt;&gt;""),LOOKUP(A47,Discrete_NFET[PARTNUMBER],Discrete_NFET[TI_EQ_PACKAGE]),"")</f>
        <v>SON5X6</v>
      </c>
      <c r="AR47" s="49">
        <f>IF(AND(A47&lt;&gt;0,A47&lt;&gt;""),LOOKUP(A47,Discrete_NFET[PARTNUMBER],Discrete_NFET[1KPRICE]),"")</f>
        <v>0.56000000000000005</v>
      </c>
      <c r="AS47" s="35" t="str">
        <f>IF(AND($A47&lt;&gt;0,$A47&lt;&gt;""),CONCATENATE(TEXT(AP47,"0.00"),"W, ",IF('User Input'!F$11="Single Discrete",A47,IF('User Input'!F$11="Dual/Power Block",LEFT(A47,FIND(")",A47)-7),A47)),", ",AQ47,", ",TEXT(AR47,"$0.00")),"Invalid Part")</f>
        <v>0.45W, CSD18501Q5A, SON5X6, $0.56</v>
      </c>
      <c r="AT47" t="s">
        <v>783</v>
      </c>
      <c r="AW47"/>
    </row>
    <row r="48" spans="1:49" ht="15" customHeight="1" x14ac:dyDescent="0.25">
      <c r="A48" s="35" t="str">
        <f>IF(OR(AND(FET_config="Dual/Power Block",LEFT(Logic!B48,4)="CSD8"),AND(FET_config="Single Discrete",LEFT(Logic!B48,4)="CSD1")),Logic!B48,"")</f>
        <v>CSD18502KCS</v>
      </c>
      <c r="B48" s="37" t="str">
        <f>IF(OR($A48=0,$A48=""),"0",IF(LOOKUP($A48,Discrete_NFET[PARTNUMBER],Discrete_NFET[RDSON25])="(NULL)","0","1"))</f>
        <v>0</v>
      </c>
      <c r="C48" s="38" t="str">
        <f>IF(OR($A48=0,$A48=""),"0",IF(LOOKUP($A48,Discrete_NFET[PARTNUMBER],Discrete_NFET[RDSON3])="(NULL)","0","1"))</f>
        <v>0</v>
      </c>
      <c r="D48" s="40" t="str">
        <f>IF(OR($A48=0,$A48=""),"0",IF(LOOKUP($A48,Discrete_NFET[PARTNUMBER],Discrete_NFET[RDSON45])="(NULL)","0","1"))</f>
        <v>1</v>
      </c>
      <c r="E48" s="45" t="str">
        <f>IF(OR($A48=0,$A48=""),"0",IF(LOOKUP($A48,Discrete_NFET[PARTNUMBER],Discrete_NFET[RDSON6])="(NULL)","0","1"))</f>
        <v>0</v>
      </c>
      <c r="F48" s="34" t="str">
        <f>IF(OR($A48=0,$A48=""),"0",IF(LOOKUP($A48,Discrete_NFET[PARTNUMBER],Discrete_NFET[RDSON8])="(NULL)","0","1"))</f>
        <v>0</v>
      </c>
      <c r="G48" s="43" t="str">
        <f>IF(OR($A48=0,$A48=""),"0",IF(LOOKUP($A48,Discrete_NFET[PARTNUMBER],Discrete_NFET[RDSON10])="(NULL)","0","1"))</f>
        <v>1</v>
      </c>
      <c r="H48" s="36" t="b">
        <f t="shared" si="19"/>
        <v>0</v>
      </c>
      <c r="I48" s="39" t="b">
        <f t="shared" si="20"/>
        <v>0</v>
      </c>
      <c r="J48" s="41" t="b">
        <f t="shared" si="21"/>
        <v>1</v>
      </c>
      <c r="K48" s="46" t="b">
        <f t="shared" si="22"/>
        <v>0</v>
      </c>
      <c r="L48" s="42" t="b">
        <f t="shared" si="23"/>
        <v>0</v>
      </c>
      <c r="M48" s="44" t="b">
        <f t="shared" si="24"/>
        <v>1</v>
      </c>
      <c r="N48" s="47" t="b">
        <f t="shared" si="25"/>
        <v>1</v>
      </c>
      <c r="O48" s="36" t="b">
        <f t="shared" si="26"/>
        <v>0</v>
      </c>
      <c r="P48" s="39" t="b">
        <f t="shared" si="27"/>
        <v>0</v>
      </c>
      <c r="Q48" s="41" t="b">
        <f t="shared" si="28"/>
        <v>1</v>
      </c>
      <c r="R48" s="46" t="b">
        <f t="shared" si="29"/>
        <v>0</v>
      </c>
      <c r="S48" s="42" t="b">
        <f t="shared" si="30"/>
        <v>0</v>
      </c>
      <c r="T48" s="44" t="b">
        <f t="shared" si="31"/>
        <v>1</v>
      </c>
      <c r="U48" s="148">
        <f>IF(T48,LOOKUP(A48,Discrete_NFET[PARTNUMBER],Discrete_NFET[RDSON10])*1000,IF(S48,LOOKUP(A48,Discrete_NFET[PARTNUMBER],Discrete_NFET[RDSON8])*1000,IF(R48,LOOKUP(A48,Discrete_NFET[PARTNUMBER],Discrete_NFET[RDSON6])*1000,IF(Q48,LOOKUP(A48,Discrete_NFET[PARTNUMBER],Discrete_NFET[RDSON45])*1000,IF(P48,LOOKUP(A48,Discrete_NFET[PARTNUMBER],Discrete_NFET[RDSON3])*1000,IF(O48,LOOKUP(A48,Discrete_NFET[PARTNUMBER],Discrete_NFET[RDSON25])*1000,""))))))</f>
        <v>2.9</v>
      </c>
      <c r="V48" s="48">
        <f>IF(AND(A48&lt;&gt;0,A48&lt;&gt;""),U48*(1+(Tj-25)*(LOOKUP(A48,Discrete_NFET[PARTNUMBER],Discrete_NFET[RDSDELTA])/((LOOKUP(A48,Discrete_NFET[PARTNUMBER],Discrete_NFET[TJMAX])-25)))),"")</f>
        <v>3.2866666666666666</v>
      </c>
      <c r="W48" s="35">
        <f>IF(AND($A48&lt;&gt;0,$A48&lt;&gt;""),LOOKUP($A48,Discrete_NFET[PARTNUMBER],Discrete_NFET[QGS]),"")</f>
        <v>10.3</v>
      </c>
      <c r="X48" s="35">
        <f>IF(AND($A48&lt;&gt;0,$A48&lt;&gt;""),LOOKUP($A48,Discrete_NFET[PARTNUMBER],Discrete_NFET[QGD]),"")</f>
        <v>8.4</v>
      </c>
      <c r="Y48" s="35">
        <f>IF(AND($A48&lt;&gt;0,$A48&lt;&gt;""),LOOKUP($A48,Discrete_NFET[PARTNUMBER],Discrete_NFET[QGTH]),"")</f>
        <v>7.5</v>
      </c>
      <c r="Z48" s="35">
        <f t="shared" si="32"/>
        <v>11.200000000000003</v>
      </c>
      <c r="AA48" s="35">
        <f>IF(AND($A48&lt;&gt;0,$A48&lt;&gt;""),LOOKUP($A48,Discrete_NFET[PARTNUMBER],Discrete_NFET[QOSSTYP]),"")</f>
        <v>52</v>
      </c>
      <c r="AB48" s="35">
        <f>IF(AND($A48&lt;&gt;0,$A48&lt;&gt;""),LOOKUP($A48,Discrete_NFET[PARTNUMBER],Discrete_NFET[QRR]),"")</f>
        <v>105</v>
      </c>
      <c r="AC48" s="35">
        <f>IF(AND(A48&lt;&gt;0,A48&lt;&gt;""),LOOKUP(A48,Discrete_NFET[PARTNUMBER],Discrete_NFET[VF_TYP]),"")</f>
        <v>0.8</v>
      </c>
      <c r="AD48" s="127">
        <f>IF(AND($A48&lt;&gt;0,$A48&lt;&gt;"",OR(RIGHT(Logic!B48,2)="C)",LEFT(Logic!B48,4)="CSD1")),(1+(1-DUTY))*IM_RMS_120^2*V48*m/3/Num_FETS,"")</f>
        <v>0.13830377295578125</v>
      </c>
      <c r="AE48" s="127">
        <f>IF(AND($A48&lt;&gt;0,$A48&lt;&gt;"",OR(RIGHT(Logic!B48,2)="C)",LEFT(Logic!B48,4)="CSD1")),Num_FETS*0.5*IM_RMS_120*VDC_AVG*Z48*n*MOT_ELEC_FREQ/GDR_SRC,"")</f>
        <v>3.611971104231167E-5</v>
      </c>
      <c r="AF48" s="127">
        <f>IF(AND($A48&lt;&gt;0,$A48&lt;&gt;"",OR(RIGHT(Logic!B48,2)="C)",LEFT(Logic!B48,4)="CSD1")),Num_FETS*0.5*IM_RMS_120*VDC_AVG*Z48*n*MOT_ELEC_FREQ/GDR_SINK,"")</f>
        <v>2.4561403508771935E-5</v>
      </c>
      <c r="AG48" s="127">
        <f>IF(AND($A48&lt;&gt;0,$A48&lt;&gt;"",OR(RIGHT(Logic!B48,2)="T)",LEFT(Logic!B48,4)="CSD1")),DUTY*IM_RMS_120^2*V48*m/3/Num_FETS,"")</f>
        <v>0.12513198505523065</v>
      </c>
      <c r="AH48" s="127">
        <f>IF(AND($A48&lt;&gt;0,$A48&lt;&gt;"",OR(RIGHT(Logic!B48,2)="T)",LEFT(Logic!B48,4)="CSD1")),Num_FETS*0.5*IM_RMS_120*VDC_AVG*Z48*n*FSW*k/GDR_SRC/3,"")</f>
        <v>7.2239422084623339E-3</v>
      </c>
      <c r="AI48" s="127">
        <f>IF(AND($A48&lt;&gt;0,$A48&lt;&gt;"",OR(RIGHT(Logic!B48,2)="T)",LEFT(Logic!B48,4)="CSD1")),Num_FETS*0.5*IM_RMS_120*VDC_AVG*Z48*n*FSW*k/GDR_SINK/3,"")</f>
        <v>4.912280701754387E-3</v>
      </c>
      <c r="AJ48" s="127">
        <f t="shared" si="35"/>
        <v>6.2400000000000008E-3</v>
      </c>
      <c r="AK48" s="127">
        <f t="shared" si="36"/>
        <v>1.2414567897146714E-2</v>
      </c>
      <c r="AL48" s="127">
        <f t="shared" si="37"/>
        <v>2.5242000000000001E-2</v>
      </c>
      <c r="AM48" s="127">
        <f t="shared" si="33"/>
        <v>0.37243703691440144</v>
      </c>
      <c r="AN48" s="127">
        <f>IF(AND($A48&lt;&gt;0,$A48&lt;&gt;"",OR(RIGHT(Logic!B48,2)="C)",LEFT(Logic!B48,4)="CSD1")),SUM(AD48:AF48)+(AJ48/3)+AK48+AL48/6+AM48/6,AN49)</f>
        <v>0.2191388614532126</v>
      </c>
      <c r="AO48" s="127">
        <f>IF(AND($A48&lt;&gt;0,$A48&lt;&gt;"",OR(RIGHT(Logic!B48,2)="T)",LEFT(Logic!B48,4)="CSD1")),SUM(AG48:AI48)+(AJ48/3)+AL48/6+AM48/6,AO47)</f>
        <v>0.20562804745118096</v>
      </c>
      <c r="AP48" s="48">
        <f t="shared" si="34"/>
        <v>0.42</v>
      </c>
      <c r="AQ48" s="35" t="str">
        <f>IF(AND(A48&lt;&gt;0,A48&lt;&gt;""),LOOKUP(A48,Discrete_NFET[PARTNUMBER],Discrete_NFET[TI_EQ_PACKAGE]),"")</f>
        <v>TO-220</v>
      </c>
      <c r="AR48" s="49">
        <f>IF(AND(A48&lt;&gt;0,A48&lt;&gt;""),LOOKUP(A48,Discrete_NFET[PARTNUMBER],Discrete_NFET[1KPRICE]),"")</f>
        <v>0.78</v>
      </c>
      <c r="AS48" s="35" t="str">
        <f>IF(AND($A48&lt;&gt;0,$A48&lt;&gt;""),CONCATENATE(TEXT(AP48,"0.00"),"W, ",IF('User Input'!F$11="Single Discrete",A48,IF('User Input'!F$11="Dual/Power Block",LEFT(A48,FIND(")",A48)-7),A48)),", ",AQ48,", ",TEXT(AR48,"$0.00")),"Invalid Part")</f>
        <v>0.42W, CSD18502KCS, TO-220, $0.78</v>
      </c>
      <c r="AT48" t="s">
        <v>784</v>
      </c>
      <c r="AW48"/>
    </row>
    <row r="49" spans="1:49" ht="15" customHeight="1" x14ac:dyDescent="0.25">
      <c r="A49" s="35" t="str">
        <f>IF(OR(AND(FET_config="Dual/Power Block",LEFT(Logic!B49,4)="CSD8"),AND(FET_config="Single Discrete",LEFT(Logic!B49,4)="CSD1")),Logic!B49,"")</f>
        <v>CSD18502Q5B</v>
      </c>
      <c r="B49" s="37" t="str">
        <f>IF(OR($A49=0,$A49=""),"0",IF(LOOKUP($A49,Discrete_NFET[PARTNUMBER],Discrete_NFET[RDSON25])="(NULL)","0","1"))</f>
        <v>0</v>
      </c>
      <c r="C49" s="38" t="str">
        <f>IF(OR($A49=0,$A49=""),"0",IF(LOOKUP($A49,Discrete_NFET[PARTNUMBER],Discrete_NFET[RDSON3])="(NULL)","0","1"))</f>
        <v>0</v>
      </c>
      <c r="D49" s="40" t="str">
        <f>IF(OR($A49=0,$A49=""),"0",IF(LOOKUP($A49,Discrete_NFET[PARTNUMBER],Discrete_NFET[RDSON45])="(NULL)","0","1"))</f>
        <v>1</v>
      </c>
      <c r="E49" s="45" t="str">
        <f>IF(OR($A49=0,$A49=""),"0",IF(LOOKUP($A49,Discrete_NFET[PARTNUMBER],Discrete_NFET[RDSON6])="(NULL)","0","1"))</f>
        <v>0</v>
      </c>
      <c r="F49" s="34" t="str">
        <f>IF(OR($A49=0,$A49=""),"0",IF(LOOKUP($A49,Discrete_NFET[PARTNUMBER],Discrete_NFET[RDSON8])="(NULL)","0","1"))</f>
        <v>0</v>
      </c>
      <c r="G49" s="43" t="str">
        <f>IF(OR($A49=0,$A49=""),"0",IF(LOOKUP($A49,Discrete_NFET[PARTNUMBER],Discrete_NFET[RDSON10])="(NULL)","0","1"))</f>
        <v>1</v>
      </c>
      <c r="H49" s="36" t="b">
        <f t="shared" si="19"/>
        <v>0</v>
      </c>
      <c r="I49" s="39" t="b">
        <f t="shared" si="20"/>
        <v>0</v>
      </c>
      <c r="J49" s="41" t="b">
        <f t="shared" si="21"/>
        <v>1</v>
      </c>
      <c r="K49" s="46" t="b">
        <f t="shared" si="22"/>
        <v>0</v>
      </c>
      <c r="L49" s="42" t="b">
        <f t="shared" si="23"/>
        <v>0</v>
      </c>
      <c r="M49" s="44" t="b">
        <f t="shared" si="24"/>
        <v>1</v>
      </c>
      <c r="N49" s="47" t="b">
        <f t="shared" si="25"/>
        <v>1</v>
      </c>
      <c r="O49" s="36" t="b">
        <f t="shared" si="26"/>
        <v>0</v>
      </c>
      <c r="P49" s="39" t="b">
        <f t="shared" si="27"/>
        <v>0</v>
      </c>
      <c r="Q49" s="41" t="b">
        <f t="shared" si="28"/>
        <v>1</v>
      </c>
      <c r="R49" s="46" t="b">
        <f t="shared" si="29"/>
        <v>0</v>
      </c>
      <c r="S49" s="42" t="b">
        <f t="shared" si="30"/>
        <v>0</v>
      </c>
      <c r="T49" s="44" t="b">
        <f t="shared" si="31"/>
        <v>1</v>
      </c>
      <c r="U49" s="148">
        <f>IF(T49,LOOKUP(A49,Discrete_NFET[PARTNUMBER],Discrete_NFET[RDSON10])*1000,IF(S49,LOOKUP(A49,Discrete_NFET[PARTNUMBER],Discrete_NFET[RDSON8])*1000,IF(R49,LOOKUP(A49,Discrete_NFET[PARTNUMBER],Discrete_NFET[RDSON6])*1000,IF(Q49,LOOKUP(A49,Discrete_NFET[PARTNUMBER],Discrete_NFET[RDSON45])*1000,IF(P49,LOOKUP(A49,Discrete_NFET[PARTNUMBER],Discrete_NFET[RDSON3])*1000,IF(O49,LOOKUP(A49,Discrete_NFET[PARTNUMBER],Discrete_NFET[RDSON25])*1000,""))))))</f>
        <v>2.2999999999999998</v>
      </c>
      <c r="V49" s="48">
        <f>IF(AND(A49&lt;&gt;0,A49&lt;&gt;""),U49*(1+(Tj-25)*(LOOKUP(A49,Discrete_NFET[PARTNUMBER],Discrete_NFET[RDSDELTA])/((LOOKUP(A49,Discrete_NFET[PARTNUMBER],Discrete_NFET[TJMAX])-25)))),"")</f>
        <v>2.7139999999999995</v>
      </c>
      <c r="W49" s="35">
        <f>IF(AND($A49&lt;&gt;0,$A49&lt;&gt;""),LOOKUP($A49,Discrete_NFET[PARTNUMBER],Discrete_NFET[QGS]),"")</f>
        <v>10.3</v>
      </c>
      <c r="X49" s="35">
        <f>IF(AND($A49&lt;&gt;0,$A49&lt;&gt;""),LOOKUP($A49,Discrete_NFET[PARTNUMBER],Discrete_NFET[QGD]),"")</f>
        <v>8.4</v>
      </c>
      <c r="Y49" s="35">
        <f>IF(AND($A49&lt;&gt;0,$A49&lt;&gt;""),LOOKUP($A49,Discrete_NFET[PARTNUMBER],Discrete_NFET[QGTH]),"")</f>
        <v>6.9</v>
      </c>
      <c r="Z49" s="35">
        <f t="shared" si="32"/>
        <v>11.800000000000002</v>
      </c>
      <c r="AA49" s="35">
        <f>IF(AND($A49&lt;&gt;0,$A49&lt;&gt;""),LOOKUP($A49,Discrete_NFET[PARTNUMBER],Discrete_NFET[QOSSTYP]),"")</f>
        <v>59</v>
      </c>
      <c r="AB49" s="35">
        <f>IF(AND($A49&lt;&gt;0,$A49&lt;&gt;""),LOOKUP($A49,Discrete_NFET[PARTNUMBER],Discrete_NFET[QRR]),"")</f>
        <v>88</v>
      </c>
      <c r="AC49" s="35">
        <f>IF(AND(A49&lt;&gt;0,A49&lt;&gt;""),LOOKUP(A49,Discrete_NFET[PARTNUMBER],Discrete_NFET[VF_TYP]),"")</f>
        <v>0.8</v>
      </c>
      <c r="AD49" s="127">
        <f>IF(AND($A49&lt;&gt;0,$A49&lt;&gt;"",OR(RIGHT(Logic!B49,2)="C)",LEFT(Logic!B49,4)="CSD1")),(1+(1-DUTY))*IM_RMS_120^2*V49*m/3/Num_FETS,"")</f>
        <v>0.11420581332717755</v>
      </c>
      <c r="AE49" s="127">
        <f>IF(AND($A49&lt;&gt;0,$A49&lt;&gt;"",OR(RIGHT(Logic!B49,2)="C)",LEFT(Logic!B49,4)="CSD1")),Num_FETS*0.5*IM_RMS_120*VDC_AVG*Z49*n*MOT_ELEC_FREQ/GDR_SRC,"")</f>
        <v>3.8054695562435508E-5</v>
      </c>
      <c r="AF49" s="127">
        <f>IF(AND($A49&lt;&gt;0,$A49&lt;&gt;"",OR(RIGHT(Logic!B49,2)="C)",LEFT(Logic!B49,4)="CSD1")),Num_FETS*0.5*IM_RMS_120*VDC_AVG*Z49*n*MOT_ELEC_FREQ/GDR_SINK,"")</f>
        <v>2.5877192982456146E-5</v>
      </c>
      <c r="AG49" s="127">
        <f>IF(AND($A49&lt;&gt;0,$A49&lt;&gt;"",OR(RIGHT(Logic!B49,2)="T)",LEFT(Logic!B49,4)="CSD1")),DUTY*IM_RMS_120^2*V49*m/3/Num_FETS,"")</f>
        <v>0.10332906920077968</v>
      </c>
      <c r="AH49" s="127">
        <f>IF(AND($A49&lt;&gt;0,$A49&lt;&gt;"",OR(RIGHT(Logic!B49,2)="T)",LEFT(Logic!B49,4)="CSD1")),Num_FETS*0.5*IM_RMS_120*VDC_AVG*Z49*n*FSW*k/GDR_SRC/3,"")</f>
        <v>7.6109391124871001E-3</v>
      </c>
      <c r="AI49" s="127">
        <f>IF(AND($A49&lt;&gt;0,$A49&lt;&gt;"",OR(RIGHT(Logic!B49,2)="T)",LEFT(Logic!B49,4)="CSD1")),Num_FETS*0.5*IM_RMS_120*VDC_AVG*Z49*n*FSW*k/GDR_SINK/3,"")</f>
        <v>5.175438596491228E-3</v>
      </c>
      <c r="AJ49" s="127">
        <f t="shared" si="35"/>
        <v>7.0800000000000004E-3</v>
      </c>
      <c r="AK49" s="127">
        <f t="shared" si="36"/>
        <v>1.2414567897146714E-2</v>
      </c>
      <c r="AL49" s="127">
        <f t="shared" si="37"/>
        <v>2.1155200000000002E-2</v>
      </c>
      <c r="AM49" s="127">
        <f t="shared" si="33"/>
        <v>0.37243703691440144</v>
      </c>
      <c r="AN49" s="127">
        <f>IF(AND($A49&lt;&gt;0,$A49&lt;&gt;"",OR(RIGHT(Logic!B49,2)="C)",LEFT(Logic!B49,4)="CSD1")),SUM(AD49:AF49)+(AJ49/3)+AK49+AL49/6+AM49/6,AN50)</f>
        <v>0.19464301926526939</v>
      </c>
      <c r="AO49" s="127">
        <f>IF(AND($A49&lt;&gt;0,$A49&lt;&gt;"",OR(RIGHT(Logic!B49,2)="T)",LEFT(Logic!B49,4)="CSD1")),SUM(AG49:AI49)+(AJ49/3)+AL49/6+AM49/6,AO48)</f>
        <v>0.18407415306215824</v>
      </c>
      <c r="AP49" s="48">
        <f t="shared" si="34"/>
        <v>0.38</v>
      </c>
      <c r="AQ49" s="35" t="str">
        <f>IF(AND(A49&lt;&gt;0,A49&lt;&gt;""),LOOKUP(A49,Discrete_NFET[PARTNUMBER],Discrete_NFET[TI_EQ_PACKAGE]),"")</f>
        <v>SON5X6</v>
      </c>
      <c r="AR49" s="49">
        <f>IF(AND(A49&lt;&gt;0,A49&lt;&gt;""),LOOKUP(A49,Discrete_NFET[PARTNUMBER],Discrete_NFET[1KPRICE]),"")</f>
        <v>0.81</v>
      </c>
      <c r="AS49" s="35" t="str">
        <f>IF(AND($A49&lt;&gt;0,$A49&lt;&gt;""),CONCATENATE(TEXT(AP49,"0.00"),"W, ",IF('User Input'!F$11="Single Discrete",A49,IF('User Input'!F$11="Dual/Power Block",LEFT(A49,FIND(")",A49)-7),A49)),", ",AQ49,", ",TEXT(AR49,"$0.00")),"Invalid Part")</f>
        <v>0.38W, CSD18502Q5B, SON5X6, $0.81</v>
      </c>
      <c r="AT49" t="s">
        <v>766</v>
      </c>
      <c r="AW49"/>
    </row>
    <row r="50" spans="1:49" ht="15" customHeight="1" x14ac:dyDescent="0.25">
      <c r="A50" s="35" t="str">
        <f>IF(OR(AND(FET_config="Dual/Power Block",LEFT(Logic!B50,4)="CSD8"),AND(FET_config="Single Discrete",LEFT(Logic!B50,4)="CSD1")),Logic!B50,"")</f>
        <v>CSD18503KCS</v>
      </c>
      <c r="B50" s="37" t="str">
        <f>IF(OR($A50=0,$A50=""),"0",IF(LOOKUP($A50,Discrete_NFET[PARTNUMBER],Discrete_NFET[RDSON25])="(NULL)","0","1"))</f>
        <v>0</v>
      </c>
      <c r="C50" s="38" t="str">
        <f>IF(OR($A50=0,$A50=""),"0",IF(LOOKUP($A50,Discrete_NFET[PARTNUMBER],Discrete_NFET[RDSON3])="(NULL)","0","1"))</f>
        <v>0</v>
      </c>
      <c r="D50" s="40" t="str">
        <f>IF(OR($A50=0,$A50=""),"0",IF(LOOKUP($A50,Discrete_NFET[PARTNUMBER],Discrete_NFET[RDSON45])="(NULL)","0","1"))</f>
        <v>1</v>
      </c>
      <c r="E50" s="45" t="str">
        <f>IF(OR($A50=0,$A50=""),"0",IF(LOOKUP($A50,Discrete_NFET[PARTNUMBER],Discrete_NFET[RDSON6])="(NULL)","0","1"))</f>
        <v>0</v>
      </c>
      <c r="F50" s="34" t="str">
        <f>IF(OR($A50=0,$A50=""),"0",IF(LOOKUP($A50,Discrete_NFET[PARTNUMBER],Discrete_NFET[RDSON8])="(NULL)","0","1"))</f>
        <v>0</v>
      </c>
      <c r="G50" s="43" t="str">
        <f>IF(OR($A50=0,$A50=""),"0",IF(LOOKUP($A50,Discrete_NFET[PARTNUMBER],Discrete_NFET[RDSON10])="(NULL)","0","1"))</f>
        <v>1</v>
      </c>
      <c r="H50" s="36" t="b">
        <f t="shared" si="19"/>
        <v>0</v>
      </c>
      <c r="I50" s="39" t="b">
        <f t="shared" si="20"/>
        <v>0</v>
      </c>
      <c r="J50" s="41" t="b">
        <f t="shared" si="21"/>
        <v>1</v>
      </c>
      <c r="K50" s="46" t="b">
        <f t="shared" si="22"/>
        <v>0</v>
      </c>
      <c r="L50" s="42" t="b">
        <f t="shared" si="23"/>
        <v>0</v>
      </c>
      <c r="M50" s="44" t="b">
        <f t="shared" si="24"/>
        <v>1</v>
      </c>
      <c r="N50" s="47" t="b">
        <f t="shared" si="25"/>
        <v>1</v>
      </c>
      <c r="O50" s="36" t="b">
        <f t="shared" si="26"/>
        <v>0</v>
      </c>
      <c r="P50" s="39" t="b">
        <f t="shared" si="27"/>
        <v>0</v>
      </c>
      <c r="Q50" s="41" t="b">
        <f t="shared" si="28"/>
        <v>1</v>
      </c>
      <c r="R50" s="46" t="b">
        <f t="shared" si="29"/>
        <v>0</v>
      </c>
      <c r="S50" s="42" t="b">
        <f t="shared" si="30"/>
        <v>0</v>
      </c>
      <c r="T50" s="44" t="b">
        <f t="shared" si="31"/>
        <v>1</v>
      </c>
      <c r="U50" s="148">
        <f>IF(T50,LOOKUP(A50,Discrete_NFET[PARTNUMBER],Discrete_NFET[RDSON10])*1000,IF(S50,LOOKUP(A50,Discrete_NFET[PARTNUMBER],Discrete_NFET[RDSON8])*1000,IF(R50,LOOKUP(A50,Discrete_NFET[PARTNUMBER],Discrete_NFET[RDSON6])*1000,IF(Q50,LOOKUP(A50,Discrete_NFET[PARTNUMBER],Discrete_NFET[RDSON45])*1000,IF(P50,LOOKUP(A50,Discrete_NFET[PARTNUMBER],Discrete_NFET[RDSON3])*1000,IF(O50,LOOKUP(A50,Discrete_NFET[PARTNUMBER],Discrete_NFET[RDSON25])*1000,""))))))</f>
        <v>4.5</v>
      </c>
      <c r="V50" s="48">
        <f>IF(AND(A50&lt;&gt;0,A50&lt;&gt;""),U50*(1+(Tj-25)*(LOOKUP(A50,Discrete_NFET[PARTNUMBER],Discrete_NFET[RDSDELTA])/((LOOKUP(A50,Discrete_NFET[PARTNUMBER],Discrete_NFET[TJMAX])-25)))),"")</f>
        <v>5.2829999999999995</v>
      </c>
      <c r="W50" s="35">
        <f>IF(AND($A50&lt;&gt;0,$A50&lt;&gt;""),LOOKUP($A50,Discrete_NFET[PARTNUMBER],Discrete_NFET[QGS]),"")</f>
        <v>7.7</v>
      </c>
      <c r="X50" s="35">
        <f>IF(AND($A50&lt;&gt;0,$A50&lt;&gt;""),LOOKUP($A50,Discrete_NFET[PARTNUMBER],Discrete_NFET[QGD]),"")</f>
        <v>4.5999999999999996</v>
      </c>
      <c r="Y50" s="35">
        <f>IF(AND($A50&lt;&gt;0,$A50&lt;&gt;""),LOOKUP($A50,Discrete_NFET[PARTNUMBER],Discrete_NFET[QGTH]),"")</f>
        <v>4.7</v>
      </c>
      <c r="Z50" s="35">
        <f t="shared" si="32"/>
        <v>7.6000000000000005</v>
      </c>
      <c r="AA50" s="35">
        <f>IF(AND($A50&lt;&gt;0,$A50&lt;&gt;""),LOOKUP($A50,Discrete_NFET[PARTNUMBER],Discrete_NFET[QOSSTYP]),"")</f>
        <v>30</v>
      </c>
      <c r="AB50" s="35">
        <f>IF(AND($A50&lt;&gt;0,$A50&lt;&gt;""),LOOKUP($A50,Discrete_NFET[PARTNUMBER],Discrete_NFET[QRR]),"")</f>
        <v>60</v>
      </c>
      <c r="AC50" s="35">
        <f>IF(AND(A50&lt;&gt;0,A50&lt;&gt;""),LOOKUP(A50,Discrete_NFET[PARTNUMBER],Discrete_NFET[VF_TYP]),"")</f>
        <v>0.8</v>
      </c>
      <c r="AD50" s="127">
        <f>IF(AND($A50&lt;&gt;0,$A50&lt;&gt;"",OR(RIGHT(Logic!B50,2)="C)",LEFT(Logic!B50,4)="CSD1")),(1+(1-DUTY))*IM_RMS_120^2*V50*m/3/Num_FETS,"")</f>
        <v>0.22230998961218829</v>
      </c>
      <c r="AE50" s="127">
        <f>IF(AND($A50&lt;&gt;0,$A50&lt;&gt;"",OR(RIGHT(Logic!B50,2)="C)",LEFT(Logic!B50,4)="CSD1")),Num_FETS*0.5*IM_RMS_120*VDC_AVG*Z50*n*MOT_ELEC_FREQ/GDR_SRC,"")</f>
        <v>2.4509803921568633E-5</v>
      </c>
      <c r="AF50" s="127">
        <f>IF(AND($A50&lt;&gt;0,$A50&lt;&gt;"",OR(RIGHT(Logic!B50,2)="C)",LEFT(Logic!B50,4)="CSD1")),Num_FETS*0.5*IM_RMS_120*VDC_AVG*Z50*n*MOT_ELEC_FREQ/GDR_SINK,"")</f>
        <v>1.6666666666666671E-5</v>
      </c>
      <c r="AG50" s="127">
        <f>IF(AND($A50&lt;&gt;0,$A50&lt;&gt;"",OR(RIGHT(Logic!B50,2)="T)",LEFT(Logic!B50,4)="CSD1")),DUTY*IM_RMS_120^2*V50*m/3/Num_FETS,"")</f>
        <v>0.20113760964912275</v>
      </c>
      <c r="AH50" s="127">
        <f>IF(AND($A50&lt;&gt;0,$A50&lt;&gt;"",OR(RIGHT(Logic!B50,2)="T)",LEFT(Logic!B50,4)="CSD1")),Num_FETS*0.5*IM_RMS_120*VDC_AVG*Z50*n*FSW*k/GDR_SRC/3,"")</f>
        <v>4.9019607843137263E-3</v>
      </c>
      <c r="AI50" s="127">
        <f>IF(AND($A50&lt;&gt;0,$A50&lt;&gt;"",OR(RIGHT(Logic!B50,2)="T)",LEFT(Logic!B50,4)="CSD1")),Num_FETS*0.5*IM_RMS_120*VDC_AVG*Z50*n*FSW*k/GDR_SINK/3,"")</f>
        <v>3.333333333333334E-3</v>
      </c>
      <c r="AJ50" s="127">
        <f t="shared" si="35"/>
        <v>3.6000000000000003E-3</v>
      </c>
      <c r="AK50" s="127">
        <f t="shared" si="36"/>
        <v>1.2414567897146714E-2</v>
      </c>
      <c r="AL50" s="127">
        <f t="shared" si="37"/>
        <v>1.4424000000000001E-2</v>
      </c>
      <c r="AM50" s="127">
        <f t="shared" si="33"/>
        <v>0.37243703691440144</v>
      </c>
      <c r="AN50" s="127">
        <f>IF(AND($A50&lt;&gt;0,$A50&lt;&gt;"",OR(RIGHT(Logic!B50,2)="C)",LEFT(Logic!B50,4)="CSD1")),SUM(AD50:AF50)+(AJ50/3)+AK50+AL50/6+AM50/6,AN51)</f>
        <v>0.30044257346565678</v>
      </c>
      <c r="AO50" s="127">
        <f>IF(AND($A50&lt;&gt;0,$A50&lt;&gt;"",OR(RIGHT(Logic!B50,2)="T)",LEFT(Logic!B50,4)="CSD1")),SUM(AG50:AI50)+(AJ50/3)+AL50/6+AM50/6,AO49)</f>
        <v>0.27504974325250336</v>
      </c>
      <c r="AP50" s="48">
        <f t="shared" si="34"/>
        <v>0.57999999999999996</v>
      </c>
      <c r="AQ50" s="35" t="str">
        <f>IF(AND(A50&lt;&gt;0,A50&lt;&gt;""),LOOKUP(A50,Discrete_NFET[PARTNUMBER],Discrete_NFET[TI_EQ_PACKAGE]),"")</f>
        <v>TO-220</v>
      </c>
      <c r="AR50" s="49">
        <f>IF(AND(A50&lt;&gt;0,A50&lt;&gt;""),LOOKUP(A50,Discrete_NFET[PARTNUMBER],Discrete_NFET[1KPRICE]),"")</f>
        <v>0.55000000000000004</v>
      </c>
      <c r="AS50" s="35" t="str">
        <f>IF(AND($A50&lt;&gt;0,$A50&lt;&gt;""),CONCATENATE(TEXT(AP50,"0.00"),"W, ",IF('User Input'!F$11="Single Discrete",A50,IF('User Input'!F$11="Dual/Power Block",LEFT(A50,FIND(")",A50)-7),A50)),", ",AQ50,", ",TEXT(AR50,"$0.00")),"Invalid Part")</f>
        <v>0.58W, CSD18503KCS, TO-220, $0.55</v>
      </c>
      <c r="AT50" t="s">
        <v>769</v>
      </c>
      <c r="AW50"/>
    </row>
    <row r="51" spans="1:49" ht="15" customHeight="1" x14ac:dyDescent="0.25">
      <c r="A51" s="35" t="str">
        <f>IF(OR(AND(FET_config="Dual/Power Block",LEFT(Logic!B51,4)="CSD8"),AND(FET_config="Single Discrete",LEFT(Logic!B51,4)="CSD1")),Logic!B51,"")</f>
        <v>CSD18503Q5A</v>
      </c>
      <c r="B51" s="37" t="str">
        <f>IF(OR($A51=0,$A51=""),"0",IF(LOOKUP($A51,Discrete_NFET[PARTNUMBER],Discrete_NFET[RDSON25])="(NULL)","0","1"))</f>
        <v>0</v>
      </c>
      <c r="C51" s="38" t="str">
        <f>IF(OR($A51=0,$A51=""),"0",IF(LOOKUP($A51,Discrete_NFET[PARTNUMBER],Discrete_NFET[RDSON3])="(NULL)","0","1"))</f>
        <v>0</v>
      </c>
      <c r="D51" s="40" t="str">
        <f>IF(OR($A51=0,$A51=""),"0",IF(LOOKUP($A51,Discrete_NFET[PARTNUMBER],Discrete_NFET[RDSON45])="(NULL)","0","1"))</f>
        <v>1</v>
      </c>
      <c r="E51" s="45" t="str">
        <f>IF(OR($A51=0,$A51=""),"0",IF(LOOKUP($A51,Discrete_NFET[PARTNUMBER],Discrete_NFET[RDSON6])="(NULL)","0","1"))</f>
        <v>0</v>
      </c>
      <c r="F51" s="34" t="str">
        <f>IF(OR($A51=0,$A51=""),"0",IF(LOOKUP($A51,Discrete_NFET[PARTNUMBER],Discrete_NFET[RDSON8])="(NULL)","0","1"))</f>
        <v>0</v>
      </c>
      <c r="G51" s="43" t="str">
        <f>IF(OR($A51=0,$A51=""),"0",IF(LOOKUP($A51,Discrete_NFET[PARTNUMBER],Discrete_NFET[RDSON10])="(NULL)","0","1"))</f>
        <v>1</v>
      </c>
      <c r="H51" s="36" t="b">
        <f t="shared" si="19"/>
        <v>0</v>
      </c>
      <c r="I51" s="39" t="b">
        <f t="shared" si="20"/>
        <v>0</v>
      </c>
      <c r="J51" s="41" t="b">
        <f t="shared" si="21"/>
        <v>1</v>
      </c>
      <c r="K51" s="46" t="b">
        <f t="shared" si="22"/>
        <v>0</v>
      </c>
      <c r="L51" s="42" t="b">
        <f t="shared" si="23"/>
        <v>0</v>
      </c>
      <c r="M51" s="44" t="b">
        <f t="shared" si="24"/>
        <v>1</v>
      </c>
      <c r="N51" s="47" t="b">
        <f t="shared" si="25"/>
        <v>1</v>
      </c>
      <c r="O51" s="36" t="b">
        <f t="shared" si="26"/>
        <v>0</v>
      </c>
      <c r="P51" s="39" t="b">
        <f t="shared" si="27"/>
        <v>0</v>
      </c>
      <c r="Q51" s="41" t="b">
        <f t="shared" si="28"/>
        <v>1</v>
      </c>
      <c r="R51" s="46" t="b">
        <f t="shared" si="29"/>
        <v>0</v>
      </c>
      <c r="S51" s="42" t="b">
        <f t="shared" si="30"/>
        <v>0</v>
      </c>
      <c r="T51" s="44" t="b">
        <f t="shared" si="31"/>
        <v>1</v>
      </c>
      <c r="U51" s="148">
        <f>IF(T51,LOOKUP(A51,Discrete_NFET[PARTNUMBER],Discrete_NFET[RDSON10])*1000,IF(S51,LOOKUP(A51,Discrete_NFET[PARTNUMBER],Discrete_NFET[RDSON8])*1000,IF(R51,LOOKUP(A51,Discrete_NFET[PARTNUMBER],Discrete_NFET[RDSON6])*1000,IF(Q51,LOOKUP(A51,Discrete_NFET[PARTNUMBER],Discrete_NFET[RDSON45])*1000,IF(P51,LOOKUP(A51,Discrete_NFET[PARTNUMBER],Discrete_NFET[RDSON3])*1000,IF(O51,LOOKUP(A51,Discrete_NFET[PARTNUMBER],Discrete_NFET[RDSON25])*1000,""))))))</f>
        <v>4.3</v>
      </c>
      <c r="V51" s="48">
        <f>IF(AND(A51&lt;&gt;0,A51&lt;&gt;""),U51*(1+(Tj-25)*(LOOKUP(A51,Discrete_NFET[PARTNUMBER],Discrete_NFET[RDSDELTA])/((LOOKUP(A51,Discrete_NFET[PARTNUMBER],Discrete_NFET[TJMAX])-25)))),"")</f>
        <v>5.0739999999999998</v>
      </c>
      <c r="W51" s="35">
        <f>IF(AND($A51&lt;&gt;0,$A51&lt;&gt;""),LOOKUP($A51,Discrete_NFET[PARTNUMBER],Discrete_NFET[QGS]),"")</f>
        <v>4.5</v>
      </c>
      <c r="X51" s="35">
        <f>IF(AND($A51&lt;&gt;0,$A51&lt;&gt;""),LOOKUP($A51,Discrete_NFET[PARTNUMBER],Discrete_NFET[QGD]),"")</f>
        <v>4.3</v>
      </c>
      <c r="Y51" s="35">
        <f>IF(AND($A51&lt;&gt;0,$A51&lt;&gt;""),LOOKUP($A51,Discrete_NFET[PARTNUMBER],Discrete_NFET[QGTH]),"")</f>
        <v>3.8</v>
      </c>
      <c r="Z51" s="35">
        <f t="shared" si="32"/>
        <v>5.0000000000000009</v>
      </c>
      <c r="AA51" s="35">
        <f>IF(AND($A51&lt;&gt;0,$A51&lt;&gt;""),LOOKUP($A51,Discrete_NFET[PARTNUMBER],Discrete_NFET[QOSSTYP]),"")</f>
        <v>30</v>
      </c>
      <c r="AB51" s="35">
        <f>IF(AND($A51&lt;&gt;0,$A51&lt;&gt;""),LOOKUP($A51,Discrete_NFET[PARTNUMBER],Discrete_NFET[QRR]),"")</f>
        <v>52</v>
      </c>
      <c r="AC51" s="35">
        <f>IF(AND(A51&lt;&gt;0,A51&lt;&gt;""),LOOKUP(A51,Discrete_NFET[PARTNUMBER],Discrete_NFET[VF_TYP]),"")</f>
        <v>0.8</v>
      </c>
      <c r="AD51" s="127">
        <f>IF(AND($A51&lt;&gt;0,$A51&lt;&gt;"",OR(RIGHT(Logic!B51,2)="C)",LEFT(Logic!B51,4)="CSD1")),(1+(1-DUTY))*IM_RMS_120^2*V51*m/3/Num_FETS,"")</f>
        <v>0.21351521622037548</v>
      </c>
      <c r="AE51" s="127">
        <f>IF(AND($A51&lt;&gt;0,$A51&lt;&gt;"",OR(RIGHT(Logic!B51,2)="C)",LEFT(Logic!B51,4)="CSD1")),Num_FETS*0.5*IM_RMS_120*VDC_AVG*Z51*n*MOT_ELEC_FREQ/GDR_SRC,"")</f>
        <v>1.6124871001031994E-5</v>
      </c>
      <c r="AF51" s="127">
        <f>IF(AND($A51&lt;&gt;0,$A51&lt;&gt;"",OR(RIGHT(Logic!B51,2)="C)",LEFT(Logic!B51,4)="CSD1")),Num_FETS*0.5*IM_RMS_120*VDC_AVG*Z51*n*MOT_ELEC_FREQ/GDR_SINK,"")</f>
        <v>1.0964912280701757E-5</v>
      </c>
      <c r="AG51" s="127">
        <f>IF(AND($A51&lt;&gt;0,$A51&lt;&gt;"",OR(RIGHT(Logic!B51,2)="T)",LEFT(Logic!B51,4)="CSD1")),DUTY*IM_RMS_120^2*V51*m/3/Num_FETS,"")</f>
        <v>0.19318043372319682</v>
      </c>
      <c r="AH51" s="127">
        <f>IF(AND($A51&lt;&gt;0,$A51&lt;&gt;"",OR(RIGHT(Logic!B51,2)="T)",LEFT(Logic!B51,4)="CSD1")),Num_FETS*0.5*IM_RMS_120*VDC_AVG*Z51*n*FSW*k/GDR_SRC/3,"")</f>
        <v>3.2249742002063986E-3</v>
      </c>
      <c r="AI51" s="127">
        <f>IF(AND($A51&lt;&gt;0,$A51&lt;&gt;"",OR(RIGHT(Logic!B51,2)="T)",LEFT(Logic!B51,4)="CSD1")),Num_FETS*0.5*IM_RMS_120*VDC_AVG*Z51*n*FSW*k/GDR_SINK/3,"")</f>
        <v>2.1929824561403512E-3</v>
      </c>
      <c r="AJ51" s="127">
        <f t="shared" si="35"/>
        <v>3.6000000000000003E-3</v>
      </c>
      <c r="AK51" s="127">
        <f t="shared" si="36"/>
        <v>1.2414567897146714E-2</v>
      </c>
      <c r="AL51" s="127">
        <f t="shared" si="37"/>
        <v>1.2500800000000001E-2</v>
      </c>
      <c r="AM51" s="127">
        <f t="shared" si="33"/>
        <v>0.37243703691440144</v>
      </c>
      <c r="AN51" s="127">
        <f>IF(AND($A51&lt;&gt;0,$A51&lt;&gt;"",OR(RIGHT(Logic!B51,2)="C)",LEFT(Logic!B51,4)="CSD1")),SUM(AD51:AF51)+(AJ51/3)+AK51+AL51/6+AM51/6,AN52)</f>
        <v>0.29131318005320417</v>
      </c>
      <c r="AO51" s="127">
        <f>IF(AND($A51&lt;&gt;0,$A51&lt;&gt;"",OR(RIGHT(Logic!B51,2)="T)",LEFT(Logic!B51,4)="CSD1")),SUM(AG51:AI51)+(AJ51/3)+AL51/6+AM51/6,AO50)</f>
        <v>0.26395469653194381</v>
      </c>
      <c r="AP51" s="48">
        <f t="shared" si="34"/>
        <v>0.56000000000000005</v>
      </c>
      <c r="AQ51" s="35" t="str">
        <f>IF(AND(A51&lt;&gt;0,A51&lt;&gt;""),LOOKUP(A51,Discrete_NFET[PARTNUMBER],Discrete_NFET[TI_EQ_PACKAGE]),"")</f>
        <v>SON5X6</v>
      </c>
      <c r="AR51" s="49">
        <f>IF(AND(A51&lt;&gt;0,A51&lt;&gt;""),LOOKUP(A51,Discrete_NFET[PARTNUMBER],Discrete_NFET[1KPRICE]),"")</f>
        <v>0.44</v>
      </c>
      <c r="AS51" s="35" t="str">
        <f>IF(AND($A51&lt;&gt;0,$A51&lt;&gt;""),CONCATENATE(TEXT(AP51,"0.00"),"W, ",IF('User Input'!F$11="Single Discrete",A51,IF('User Input'!F$11="Dual/Power Block",LEFT(A51,FIND(")",A51)-7),A51)),", ",AQ51,", ",TEXT(AR51,"$0.00")),"Invalid Part")</f>
        <v>0.56W, CSD18503Q5A, SON5X6, $0.44</v>
      </c>
      <c r="AT51" t="s">
        <v>717</v>
      </c>
      <c r="AW51"/>
    </row>
    <row r="52" spans="1:49" ht="15" customHeight="1" x14ac:dyDescent="0.25">
      <c r="A52" s="35" t="str">
        <f>IF(OR(AND(FET_config="Dual/Power Block",LEFT(Logic!B52,4)="CSD8"),AND(FET_config="Single Discrete",LEFT(Logic!B52,4)="CSD1")),Logic!B52,"")</f>
        <v>CSD18504KCS</v>
      </c>
      <c r="B52" s="37" t="str">
        <f>IF(OR($A52=0,$A52=""),"0",IF(LOOKUP($A52,Discrete_NFET[PARTNUMBER],Discrete_NFET[RDSON25])="(NULL)","0","1"))</f>
        <v>0</v>
      </c>
      <c r="C52" s="38" t="str">
        <f>IF(OR($A52=0,$A52=""),"0",IF(LOOKUP($A52,Discrete_NFET[PARTNUMBER],Discrete_NFET[RDSON3])="(NULL)","0","1"))</f>
        <v>0</v>
      </c>
      <c r="D52" s="40" t="str">
        <f>IF(OR($A52=0,$A52=""),"0",IF(LOOKUP($A52,Discrete_NFET[PARTNUMBER],Discrete_NFET[RDSON45])="(NULL)","0","1"))</f>
        <v>1</v>
      </c>
      <c r="E52" s="45" t="str">
        <f>IF(OR($A52=0,$A52=""),"0",IF(LOOKUP($A52,Discrete_NFET[PARTNUMBER],Discrete_NFET[RDSON6])="(NULL)","0","1"))</f>
        <v>0</v>
      </c>
      <c r="F52" s="34" t="str">
        <f>IF(OR($A52=0,$A52=""),"0",IF(LOOKUP($A52,Discrete_NFET[PARTNUMBER],Discrete_NFET[RDSON8])="(NULL)","0","1"))</f>
        <v>0</v>
      </c>
      <c r="G52" s="43" t="str">
        <f>IF(OR($A52=0,$A52=""),"0",IF(LOOKUP($A52,Discrete_NFET[PARTNUMBER],Discrete_NFET[RDSON10])="(NULL)","0","1"))</f>
        <v>1</v>
      </c>
      <c r="H52" s="36" t="b">
        <f t="shared" si="19"/>
        <v>0</v>
      </c>
      <c r="I52" s="39" t="b">
        <f t="shared" si="20"/>
        <v>0</v>
      </c>
      <c r="J52" s="41" t="b">
        <f t="shared" si="21"/>
        <v>1</v>
      </c>
      <c r="K52" s="46" t="b">
        <f t="shared" si="22"/>
        <v>0</v>
      </c>
      <c r="L52" s="42" t="b">
        <f t="shared" si="23"/>
        <v>0</v>
      </c>
      <c r="M52" s="44" t="b">
        <f t="shared" si="24"/>
        <v>1</v>
      </c>
      <c r="N52" s="47" t="b">
        <f t="shared" si="25"/>
        <v>1</v>
      </c>
      <c r="O52" s="36" t="b">
        <f t="shared" si="26"/>
        <v>0</v>
      </c>
      <c r="P52" s="39" t="b">
        <f t="shared" si="27"/>
        <v>0</v>
      </c>
      <c r="Q52" s="41" t="b">
        <f t="shared" si="28"/>
        <v>1</v>
      </c>
      <c r="R52" s="46" t="b">
        <f t="shared" si="29"/>
        <v>0</v>
      </c>
      <c r="S52" s="42" t="b">
        <f t="shared" si="30"/>
        <v>0</v>
      </c>
      <c r="T52" s="44" t="b">
        <f t="shared" si="31"/>
        <v>1</v>
      </c>
      <c r="U52" s="148">
        <f>IF(T52,LOOKUP(A52,Discrete_NFET[PARTNUMBER],Discrete_NFET[RDSON10])*1000,IF(S52,LOOKUP(A52,Discrete_NFET[PARTNUMBER],Discrete_NFET[RDSON8])*1000,IF(R52,LOOKUP(A52,Discrete_NFET[PARTNUMBER],Discrete_NFET[RDSON6])*1000,IF(Q52,LOOKUP(A52,Discrete_NFET[PARTNUMBER],Discrete_NFET[RDSON45])*1000,IF(P52,LOOKUP(A52,Discrete_NFET[PARTNUMBER],Discrete_NFET[RDSON3])*1000,IF(O52,LOOKUP(A52,Discrete_NFET[PARTNUMBER],Discrete_NFET[RDSON25])*1000,""))))))</f>
        <v>7</v>
      </c>
      <c r="V52" s="48">
        <f>IF(AND(A52&lt;&gt;0,A52&lt;&gt;""),U52*(1+(Tj-25)*(LOOKUP(A52,Discrete_NFET[PARTNUMBER],Discrete_NFET[RDSDELTA])/((LOOKUP(A52,Discrete_NFET[PARTNUMBER],Discrete_NFET[TJMAX])-25)))),"")</f>
        <v>8.0266666666666673</v>
      </c>
      <c r="W52" s="35">
        <f>IF(AND($A52&lt;&gt;0,$A52&lt;&gt;""),LOOKUP($A52,Discrete_NFET[PARTNUMBER],Discrete_NFET[QGS]),"")</f>
        <v>4.4000000000000004</v>
      </c>
      <c r="X52" s="35">
        <f>IF(AND($A52&lt;&gt;0,$A52&lt;&gt;""),LOOKUP($A52,Discrete_NFET[PARTNUMBER],Discrete_NFET[QGD]),"")</f>
        <v>3.5</v>
      </c>
      <c r="Y52" s="35">
        <f>IF(AND($A52&lt;&gt;0,$A52&lt;&gt;""),LOOKUP($A52,Discrete_NFET[PARTNUMBER],Discrete_NFET[QGTH]),"")</f>
        <v>3</v>
      </c>
      <c r="Z52" s="35">
        <f t="shared" si="32"/>
        <v>4.9000000000000004</v>
      </c>
      <c r="AA52" s="35">
        <f>IF(AND($A52&lt;&gt;0,$A52&lt;&gt;""),LOOKUP($A52,Discrete_NFET[PARTNUMBER],Discrete_NFET[QOSSTYP]),"")</f>
        <v>19</v>
      </c>
      <c r="AB52" s="35">
        <f>IF(AND($A52&lt;&gt;0,$A52&lt;&gt;""),LOOKUP($A52,Discrete_NFET[PARTNUMBER],Discrete_NFET[QRR]),"")</f>
        <v>46</v>
      </c>
      <c r="AC52" s="35">
        <f>IF(AND(A52&lt;&gt;0,A52&lt;&gt;""),LOOKUP(A52,Discrete_NFET[PARTNUMBER],Discrete_NFET[VF_TYP]),"")</f>
        <v>0.8</v>
      </c>
      <c r="AD52" s="127">
        <f>IF(AND($A52&lt;&gt;0,$A52&lt;&gt;"",OR(RIGHT(Logic!B52,2)="C)",LEFT(Logic!B52,4)="CSD1")),(1+(1-DUTY))*IM_RMS_120^2*V52*m/3/Num_FETS,"")</f>
        <v>0.33776418385144141</v>
      </c>
      <c r="AE52" s="127">
        <f>IF(AND($A52&lt;&gt;0,$A52&lt;&gt;"",OR(RIGHT(Logic!B52,2)="C)",LEFT(Logic!B52,4)="CSD1")),Num_FETS*0.5*IM_RMS_120*VDC_AVG*Z52*n*MOT_ELEC_FREQ/GDR_SRC,"")</f>
        <v>1.5802373581011353E-5</v>
      </c>
      <c r="AF52" s="127">
        <f>IF(AND($A52&lt;&gt;0,$A52&lt;&gt;"",OR(RIGHT(Logic!B52,2)="C)",LEFT(Logic!B52,4)="CSD1")),Num_FETS*0.5*IM_RMS_120*VDC_AVG*Z52*n*MOT_ELEC_FREQ/GDR_SINK,"")</f>
        <v>1.0745614035087721E-5</v>
      </c>
      <c r="AG52" s="127">
        <f>IF(AND($A52&lt;&gt;0,$A52&lt;&gt;"",OR(RIGHT(Logic!B52,2)="T)",LEFT(Logic!B52,4)="CSD1")),DUTY*IM_RMS_120^2*V52*m/3/Num_FETS,"")</f>
        <v>0.30559616634178033</v>
      </c>
      <c r="AH52" s="127">
        <f>IF(AND($A52&lt;&gt;0,$A52&lt;&gt;"",OR(RIGHT(Logic!B52,2)="T)",LEFT(Logic!B52,4)="CSD1")),Num_FETS*0.5*IM_RMS_120*VDC_AVG*Z52*n*FSW*k/GDR_SRC/3,"")</f>
        <v>3.1604747162022706E-3</v>
      </c>
      <c r="AI52" s="127">
        <f>IF(AND($A52&lt;&gt;0,$A52&lt;&gt;"",OR(RIGHT(Logic!B52,2)="T)",LEFT(Logic!B52,4)="CSD1")),Num_FETS*0.5*IM_RMS_120*VDC_AVG*Z52*n*FSW*k/GDR_SINK/3,"")</f>
        <v>2.1491228070175442E-3</v>
      </c>
      <c r="AJ52" s="127">
        <f t="shared" si="35"/>
        <v>2.2800000000000003E-3</v>
      </c>
      <c r="AK52" s="127">
        <f t="shared" si="36"/>
        <v>1.2414567897146714E-2</v>
      </c>
      <c r="AL52" s="127">
        <f t="shared" si="37"/>
        <v>1.1058400000000001E-2</v>
      </c>
      <c r="AM52" s="127">
        <f t="shared" si="33"/>
        <v>0.37243703691440144</v>
      </c>
      <c r="AN52" s="127">
        <f>IF(AND($A52&lt;&gt;0,$A52&lt;&gt;"",OR(RIGHT(Logic!B52,2)="C)",LEFT(Logic!B52,4)="CSD1")),SUM(AD52:AF52)+(AJ52/3)+AK52+AL52/6+AM52/6,AN53)</f>
        <v>0.41488120588860444</v>
      </c>
      <c r="AO52" s="127">
        <f>IF(AND($A52&lt;&gt;0,$A52&lt;&gt;"",OR(RIGHT(Logic!B52,2)="T)",LEFT(Logic!B52,4)="CSD1")),SUM(AG52:AI52)+(AJ52/3)+AL52/6+AM52/6,AO51)</f>
        <v>0.37558167001740039</v>
      </c>
      <c r="AP52" s="48">
        <f t="shared" si="34"/>
        <v>0.79</v>
      </c>
      <c r="AQ52" s="35" t="str">
        <f>IF(AND(A52&lt;&gt;0,A52&lt;&gt;""),LOOKUP(A52,Discrete_NFET[PARTNUMBER],Discrete_NFET[TI_EQ_PACKAGE]),"")</f>
        <v>TO-220</v>
      </c>
      <c r="AR52" s="49">
        <f>IF(AND(A52&lt;&gt;0,A52&lt;&gt;""),LOOKUP(A52,Discrete_NFET[PARTNUMBER],Discrete_NFET[1KPRICE]),"")</f>
        <v>0.44</v>
      </c>
      <c r="AS52" s="35" t="str">
        <f>IF(AND($A52&lt;&gt;0,$A52&lt;&gt;""),CONCATENATE(TEXT(AP52,"0.00"),"W, ",IF('User Input'!F$11="Single Discrete",A52,IF('User Input'!F$11="Dual/Power Block",LEFT(A52,FIND(")",A52)-7),A52)),", ",AQ52,", ",TEXT(AR52,"$0.00")),"Invalid Part")</f>
        <v>0.79W, CSD18504KCS, TO-220, $0.44</v>
      </c>
      <c r="AT52" t="s">
        <v>744</v>
      </c>
      <c r="AW52"/>
    </row>
    <row r="53" spans="1:49" ht="15" customHeight="1" x14ac:dyDescent="0.25">
      <c r="A53" s="35" t="str">
        <f>IF(OR(AND(FET_config="Dual/Power Block",LEFT(Logic!B53,4)="CSD8"),AND(FET_config="Single Discrete",LEFT(Logic!B53,4)="CSD1")),Logic!B53,"")</f>
        <v>CSD18504Q5A</v>
      </c>
      <c r="B53" s="37" t="str">
        <f>IF(OR($A53=0,$A53=""),"0",IF(LOOKUP($A53,Discrete_NFET[PARTNUMBER],Discrete_NFET[RDSON25])="(NULL)","0","1"))</f>
        <v>0</v>
      </c>
      <c r="C53" s="38" t="str">
        <f>IF(OR($A53=0,$A53=""),"0",IF(LOOKUP($A53,Discrete_NFET[PARTNUMBER],Discrete_NFET[RDSON3])="(NULL)","0","1"))</f>
        <v>0</v>
      </c>
      <c r="D53" s="40" t="str">
        <f>IF(OR($A53=0,$A53=""),"0",IF(LOOKUP($A53,Discrete_NFET[PARTNUMBER],Discrete_NFET[RDSON45])="(NULL)","0","1"))</f>
        <v>1</v>
      </c>
      <c r="E53" s="45" t="str">
        <f>IF(OR($A53=0,$A53=""),"0",IF(LOOKUP($A53,Discrete_NFET[PARTNUMBER],Discrete_NFET[RDSON6])="(NULL)","0","1"))</f>
        <v>0</v>
      </c>
      <c r="F53" s="34" t="str">
        <f>IF(OR($A53=0,$A53=""),"0",IF(LOOKUP($A53,Discrete_NFET[PARTNUMBER],Discrete_NFET[RDSON8])="(NULL)","0","1"))</f>
        <v>0</v>
      </c>
      <c r="G53" s="43" t="str">
        <f>IF(OR($A53=0,$A53=""),"0",IF(LOOKUP($A53,Discrete_NFET[PARTNUMBER],Discrete_NFET[RDSON10])="(NULL)","0","1"))</f>
        <v>1</v>
      </c>
      <c r="H53" s="36" t="b">
        <f t="shared" si="19"/>
        <v>0</v>
      </c>
      <c r="I53" s="39" t="b">
        <f t="shared" si="20"/>
        <v>0</v>
      </c>
      <c r="J53" s="41" t="b">
        <f t="shared" si="21"/>
        <v>1</v>
      </c>
      <c r="K53" s="46" t="b">
        <f t="shared" si="22"/>
        <v>0</v>
      </c>
      <c r="L53" s="42" t="b">
        <f t="shared" si="23"/>
        <v>0</v>
      </c>
      <c r="M53" s="44" t="b">
        <f t="shared" si="24"/>
        <v>1</v>
      </c>
      <c r="N53" s="47" t="b">
        <f t="shared" si="25"/>
        <v>1</v>
      </c>
      <c r="O53" s="36" t="b">
        <f t="shared" si="26"/>
        <v>0</v>
      </c>
      <c r="P53" s="39" t="b">
        <f t="shared" si="27"/>
        <v>0</v>
      </c>
      <c r="Q53" s="41" t="b">
        <f t="shared" si="28"/>
        <v>1</v>
      </c>
      <c r="R53" s="46" t="b">
        <f t="shared" si="29"/>
        <v>0</v>
      </c>
      <c r="S53" s="42" t="b">
        <f t="shared" si="30"/>
        <v>0</v>
      </c>
      <c r="T53" s="44" t="b">
        <f t="shared" si="31"/>
        <v>1</v>
      </c>
      <c r="U53" s="148">
        <f>IF(T53,LOOKUP(A53,Discrete_NFET[PARTNUMBER],Discrete_NFET[RDSON10])*1000,IF(S53,LOOKUP(A53,Discrete_NFET[PARTNUMBER],Discrete_NFET[RDSON8])*1000,IF(R53,LOOKUP(A53,Discrete_NFET[PARTNUMBER],Discrete_NFET[RDSON6])*1000,IF(Q53,LOOKUP(A53,Discrete_NFET[PARTNUMBER],Discrete_NFET[RDSON45])*1000,IF(P53,LOOKUP(A53,Discrete_NFET[PARTNUMBER],Discrete_NFET[RDSON3])*1000,IF(O53,LOOKUP(A53,Discrete_NFET[PARTNUMBER],Discrete_NFET[RDSON25])*1000,""))))))</f>
        <v>6.6</v>
      </c>
      <c r="V53" s="48">
        <f>IF(AND(A53&lt;&gt;0,A53&lt;&gt;""),U53*(1+(Tj-25)*(LOOKUP(A53,Discrete_NFET[PARTNUMBER],Discrete_NFET[RDSDELTA])/((LOOKUP(A53,Discrete_NFET[PARTNUMBER],Discrete_NFET[TJMAX])-25)))),"")</f>
        <v>7.7087999999999992</v>
      </c>
      <c r="W53" s="35">
        <f>IF(AND($A53&lt;&gt;0,$A53&lt;&gt;""),LOOKUP($A53,Discrete_NFET[PARTNUMBER],Discrete_NFET[QGS]),"")</f>
        <v>3.2</v>
      </c>
      <c r="X53" s="35">
        <f>IF(AND($A53&lt;&gt;0,$A53&lt;&gt;""),LOOKUP($A53,Discrete_NFET[PARTNUMBER],Discrete_NFET[QGD]),"")</f>
        <v>2.4</v>
      </c>
      <c r="Y53" s="35">
        <f>IF(AND($A53&lt;&gt;0,$A53&lt;&gt;""),LOOKUP($A53,Discrete_NFET[PARTNUMBER],Discrete_NFET[QGTH]),"")</f>
        <v>2.2000000000000002</v>
      </c>
      <c r="Z53" s="35">
        <f t="shared" si="32"/>
        <v>3.3999999999999995</v>
      </c>
      <c r="AA53" s="35">
        <f>IF(AND($A53&lt;&gt;0,$A53&lt;&gt;""),LOOKUP($A53,Discrete_NFET[PARTNUMBER],Discrete_NFET[QOSSTYP]),"")</f>
        <v>21</v>
      </c>
      <c r="AB53" s="35">
        <f>IF(AND($A53&lt;&gt;0,$A53&lt;&gt;""),LOOKUP($A53,Discrete_NFET[PARTNUMBER],Discrete_NFET[QRR]),"")</f>
        <v>39</v>
      </c>
      <c r="AC53" s="35">
        <f>IF(AND(A53&lt;&gt;0,A53&lt;&gt;""),LOOKUP(A53,Discrete_NFET[PARTNUMBER],Discrete_NFET[VF_TYP]),"")</f>
        <v>0.8</v>
      </c>
      <c r="AD53" s="127">
        <f>IF(AND($A53&lt;&gt;0,$A53&lt;&gt;"",OR(RIGHT(Logic!B53,2)="C)",LEFT(Logic!B53,4)="CSD1")),(1+(1-DUTY))*IM_RMS_120^2*V53*m/3/Num_FETS,"")</f>
        <v>0.32438827331486603</v>
      </c>
      <c r="AE53" s="127">
        <f>IF(AND($A53&lt;&gt;0,$A53&lt;&gt;"",OR(RIGHT(Logic!B53,2)="C)",LEFT(Logic!B53,4)="CSD1")),Num_FETS*0.5*IM_RMS_120*VDC_AVG*Z53*n*MOT_ELEC_FREQ/GDR_SRC,"")</f>
        <v>1.0964912280701752E-5</v>
      </c>
      <c r="AF53" s="127">
        <f>IF(AND($A53&lt;&gt;0,$A53&lt;&gt;"",OR(RIGHT(Logic!B53,2)="C)",LEFT(Logic!B53,4)="CSD1")),Num_FETS*0.5*IM_RMS_120*VDC_AVG*Z53*n*MOT_ELEC_FREQ/GDR_SINK,"")</f>
        <v>7.4561403508771912E-6</v>
      </c>
      <c r="AG53" s="127">
        <f>IF(AND($A53&lt;&gt;0,$A53&lt;&gt;"",OR(RIGHT(Logic!B53,2)="T)",LEFT(Logic!B53,4)="CSD1")),DUTY*IM_RMS_120^2*V53*m/3/Num_FETS,"")</f>
        <v>0.29349415204678353</v>
      </c>
      <c r="AH53" s="127">
        <f>IF(AND($A53&lt;&gt;0,$A53&lt;&gt;"",OR(RIGHT(Logic!B53,2)="T)",LEFT(Logic!B53,4)="CSD1")),Num_FETS*0.5*IM_RMS_120*VDC_AVG*Z53*n*FSW*k/GDR_SRC/3,"")</f>
        <v>2.1929824561403503E-3</v>
      </c>
      <c r="AI53" s="127">
        <f>IF(AND($A53&lt;&gt;0,$A53&lt;&gt;"",OR(RIGHT(Logic!B53,2)="T)",LEFT(Logic!B53,4)="CSD1")),Num_FETS*0.5*IM_RMS_120*VDC_AVG*Z53*n*FSW*k/GDR_SINK/3,"")</f>
        <v>1.4912280701754382E-3</v>
      </c>
      <c r="AJ53" s="127">
        <f t="shared" si="35"/>
        <v>2.5200000000000001E-3</v>
      </c>
      <c r="AK53" s="127">
        <f t="shared" si="36"/>
        <v>1.2414567897146714E-2</v>
      </c>
      <c r="AL53" s="127">
        <f t="shared" si="37"/>
        <v>9.3756000000000013E-3</v>
      </c>
      <c r="AM53" s="127">
        <f t="shared" si="33"/>
        <v>0.37243703691440144</v>
      </c>
      <c r="AN53" s="127">
        <f>IF(AND($A53&lt;&gt;0,$A53&lt;&gt;"",OR(RIGHT(Logic!B53,2)="C)",LEFT(Logic!B53,4)="CSD1")),SUM(AD53:AF53)+(AJ53/3)+AK53+AL53/6+AM53/6,AN54)</f>
        <v>0.4012967017503779</v>
      </c>
      <c r="AO53" s="127">
        <f>IF(AND($A53&lt;&gt;0,$A53&lt;&gt;"",OR(RIGHT(Logic!B53,2)="T)",LEFT(Logic!B53,4)="CSD1")),SUM(AG53:AI53)+(AJ53/3)+AL53/6+AM53/6,AO52)</f>
        <v>0.36165380205883291</v>
      </c>
      <c r="AP53" s="48">
        <f t="shared" si="34"/>
        <v>0.76</v>
      </c>
      <c r="AQ53" s="35" t="str">
        <f>IF(AND(A53&lt;&gt;0,A53&lt;&gt;""),LOOKUP(A53,Discrete_NFET[PARTNUMBER],Discrete_NFET[TI_EQ_PACKAGE]),"")</f>
        <v>SON5X6</v>
      </c>
      <c r="AR53" s="49">
        <f>IF(AND(A53&lt;&gt;0,A53&lt;&gt;""),LOOKUP(A53,Discrete_NFET[PARTNUMBER],Discrete_NFET[1KPRICE]),"")</f>
        <v>0.31</v>
      </c>
      <c r="AS53" s="35" t="str">
        <f>IF(AND($A53&lt;&gt;0,$A53&lt;&gt;""),CONCATENATE(TEXT(AP53,"0.00"),"W, ",IF('User Input'!F$11="Single Discrete",A53,IF('User Input'!F$11="Dual/Power Block",LEFT(A53,FIND(")",A53)-7),A53)),", ",AQ53,", ",TEXT(AR53,"$0.00")),"Invalid Part")</f>
        <v>0.76W, CSD18504Q5A, SON5X6, $0.31</v>
      </c>
      <c r="AT53" t="s">
        <v>716</v>
      </c>
      <c r="AW53"/>
    </row>
    <row r="54" spans="1:49" ht="15" customHeight="1" x14ac:dyDescent="0.25">
      <c r="A54" s="35" t="str">
        <f>IF(OR(AND(FET_config="Dual/Power Block",LEFT(Logic!B54,4)="CSD8"),AND(FET_config="Single Discrete",LEFT(Logic!B54,4)="CSD1")),Logic!B54,"")</f>
        <v>CSD18509Q5B</v>
      </c>
      <c r="B54" s="37" t="str">
        <f>IF(OR($A54=0,$A54=""),"0",IF(LOOKUP($A54,Discrete_NFET[PARTNUMBER],Discrete_NFET[RDSON25])="(NULL)","0","1"))</f>
        <v>0</v>
      </c>
      <c r="C54" s="38" t="str">
        <f>IF(OR($A54=0,$A54=""),"0",IF(LOOKUP($A54,Discrete_NFET[PARTNUMBER],Discrete_NFET[RDSON3])="(NULL)","0","1"))</f>
        <v>0</v>
      </c>
      <c r="D54" s="40" t="str">
        <f>IF(OR($A54=0,$A54=""),"0",IF(LOOKUP($A54,Discrete_NFET[PARTNUMBER],Discrete_NFET[RDSON45])="(NULL)","0","1"))</f>
        <v>1</v>
      </c>
      <c r="E54" s="45" t="str">
        <f>IF(OR($A54=0,$A54=""),"0",IF(LOOKUP($A54,Discrete_NFET[PARTNUMBER],Discrete_NFET[RDSON6])="(NULL)","0","1"))</f>
        <v>0</v>
      </c>
      <c r="F54" s="34" t="str">
        <f>IF(OR($A54=0,$A54=""),"0",IF(LOOKUP($A54,Discrete_NFET[PARTNUMBER],Discrete_NFET[RDSON8])="(NULL)","0","1"))</f>
        <v>0</v>
      </c>
      <c r="G54" s="43" t="str">
        <f>IF(OR($A54=0,$A54=""),"0",IF(LOOKUP($A54,Discrete_NFET[PARTNUMBER],Discrete_NFET[RDSON10])="(NULL)","0","1"))</f>
        <v>1</v>
      </c>
      <c r="H54" s="36" t="b">
        <f t="shared" si="19"/>
        <v>0</v>
      </c>
      <c r="I54" s="39" t="b">
        <f t="shared" si="20"/>
        <v>0</v>
      </c>
      <c r="J54" s="41" t="b">
        <f t="shared" si="21"/>
        <v>1</v>
      </c>
      <c r="K54" s="46" t="b">
        <f t="shared" si="22"/>
        <v>0</v>
      </c>
      <c r="L54" s="42" t="b">
        <f t="shared" si="23"/>
        <v>0</v>
      </c>
      <c r="M54" s="44" t="b">
        <f t="shared" si="24"/>
        <v>1</v>
      </c>
      <c r="N54" s="47" t="b">
        <f t="shared" si="25"/>
        <v>1</v>
      </c>
      <c r="O54" s="36" t="b">
        <f t="shared" si="26"/>
        <v>0</v>
      </c>
      <c r="P54" s="39" t="b">
        <f t="shared" si="27"/>
        <v>0</v>
      </c>
      <c r="Q54" s="41" t="b">
        <f t="shared" si="28"/>
        <v>1</v>
      </c>
      <c r="R54" s="46" t="b">
        <f t="shared" si="29"/>
        <v>0</v>
      </c>
      <c r="S54" s="42" t="b">
        <f t="shared" si="30"/>
        <v>0</v>
      </c>
      <c r="T54" s="44" t="b">
        <f t="shared" si="31"/>
        <v>1</v>
      </c>
      <c r="U54" s="148">
        <f>IF(T54,LOOKUP(A54,Discrete_NFET[PARTNUMBER],Discrete_NFET[RDSON10])*1000,IF(S54,LOOKUP(A54,Discrete_NFET[PARTNUMBER],Discrete_NFET[RDSON8])*1000,IF(R54,LOOKUP(A54,Discrete_NFET[PARTNUMBER],Discrete_NFET[RDSON6])*1000,IF(Q54,LOOKUP(A54,Discrete_NFET[PARTNUMBER],Discrete_NFET[RDSON45])*1000,IF(P54,LOOKUP(A54,Discrete_NFET[PARTNUMBER],Discrete_NFET[RDSON3])*1000,IF(O54,LOOKUP(A54,Discrete_NFET[PARTNUMBER],Discrete_NFET[RDSON25])*1000,""))))))</f>
        <v>1.2</v>
      </c>
      <c r="V54" s="48">
        <f>IF(AND(A54&lt;&gt;0,A54&lt;&gt;""),U54*(1+(Tj-25)*(LOOKUP(A54,Discrete_NFET[PARTNUMBER],Discrete_NFET[RDSDELTA])/((LOOKUP(A54,Discrete_NFET[PARTNUMBER],Discrete_NFET[TJMAX])-25)))),"")</f>
        <v>1.3967999999999998</v>
      </c>
      <c r="W54" s="35">
        <f>IF(AND($A54&lt;&gt;0,$A54&lt;&gt;""),LOOKUP($A54,Discrete_NFET[PARTNUMBER],Discrete_NFET[QGS]),"")</f>
        <v>29</v>
      </c>
      <c r="X54" s="35">
        <f>IF(AND($A54&lt;&gt;0,$A54&lt;&gt;""),LOOKUP($A54,Discrete_NFET[PARTNUMBER],Discrete_NFET[QGD]),"")</f>
        <v>17</v>
      </c>
      <c r="Y54" s="35">
        <f>IF(AND($A54&lt;&gt;0,$A54&lt;&gt;""),LOOKUP($A54,Discrete_NFET[PARTNUMBER],Discrete_NFET[QGTH]),"")</f>
        <v>18</v>
      </c>
      <c r="Z54" s="35">
        <f t="shared" si="32"/>
        <v>28</v>
      </c>
      <c r="AA54" s="35">
        <f>IF(AND($A54&lt;&gt;0,$A54&lt;&gt;""),LOOKUP($A54,Discrete_NFET[PARTNUMBER],Discrete_NFET[QOSSTYP]),"")</f>
        <v>39</v>
      </c>
      <c r="AB54" s="35">
        <f>IF(AND($A54&lt;&gt;0,$A54&lt;&gt;""),LOOKUP($A54,Discrete_NFET[PARTNUMBER],Discrete_NFET[QRR]),"")</f>
        <v>40</v>
      </c>
      <c r="AC54" s="35">
        <f>IF(AND(A54&lt;&gt;0,A54&lt;&gt;""),LOOKUP(A54,Discrete_NFET[PARTNUMBER],Discrete_NFET[VF_TYP]),"")</f>
        <v>0.8</v>
      </c>
      <c r="AD54" s="127">
        <f>IF(AND($A54&lt;&gt;0,$A54&lt;&gt;"",OR(RIGHT(Logic!B54,2)="C)",LEFT(Logic!B54,4)="CSD1")),(1+(1-DUTY))*IM_RMS_120^2*V54*m/3/Num_FETS,"")</f>
        <v>5.8777700831024911E-2</v>
      </c>
      <c r="AE54" s="127">
        <f>IF(AND($A54&lt;&gt;0,$A54&lt;&gt;"",OR(RIGHT(Logic!B54,2)="C)",LEFT(Logic!B54,4)="CSD1")),Num_FETS*0.5*IM_RMS_120*VDC_AVG*Z54*n*MOT_ELEC_FREQ/GDR_SRC,"")</f>
        <v>9.0299277605779155E-5</v>
      </c>
      <c r="AF54" s="127">
        <f>IF(AND($A54&lt;&gt;0,$A54&lt;&gt;"",OR(RIGHT(Logic!B54,2)="C)",LEFT(Logic!B54,4)="CSD1")),Num_FETS*0.5*IM_RMS_120*VDC_AVG*Z54*n*MOT_ELEC_FREQ/GDR_SINK,"")</f>
        <v>6.1403508771929827E-5</v>
      </c>
      <c r="AG54" s="127">
        <f>IF(AND($A54&lt;&gt;0,$A54&lt;&gt;"",OR(RIGHT(Logic!B54,2)="T)",LEFT(Logic!B54,4)="CSD1")),DUTY*IM_RMS_120^2*V54*m/3/Num_FETS,"")</f>
        <v>5.3179824561403487E-2</v>
      </c>
      <c r="AH54" s="127">
        <f>IF(AND($A54&lt;&gt;0,$A54&lt;&gt;"",OR(RIGHT(Logic!B54,2)="T)",LEFT(Logic!B54,4)="CSD1")),Num_FETS*0.5*IM_RMS_120*VDC_AVG*Z54*n*FSW*k/GDR_SRC/3,"")</f>
        <v>1.805985552115583E-2</v>
      </c>
      <c r="AI54" s="127">
        <f>IF(AND($A54&lt;&gt;0,$A54&lt;&gt;"",OR(RIGHT(Logic!B54,2)="T)",LEFT(Logic!B54,4)="CSD1")),Num_FETS*0.5*IM_RMS_120*VDC_AVG*Z54*n*FSW*k/GDR_SINK/3,"")</f>
        <v>1.2280701754385963E-2</v>
      </c>
      <c r="AJ54" s="127">
        <f t="shared" si="35"/>
        <v>4.6800000000000001E-3</v>
      </c>
      <c r="AK54" s="127">
        <f t="shared" si="36"/>
        <v>1.2414567897146714E-2</v>
      </c>
      <c r="AL54" s="127">
        <f t="shared" si="37"/>
        <v>9.6160000000000013E-3</v>
      </c>
      <c r="AM54" s="127">
        <f t="shared" si="33"/>
        <v>0.37243703691440144</v>
      </c>
      <c r="AN54" s="127">
        <f>IF(AND($A54&lt;&gt;0,$A54&lt;&gt;"",OR(RIGHT(Logic!B54,2)="C)",LEFT(Logic!B54,4)="CSD1")),SUM(AD54:AF54)+(AJ54/3)+AK54+AL54/6+AM54/6,AN55)</f>
        <v>0.13657947766694958</v>
      </c>
      <c r="AO54" s="127">
        <f>IF(AND($A54&lt;&gt;0,$A54&lt;&gt;"",OR(RIGHT(Logic!B54,2)="T)",LEFT(Logic!B54,4)="CSD1")),SUM(AG54:AI54)+(AJ54/3)+AL54/6+AM54/6,AO53)</f>
        <v>0.14875588798934553</v>
      </c>
      <c r="AP54" s="48">
        <f t="shared" si="34"/>
        <v>0.28999999999999998</v>
      </c>
      <c r="AQ54" s="35" t="str">
        <f>IF(AND(A54&lt;&gt;0,A54&lt;&gt;""),LOOKUP(A54,Discrete_NFET[PARTNUMBER],Discrete_NFET[TI_EQ_PACKAGE]),"")</f>
        <v>SON5X6</v>
      </c>
      <c r="AR54" s="49">
        <f>IF(AND(A54&lt;&gt;0,A54&lt;&gt;""),LOOKUP(A54,Discrete_NFET[PARTNUMBER],Discrete_NFET[1KPRICE]),"")</f>
        <v>0.76</v>
      </c>
      <c r="AS54" s="35" t="str">
        <f>IF(AND($A54&lt;&gt;0,$A54&lt;&gt;""),CONCATENATE(TEXT(AP54,"0.00"),"W, ",IF('User Input'!F$11="Single Discrete",A54,IF('User Input'!F$11="Dual/Power Block",LEFT(A54,FIND(")",A54)-7),A54)),", ",AQ54,", ",TEXT(AR54,"$0.00")),"Invalid Part")</f>
        <v>0.29W, CSD18509Q5B, SON5X6, $0.76</v>
      </c>
      <c r="AT54" t="s">
        <v>768</v>
      </c>
      <c r="AW54"/>
    </row>
    <row r="55" spans="1:49" ht="15" customHeight="1" x14ac:dyDescent="0.25">
      <c r="A55" s="35" t="str">
        <f>IF(OR(AND(FET_config="Dual/Power Block",LEFT(Logic!B55,4)="CSD8"),AND(FET_config="Single Discrete",LEFT(Logic!B55,4)="CSD1")),Logic!B55,"")</f>
        <v>CSD18510KCS</v>
      </c>
      <c r="B55" s="37" t="str">
        <f>IF(OR($A55=0,$A55=""),"0",IF(LOOKUP($A55,Discrete_NFET[PARTNUMBER],Discrete_NFET[RDSON25])="(NULL)","0","1"))</f>
        <v>0</v>
      </c>
      <c r="C55" s="38" t="str">
        <f>IF(OR($A55=0,$A55=""),"0",IF(LOOKUP($A55,Discrete_NFET[PARTNUMBER],Discrete_NFET[RDSON3])="(NULL)","0","1"))</f>
        <v>0</v>
      </c>
      <c r="D55" s="40" t="str">
        <f>IF(OR($A55=0,$A55=""),"0",IF(LOOKUP($A55,Discrete_NFET[PARTNUMBER],Discrete_NFET[RDSON45])="(NULL)","0","1"))</f>
        <v>1</v>
      </c>
      <c r="E55" s="45" t="str">
        <f>IF(OR($A55=0,$A55=""),"0",IF(LOOKUP($A55,Discrete_NFET[PARTNUMBER],Discrete_NFET[RDSON6])="(NULL)","0","1"))</f>
        <v>0</v>
      </c>
      <c r="F55" s="34" t="str">
        <f>IF(OR($A55=0,$A55=""),"0",IF(LOOKUP($A55,Discrete_NFET[PARTNUMBER],Discrete_NFET[RDSON8])="(NULL)","0","1"))</f>
        <v>0</v>
      </c>
      <c r="G55" s="43" t="str">
        <f>IF(OR($A55=0,$A55=""),"0",IF(LOOKUP($A55,Discrete_NFET[PARTNUMBER],Discrete_NFET[RDSON10])="(NULL)","0","1"))</f>
        <v>1</v>
      </c>
      <c r="H55" s="36" t="b">
        <f t="shared" si="19"/>
        <v>0</v>
      </c>
      <c r="I55" s="39" t="b">
        <f t="shared" si="20"/>
        <v>0</v>
      </c>
      <c r="J55" s="41" t="b">
        <f t="shared" si="21"/>
        <v>1</v>
      </c>
      <c r="K55" s="46" t="b">
        <f t="shared" si="22"/>
        <v>0</v>
      </c>
      <c r="L55" s="42" t="b">
        <f t="shared" si="23"/>
        <v>0</v>
      </c>
      <c r="M55" s="44" t="b">
        <f t="shared" si="24"/>
        <v>1</v>
      </c>
      <c r="N55" s="47" t="b">
        <f t="shared" si="25"/>
        <v>1</v>
      </c>
      <c r="O55" s="36" t="b">
        <f t="shared" si="26"/>
        <v>0</v>
      </c>
      <c r="P55" s="39" t="b">
        <f t="shared" si="27"/>
        <v>0</v>
      </c>
      <c r="Q55" s="41" t="b">
        <f t="shared" si="28"/>
        <v>1</v>
      </c>
      <c r="R55" s="46" t="b">
        <f t="shared" si="29"/>
        <v>0</v>
      </c>
      <c r="S55" s="42" t="b">
        <f t="shared" si="30"/>
        <v>0</v>
      </c>
      <c r="T55" s="44" t="b">
        <f t="shared" si="31"/>
        <v>1</v>
      </c>
      <c r="U55" s="148">
        <f>IF(T55,LOOKUP(A55,Discrete_NFET[PARTNUMBER],Discrete_NFET[RDSON10])*1000,IF(S55,LOOKUP(A55,Discrete_NFET[PARTNUMBER],Discrete_NFET[RDSON8])*1000,IF(R55,LOOKUP(A55,Discrete_NFET[PARTNUMBER],Discrete_NFET[RDSON6])*1000,IF(Q55,LOOKUP(A55,Discrete_NFET[PARTNUMBER],Discrete_NFET[RDSON45])*1000,IF(P55,LOOKUP(A55,Discrete_NFET[PARTNUMBER],Discrete_NFET[RDSON3])*1000,IF(O55,LOOKUP(A55,Discrete_NFET[PARTNUMBER],Discrete_NFET[RDSON25])*1000,""))))))</f>
        <v>1.4</v>
      </c>
      <c r="V55" s="48">
        <f>IF(AND(A55&lt;&gt;0,A55&lt;&gt;""),U55*(1+(Tj-25)*(LOOKUP(A55,Discrete_NFET[PARTNUMBER],Discrete_NFET[RDSDELTA])/((LOOKUP(A55,Discrete_NFET[PARTNUMBER],Discrete_NFET[TJMAX])-25)))),"")</f>
        <v>1.5913333333333333</v>
      </c>
      <c r="W55" s="35">
        <f>IF(AND($A55&lt;&gt;0,$A55&lt;&gt;""),LOOKUP($A55,Discrete_NFET[PARTNUMBER],Discrete_NFET[QGS]),"")</f>
        <v>28</v>
      </c>
      <c r="X55" s="35">
        <f>IF(AND($A55&lt;&gt;0,$A55&lt;&gt;""),LOOKUP($A55,Discrete_NFET[PARTNUMBER],Discrete_NFET[QGD]),"")</f>
        <v>21</v>
      </c>
      <c r="Y55" s="35">
        <f>IF(AND($A55&lt;&gt;0,$A55&lt;&gt;""),LOOKUP($A55,Discrete_NFET[PARTNUMBER],Discrete_NFET[QGTH]),"")</f>
        <v>15</v>
      </c>
      <c r="Z55" s="35">
        <f t="shared" si="32"/>
        <v>34</v>
      </c>
      <c r="AA55" s="35">
        <f>IF(AND($A55&lt;&gt;0,$A55&lt;&gt;""),LOOKUP($A55,Discrete_NFET[PARTNUMBER],Discrete_NFET[QOSSTYP]),"")</f>
        <v>35</v>
      </c>
      <c r="AB55" s="35">
        <f>IF(AND($A55&lt;&gt;0,$A55&lt;&gt;""),LOOKUP($A55,Discrete_NFET[PARTNUMBER],Discrete_NFET[QRR]),"")</f>
        <v>70</v>
      </c>
      <c r="AC55" s="35">
        <f>IF(AND(A55&lt;&gt;0,A55&lt;&gt;""),LOOKUP(A55,Discrete_NFET[PARTNUMBER],Discrete_NFET[VF_TYP]),"")</f>
        <v>0.85</v>
      </c>
      <c r="AD55" s="127">
        <f>IF(AND($A55&lt;&gt;0,$A55&lt;&gt;"",OR(RIGHT(Logic!B55,2)="C)",LEFT(Logic!B55,4)="CSD1")),(1+(1-DUTY))*IM_RMS_120^2*V55*m/3/Num_FETS,"")</f>
        <v>6.6963713193803204E-2</v>
      </c>
      <c r="AE55" s="127">
        <f>IF(AND($A55&lt;&gt;0,$A55&lt;&gt;"",OR(RIGHT(Logic!B55,2)="C)",LEFT(Logic!B55,4)="CSD1")),Num_FETS*0.5*IM_RMS_120*VDC_AVG*Z55*n*MOT_ELEC_FREQ/GDR_SRC,"")</f>
        <v>1.0964912280701752E-4</v>
      </c>
      <c r="AF55" s="127">
        <f>IF(AND($A55&lt;&gt;0,$A55&lt;&gt;"",OR(RIGHT(Logic!B55,2)="C)",LEFT(Logic!B55,4)="CSD1")),Num_FETS*0.5*IM_RMS_120*VDC_AVG*Z55*n*MOT_ELEC_FREQ/GDR_SINK,"")</f>
        <v>7.4561403508771921E-5</v>
      </c>
      <c r="AG55" s="127">
        <f>IF(AND($A55&lt;&gt;0,$A55&lt;&gt;"",OR(RIGHT(Logic!B55,2)="T)",LEFT(Logic!B55,4)="CSD1")),DUTY*IM_RMS_120^2*V55*m/3/Num_FETS,"")</f>
        <v>6.0586216699155288E-2</v>
      </c>
      <c r="AH55" s="127">
        <f>IF(AND($A55&lt;&gt;0,$A55&lt;&gt;"",OR(RIGHT(Logic!B55,2)="T)",LEFT(Logic!B55,4)="CSD1")),Num_FETS*0.5*IM_RMS_120*VDC_AVG*Z55*n*FSW*k/GDR_SRC/3,"")</f>
        <v>2.1929824561403504E-2</v>
      </c>
      <c r="AI55" s="127">
        <f>IF(AND($A55&lt;&gt;0,$A55&lt;&gt;"",OR(RIGHT(Logic!B55,2)="T)",LEFT(Logic!B55,4)="CSD1")),Num_FETS*0.5*IM_RMS_120*VDC_AVG*Z55*n*FSW*k/GDR_SINK/3,"")</f>
        <v>1.4912280701754384E-2</v>
      </c>
      <c r="AJ55" s="127">
        <f t="shared" si="35"/>
        <v>4.2000000000000006E-3</v>
      </c>
      <c r="AK55" s="127">
        <f t="shared" si="36"/>
        <v>1.3190478390718382E-2</v>
      </c>
      <c r="AL55" s="127">
        <f t="shared" si="37"/>
        <v>1.6828000000000003E-2</v>
      </c>
      <c r="AM55" s="127">
        <f t="shared" si="33"/>
        <v>0.39571435172155139</v>
      </c>
      <c r="AN55" s="127">
        <f>IF(AND($A55&lt;&gt;0,$A55&lt;&gt;"",OR(RIGHT(Logic!B55,2)="C)",LEFT(Logic!B55,4)="CSD1")),SUM(AD55:AF55)+(AJ55/3)+AK55+AL55/6+AM55/6,AN56)</f>
        <v>0.15049546073109593</v>
      </c>
      <c r="AO55" s="127">
        <f>IF(AND($A55&lt;&gt;0,$A55&lt;&gt;"",OR(RIGHT(Logic!B55,2)="T)",LEFT(Logic!B55,4)="CSD1")),SUM(AG55:AI55)+(AJ55/3)+AL55/6+AM55/6,AO54)</f>
        <v>0.16758538058257175</v>
      </c>
      <c r="AP55" s="48">
        <f t="shared" si="34"/>
        <v>0.32</v>
      </c>
      <c r="AQ55" s="35" t="str">
        <f>IF(AND(A55&lt;&gt;0,A55&lt;&gt;""),LOOKUP(A55,Discrete_NFET[PARTNUMBER],Discrete_NFET[TI_EQ_PACKAGE]),"")</f>
        <v>TO-220</v>
      </c>
      <c r="AR55" s="49">
        <f>IF(AND(A55&lt;&gt;0,A55&lt;&gt;""),LOOKUP(A55,Discrete_NFET[PARTNUMBER],Discrete_NFET[1KPRICE]),"")</f>
        <v>0.72</v>
      </c>
      <c r="AS55" s="35" t="str">
        <f>IF(AND($A55&lt;&gt;0,$A55&lt;&gt;""),CONCATENATE(TEXT(AP55,"0.00"),"W, ",IF('User Input'!F$11="Single Discrete",A55,IF('User Input'!F$11="Dual/Power Block",LEFT(A55,FIND(")",A55)-7),A55)),", ",AQ55,", ",TEXT(AR55,"$0.00")),"Invalid Part")</f>
        <v>0.32W, CSD18510KCS, TO-220, $0.72</v>
      </c>
      <c r="AT55" t="s">
        <v>743</v>
      </c>
      <c r="AW55"/>
    </row>
    <row r="56" spans="1:49" ht="15" customHeight="1" x14ac:dyDescent="0.25">
      <c r="A56" s="35" t="str">
        <f>IF(OR(AND(FET_config="Dual/Power Block",LEFT(Logic!B56,4)="CSD8"),AND(FET_config="Single Discrete",LEFT(Logic!B56,4)="CSD1")),Logic!B56,"")</f>
        <v>CSD18510KTT</v>
      </c>
      <c r="B56" s="37" t="str">
        <f>IF(OR($A56=0,$A56=""),"0",IF(LOOKUP($A56,Discrete_NFET[PARTNUMBER],Discrete_NFET[RDSON25])="(NULL)","0","1"))</f>
        <v>0</v>
      </c>
      <c r="C56" s="38" t="str">
        <f>IF(OR($A56=0,$A56=""),"0",IF(LOOKUP($A56,Discrete_NFET[PARTNUMBER],Discrete_NFET[RDSON3])="(NULL)","0","1"))</f>
        <v>0</v>
      </c>
      <c r="D56" s="40" t="str">
        <f>IF(OR($A56=0,$A56=""),"0",IF(LOOKUP($A56,Discrete_NFET[PARTNUMBER],Discrete_NFET[RDSON45])="(NULL)","0","1"))</f>
        <v>1</v>
      </c>
      <c r="E56" s="45" t="str">
        <f>IF(OR($A56=0,$A56=""),"0",IF(LOOKUP($A56,Discrete_NFET[PARTNUMBER],Discrete_NFET[RDSON6])="(NULL)","0","1"))</f>
        <v>0</v>
      </c>
      <c r="F56" s="34" t="str">
        <f>IF(OR($A56=0,$A56=""),"0",IF(LOOKUP($A56,Discrete_NFET[PARTNUMBER],Discrete_NFET[RDSON8])="(NULL)","0","1"))</f>
        <v>0</v>
      </c>
      <c r="G56" s="43" t="str">
        <f>IF(OR($A56=0,$A56=""),"0",IF(LOOKUP($A56,Discrete_NFET[PARTNUMBER],Discrete_NFET[RDSON10])="(NULL)","0","1"))</f>
        <v>1</v>
      </c>
      <c r="H56" s="36" t="b">
        <f t="shared" si="19"/>
        <v>0</v>
      </c>
      <c r="I56" s="39" t="b">
        <f t="shared" si="20"/>
        <v>0</v>
      </c>
      <c r="J56" s="41" t="b">
        <f t="shared" si="21"/>
        <v>1</v>
      </c>
      <c r="K56" s="46" t="b">
        <f t="shared" si="22"/>
        <v>0</v>
      </c>
      <c r="L56" s="42" t="b">
        <f t="shared" si="23"/>
        <v>0</v>
      </c>
      <c r="M56" s="44" t="b">
        <f t="shared" si="24"/>
        <v>1</v>
      </c>
      <c r="N56" s="47" t="b">
        <f t="shared" si="25"/>
        <v>1</v>
      </c>
      <c r="O56" s="36" t="b">
        <f t="shared" si="26"/>
        <v>0</v>
      </c>
      <c r="P56" s="39" t="b">
        <f t="shared" si="27"/>
        <v>0</v>
      </c>
      <c r="Q56" s="41" t="b">
        <f t="shared" si="28"/>
        <v>1</v>
      </c>
      <c r="R56" s="46" t="b">
        <f t="shared" si="29"/>
        <v>0</v>
      </c>
      <c r="S56" s="42" t="b">
        <f t="shared" si="30"/>
        <v>0</v>
      </c>
      <c r="T56" s="44" t="b">
        <f t="shared" si="31"/>
        <v>1</v>
      </c>
      <c r="U56" s="148">
        <f>IF(T56,LOOKUP(A56,Discrete_NFET[PARTNUMBER],Discrete_NFET[RDSON10])*1000,IF(S56,LOOKUP(A56,Discrete_NFET[PARTNUMBER],Discrete_NFET[RDSON8])*1000,IF(R56,LOOKUP(A56,Discrete_NFET[PARTNUMBER],Discrete_NFET[RDSON6])*1000,IF(Q56,LOOKUP(A56,Discrete_NFET[PARTNUMBER],Discrete_NFET[RDSON45])*1000,IF(P56,LOOKUP(A56,Discrete_NFET[PARTNUMBER],Discrete_NFET[RDSON3])*1000,IF(O56,LOOKUP(A56,Discrete_NFET[PARTNUMBER],Discrete_NFET[RDSON25])*1000,""))))))</f>
        <v>1.4</v>
      </c>
      <c r="V56" s="48">
        <f>IF(AND(A56&lt;&gt;0,A56&lt;&gt;""),U56*(1+(Tj-25)*(LOOKUP(A56,Discrete_NFET[PARTNUMBER],Discrete_NFET[RDSDELTA])/((LOOKUP(A56,Discrete_NFET[PARTNUMBER],Discrete_NFET[TJMAX])-25)))),"")</f>
        <v>1.5913333333333333</v>
      </c>
      <c r="W56" s="35">
        <f>IF(AND($A56&lt;&gt;0,$A56&lt;&gt;""),LOOKUP($A56,Discrete_NFET[PARTNUMBER],Discrete_NFET[QGS]),"")</f>
        <v>28</v>
      </c>
      <c r="X56" s="35">
        <f>IF(AND($A56&lt;&gt;0,$A56&lt;&gt;""),LOOKUP($A56,Discrete_NFET[PARTNUMBER],Discrete_NFET[QGD]),"")</f>
        <v>21</v>
      </c>
      <c r="Y56" s="35">
        <f>IF(AND($A56&lt;&gt;0,$A56&lt;&gt;""),LOOKUP($A56,Discrete_NFET[PARTNUMBER],Discrete_NFET[QGTH]),"")</f>
        <v>15</v>
      </c>
      <c r="Z56" s="35">
        <f t="shared" si="32"/>
        <v>34</v>
      </c>
      <c r="AA56" s="35">
        <f>IF(AND($A56&lt;&gt;0,$A56&lt;&gt;""),LOOKUP($A56,Discrete_NFET[PARTNUMBER],Discrete_NFET[QOSSTYP]),"")</f>
        <v>35</v>
      </c>
      <c r="AB56" s="35">
        <f>IF(AND($A56&lt;&gt;0,$A56&lt;&gt;""),LOOKUP($A56,Discrete_NFET[PARTNUMBER],Discrete_NFET[QRR]),"")</f>
        <v>70</v>
      </c>
      <c r="AC56" s="35">
        <f>IF(AND(A56&lt;&gt;0,A56&lt;&gt;""),LOOKUP(A56,Discrete_NFET[PARTNUMBER],Discrete_NFET[VF_TYP]),"")</f>
        <v>0.85</v>
      </c>
      <c r="AD56" s="127">
        <f>IF(AND($A56&lt;&gt;0,$A56&lt;&gt;"",OR(RIGHT(Logic!B56,2)="C)",LEFT(Logic!B56,4)="CSD1")),(1+(1-DUTY))*IM_RMS_120^2*V56*m/3/Num_FETS,"")</f>
        <v>6.6963713193803204E-2</v>
      </c>
      <c r="AE56" s="127">
        <f>IF(AND($A56&lt;&gt;0,$A56&lt;&gt;"",OR(RIGHT(Logic!B56,2)="C)",LEFT(Logic!B56,4)="CSD1")),Num_FETS*0.5*IM_RMS_120*VDC_AVG*Z56*n*MOT_ELEC_FREQ/GDR_SRC,"")</f>
        <v>1.0964912280701752E-4</v>
      </c>
      <c r="AF56" s="127">
        <f>IF(AND($A56&lt;&gt;0,$A56&lt;&gt;"",OR(RIGHT(Logic!B56,2)="C)",LEFT(Logic!B56,4)="CSD1")),Num_FETS*0.5*IM_RMS_120*VDC_AVG*Z56*n*MOT_ELEC_FREQ/GDR_SINK,"")</f>
        <v>7.4561403508771921E-5</v>
      </c>
      <c r="AG56" s="127">
        <f>IF(AND($A56&lt;&gt;0,$A56&lt;&gt;"",OR(RIGHT(Logic!B56,2)="T)",LEFT(Logic!B56,4)="CSD1")),DUTY*IM_RMS_120^2*V56*m/3/Num_FETS,"")</f>
        <v>6.0586216699155288E-2</v>
      </c>
      <c r="AH56" s="127">
        <f>IF(AND($A56&lt;&gt;0,$A56&lt;&gt;"",OR(RIGHT(Logic!B56,2)="T)",LEFT(Logic!B56,4)="CSD1")),Num_FETS*0.5*IM_RMS_120*VDC_AVG*Z56*n*FSW*k/GDR_SRC/3,"")</f>
        <v>2.1929824561403504E-2</v>
      </c>
      <c r="AI56" s="127">
        <f>IF(AND($A56&lt;&gt;0,$A56&lt;&gt;"",OR(RIGHT(Logic!B56,2)="T)",LEFT(Logic!B56,4)="CSD1")),Num_FETS*0.5*IM_RMS_120*VDC_AVG*Z56*n*FSW*k/GDR_SINK/3,"")</f>
        <v>1.4912280701754384E-2</v>
      </c>
      <c r="AJ56" s="127">
        <f t="shared" si="35"/>
        <v>4.2000000000000006E-3</v>
      </c>
      <c r="AK56" s="127">
        <f t="shared" si="36"/>
        <v>1.3190478390718382E-2</v>
      </c>
      <c r="AL56" s="127">
        <f t="shared" si="37"/>
        <v>1.6828000000000003E-2</v>
      </c>
      <c r="AM56" s="127">
        <f t="shared" si="33"/>
        <v>0.39571435172155139</v>
      </c>
      <c r="AN56" s="127">
        <f>IF(AND($A56&lt;&gt;0,$A56&lt;&gt;"",OR(RIGHT(Logic!B56,2)="C)",LEFT(Logic!B56,4)="CSD1")),SUM(AD56:AF56)+(AJ56/3)+AK56+AL56/6+AM56/6,AN57)</f>
        <v>0.15049546073109593</v>
      </c>
      <c r="AO56" s="127">
        <f>IF(AND($A56&lt;&gt;0,$A56&lt;&gt;"",OR(RIGHT(Logic!B56,2)="T)",LEFT(Logic!B56,4)="CSD1")),SUM(AG56:AI56)+(AJ56/3)+AL56/6+AM56/6,AO55)</f>
        <v>0.16758538058257175</v>
      </c>
      <c r="AP56" s="48">
        <f t="shared" si="34"/>
        <v>0.32</v>
      </c>
      <c r="AQ56" s="35" t="str">
        <f>IF(AND(A56&lt;&gt;0,A56&lt;&gt;""),LOOKUP(A56,Discrete_NFET[PARTNUMBER],Discrete_NFET[TI_EQ_PACKAGE]),"")</f>
        <v>DDPAK</v>
      </c>
      <c r="AR56" s="49">
        <f>IF(AND(A56&lt;&gt;0,A56&lt;&gt;""),LOOKUP(A56,Discrete_NFET[PARTNUMBER],Discrete_NFET[1KPRICE]),"")</f>
        <v>0.77</v>
      </c>
      <c r="AS56" s="35" t="str">
        <f>IF(AND($A56&lt;&gt;0,$A56&lt;&gt;""),CONCATENATE(TEXT(AP56,"0.00"),"W, ",IF('User Input'!F$11="Single Discrete",A56,IF('User Input'!F$11="Dual/Power Block",LEFT(A56,FIND(")",A56)-7),A56)),", ",AQ56,", ",TEXT(AR56,"$0.00")),"Invalid Part")</f>
        <v>0.32W, CSD18510KTT, DDPAK, $0.77</v>
      </c>
      <c r="AT56" t="s">
        <v>755</v>
      </c>
      <c r="AW56"/>
    </row>
    <row r="57" spans="1:49" ht="15" customHeight="1" x14ac:dyDescent="0.25">
      <c r="A57" s="35" t="str">
        <f>IF(OR(AND(FET_config="Dual/Power Block",LEFT(Logic!B57,4)="CSD8"),AND(FET_config="Single Discrete",LEFT(Logic!B57,4)="CSD1")),Logic!B57,"")</f>
        <v>CSD18510Q5B</v>
      </c>
      <c r="B57" s="37" t="str">
        <f>IF(OR($A57=0,$A57=""),"0",IF(LOOKUP($A57,Discrete_NFET[PARTNUMBER],Discrete_NFET[RDSON25])="(NULL)","0","1"))</f>
        <v>0</v>
      </c>
      <c r="C57" s="38" t="str">
        <f>IF(OR($A57=0,$A57=""),"0",IF(LOOKUP($A57,Discrete_NFET[PARTNUMBER],Discrete_NFET[RDSON3])="(NULL)","0","1"))</f>
        <v>0</v>
      </c>
      <c r="D57" s="40" t="str">
        <f>IF(OR($A57=0,$A57=""),"0",IF(LOOKUP($A57,Discrete_NFET[PARTNUMBER],Discrete_NFET[RDSON45])="(NULL)","0","1"))</f>
        <v>1</v>
      </c>
      <c r="E57" s="45" t="str">
        <f>IF(OR($A57=0,$A57=""),"0",IF(LOOKUP($A57,Discrete_NFET[PARTNUMBER],Discrete_NFET[RDSON6])="(NULL)","0","1"))</f>
        <v>0</v>
      </c>
      <c r="F57" s="34" t="str">
        <f>IF(OR($A57=0,$A57=""),"0",IF(LOOKUP($A57,Discrete_NFET[PARTNUMBER],Discrete_NFET[RDSON8])="(NULL)","0","1"))</f>
        <v>0</v>
      </c>
      <c r="G57" s="43" t="str">
        <f>IF(OR($A57=0,$A57=""),"0",IF(LOOKUP($A57,Discrete_NFET[PARTNUMBER],Discrete_NFET[RDSON10])="(NULL)","0","1"))</f>
        <v>1</v>
      </c>
      <c r="H57" s="36" t="b">
        <f t="shared" si="19"/>
        <v>0</v>
      </c>
      <c r="I57" s="39" t="b">
        <f t="shared" si="20"/>
        <v>0</v>
      </c>
      <c r="J57" s="41" t="b">
        <f t="shared" si="21"/>
        <v>1</v>
      </c>
      <c r="K57" s="46" t="b">
        <f t="shared" si="22"/>
        <v>0</v>
      </c>
      <c r="L57" s="42" t="b">
        <f t="shared" si="23"/>
        <v>0</v>
      </c>
      <c r="M57" s="44" t="b">
        <f t="shared" si="24"/>
        <v>1</v>
      </c>
      <c r="N57" s="47" t="b">
        <f t="shared" si="25"/>
        <v>1</v>
      </c>
      <c r="O57" s="36" t="b">
        <f t="shared" si="26"/>
        <v>0</v>
      </c>
      <c r="P57" s="39" t="b">
        <f t="shared" si="27"/>
        <v>0</v>
      </c>
      <c r="Q57" s="41" t="b">
        <f t="shared" si="28"/>
        <v>1</v>
      </c>
      <c r="R57" s="46" t="b">
        <f t="shared" si="29"/>
        <v>0</v>
      </c>
      <c r="S57" s="42" t="b">
        <f t="shared" si="30"/>
        <v>0</v>
      </c>
      <c r="T57" s="44" t="b">
        <f t="shared" si="31"/>
        <v>1</v>
      </c>
      <c r="U57" s="148">
        <f>IF(T57,LOOKUP(A57,Discrete_NFET[PARTNUMBER],Discrete_NFET[RDSON10])*1000,IF(S57,LOOKUP(A57,Discrete_NFET[PARTNUMBER],Discrete_NFET[RDSON8])*1000,IF(R57,LOOKUP(A57,Discrete_NFET[PARTNUMBER],Discrete_NFET[RDSON6])*1000,IF(Q57,LOOKUP(A57,Discrete_NFET[PARTNUMBER],Discrete_NFET[RDSON45])*1000,IF(P57,LOOKUP(A57,Discrete_NFET[PARTNUMBER],Discrete_NFET[RDSON3])*1000,IF(O57,LOOKUP(A57,Discrete_NFET[PARTNUMBER],Discrete_NFET[RDSON25])*1000,""))))))</f>
        <v>0.96000000000000008</v>
      </c>
      <c r="V57" s="48">
        <f>IF(AND(A57&lt;&gt;0,A57&lt;&gt;""),U57*(1+(Tj-25)*(LOOKUP(A57,Discrete_NFET[PARTNUMBER],Discrete_NFET[RDSDELTA])/((LOOKUP(A57,Discrete_NFET[PARTNUMBER],Discrete_NFET[TJMAX])-25)))),"")</f>
        <v>1.11744</v>
      </c>
      <c r="W57" s="35">
        <f>IF(AND($A57&lt;&gt;0,$A57&lt;&gt;""),LOOKUP($A57,Discrete_NFET[PARTNUMBER],Discrete_NFET[QGS]),"")</f>
        <v>28</v>
      </c>
      <c r="X57" s="35">
        <f>IF(AND($A57&lt;&gt;0,$A57&lt;&gt;""),LOOKUP($A57,Discrete_NFET[PARTNUMBER],Discrete_NFET[QGD]),"")</f>
        <v>21</v>
      </c>
      <c r="Y57" s="35">
        <f>IF(AND($A57&lt;&gt;0,$A57&lt;&gt;""),LOOKUP($A57,Discrete_NFET[PARTNUMBER],Discrete_NFET[QGTH]),"")</f>
        <v>15</v>
      </c>
      <c r="Z57" s="35">
        <f t="shared" si="32"/>
        <v>34</v>
      </c>
      <c r="AA57" s="35">
        <f>IF(AND($A57&lt;&gt;0,$A57&lt;&gt;""),LOOKUP($A57,Discrete_NFET[PARTNUMBER],Discrete_NFET[QOSSTYP]),"")</f>
        <v>35</v>
      </c>
      <c r="AB57" s="35">
        <f>IF(AND($A57&lt;&gt;0,$A57&lt;&gt;""),LOOKUP($A57,Discrete_NFET[PARTNUMBER],Discrete_NFET[QRR]),"")</f>
        <v>31</v>
      </c>
      <c r="AC57" s="35">
        <f>IF(AND(A57&lt;&gt;0,A57&lt;&gt;""),LOOKUP(A57,Discrete_NFET[PARTNUMBER],Discrete_NFET[VF_TYP]),"")</f>
        <v>0.8</v>
      </c>
      <c r="AD57" s="127">
        <f>IF(AND($A57&lt;&gt;0,$A57&lt;&gt;"",OR(RIGHT(Logic!B57,2)="C)",LEFT(Logic!B57,4)="CSD1")),(1+(1-DUTY))*IM_RMS_120^2*V57*m/3/Num_FETS,"")</f>
        <v>4.7022160664819929E-2</v>
      </c>
      <c r="AE57" s="127">
        <f>IF(AND($A57&lt;&gt;0,$A57&lt;&gt;"",OR(RIGHT(Logic!B57,2)="C)",LEFT(Logic!B57,4)="CSD1")),Num_FETS*0.5*IM_RMS_120*VDC_AVG*Z57*n*MOT_ELEC_FREQ/GDR_SRC,"")</f>
        <v>1.0964912280701752E-4</v>
      </c>
      <c r="AF57" s="127">
        <f>IF(AND($A57&lt;&gt;0,$A57&lt;&gt;"",OR(RIGHT(Logic!B57,2)="C)",LEFT(Logic!B57,4)="CSD1")),Num_FETS*0.5*IM_RMS_120*VDC_AVG*Z57*n*MOT_ELEC_FREQ/GDR_SINK,"")</f>
        <v>7.4561403508771921E-5</v>
      </c>
      <c r="AG57" s="127">
        <f>IF(AND($A57&lt;&gt;0,$A57&lt;&gt;"",OR(RIGHT(Logic!B57,2)="T)",LEFT(Logic!B57,4)="CSD1")),DUTY*IM_RMS_120^2*V57*m/3/Num_FETS,"")</f>
        <v>4.2543859649122794E-2</v>
      </c>
      <c r="AH57" s="127">
        <f>IF(AND($A57&lt;&gt;0,$A57&lt;&gt;"",OR(RIGHT(Logic!B57,2)="T)",LEFT(Logic!B57,4)="CSD1")),Num_FETS*0.5*IM_RMS_120*VDC_AVG*Z57*n*FSW*k/GDR_SRC/3,"")</f>
        <v>2.1929824561403504E-2</v>
      </c>
      <c r="AI57" s="127">
        <f>IF(AND($A57&lt;&gt;0,$A57&lt;&gt;"",OR(RIGHT(Logic!B57,2)="T)",LEFT(Logic!B57,4)="CSD1")),Num_FETS*0.5*IM_RMS_120*VDC_AVG*Z57*n*FSW*k/GDR_SINK/3,"")</f>
        <v>1.4912280701754384E-2</v>
      </c>
      <c r="AJ57" s="127">
        <f t="shared" si="35"/>
        <v>4.2000000000000006E-3</v>
      </c>
      <c r="AK57" s="127">
        <f t="shared" si="36"/>
        <v>1.2414567897146714E-2</v>
      </c>
      <c r="AL57" s="127">
        <f t="shared" si="37"/>
        <v>7.4524000000000005E-3</v>
      </c>
      <c r="AM57" s="127">
        <f t="shared" si="33"/>
        <v>0.37243703691440144</v>
      </c>
      <c r="AN57" s="127">
        <f>IF(AND($A57&lt;&gt;0,$A57&lt;&gt;"",OR(RIGHT(Logic!B57,2)="C)",LEFT(Logic!B57,4)="CSD1")),SUM(AD57:AF57)+(AJ57/3)+AK57+AL57/6+AM57/6,AN58)</f>
        <v>0.12433584524068267</v>
      </c>
      <c r="AO57" s="127">
        <f>IF(AND($A57&lt;&gt;0,$A57&lt;&gt;"",OR(RIGHT(Logic!B57,2)="T)",LEFT(Logic!B57,4)="CSD1")),SUM(AG57:AI57)+(AJ57/3)+AL57/6+AM57/6,AO56)</f>
        <v>0.14410087106468092</v>
      </c>
      <c r="AP57" s="48">
        <f t="shared" si="34"/>
        <v>0.27</v>
      </c>
      <c r="AQ57" s="35" t="str">
        <f>IF(AND(A57&lt;&gt;0,A57&lt;&gt;""),LOOKUP(A57,Discrete_NFET[PARTNUMBER],Discrete_NFET[TI_EQ_PACKAGE]),"")</f>
        <v>SON5X6</v>
      </c>
      <c r="AR57" s="49">
        <f>IF(AND(A57&lt;&gt;0,A57&lt;&gt;""),LOOKUP(A57,Discrete_NFET[PARTNUMBER],Discrete_NFET[1KPRICE]),"")</f>
        <v>0.75</v>
      </c>
      <c r="AS57" s="35" t="str">
        <f>IF(AND($A57&lt;&gt;0,$A57&lt;&gt;""),CONCATENATE(TEXT(AP57,"0.00"),"W, ",IF('User Input'!F$11="Single Discrete",A57,IF('User Input'!F$11="Dual/Power Block",LEFT(A57,FIND(")",A57)-7),A57)),", ",AQ57,", ",TEXT(AR57,"$0.00")),"Invalid Part")</f>
        <v>0.27W, CSD18510Q5B, SON5X6, $0.75</v>
      </c>
      <c r="AT57" t="s">
        <v>728</v>
      </c>
      <c r="AW57"/>
    </row>
    <row r="58" spans="1:49" ht="15" customHeight="1" x14ac:dyDescent="0.25">
      <c r="A58" s="35" t="str">
        <f>IF(OR(AND(FET_config="Dual/Power Block",LEFT(Logic!B58,4)="CSD8"),AND(FET_config="Single Discrete",LEFT(Logic!B58,4)="CSD1")),Logic!B58,"")</f>
        <v>CSD18511KCS</v>
      </c>
      <c r="B58" s="37" t="str">
        <f>IF(OR($A58=0,$A58=""),"0",IF(LOOKUP($A58,Discrete_NFET[PARTNUMBER],Discrete_NFET[RDSON25])="(NULL)","0","1"))</f>
        <v>0</v>
      </c>
      <c r="C58" s="38" t="str">
        <f>IF(OR($A58=0,$A58=""),"0",IF(LOOKUP($A58,Discrete_NFET[PARTNUMBER],Discrete_NFET[RDSON3])="(NULL)","0","1"))</f>
        <v>0</v>
      </c>
      <c r="D58" s="40" t="str">
        <f>IF(OR($A58=0,$A58=""),"0",IF(LOOKUP($A58,Discrete_NFET[PARTNUMBER],Discrete_NFET[RDSON45])="(NULL)","0","1"))</f>
        <v>1</v>
      </c>
      <c r="E58" s="45" t="str">
        <f>IF(OR($A58=0,$A58=""),"0",IF(LOOKUP($A58,Discrete_NFET[PARTNUMBER],Discrete_NFET[RDSON6])="(NULL)","0","1"))</f>
        <v>0</v>
      </c>
      <c r="F58" s="34" t="str">
        <f>IF(OR($A58=0,$A58=""),"0",IF(LOOKUP($A58,Discrete_NFET[PARTNUMBER],Discrete_NFET[RDSON8])="(NULL)","0","1"))</f>
        <v>0</v>
      </c>
      <c r="G58" s="43" t="str">
        <f>IF(OR($A58=0,$A58=""),"0",IF(LOOKUP($A58,Discrete_NFET[PARTNUMBER],Discrete_NFET[RDSON10])="(NULL)","0","1"))</f>
        <v>1</v>
      </c>
      <c r="H58" s="36" t="b">
        <f t="shared" si="19"/>
        <v>0</v>
      </c>
      <c r="I58" s="39" t="b">
        <f t="shared" si="20"/>
        <v>0</v>
      </c>
      <c r="J58" s="41" t="b">
        <f t="shared" si="21"/>
        <v>1</v>
      </c>
      <c r="K58" s="46" t="b">
        <f t="shared" si="22"/>
        <v>0</v>
      </c>
      <c r="L58" s="42" t="b">
        <f t="shared" si="23"/>
        <v>0</v>
      </c>
      <c r="M58" s="44" t="b">
        <f t="shared" si="24"/>
        <v>1</v>
      </c>
      <c r="N58" s="47" t="b">
        <f t="shared" si="25"/>
        <v>1</v>
      </c>
      <c r="O58" s="36" t="b">
        <f t="shared" si="26"/>
        <v>0</v>
      </c>
      <c r="P58" s="39" t="b">
        <f t="shared" si="27"/>
        <v>0</v>
      </c>
      <c r="Q58" s="41" t="b">
        <f t="shared" si="28"/>
        <v>1</v>
      </c>
      <c r="R58" s="46" t="b">
        <f t="shared" si="29"/>
        <v>0</v>
      </c>
      <c r="S58" s="42" t="b">
        <f t="shared" si="30"/>
        <v>0</v>
      </c>
      <c r="T58" s="44" t="b">
        <f t="shared" si="31"/>
        <v>1</v>
      </c>
      <c r="U58" s="148">
        <f>IF(T58,LOOKUP(A58,Discrete_NFET[PARTNUMBER],Discrete_NFET[RDSON10])*1000,IF(S58,LOOKUP(A58,Discrete_NFET[PARTNUMBER],Discrete_NFET[RDSON8])*1000,IF(R58,LOOKUP(A58,Discrete_NFET[PARTNUMBER],Discrete_NFET[RDSON6])*1000,IF(Q58,LOOKUP(A58,Discrete_NFET[PARTNUMBER],Discrete_NFET[RDSON45])*1000,IF(P58,LOOKUP(A58,Discrete_NFET[PARTNUMBER],Discrete_NFET[RDSON3])*1000,IF(O58,LOOKUP(A58,Discrete_NFET[PARTNUMBER],Discrete_NFET[RDSON25])*1000,""))))))</f>
        <v>2.6</v>
      </c>
      <c r="V58" s="48">
        <f>IF(AND(A58&lt;&gt;0,A58&lt;&gt;""),U58*(1+(Tj-25)*(LOOKUP(A58,Discrete_NFET[PARTNUMBER],Discrete_NFET[RDSDELTA])/((LOOKUP(A58,Discrete_NFET[PARTNUMBER],Discrete_NFET[TJMAX])-25)))),"")</f>
        <v>2.8860000000000006</v>
      </c>
      <c r="W58" s="35">
        <f>IF(AND($A58&lt;&gt;0,$A58&lt;&gt;""),LOOKUP($A58,Discrete_NFET[PARTNUMBER],Discrete_NFET[QGS]),"")</f>
        <v>17.899999999999999</v>
      </c>
      <c r="X58" s="35">
        <f>IF(AND($A58&lt;&gt;0,$A58&lt;&gt;""),LOOKUP($A58,Discrete_NFET[PARTNUMBER],Discrete_NFET[QGD]),"")</f>
        <v>9.6999999999999993</v>
      </c>
      <c r="Y58" s="35">
        <f>IF(AND($A58&lt;&gt;0,$A58&lt;&gt;""),LOOKUP($A58,Discrete_NFET[PARTNUMBER],Discrete_NFET[QGTH]),"")</f>
        <v>7.4</v>
      </c>
      <c r="Z58" s="35">
        <f t="shared" si="32"/>
        <v>20.199999999999996</v>
      </c>
      <c r="AA58" s="35">
        <f>IF(AND($A58&lt;&gt;0,$A58&lt;&gt;""),LOOKUP($A58,Discrete_NFET[PARTNUMBER],Discrete_NFET[QOSSTYP]),"")</f>
        <v>20.7</v>
      </c>
      <c r="AB58" s="35">
        <f>IF(AND($A58&lt;&gt;0,$A58&lt;&gt;""),LOOKUP($A58,Discrete_NFET[PARTNUMBER],Discrete_NFET[QRR]),"")</f>
        <v>62</v>
      </c>
      <c r="AC58" s="35">
        <f>IF(AND(A58&lt;&gt;0,A58&lt;&gt;""),LOOKUP(A58,Discrete_NFET[PARTNUMBER],Discrete_NFET[VF_TYP]),"")</f>
        <v>0.9</v>
      </c>
      <c r="AD58" s="127">
        <f>IF(AND($A58&lt;&gt;0,$A58&lt;&gt;"",OR(RIGHT(Logic!B58,2)="C)",LEFT(Logic!B58,4)="CSD1")),(1+(1-DUTY))*IM_RMS_120^2*V58*m/3/Num_FETS,"")</f>
        <v>0.12144361726685134</v>
      </c>
      <c r="AE58" s="127">
        <f>IF(AND($A58&lt;&gt;0,$A58&lt;&gt;"",OR(RIGHT(Logic!B58,2)="C)",LEFT(Logic!B58,4)="CSD1")),Num_FETS*0.5*IM_RMS_120*VDC_AVG*Z58*n*MOT_ELEC_FREQ/GDR_SRC,"")</f>
        <v>6.5144478844169243E-5</v>
      </c>
      <c r="AF58" s="127">
        <f>IF(AND($A58&lt;&gt;0,$A58&lt;&gt;"",OR(RIGHT(Logic!B58,2)="C)",LEFT(Logic!B58,4)="CSD1")),Num_FETS*0.5*IM_RMS_120*VDC_AVG*Z58*n*MOT_ELEC_FREQ/GDR_SINK,"")</f>
        <v>4.4298245614035087E-5</v>
      </c>
      <c r="AG58" s="127">
        <f>IF(AND($A58&lt;&gt;0,$A58&lt;&gt;"",OR(RIGHT(Logic!B58,2)="T)",LEFT(Logic!B58,4)="CSD1")),DUTY*IM_RMS_120^2*V58*m/3/Num_FETS,"")</f>
        <v>0.10987755847953216</v>
      </c>
      <c r="AH58" s="127">
        <f>IF(AND($A58&lt;&gt;0,$A58&lt;&gt;"",OR(RIGHT(Logic!B58,2)="T)",LEFT(Logic!B58,4)="CSD1")),Num_FETS*0.5*IM_RMS_120*VDC_AVG*Z58*n*FSW*k/GDR_SRC/3,"")</f>
        <v>1.3028895768833848E-2</v>
      </c>
      <c r="AI58" s="127">
        <f>IF(AND($A58&lt;&gt;0,$A58&lt;&gt;"",OR(RIGHT(Logic!B58,2)="T)",LEFT(Logic!B58,4)="CSD1")),Num_FETS*0.5*IM_RMS_120*VDC_AVG*Z58*n*FSW*k/GDR_SINK/3,"")</f>
        <v>8.859649122807017E-3</v>
      </c>
      <c r="AJ58" s="127">
        <f t="shared" si="35"/>
        <v>2.4840000000000001E-3</v>
      </c>
      <c r="AK58" s="127">
        <f t="shared" si="36"/>
        <v>1.3966388884290052E-2</v>
      </c>
      <c r="AL58" s="127">
        <f t="shared" si="37"/>
        <v>1.4904800000000001E-2</v>
      </c>
      <c r="AM58" s="127">
        <f t="shared" si="33"/>
        <v>0.41899166652870157</v>
      </c>
      <c r="AN58" s="127">
        <f>IF(AND($A58&lt;&gt;0,$A58&lt;&gt;"",OR(RIGHT(Logic!B58,2)="C)",LEFT(Logic!B58,4)="CSD1")),SUM(AD58:AF58)+(AJ58/3)+AK58+AL58/6+AM58/6,AN59)</f>
        <v>0.20866352663038318</v>
      </c>
      <c r="AO58" s="127">
        <f>IF(AND($A58&lt;&gt;0,$A58&lt;&gt;"",OR(RIGHT(Logic!B58,2)="T)",LEFT(Logic!B58,4)="CSD1")),SUM(AG58:AI58)+(AJ58/3)+AL58/6+AM58/6,AO57)</f>
        <v>0.2049101811259566</v>
      </c>
      <c r="AP58" s="48">
        <f t="shared" si="34"/>
        <v>0.41</v>
      </c>
      <c r="AQ58" s="35" t="str">
        <f>IF(AND(A58&lt;&gt;0,A58&lt;&gt;""),LOOKUP(A58,Discrete_NFET[PARTNUMBER],Discrete_NFET[TI_EQ_PACKAGE]),"")</f>
        <v>TO-220</v>
      </c>
      <c r="AR58" s="49">
        <f>IF(AND(A58&lt;&gt;0,A58&lt;&gt;""),LOOKUP(A58,Discrete_NFET[PARTNUMBER],Discrete_NFET[1KPRICE]),"")</f>
        <v>0.51</v>
      </c>
      <c r="AS58" s="35" t="str">
        <f>IF(AND($A58&lt;&gt;0,$A58&lt;&gt;""),CONCATENATE(TEXT(AP58,"0.00"),"W, ",IF('User Input'!F$11="Single Discrete",A58,IF('User Input'!F$11="Dual/Power Block",LEFT(A58,FIND(")",A58)-7),A58)),", ",AQ58,", ",TEXT(AR58,"$0.00")),"Invalid Part")</f>
        <v>0.41W, CSD18511KCS, TO-220, $0.51</v>
      </c>
      <c r="AT58" t="s">
        <v>754</v>
      </c>
      <c r="AW58"/>
    </row>
    <row r="59" spans="1:49" ht="15" customHeight="1" x14ac:dyDescent="0.25">
      <c r="A59" s="35" t="str">
        <f>IF(OR(AND(FET_config="Dual/Power Block",LEFT(Logic!B59,4)="CSD8"),AND(FET_config="Single Discrete",LEFT(Logic!B59,4)="CSD1")),Logic!B59,"")</f>
        <v>CSD18511KTT</v>
      </c>
      <c r="B59" s="37" t="str">
        <f>IF(OR($A59=0,$A59=""),"0",IF(LOOKUP($A59,Discrete_NFET[PARTNUMBER],Discrete_NFET[RDSON25])="(NULL)","0","1"))</f>
        <v>0</v>
      </c>
      <c r="C59" s="38" t="str">
        <f>IF(OR($A59=0,$A59=""),"0",IF(LOOKUP($A59,Discrete_NFET[PARTNUMBER],Discrete_NFET[RDSON3])="(NULL)","0","1"))</f>
        <v>0</v>
      </c>
      <c r="D59" s="40" t="str">
        <f>IF(OR($A59=0,$A59=""),"0",IF(LOOKUP($A59,Discrete_NFET[PARTNUMBER],Discrete_NFET[RDSON45])="(NULL)","0","1"))</f>
        <v>1</v>
      </c>
      <c r="E59" s="45" t="str">
        <f>IF(OR($A59=0,$A59=""),"0",IF(LOOKUP($A59,Discrete_NFET[PARTNUMBER],Discrete_NFET[RDSON6])="(NULL)","0","1"))</f>
        <v>0</v>
      </c>
      <c r="F59" s="34" t="str">
        <f>IF(OR($A59=0,$A59=""),"0",IF(LOOKUP($A59,Discrete_NFET[PARTNUMBER],Discrete_NFET[RDSON8])="(NULL)","0","1"))</f>
        <v>0</v>
      </c>
      <c r="G59" s="43" t="str">
        <f>IF(OR($A59=0,$A59=""),"0",IF(LOOKUP($A59,Discrete_NFET[PARTNUMBER],Discrete_NFET[RDSON10])="(NULL)","0","1"))</f>
        <v>1</v>
      </c>
      <c r="H59" s="36" t="b">
        <f t="shared" si="19"/>
        <v>0</v>
      </c>
      <c r="I59" s="39" t="b">
        <f t="shared" si="20"/>
        <v>0</v>
      </c>
      <c r="J59" s="41" t="b">
        <f t="shared" si="21"/>
        <v>1</v>
      </c>
      <c r="K59" s="46" t="b">
        <f t="shared" si="22"/>
        <v>0</v>
      </c>
      <c r="L59" s="42" t="b">
        <f t="shared" si="23"/>
        <v>0</v>
      </c>
      <c r="M59" s="44" t="b">
        <f t="shared" si="24"/>
        <v>1</v>
      </c>
      <c r="N59" s="47" t="b">
        <f t="shared" si="25"/>
        <v>1</v>
      </c>
      <c r="O59" s="36" t="b">
        <f t="shared" si="26"/>
        <v>0</v>
      </c>
      <c r="P59" s="39" t="b">
        <f t="shared" si="27"/>
        <v>0</v>
      </c>
      <c r="Q59" s="41" t="b">
        <f t="shared" si="28"/>
        <v>1</v>
      </c>
      <c r="R59" s="46" t="b">
        <f t="shared" si="29"/>
        <v>0</v>
      </c>
      <c r="S59" s="42" t="b">
        <f t="shared" si="30"/>
        <v>0</v>
      </c>
      <c r="T59" s="44" t="b">
        <f t="shared" si="31"/>
        <v>1</v>
      </c>
      <c r="U59" s="148">
        <f>IF(T59,LOOKUP(A59,Discrete_NFET[PARTNUMBER],Discrete_NFET[RDSON10])*1000,IF(S59,LOOKUP(A59,Discrete_NFET[PARTNUMBER],Discrete_NFET[RDSON8])*1000,IF(R59,LOOKUP(A59,Discrete_NFET[PARTNUMBER],Discrete_NFET[RDSON6])*1000,IF(Q59,LOOKUP(A59,Discrete_NFET[PARTNUMBER],Discrete_NFET[RDSON45])*1000,IF(P59,LOOKUP(A59,Discrete_NFET[PARTNUMBER],Discrete_NFET[RDSON3])*1000,IF(O59,LOOKUP(A59,Discrete_NFET[PARTNUMBER],Discrete_NFET[RDSON25])*1000,""))))))</f>
        <v>2.6</v>
      </c>
      <c r="V59" s="48">
        <f>IF(AND(A59&lt;&gt;0,A59&lt;&gt;""),U59*(1+(Tj-25)*(LOOKUP(A59,Discrete_NFET[PARTNUMBER],Discrete_NFET[RDSDELTA])/((LOOKUP(A59,Discrete_NFET[PARTNUMBER],Discrete_NFET[TJMAX])-25)))),"")</f>
        <v>2.8860000000000006</v>
      </c>
      <c r="W59" s="35">
        <f>IF(AND($A59&lt;&gt;0,$A59&lt;&gt;""),LOOKUP($A59,Discrete_NFET[PARTNUMBER],Discrete_NFET[QGS]),"")</f>
        <v>17.899999999999999</v>
      </c>
      <c r="X59" s="35">
        <f>IF(AND($A59&lt;&gt;0,$A59&lt;&gt;""),LOOKUP($A59,Discrete_NFET[PARTNUMBER],Discrete_NFET[QGD]),"")</f>
        <v>9.6999999999999993</v>
      </c>
      <c r="Y59" s="35">
        <f>IF(AND($A59&lt;&gt;0,$A59&lt;&gt;""),LOOKUP($A59,Discrete_NFET[PARTNUMBER],Discrete_NFET[QGTH]),"")</f>
        <v>7.4</v>
      </c>
      <c r="Z59" s="35">
        <f t="shared" si="32"/>
        <v>20.199999999999996</v>
      </c>
      <c r="AA59" s="35">
        <f>IF(AND($A59&lt;&gt;0,$A59&lt;&gt;""),LOOKUP($A59,Discrete_NFET[PARTNUMBER],Discrete_NFET[QOSSTYP]),"")</f>
        <v>20.7</v>
      </c>
      <c r="AB59" s="35">
        <f>IF(AND($A59&lt;&gt;0,$A59&lt;&gt;""),LOOKUP($A59,Discrete_NFET[PARTNUMBER],Discrete_NFET[QRR]),"")</f>
        <v>62</v>
      </c>
      <c r="AC59" s="35">
        <f>IF(AND(A59&lt;&gt;0,A59&lt;&gt;""),LOOKUP(A59,Discrete_NFET[PARTNUMBER],Discrete_NFET[VF_TYP]),"")</f>
        <v>0.9</v>
      </c>
      <c r="AD59" s="127">
        <f>IF(AND($A59&lt;&gt;0,$A59&lt;&gt;"",OR(RIGHT(Logic!B59,2)="C)",LEFT(Logic!B59,4)="CSD1")),(1+(1-DUTY))*IM_RMS_120^2*V59*m/3/Num_FETS,"")</f>
        <v>0.12144361726685134</v>
      </c>
      <c r="AE59" s="127">
        <f>IF(AND($A59&lt;&gt;0,$A59&lt;&gt;"",OR(RIGHT(Logic!B59,2)="C)",LEFT(Logic!B59,4)="CSD1")),Num_FETS*0.5*IM_RMS_120*VDC_AVG*Z59*n*MOT_ELEC_FREQ/GDR_SRC,"")</f>
        <v>6.5144478844169243E-5</v>
      </c>
      <c r="AF59" s="127">
        <f>IF(AND($A59&lt;&gt;0,$A59&lt;&gt;"",OR(RIGHT(Logic!B59,2)="C)",LEFT(Logic!B59,4)="CSD1")),Num_FETS*0.5*IM_RMS_120*VDC_AVG*Z59*n*MOT_ELEC_FREQ/GDR_SINK,"")</f>
        <v>4.4298245614035087E-5</v>
      </c>
      <c r="AG59" s="127">
        <f>IF(AND($A59&lt;&gt;0,$A59&lt;&gt;"",OR(RIGHT(Logic!B59,2)="T)",LEFT(Logic!B59,4)="CSD1")),DUTY*IM_RMS_120^2*V59*m/3/Num_FETS,"")</f>
        <v>0.10987755847953216</v>
      </c>
      <c r="AH59" s="127">
        <f>IF(AND($A59&lt;&gt;0,$A59&lt;&gt;"",OR(RIGHT(Logic!B59,2)="T)",LEFT(Logic!B59,4)="CSD1")),Num_FETS*0.5*IM_RMS_120*VDC_AVG*Z59*n*FSW*k/GDR_SRC/3,"")</f>
        <v>1.3028895768833848E-2</v>
      </c>
      <c r="AI59" s="127">
        <f>IF(AND($A59&lt;&gt;0,$A59&lt;&gt;"",OR(RIGHT(Logic!B59,2)="T)",LEFT(Logic!B59,4)="CSD1")),Num_FETS*0.5*IM_RMS_120*VDC_AVG*Z59*n*FSW*k/GDR_SINK/3,"")</f>
        <v>8.859649122807017E-3</v>
      </c>
      <c r="AJ59" s="127">
        <f t="shared" si="35"/>
        <v>2.4840000000000001E-3</v>
      </c>
      <c r="AK59" s="127">
        <f t="shared" si="36"/>
        <v>1.3966388884290052E-2</v>
      </c>
      <c r="AL59" s="127">
        <f t="shared" si="37"/>
        <v>1.4904800000000001E-2</v>
      </c>
      <c r="AM59" s="127">
        <f t="shared" si="33"/>
        <v>0.41899166652870157</v>
      </c>
      <c r="AN59" s="127">
        <f>IF(AND($A59&lt;&gt;0,$A59&lt;&gt;"",OR(RIGHT(Logic!B59,2)="C)",LEFT(Logic!B59,4)="CSD1")),SUM(AD59:AF59)+(AJ59/3)+AK59+AL59/6+AM59/6,AN60)</f>
        <v>0.20866352663038318</v>
      </c>
      <c r="AO59" s="127">
        <f>IF(AND($A59&lt;&gt;0,$A59&lt;&gt;"",OR(RIGHT(Logic!B59,2)="T)",LEFT(Logic!B59,4)="CSD1")),SUM(AG59:AI59)+(AJ59/3)+AL59/6+AM59/6,AO58)</f>
        <v>0.2049101811259566</v>
      </c>
      <c r="AP59" s="48">
        <f t="shared" si="34"/>
        <v>0.41</v>
      </c>
      <c r="AQ59" s="35" t="str">
        <f>IF(AND(A59&lt;&gt;0,A59&lt;&gt;""),LOOKUP(A59,Discrete_NFET[PARTNUMBER],Discrete_NFET[TI_EQ_PACKAGE]),"")</f>
        <v>DDPAK</v>
      </c>
      <c r="AR59" s="49">
        <f>IF(AND(A59&lt;&gt;0,A59&lt;&gt;""),LOOKUP(A59,Discrete_NFET[PARTNUMBER],Discrete_NFET[1KPRICE]),"")</f>
        <v>0.56000000000000005</v>
      </c>
      <c r="AS59" s="35" t="str">
        <f>IF(AND($A59&lt;&gt;0,$A59&lt;&gt;""),CONCATENATE(TEXT(AP59,"0.00"),"W, ",IF('User Input'!F$11="Single Discrete",A59,IF('User Input'!F$11="Dual/Power Block",LEFT(A59,FIND(")",A59)-7),A59)),", ",AQ59,", ",TEXT(AR59,"$0.00")),"Invalid Part")</f>
        <v>0.41W, CSD18511KTT, DDPAK, $0.56</v>
      </c>
      <c r="AT59" t="s">
        <v>734</v>
      </c>
      <c r="AW59"/>
    </row>
    <row r="60" spans="1:49" ht="15" customHeight="1" x14ac:dyDescent="0.25">
      <c r="A60" s="35" t="str">
        <f>IF(OR(AND(FET_config="Dual/Power Block",LEFT(Logic!B60,4)="CSD8"),AND(FET_config="Single Discrete",LEFT(Logic!B60,4)="CSD1")),Logic!B60,"")</f>
        <v>CSD18511Q5A</v>
      </c>
      <c r="B60" s="37" t="str">
        <f>IF(OR($A60=0,$A60=""),"0",IF(LOOKUP($A60,Discrete_NFET[PARTNUMBER],Discrete_NFET[RDSON25])="(NULL)","0","1"))</f>
        <v>0</v>
      </c>
      <c r="C60" s="38" t="str">
        <f>IF(OR($A60=0,$A60=""),"0",IF(LOOKUP($A60,Discrete_NFET[PARTNUMBER],Discrete_NFET[RDSON3])="(NULL)","0","1"))</f>
        <v>0</v>
      </c>
      <c r="D60" s="40" t="str">
        <f>IF(OR($A60=0,$A60=""),"0",IF(LOOKUP($A60,Discrete_NFET[PARTNUMBER],Discrete_NFET[RDSON45])="(NULL)","0","1"))</f>
        <v>1</v>
      </c>
      <c r="E60" s="45" t="str">
        <f>IF(OR($A60=0,$A60=""),"0",IF(LOOKUP($A60,Discrete_NFET[PARTNUMBER],Discrete_NFET[RDSON6])="(NULL)","0","1"))</f>
        <v>0</v>
      </c>
      <c r="F60" s="34" t="str">
        <f>IF(OR($A60=0,$A60=""),"0",IF(LOOKUP($A60,Discrete_NFET[PARTNUMBER],Discrete_NFET[RDSON8])="(NULL)","0","1"))</f>
        <v>0</v>
      </c>
      <c r="G60" s="43" t="str">
        <f>IF(OR($A60=0,$A60=""),"0",IF(LOOKUP($A60,Discrete_NFET[PARTNUMBER],Discrete_NFET[RDSON10])="(NULL)","0","1"))</f>
        <v>1</v>
      </c>
      <c r="H60" s="36" t="b">
        <f t="shared" si="19"/>
        <v>0</v>
      </c>
      <c r="I60" s="39" t="b">
        <f t="shared" si="20"/>
        <v>0</v>
      </c>
      <c r="J60" s="41" t="b">
        <f t="shared" si="21"/>
        <v>1</v>
      </c>
      <c r="K60" s="46" t="b">
        <f t="shared" si="22"/>
        <v>0</v>
      </c>
      <c r="L60" s="42" t="b">
        <f t="shared" si="23"/>
        <v>0</v>
      </c>
      <c r="M60" s="44" t="b">
        <f t="shared" si="24"/>
        <v>1</v>
      </c>
      <c r="N60" s="47" t="b">
        <f t="shared" si="25"/>
        <v>1</v>
      </c>
      <c r="O60" s="36" t="b">
        <f t="shared" si="26"/>
        <v>0</v>
      </c>
      <c r="P60" s="39" t="b">
        <f t="shared" si="27"/>
        <v>0</v>
      </c>
      <c r="Q60" s="41" t="b">
        <f t="shared" si="28"/>
        <v>1</v>
      </c>
      <c r="R60" s="46" t="b">
        <f t="shared" si="29"/>
        <v>0</v>
      </c>
      <c r="S60" s="42" t="b">
        <f t="shared" si="30"/>
        <v>0</v>
      </c>
      <c r="T60" s="44" t="b">
        <f t="shared" si="31"/>
        <v>1</v>
      </c>
      <c r="U60" s="148">
        <f>IF(T60,LOOKUP(A60,Discrete_NFET[PARTNUMBER],Discrete_NFET[RDSON10])*1000,IF(S60,LOOKUP(A60,Discrete_NFET[PARTNUMBER],Discrete_NFET[RDSON8])*1000,IF(R60,LOOKUP(A60,Discrete_NFET[PARTNUMBER],Discrete_NFET[RDSON6])*1000,IF(Q60,LOOKUP(A60,Discrete_NFET[PARTNUMBER],Discrete_NFET[RDSON45])*1000,IF(P60,LOOKUP(A60,Discrete_NFET[PARTNUMBER],Discrete_NFET[RDSON3])*1000,IF(O60,LOOKUP(A60,Discrete_NFET[PARTNUMBER],Discrete_NFET[RDSON25])*1000,""))))))</f>
        <v>2.2999999999999998</v>
      </c>
      <c r="V60" s="48">
        <f>IF(AND(A60&lt;&gt;0,A60&lt;&gt;""),U60*(1+(Tj-25)*(LOOKUP(A60,Discrete_NFET[PARTNUMBER],Discrete_NFET[RDSDELTA])/((LOOKUP(A60,Discrete_NFET[PARTNUMBER],Discrete_NFET[TJMAX])-25)))),"")</f>
        <v>2.6036000000000001</v>
      </c>
      <c r="W60" s="35">
        <f>IF(AND($A60&lt;&gt;0,$A60&lt;&gt;""),LOOKUP($A60,Discrete_NFET[PARTNUMBER],Discrete_NFET[QGS]),"")</f>
        <v>13.2</v>
      </c>
      <c r="X60" s="35">
        <f>IF(AND($A60&lt;&gt;0,$A60&lt;&gt;""),LOOKUP($A60,Discrete_NFET[PARTNUMBER],Discrete_NFET[QGD]),"")</f>
        <v>11.2</v>
      </c>
      <c r="Y60" s="35">
        <f>IF(AND($A60&lt;&gt;0,$A60&lt;&gt;""),LOOKUP($A60,Discrete_NFET[PARTNUMBER],Discrete_NFET[QGTH]),"")</f>
        <v>8.1999999999999993</v>
      </c>
      <c r="Z60" s="35">
        <f t="shared" si="32"/>
        <v>16.2</v>
      </c>
      <c r="AA60" s="35">
        <f>IF(AND($A60&lt;&gt;0,$A60&lt;&gt;""),LOOKUP($A60,Discrete_NFET[PARTNUMBER],Discrete_NFET[QOSSTYP]),"")</f>
        <v>20</v>
      </c>
      <c r="AB60" s="35">
        <f>IF(AND($A60&lt;&gt;0,$A60&lt;&gt;""),LOOKUP($A60,Discrete_NFET[PARTNUMBER],Discrete_NFET[QRR]),"")</f>
        <v>17</v>
      </c>
      <c r="AC60" s="35">
        <f>IF(AND(A60&lt;&gt;0,A60&lt;&gt;""),LOOKUP(A60,Discrete_NFET[PARTNUMBER],Discrete_NFET[VF_TYP]),"")</f>
        <v>0.75</v>
      </c>
      <c r="AD60" s="127">
        <f>IF(AND($A60&lt;&gt;0,$A60&lt;&gt;"",OR(RIGHT(Logic!B60,2)="C)",LEFT(Logic!B60,4)="CSD1")),(1+(1-DUTY))*IM_RMS_120^2*V60*m/3/Num_FETS,"")</f>
        <v>0.10956015312403816</v>
      </c>
      <c r="AE60" s="127">
        <f>IF(AND($A60&lt;&gt;0,$A60&lt;&gt;"",OR(RIGHT(Logic!B60,2)="C)",LEFT(Logic!B60,4)="CSD1")),Num_FETS*0.5*IM_RMS_120*VDC_AVG*Z60*n*MOT_ELEC_FREQ/GDR_SRC,"")</f>
        <v>5.2244582043343647E-5</v>
      </c>
      <c r="AF60" s="127">
        <f>IF(AND($A60&lt;&gt;0,$A60&lt;&gt;"",OR(RIGHT(Logic!B60,2)="C)",LEFT(Logic!B60,4)="CSD1")),Num_FETS*0.5*IM_RMS_120*VDC_AVG*Z60*n*MOT_ELEC_FREQ/GDR_SINK,"")</f>
        <v>3.5526315789473684E-5</v>
      </c>
      <c r="AG60" s="127">
        <f>IF(AND($A60&lt;&gt;0,$A60&lt;&gt;"",OR(RIGHT(Logic!B60,2)="T)",LEFT(Logic!B60,4)="CSD1")),DUTY*IM_RMS_120^2*V60*m/3/Num_FETS,"")</f>
        <v>9.9125852826510708E-2</v>
      </c>
      <c r="AH60" s="127">
        <f>IF(AND($A60&lt;&gt;0,$A60&lt;&gt;"",OR(RIGHT(Logic!B60,2)="T)",LEFT(Logic!B60,4)="CSD1")),Num_FETS*0.5*IM_RMS_120*VDC_AVG*Z60*n*FSW*k/GDR_SRC/3,"")</f>
        <v>1.0448916408668728E-2</v>
      </c>
      <c r="AI60" s="127">
        <f>IF(AND($A60&lt;&gt;0,$A60&lt;&gt;"",OR(RIGHT(Logic!B60,2)="T)",LEFT(Logic!B60,4)="CSD1")),Num_FETS*0.5*IM_RMS_120*VDC_AVG*Z60*n*FSW*k/GDR_SINK/3,"")</f>
        <v>7.105263157894736E-3</v>
      </c>
      <c r="AJ60" s="127">
        <f t="shared" si="35"/>
        <v>2.4000000000000002E-3</v>
      </c>
      <c r="AK60" s="127">
        <f t="shared" si="36"/>
        <v>1.1638657403575043E-2</v>
      </c>
      <c r="AL60" s="127">
        <f t="shared" si="37"/>
        <v>4.0867999999999998E-3</v>
      </c>
      <c r="AM60" s="127">
        <f t="shared" si="33"/>
        <v>0.34915972210725127</v>
      </c>
      <c r="AN60" s="127">
        <f>IF(AND($A60&lt;&gt;0,$A60&lt;&gt;"",OR(RIGHT(Logic!B60,2)="C)",LEFT(Logic!B60,4)="CSD1")),SUM(AD60:AF60)+(AJ60/3)+AK60+AL60/6+AM60/6,AN61)</f>
        <v>0.18096100177665456</v>
      </c>
      <c r="AO60" s="127">
        <f>IF(AND($A60&lt;&gt;0,$A60&lt;&gt;"",OR(RIGHT(Logic!B60,2)="T)",LEFT(Logic!B60,4)="CSD1")),SUM(AG60:AI60)+(AJ60/3)+AL60/6+AM60/6,AO59)</f>
        <v>0.17635445274428271</v>
      </c>
      <c r="AP60" s="48">
        <f t="shared" si="34"/>
        <v>0.36</v>
      </c>
      <c r="AQ60" s="35" t="str">
        <f>IF(AND(A60&lt;&gt;0,A60&lt;&gt;""),LOOKUP(A60,Discrete_NFET[PARTNUMBER],Discrete_NFET[TI_EQ_PACKAGE]),"")</f>
        <v>SON5X6</v>
      </c>
      <c r="AR60" s="49">
        <f>IF(AND(A60&lt;&gt;0,A60&lt;&gt;""),LOOKUP(A60,Discrete_NFET[PARTNUMBER],Discrete_NFET[1KPRICE]),"")</f>
        <v>0.41</v>
      </c>
      <c r="AS60" s="35" t="str">
        <f>IF(AND($A60&lt;&gt;0,$A60&lt;&gt;""),CONCATENATE(TEXT(AP60,"0.00"),"W, ",IF('User Input'!F$11="Single Discrete",A60,IF('User Input'!F$11="Dual/Power Block",LEFT(A60,FIND(")",A60)-7),A60)),", ",AQ60,", ",TEXT(AR60,"$0.00")),"Invalid Part")</f>
        <v>0.36W, CSD18511Q5A, SON5X6, $0.41</v>
      </c>
      <c r="AT60" t="s">
        <v>767</v>
      </c>
      <c r="AW60"/>
    </row>
    <row r="61" spans="1:49" ht="15" customHeight="1" x14ac:dyDescent="0.25">
      <c r="A61" s="35" t="str">
        <f>IF(OR(AND(FET_config="Dual/Power Block",LEFT(Logic!B61,4)="CSD8"),AND(FET_config="Single Discrete",LEFT(Logic!B61,4)="CSD1")),Logic!B61,"")</f>
        <v>CSD18512Q5B</v>
      </c>
      <c r="B61" s="37" t="str">
        <f>IF(OR($A61=0,$A61=""),"0",IF(LOOKUP($A61,Discrete_NFET[PARTNUMBER],Discrete_NFET[RDSON25])="(NULL)","0","1"))</f>
        <v>0</v>
      </c>
      <c r="C61" s="38" t="str">
        <f>IF(OR($A61=0,$A61=""),"0",IF(LOOKUP($A61,Discrete_NFET[PARTNUMBER],Discrete_NFET[RDSON3])="(NULL)","0","1"))</f>
        <v>0</v>
      </c>
      <c r="D61" s="40" t="str">
        <f>IF(OR($A61=0,$A61=""),"0",IF(LOOKUP($A61,Discrete_NFET[PARTNUMBER],Discrete_NFET[RDSON45])="(NULL)","0","1"))</f>
        <v>1</v>
      </c>
      <c r="E61" s="45" t="str">
        <f>IF(OR($A61=0,$A61=""),"0",IF(LOOKUP($A61,Discrete_NFET[PARTNUMBER],Discrete_NFET[RDSON6])="(NULL)","0","1"))</f>
        <v>0</v>
      </c>
      <c r="F61" s="34" t="str">
        <f>IF(OR($A61=0,$A61=""),"0",IF(LOOKUP($A61,Discrete_NFET[PARTNUMBER],Discrete_NFET[RDSON8])="(NULL)","0","1"))</f>
        <v>0</v>
      </c>
      <c r="G61" s="43" t="str">
        <f>IF(OR($A61=0,$A61=""),"0",IF(LOOKUP($A61,Discrete_NFET[PARTNUMBER],Discrete_NFET[RDSON10])="(NULL)","0","1"))</f>
        <v>1</v>
      </c>
      <c r="H61" s="36" t="b">
        <f t="shared" si="19"/>
        <v>0</v>
      </c>
      <c r="I61" s="39" t="b">
        <f t="shared" si="20"/>
        <v>0</v>
      </c>
      <c r="J61" s="41" t="b">
        <f t="shared" si="21"/>
        <v>1</v>
      </c>
      <c r="K61" s="46" t="b">
        <f t="shared" si="22"/>
        <v>0</v>
      </c>
      <c r="L61" s="42" t="b">
        <f t="shared" si="23"/>
        <v>0</v>
      </c>
      <c r="M61" s="44" t="b">
        <f t="shared" si="24"/>
        <v>1</v>
      </c>
      <c r="N61" s="47" t="b">
        <f t="shared" si="25"/>
        <v>1</v>
      </c>
      <c r="O61" s="36" t="b">
        <f t="shared" si="26"/>
        <v>0</v>
      </c>
      <c r="P61" s="39" t="b">
        <f t="shared" si="27"/>
        <v>0</v>
      </c>
      <c r="Q61" s="41" t="b">
        <f t="shared" si="28"/>
        <v>1</v>
      </c>
      <c r="R61" s="46" t="b">
        <f t="shared" si="29"/>
        <v>0</v>
      </c>
      <c r="S61" s="42" t="b">
        <f t="shared" si="30"/>
        <v>0</v>
      </c>
      <c r="T61" s="44" t="b">
        <f t="shared" si="31"/>
        <v>1</v>
      </c>
      <c r="U61" s="148">
        <f>IF(T61,LOOKUP(A61,Discrete_NFET[PARTNUMBER],Discrete_NFET[RDSON10])*1000,IF(S61,LOOKUP(A61,Discrete_NFET[PARTNUMBER],Discrete_NFET[RDSON8])*1000,IF(R61,LOOKUP(A61,Discrete_NFET[PARTNUMBER],Discrete_NFET[RDSON6])*1000,IF(Q61,LOOKUP(A61,Discrete_NFET[PARTNUMBER],Discrete_NFET[RDSON45])*1000,IF(P61,LOOKUP(A61,Discrete_NFET[PARTNUMBER],Discrete_NFET[RDSON3])*1000,IF(O61,LOOKUP(A61,Discrete_NFET[PARTNUMBER],Discrete_NFET[RDSON25])*1000,""))))))</f>
        <v>1.6</v>
      </c>
      <c r="V61" s="48">
        <f>IF(AND(A61&lt;&gt;0,A61&lt;&gt;""),U61*(1+(Tj-25)*(LOOKUP(A61,Discrete_NFET[PARTNUMBER],Discrete_NFET[RDSDELTA])/((LOOKUP(A61,Discrete_NFET[PARTNUMBER],Discrete_NFET[TJMAX])-25)))),"")</f>
        <v>1.8335999999999999</v>
      </c>
      <c r="W61" s="35">
        <f>IF(AND($A61&lt;&gt;0,$A61&lt;&gt;""),LOOKUP($A61,Discrete_NFET[PARTNUMBER],Discrete_NFET[QGS]),"")</f>
        <v>15.1</v>
      </c>
      <c r="X61" s="35">
        <f>IF(AND($A61&lt;&gt;0,$A61&lt;&gt;""),LOOKUP($A61,Discrete_NFET[PARTNUMBER],Discrete_NFET[QGD]),"")</f>
        <v>13.3</v>
      </c>
      <c r="Y61" s="35">
        <f>IF(AND($A61&lt;&gt;0,$A61&lt;&gt;""),LOOKUP($A61,Discrete_NFET[PARTNUMBER],Discrete_NFET[QGTH]),"")</f>
        <v>8.1999999999999993</v>
      </c>
      <c r="Z61" s="35">
        <f t="shared" si="32"/>
        <v>20.2</v>
      </c>
      <c r="AA61" s="35">
        <f>IF(AND($A61&lt;&gt;0,$A61&lt;&gt;""),LOOKUP($A61,Discrete_NFET[PARTNUMBER],Discrete_NFET[QOSSTYP]),"")</f>
        <v>23</v>
      </c>
      <c r="AB61" s="35">
        <f>IF(AND($A61&lt;&gt;0,$A61&lt;&gt;""),LOOKUP($A61,Discrete_NFET[PARTNUMBER],Discrete_NFET[QRR]),"")</f>
        <v>22</v>
      </c>
      <c r="AC61" s="35">
        <f>IF(AND(A61&lt;&gt;0,A61&lt;&gt;""),LOOKUP(A61,Discrete_NFET[PARTNUMBER],Discrete_NFET[VF_TYP]),"")</f>
        <v>1</v>
      </c>
      <c r="AD61" s="127">
        <f>IF(AND($A61&lt;&gt;0,$A61&lt;&gt;"",OR(RIGHT(Logic!B61,2)="C)",LEFT(Logic!B61,4)="CSD1")),(1+(1-DUTY))*IM_RMS_120^2*V61*m/3/Num_FETS,"")</f>
        <v>7.7158356417359172E-2</v>
      </c>
      <c r="AE61" s="127">
        <f>IF(AND($A61&lt;&gt;0,$A61&lt;&gt;"",OR(RIGHT(Logic!B61,2)="C)",LEFT(Logic!B61,4)="CSD1")),Num_FETS*0.5*IM_RMS_120*VDC_AVG*Z61*n*MOT_ELEC_FREQ/GDR_SRC,"")</f>
        <v>6.5144478844169257E-5</v>
      </c>
      <c r="AF61" s="127">
        <f>IF(AND($A61&lt;&gt;0,$A61&lt;&gt;"",OR(RIGHT(Logic!B61,2)="C)",LEFT(Logic!B61,4)="CSD1")),Num_FETS*0.5*IM_RMS_120*VDC_AVG*Z61*n*MOT_ELEC_FREQ/GDR_SINK,"")</f>
        <v>4.4298245614035094E-5</v>
      </c>
      <c r="AG61" s="127">
        <f>IF(AND($A61&lt;&gt;0,$A61&lt;&gt;"",OR(RIGHT(Logic!B61,2)="T)",LEFT(Logic!B61,4)="CSD1")),DUTY*IM_RMS_120^2*V61*m/3/Num_FETS,"")</f>
        <v>6.9809941520467822E-2</v>
      </c>
      <c r="AH61" s="127">
        <f>IF(AND($A61&lt;&gt;0,$A61&lt;&gt;"",OR(RIGHT(Logic!B61,2)="T)",LEFT(Logic!B61,4)="CSD1")),Num_FETS*0.5*IM_RMS_120*VDC_AVG*Z61*n*FSW*k/GDR_SRC/3,"")</f>
        <v>1.3028895768833849E-2</v>
      </c>
      <c r="AI61" s="127">
        <f>IF(AND($A61&lt;&gt;0,$A61&lt;&gt;"",OR(RIGHT(Logic!B61,2)="T)",LEFT(Logic!B61,4)="CSD1")),Num_FETS*0.5*IM_RMS_120*VDC_AVG*Z61*n*FSW*k/GDR_SINK/3,"")</f>
        <v>8.859649122807017E-3</v>
      </c>
      <c r="AJ61" s="127">
        <f t="shared" si="35"/>
        <v>2.7600000000000003E-3</v>
      </c>
      <c r="AK61" s="127">
        <f t="shared" si="36"/>
        <v>1.5518209871433389E-2</v>
      </c>
      <c r="AL61" s="127">
        <f t="shared" si="37"/>
        <v>5.2888000000000006E-3</v>
      </c>
      <c r="AM61" s="127">
        <f t="shared" si="33"/>
        <v>0.46554629614300186</v>
      </c>
      <c r="AN61" s="127">
        <f>IF(AND($A61&lt;&gt;0,$A61&lt;&gt;"",OR(RIGHT(Logic!B61,2)="C)",LEFT(Logic!B61,4)="CSD1")),SUM(AD61:AF61)+(AJ61/3)+AK61+AL61/6+AM61/6,AN62)</f>
        <v>0.17217852503708442</v>
      </c>
      <c r="AO61" s="127">
        <f>IF(AND($A61&lt;&gt;0,$A61&lt;&gt;"",OR(RIGHT(Logic!B61,2)="T)",LEFT(Logic!B61,4)="CSD1")),SUM(AG61:AI61)+(AJ61/3)+AL61/6+AM61/6,AO60)</f>
        <v>0.17109100243594233</v>
      </c>
      <c r="AP61" s="48">
        <f t="shared" si="34"/>
        <v>0.34</v>
      </c>
      <c r="AQ61" s="35" t="str">
        <f>IF(AND(A61&lt;&gt;0,A61&lt;&gt;""),LOOKUP(A61,Discrete_NFET[PARTNUMBER],Discrete_NFET[TI_EQ_PACKAGE]),"")</f>
        <v>SON5X6</v>
      </c>
      <c r="AR61" s="49">
        <f>IF(AND(A61&lt;&gt;0,A61&lt;&gt;""),LOOKUP(A61,Discrete_NFET[PARTNUMBER],Discrete_NFET[1KPRICE]),"")</f>
        <v>0.57999999999999996</v>
      </c>
      <c r="AS61" s="35" t="str">
        <f>IF(AND($A61&lt;&gt;0,$A61&lt;&gt;""),CONCATENATE(TEXT(AP61,"0.00"),"W, ",IF('User Input'!F$11="Single Discrete",A61,IF('User Input'!F$11="Dual/Power Block",LEFT(A61,FIND(")",A61)-7),A61)),", ",AQ61,", ",TEXT(AR61,"$0.00")),"Invalid Part")</f>
        <v>0.34W, CSD18512Q5B, SON5X6, $0.58</v>
      </c>
      <c r="AT61" t="s">
        <v>733</v>
      </c>
      <c r="AW61"/>
    </row>
    <row r="62" spans="1:49" ht="15" customHeight="1" x14ac:dyDescent="0.25">
      <c r="A62" s="35" t="str">
        <f>IF(OR(AND(FET_config="Dual/Power Block",LEFT(Logic!B62,4)="CSD8"),AND(FET_config="Single Discrete",LEFT(Logic!B62,4)="CSD1")),Logic!B62,"")</f>
        <v>CSD18513Q5A</v>
      </c>
      <c r="B62" s="37" t="str">
        <f>IF(OR($A62=0,$A62=""),"0",IF(LOOKUP($A62,Discrete_NFET[PARTNUMBER],Discrete_NFET[RDSON25])="(NULL)","0","1"))</f>
        <v>0</v>
      </c>
      <c r="C62" s="38" t="str">
        <f>IF(OR($A62=0,$A62=""),"0",IF(LOOKUP($A62,Discrete_NFET[PARTNUMBER],Discrete_NFET[RDSON3])="(NULL)","0","1"))</f>
        <v>0</v>
      </c>
      <c r="D62" s="40" t="str">
        <f>IF(OR($A62=0,$A62=""),"0",IF(LOOKUP($A62,Discrete_NFET[PARTNUMBER],Discrete_NFET[RDSON45])="(NULL)","0","1"))</f>
        <v>1</v>
      </c>
      <c r="E62" s="45" t="str">
        <f>IF(OR($A62=0,$A62=""),"0",IF(LOOKUP($A62,Discrete_NFET[PARTNUMBER],Discrete_NFET[RDSON6])="(NULL)","0","1"))</f>
        <v>0</v>
      </c>
      <c r="F62" s="34" t="str">
        <f>IF(OR($A62=0,$A62=""),"0",IF(LOOKUP($A62,Discrete_NFET[PARTNUMBER],Discrete_NFET[RDSON8])="(NULL)","0","1"))</f>
        <v>0</v>
      </c>
      <c r="G62" s="43" t="str">
        <f>IF(OR($A62=0,$A62=""),"0",IF(LOOKUP($A62,Discrete_NFET[PARTNUMBER],Discrete_NFET[RDSON10])="(NULL)","0","1"))</f>
        <v>1</v>
      </c>
      <c r="H62" s="36" t="b">
        <f t="shared" si="19"/>
        <v>0</v>
      </c>
      <c r="I62" s="39" t="b">
        <f t="shared" si="20"/>
        <v>0</v>
      </c>
      <c r="J62" s="41" t="b">
        <f t="shared" si="21"/>
        <v>1</v>
      </c>
      <c r="K62" s="46" t="b">
        <f t="shared" si="22"/>
        <v>0</v>
      </c>
      <c r="L62" s="42" t="b">
        <f t="shared" si="23"/>
        <v>0</v>
      </c>
      <c r="M62" s="44" t="b">
        <f t="shared" si="24"/>
        <v>1</v>
      </c>
      <c r="N62" s="47" t="b">
        <f t="shared" si="25"/>
        <v>1</v>
      </c>
      <c r="O62" s="36" t="b">
        <f t="shared" si="26"/>
        <v>0</v>
      </c>
      <c r="P62" s="39" t="b">
        <f t="shared" si="27"/>
        <v>0</v>
      </c>
      <c r="Q62" s="41" t="b">
        <f t="shared" si="28"/>
        <v>1</v>
      </c>
      <c r="R62" s="46" t="b">
        <f t="shared" si="29"/>
        <v>0</v>
      </c>
      <c r="S62" s="42" t="b">
        <f t="shared" si="30"/>
        <v>0</v>
      </c>
      <c r="T62" s="44" t="b">
        <f t="shared" si="31"/>
        <v>1</v>
      </c>
      <c r="U62" s="148">
        <f>IF(T62,LOOKUP(A62,Discrete_NFET[PARTNUMBER],Discrete_NFET[RDSON10])*1000,IF(S62,LOOKUP(A62,Discrete_NFET[PARTNUMBER],Discrete_NFET[RDSON8])*1000,IF(R62,LOOKUP(A62,Discrete_NFET[PARTNUMBER],Discrete_NFET[RDSON6])*1000,IF(Q62,LOOKUP(A62,Discrete_NFET[PARTNUMBER],Discrete_NFET[RDSON45])*1000,IF(P62,LOOKUP(A62,Discrete_NFET[PARTNUMBER],Discrete_NFET[RDSON3])*1000,IF(O62,LOOKUP(A62,Discrete_NFET[PARTNUMBER],Discrete_NFET[RDSON25])*1000,""))))))</f>
        <v>3.4</v>
      </c>
      <c r="V62" s="48">
        <f>IF(AND(A62&lt;&gt;0,A62&lt;&gt;""),U62*(1+(Tj-25)*(LOOKUP(A62,Discrete_NFET[PARTNUMBER],Discrete_NFET[RDSDELTA])/((LOOKUP(A62,Discrete_NFET[PARTNUMBER],Discrete_NFET[TJMAX])-25)))),"")</f>
        <v>3.8080000000000003</v>
      </c>
      <c r="W62" s="35">
        <f>IF(AND($A62&lt;&gt;0,$A62&lt;&gt;""),LOOKUP($A62,Discrete_NFET[PARTNUMBER],Discrete_NFET[QGS]),"")</f>
        <v>9.1</v>
      </c>
      <c r="X62" s="35">
        <f>IF(AND($A62&lt;&gt;0,$A62&lt;&gt;""),LOOKUP($A62,Discrete_NFET[PARTNUMBER],Discrete_NFET[QGD]),"")</f>
        <v>8.8000000000000007</v>
      </c>
      <c r="Y62" s="35">
        <f>IF(AND($A62&lt;&gt;0,$A62&lt;&gt;""),LOOKUP($A62,Discrete_NFET[PARTNUMBER],Discrete_NFET[QGTH]),"")</f>
        <v>5.8</v>
      </c>
      <c r="Z62" s="35">
        <f t="shared" si="32"/>
        <v>12.099999999999998</v>
      </c>
      <c r="AA62" s="35">
        <f>IF(AND($A62&lt;&gt;0,$A62&lt;&gt;""),LOOKUP($A62,Discrete_NFET[PARTNUMBER],Discrete_NFET[QOSSTYP]),"")</f>
        <v>15</v>
      </c>
      <c r="AB62" s="35">
        <f>IF(AND($A62&lt;&gt;0,$A62&lt;&gt;""),LOOKUP($A62,Discrete_NFET[PARTNUMBER],Discrete_NFET[QRR]),"")</f>
        <v>14.7</v>
      </c>
      <c r="AC62" s="35">
        <f>IF(AND(A62&lt;&gt;0,A62&lt;&gt;""),LOOKUP(A62,Discrete_NFET[PARTNUMBER],Discrete_NFET[VF_TYP]),"")</f>
        <v>1</v>
      </c>
      <c r="AD62" s="127">
        <f>IF(AND($A62&lt;&gt;0,$A62&lt;&gt;"",OR(RIGHT(Logic!B62,2)="C)",LEFT(Logic!B62,4)="CSD1")),(1+(1-DUTY))*IM_RMS_120^2*V62*m/3/Num_FETS,"")</f>
        <v>0.16024161280393964</v>
      </c>
      <c r="AE62" s="127">
        <f>IF(AND($A62&lt;&gt;0,$A62&lt;&gt;"",OR(RIGHT(Logic!B62,2)="C)",LEFT(Logic!B62,4)="CSD1")),Num_FETS*0.5*IM_RMS_120*VDC_AVG*Z62*n*MOT_ELEC_FREQ/GDR_SRC,"")</f>
        <v>3.902218782249741E-5</v>
      </c>
      <c r="AF62" s="127">
        <f>IF(AND($A62&lt;&gt;0,$A62&lt;&gt;"",OR(RIGHT(Logic!B62,2)="C)",LEFT(Logic!B62,4)="CSD1")),Num_FETS*0.5*IM_RMS_120*VDC_AVG*Z62*n*MOT_ELEC_FREQ/GDR_SINK,"")</f>
        <v>2.6535087719298241E-5</v>
      </c>
      <c r="AG62" s="127">
        <f>IF(AND($A62&lt;&gt;0,$A62&lt;&gt;"",OR(RIGHT(Logic!B62,2)="T)",LEFT(Logic!B62,4)="CSD1")),DUTY*IM_RMS_120^2*V62*m/3/Num_FETS,"")</f>
        <v>0.14498050682261207</v>
      </c>
      <c r="AH62" s="127">
        <f>IF(AND($A62&lt;&gt;0,$A62&lt;&gt;"",OR(RIGHT(Logic!B62,2)="T)",LEFT(Logic!B62,4)="CSD1")),Num_FETS*0.5*IM_RMS_120*VDC_AVG*Z62*n*FSW*k/GDR_SRC/3,"")</f>
        <v>7.8044375644994819E-3</v>
      </c>
      <c r="AI62" s="127">
        <f>IF(AND($A62&lt;&gt;0,$A62&lt;&gt;"",OR(RIGHT(Logic!B62,2)="T)",LEFT(Logic!B62,4)="CSD1")),Num_FETS*0.5*IM_RMS_120*VDC_AVG*Z62*n*FSW*k/GDR_SINK/3,"")</f>
        <v>5.3070175438596481E-3</v>
      </c>
      <c r="AJ62" s="127">
        <f t="shared" si="35"/>
        <v>1.8000000000000002E-3</v>
      </c>
      <c r="AK62" s="127">
        <f t="shared" si="36"/>
        <v>1.5518209871433389E-2</v>
      </c>
      <c r="AL62" s="127">
        <f t="shared" si="37"/>
        <v>3.5338799999999997E-3</v>
      </c>
      <c r="AM62" s="127">
        <f t="shared" si="33"/>
        <v>0.46554629614300186</v>
      </c>
      <c r="AN62" s="127">
        <f>IF(AND($A62&lt;&gt;0,$A62&lt;&gt;"",OR(RIGHT(Logic!B62,2)="C)",LEFT(Logic!B62,4)="CSD1")),SUM(AD62:AF62)+(AJ62/3)+AK62+AL62/6+AM62/6,AN63)</f>
        <v>0.25460540930808179</v>
      </c>
      <c r="AO62" s="127">
        <f>IF(AND($A62&lt;&gt;0,$A62&lt;&gt;"",OR(RIGHT(Logic!B62,2)="T)",LEFT(Logic!B62,4)="CSD1")),SUM(AG62:AI62)+(AJ62/3)+AL62/6+AM62/6,AO61)</f>
        <v>0.23687199128813813</v>
      </c>
      <c r="AP62" s="48">
        <f t="shared" si="34"/>
        <v>0.49</v>
      </c>
      <c r="AQ62" s="35" t="str">
        <f>IF(AND(A62&lt;&gt;0,A62&lt;&gt;""),LOOKUP(A62,Discrete_NFET[PARTNUMBER],Discrete_NFET[TI_EQ_PACKAGE]),"")</f>
        <v>SON5X6</v>
      </c>
      <c r="AR62" s="49">
        <f>IF(AND(A62&lt;&gt;0,A62&lt;&gt;""),LOOKUP(A62,Discrete_NFET[PARTNUMBER],Discrete_NFET[1KPRICE]),"")</f>
        <v>0.34</v>
      </c>
      <c r="AS62" s="35" t="str">
        <f>IF(AND($A62&lt;&gt;0,$A62&lt;&gt;""),CONCATENATE(TEXT(AP62,"0.00"),"W, ",IF('User Input'!F$11="Single Discrete",A62,IF('User Input'!F$11="Dual/Power Block",LEFT(A62,FIND(")",A62)-7),A62)),", ",AQ62,", ",TEXT(AR62,"$0.00")),"Invalid Part")</f>
        <v>0.49W, CSD18513Q5A, SON5X6, $0.34</v>
      </c>
      <c r="AT62" t="s">
        <v>787</v>
      </c>
      <c r="AW62"/>
    </row>
    <row r="63" spans="1:49" ht="15" customHeight="1" x14ac:dyDescent="0.25">
      <c r="A63" s="35" t="str">
        <f>IF(OR(AND(FET_config="Dual/Power Block",LEFT(Logic!B63,4)="CSD8"),AND(FET_config="Single Discrete",LEFT(Logic!B63,4)="CSD1")),Logic!B63,"")</f>
        <v>CSD18514Q5A</v>
      </c>
      <c r="B63" s="37" t="str">
        <f>IF(OR($A63=0,$A63=""),"0",IF(LOOKUP($A63,Discrete_NFET[PARTNUMBER],Discrete_NFET[RDSON25])="(NULL)","0","1"))</f>
        <v>0</v>
      </c>
      <c r="C63" s="38" t="str">
        <f>IF(OR($A63=0,$A63=""),"0",IF(LOOKUP($A63,Discrete_NFET[PARTNUMBER],Discrete_NFET[RDSON3])="(NULL)","0","1"))</f>
        <v>0</v>
      </c>
      <c r="D63" s="40" t="str">
        <f>IF(OR($A63=0,$A63=""),"0",IF(LOOKUP($A63,Discrete_NFET[PARTNUMBER],Discrete_NFET[RDSON45])="(NULL)","0","1"))</f>
        <v>1</v>
      </c>
      <c r="E63" s="45" t="str">
        <f>IF(OR($A63=0,$A63=""),"0",IF(LOOKUP($A63,Discrete_NFET[PARTNUMBER],Discrete_NFET[RDSON6])="(NULL)","0","1"))</f>
        <v>0</v>
      </c>
      <c r="F63" s="34" t="str">
        <f>IF(OR($A63=0,$A63=""),"0",IF(LOOKUP($A63,Discrete_NFET[PARTNUMBER],Discrete_NFET[RDSON8])="(NULL)","0","1"))</f>
        <v>0</v>
      </c>
      <c r="G63" s="43" t="str">
        <f>IF(OR($A63=0,$A63=""),"0",IF(LOOKUP($A63,Discrete_NFET[PARTNUMBER],Discrete_NFET[RDSON10])="(NULL)","0","1"))</f>
        <v>1</v>
      </c>
      <c r="H63" s="36" t="b">
        <f t="shared" si="19"/>
        <v>0</v>
      </c>
      <c r="I63" s="39" t="b">
        <f t="shared" si="20"/>
        <v>0</v>
      </c>
      <c r="J63" s="41" t="b">
        <f t="shared" si="21"/>
        <v>1</v>
      </c>
      <c r="K63" s="46" t="b">
        <f t="shared" si="22"/>
        <v>0</v>
      </c>
      <c r="L63" s="42" t="b">
        <f t="shared" si="23"/>
        <v>0</v>
      </c>
      <c r="M63" s="44" t="b">
        <f t="shared" si="24"/>
        <v>1</v>
      </c>
      <c r="N63" s="47" t="b">
        <f t="shared" si="25"/>
        <v>1</v>
      </c>
      <c r="O63" s="36" t="b">
        <f t="shared" si="26"/>
        <v>0</v>
      </c>
      <c r="P63" s="39" t="b">
        <f t="shared" si="27"/>
        <v>0</v>
      </c>
      <c r="Q63" s="41" t="b">
        <f t="shared" si="28"/>
        <v>1</v>
      </c>
      <c r="R63" s="46" t="b">
        <f t="shared" si="29"/>
        <v>0</v>
      </c>
      <c r="S63" s="42" t="b">
        <f t="shared" si="30"/>
        <v>0</v>
      </c>
      <c r="T63" s="44" t="b">
        <f t="shared" si="31"/>
        <v>1</v>
      </c>
      <c r="U63" s="148">
        <f>IF(T63,LOOKUP(A63,Discrete_NFET[PARTNUMBER],Discrete_NFET[RDSON10])*1000,IF(S63,LOOKUP(A63,Discrete_NFET[PARTNUMBER],Discrete_NFET[RDSON8])*1000,IF(R63,LOOKUP(A63,Discrete_NFET[PARTNUMBER],Discrete_NFET[RDSON6])*1000,IF(Q63,LOOKUP(A63,Discrete_NFET[PARTNUMBER],Discrete_NFET[RDSON45])*1000,IF(P63,LOOKUP(A63,Discrete_NFET[PARTNUMBER],Discrete_NFET[RDSON3])*1000,IF(O63,LOOKUP(A63,Discrete_NFET[PARTNUMBER],Discrete_NFET[RDSON25])*1000,""))))))</f>
        <v>4.8999999999999995</v>
      </c>
      <c r="V63" s="48">
        <f>IF(AND(A63&lt;&gt;0,A63&lt;&gt;""),U63*(1+(Tj-25)*(LOOKUP(A63,Discrete_NFET[PARTNUMBER],Discrete_NFET[RDSDELTA])/((LOOKUP(A63,Discrete_NFET[PARTNUMBER],Discrete_NFET[TJMAX])-25)))),"")</f>
        <v>5.5076000000000001</v>
      </c>
      <c r="W63" s="35">
        <f>IF(AND($A63&lt;&gt;0,$A63&lt;&gt;""),LOOKUP($A63,Discrete_NFET[PARTNUMBER],Discrete_NFET[QGS]),"")</f>
        <v>6</v>
      </c>
      <c r="X63" s="35">
        <f>IF(AND($A63&lt;&gt;0,$A63&lt;&gt;""),LOOKUP($A63,Discrete_NFET[PARTNUMBER],Discrete_NFET[QGD]),"")</f>
        <v>5</v>
      </c>
      <c r="Y63" s="35">
        <f>IF(AND($A63&lt;&gt;0,$A63&lt;&gt;""),LOOKUP($A63,Discrete_NFET[PARTNUMBER],Discrete_NFET[QGTH]),"")</f>
        <v>3.4</v>
      </c>
      <c r="Z63" s="35">
        <f t="shared" si="32"/>
        <v>7.6</v>
      </c>
      <c r="AA63" s="35">
        <f>IF(AND($A63&lt;&gt;0,$A63&lt;&gt;""),LOOKUP($A63,Discrete_NFET[PARTNUMBER],Discrete_NFET[QOSSTYP]),"")</f>
        <v>9.1999999999999993</v>
      </c>
      <c r="AB63" s="35">
        <f>IF(AND($A63&lt;&gt;0,$A63&lt;&gt;""),LOOKUP($A63,Discrete_NFET[PARTNUMBER],Discrete_NFET[QRR]),"")</f>
        <v>8.5</v>
      </c>
      <c r="AC63" s="35">
        <f>IF(AND(A63&lt;&gt;0,A63&lt;&gt;""),LOOKUP(A63,Discrete_NFET[PARTNUMBER],Discrete_NFET[VF_TYP]),"")</f>
        <v>1</v>
      </c>
      <c r="AD63" s="127">
        <f>IF(AND($A63&lt;&gt;0,$A63&lt;&gt;"",OR(RIGHT(Logic!B63,2)="C)",LEFT(Logic!B63,4)="CSD1")),(1+(1-DUTY))*IM_RMS_120^2*V63*m/3/Num_FETS,"")</f>
        <v>0.23176121498922742</v>
      </c>
      <c r="AE63" s="127">
        <f>IF(AND($A63&lt;&gt;0,$A63&lt;&gt;"",OR(RIGHT(Logic!B63,2)="C)",LEFT(Logic!B63,4)="CSD1")),Num_FETS*0.5*IM_RMS_120*VDC_AVG*Z63*n*MOT_ELEC_FREQ/GDR_SRC,"")</f>
        <v>2.4509803921568626E-5</v>
      </c>
      <c r="AF63" s="127">
        <f>IF(AND($A63&lt;&gt;0,$A63&lt;&gt;"",OR(RIGHT(Logic!B63,2)="C)",LEFT(Logic!B63,4)="CSD1")),Num_FETS*0.5*IM_RMS_120*VDC_AVG*Z63*n*MOT_ELEC_FREQ/GDR_SINK,"")</f>
        <v>1.6666666666666667E-5</v>
      </c>
      <c r="AG63" s="127">
        <f>IF(AND($A63&lt;&gt;0,$A63&lt;&gt;"",OR(RIGHT(Logic!B63,2)="T)",LEFT(Logic!B63,4)="CSD1")),DUTY*IM_RMS_120^2*V63*m/3/Num_FETS,"")</f>
        <v>0.20968871832358671</v>
      </c>
      <c r="AH63" s="127">
        <f>IF(AND($A63&lt;&gt;0,$A63&lt;&gt;"",OR(RIGHT(Logic!B63,2)="T)",LEFT(Logic!B63,4)="CSD1")),Num_FETS*0.5*IM_RMS_120*VDC_AVG*Z63*n*FSW*k/GDR_SRC/3,"")</f>
        <v>4.9019607843137246E-3</v>
      </c>
      <c r="AI63" s="127">
        <f>IF(AND($A63&lt;&gt;0,$A63&lt;&gt;"",OR(RIGHT(Logic!B63,2)="T)",LEFT(Logic!B63,4)="CSD1")),Num_FETS*0.5*IM_RMS_120*VDC_AVG*Z63*n*FSW*k/GDR_SINK/3,"")</f>
        <v>3.3333333333333327E-3</v>
      </c>
      <c r="AJ63" s="127">
        <f t="shared" si="35"/>
        <v>1.1040000000000002E-3</v>
      </c>
      <c r="AK63" s="127">
        <f t="shared" si="36"/>
        <v>1.5518209871433389E-2</v>
      </c>
      <c r="AL63" s="127">
        <f t="shared" si="37"/>
        <v>2.0433999999999999E-3</v>
      </c>
      <c r="AM63" s="127">
        <f t="shared" si="33"/>
        <v>0.46554629614300186</v>
      </c>
      <c r="AN63" s="127">
        <f>IF(AND($A63&lt;&gt;0,$A63&lt;&gt;"",OR(RIGHT(Logic!B63,2)="C)",LEFT(Logic!B63,4)="CSD1")),SUM(AD63:AF63)+(AJ63/3)+AK63+AL63/6+AM63/6,AN64)</f>
        <v>0.32562021735508268</v>
      </c>
      <c r="AO63" s="127">
        <f>IF(AND($A63&lt;&gt;0,$A63&lt;&gt;"",OR(RIGHT(Logic!B63,2)="T)",LEFT(Logic!B63,4)="CSD1")),SUM(AG63:AI63)+(AJ63/3)+AL63/6+AM63/6,AO62)</f>
        <v>0.29622362846506739</v>
      </c>
      <c r="AP63" s="48">
        <f t="shared" si="34"/>
        <v>0.62</v>
      </c>
      <c r="AQ63" s="35" t="str">
        <f>IF(AND(A63&lt;&gt;0,A63&lt;&gt;""),LOOKUP(A63,Discrete_NFET[PARTNUMBER],Discrete_NFET[TI_EQ_PACKAGE]),"")</f>
        <v>SON5X6</v>
      </c>
      <c r="AR63" s="49">
        <f>IF(AND(A63&lt;&gt;0,A63&lt;&gt;""),LOOKUP(A63,Discrete_NFET[PARTNUMBER],Discrete_NFET[1KPRICE]),"")</f>
        <v>0.24</v>
      </c>
      <c r="AS63" s="35" t="str">
        <f>IF(AND($A63&lt;&gt;0,$A63&lt;&gt;""),CONCATENATE(TEXT(AP63,"0.00"),"W, ",IF('User Input'!F$11="Single Discrete",A63,IF('User Input'!F$11="Dual/Power Block",LEFT(A63,FIND(")",A63)-7),A63)),", ",AQ63,", ",TEXT(AR63,"$0.00")),"Invalid Part")</f>
        <v>0.62W, CSD18514Q5A, SON5X6, $0.24</v>
      </c>
      <c r="AT63" t="s">
        <v>711</v>
      </c>
      <c r="AW63"/>
    </row>
    <row r="64" spans="1:49" ht="15" customHeight="1" x14ac:dyDescent="0.25">
      <c r="A64" s="35" t="str">
        <f>IF(OR(AND(FET_config="Dual/Power Block",LEFT(Logic!B64,4)="CSD8"),AND(FET_config="Single Discrete",LEFT(Logic!B64,4)="CSD1")),Logic!B64,"")</f>
        <v>CSD18531Q5A</v>
      </c>
      <c r="B64" s="37" t="str">
        <f>IF(OR($A64=0,$A64=""),"0",IF(LOOKUP($A64,Discrete_NFET[PARTNUMBER],Discrete_NFET[RDSON25])="(NULL)","0","1"))</f>
        <v>0</v>
      </c>
      <c r="C64" s="38" t="str">
        <f>IF(OR($A64=0,$A64=""),"0",IF(LOOKUP($A64,Discrete_NFET[PARTNUMBER],Discrete_NFET[RDSON3])="(NULL)","0","1"))</f>
        <v>0</v>
      </c>
      <c r="D64" s="40" t="str">
        <f>IF(OR($A64=0,$A64=""),"0",IF(LOOKUP($A64,Discrete_NFET[PARTNUMBER],Discrete_NFET[RDSON45])="(NULL)","0","1"))</f>
        <v>1</v>
      </c>
      <c r="E64" s="45" t="str">
        <f>IF(OR($A64=0,$A64=""),"0",IF(LOOKUP($A64,Discrete_NFET[PARTNUMBER],Discrete_NFET[RDSON6])="(NULL)","0","1"))</f>
        <v>0</v>
      </c>
      <c r="F64" s="34" t="str">
        <f>IF(OR($A64=0,$A64=""),"0",IF(LOOKUP($A64,Discrete_NFET[PARTNUMBER],Discrete_NFET[RDSON8])="(NULL)","0","1"))</f>
        <v>0</v>
      </c>
      <c r="G64" s="43" t="str">
        <f>IF(OR($A64=0,$A64=""),"0",IF(LOOKUP($A64,Discrete_NFET[PARTNUMBER],Discrete_NFET[RDSON10])="(NULL)","0","1"))</f>
        <v>1</v>
      </c>
      <c r="H64" s="36" t="b">
        <f t="shared" si="19"/>
        <v>0</v>
      </c>
      <c r="I64" s="39" t="b">
        <f t="shared" si="20"/>
        <v>0</v>
      </c>
      <c r="J64" s="41" t="b">
        <f t="shared" si="21"/>
        <v>1</v>
      </c>
      <c r="K64" s="46" t="b">
        <f t="shared" si="22"/>
        <v>0</v>
      </c>
      <c r="L64" s="42" t="b">
        <f t="shared" si="23"/>
        <v>0</v>
      </c>
      <c r="M64" s="44" t="b">
        <f t="shared" si="24"/>
        <v>1</v>
      </c>
      <c r="N64" s="47" t="b">
        <f t="shared" si="25"/>
        <v>1</v>
      </c>
      <c r="O64" s="36" t="b">
        <f t="shared" si="26"/>
        <v>0</v>
      </c>
      <c r="P64" s="39" t="b">
        <f t="shared" si="27"/>
        <v>0</v>
      </c>
      <c r="Q64" s="41" t="b">
        <f t="shared" si="28"/>
        <v>1</v>
      </c>
      <c r="R64" s="46" t="b">
        <f t="shared" si="29"/>
        <v>0</v>
      </c>
      <c r="S64" s="42" t="b">
        <f t="shared" si="30"/>
        <v>0</v>
      </c>
      <c r="T64" s="44" t="b">
        <f t="shared" si="31"/>
        <v>1</v>
      </c>
      <c r="U64" s="148">
        <f>IF(T64,LOOKUP(A64,Discrete_NFET[PARTNUMBER],Discrete_NFET[RDSON10])*1000,IF(S64,LOOKUP(A64,Discrete_NFET[PARTNUMBER],Discrete_NFET[RDSON8])*1000,IF(R64,LOOKUP(A64,Discrete_NFET[PARTNUMBER],Discrete_NFET[RDSON6])*1000,IF(Q64,LOOKUP(A64,Discrete_NFET[PARTNUMBER],Discrete_NFET[RDSON45])*1000,IF(P64,LOOKUP(A64,Discrete_NFET[PARTNUMBER],Discrete_NFET[RDSON3])*1000,IF(O64,LOOKUP(A64,Discrete_NFET[PARTNUMBER],Discrete_NFET[RDSON25])*1000,""))))))</f>
        <v>4.5999999999999996</v>
      </c>
      <c r="V64" s="48">
        <f>IF(AND(A64&lt;&gt;0,A64&lt;&gt;""),U64*(1+(Tj-25)*(LOOKUP(A64,Discrete_NFET[PARTNUMBER],Discrete_NFET[RDSDELTA])/((LOOKUP(A64,Discrete_NFET[PARTNUMBER],Discrete_NFET[TJMAX])-25)))),"")</f>
        <v>5.4739999999999993</v>
      </c>
      <c r="W64" s="35">
        <f>IF(AND($A64&lt;&gt;0,$A64&lt;&gt;""),LOOKUP($A64,Discrete_NFET[PARTNUMBER],Discrete_NFET[QGS]),"")</f>
        <v>6.9</v>
      </c>
      <c r="X64" s="35">
        <f>IF(AND($A64&lt;&gt;0,$A64&lt;&gt;""),LOOKUP($A64,Discrete_NFET[PARTNUMBER],Discrete_NFET[QGD]),"")</f>
        <v>5.9</v>
      </c>
      <c r="Y64" s="35">
        <f>IF(AND($A64&lt;&gt;0,$A64&lt;&gt;""),LOOKUP($A64,Discrete_NFET[PARTNUMBER],Discrete_NFET[QGTH]),"")</f>
        <v>5.2</v>
      </c>
      <c r="Z64" s="35">
        <f t="shared" si="32"/>
        <v>7.6000000000000005</v>
      </c>
      <c r="AA64" s="35">
        <f>IF(AND($A64&lt;&gt;0,$A64&lt;&gt;""),LOOKUP($A64,Discrete_NFET[PARTNUMBER],Discrete_NFET[QOSSTYP]),"")</f>
        <v>32</v>
      </c>
      <c r="AB64" s="35">
        <f>IF(AND($A64&lt;&gt;0,$A64&lt;&gt;""),LOOKUP($A64,Discrete_NFET[PARTNUMBER],Discrete_NFET[QRR]),"")</f>
        <v>100</v>
      </c>
      <c r="AC64" s="35">
        <f>IF(AND(A64&lt;&gt;0,A64&lt;&gt;""),LOOKUP(A64,Discrete_NFET[PARTNUMBER],Discrete_NFET[VF_TYP]),"")</f>
        <v>0.8</v>
      </c>
      <c r="AD64" s="127">
        <f>IF(AND($A64&lt;&gt;0,$A64&lt;&gt;"",OR(RIGHT(Logic!B64,2)="C)",LEFT(Logic!B64,4)="CSD1")),(1+(1-DUTY))*IM_RMS_120^2*V64*m/3/Num_FETS,"")</f>
        <v>0.23034731840566322</v>
      </c>
      <c r="AE64" s="127">
        <f>IF(AND($A64&lt;&gt;0,$A64&lt;&gt;"",OR(RIGHT(Logic!B64,2)="C)",LEFT(Logic!B64,4)="CSD1")),Num_FETS*0.5*IM_RMS_120*VDC_AVG*Z64*n*MOT_ELEC_FREQ/GDR_SRC,"")</f>
        <v>2.4509803921568633E-5</v>
      </c>
      <c r="AF64" s="127">
        <f>IF(AND($A64&lt;&gt;0,$A64&lt;&gt;"",OR(RIGHT(Logic!B64,2)="C)",LEFT(Logic!B64,4)="CSD1")),Num_FETS*0.5*IM_RMS_120*VDC_AVG*Z64*n*MOT_ELEC_FREQ/GDR_SINK,"")</f>
        <v>1.6666666666666671E-5</v>
      </c>
      <c r="AG64" s="127">
        <f>IF(AND($A64&lt;&gt;0,$A64&lt;&gt;"",OR(RIGHT(Logic!B64,2)="T)",LEFT(Logic!B64,4)="CSD1")),DUTY*IM_RMS_120^2*V64*m/3/Num_FETS,"")</f>
        <v>0.2084094785575048</v>
      </c>
      <c r="AH64" s="127">
        <f>IF(AND($A64&lt;&gt;0,$A64&lt;&gt;"",OR(RIGHT(Logic!B64,2)="T)",LEFT(Logic!B64,4)="CSD1")),Num_FETS*0.5*IM_RMS_120*VDC_AVG*Z64*n*FSW*k/GDR_SRC/3,"")</f>
        <v>4.9019607843137263E-3</v>
      </c>
      <c r="AI64" s="127">
        <f>IF(AND($A64&lt;&gt;0,$A64&lt;&gt;"",OR(RIGHT(Logic!B64,2)="T)",LEFT(Logic!B64,4)="CSD1")),Num_FETS*0.5*IM_RMS_120*VDC_AVG*Z64*n*FSW*k/GDR_SINK/3,"")</f>
        <v>3.333333333333334E-3</v>
      </c>
      <c r="AJ64" s="127">
        <f t="shared" si="35"/>
        <v>3.8400000000000001E-3</v>
      </c>
      <c r="AK64" s="127">
        <f t="shared" si="36"/>
        <v>1.2414567897146714E-2</v>
      </c>
      <c r="AL64" s="127">
        <f t="shared" si="37"/>
        <v>2.4040000000000002E-2</v>
      </c>
      <c r="AM64" s="127">
        <f t="shared" si="33"/>
        <v>0.37243703691440144</v>
      </c>
      <c r="AN64" s="127">
        <f>IF(AND($A64&lt;&gt;0,$A64&lt;&gt;"",OR(RIGHT(Logic!B64,2)="C)",LEFT(Logic!B64,4)="CSD1")),SUM(AD64:AF64)+(AJ64/3)+AK64+AL64/6+AM64/6,AN65)</f>
        <v>0.31016256892579841</v>
      </c>
      <c r="AO64" s="127">
        <f>IF(AND($A64&lt;&gt;0,$A64&lt;&gt;"",OR(RIGHT(Logic!B64,2)="T)",LEFT(Logic!B64,4)="CSD1")),SUM(AG64:AI64)+(AJ64/3)+AL64/6+AM64/6,AO63)</f>
        <v>0.28400427882755208</v>
      </c>
      <c r="AP64" s="48">
        <f t="shared" si="34"/>
        <v>0.59</v>
      </c>
      <c r="AQ64" s="35" t="str">
        <f>IF(AND(A64&lt;&gt;0,A64&lt;&gt;""),LOOKUP(A64,Discrete_NFET[PARTNUMBER],Discrete_NFET[TI_EQ_PACKAGE]),"")</f>
        <v>SON5X6</v>
      </c>
      <c r="AR64" s="49">
        <f>IF(AND(A64&lt;&gt;0,A64&lt;&gt;""),LOOKUP(A64,Discrete_NFET[PARTNUMBER],Discrete_NFET[1KPRICE]),"")</f>
        <v>0.56000000000000005</v>
      </c>
      <c r="AS64" s="35" t="str">
        <f>IF(AND($A64&lt;&gt;0,$A64&lt;&gt;""),CONCATENATE(TEXT(AP64,"0.00"),"W, ",IF('User Input'!F$11="Single Discrete",A64,IF('User Input'!F$11="Dual/Power Block",LEFT(A64,FIND(")",A64)-7),A64)),", ",AQ64,", ",TEXT(AR64,"$0.00")),"Invalid Part")</f>
        <v>0.59W, CSD18531Q5A, SON5X6, $0.56</v>
      </c>
      <c r="AT64" t="s">
        <v>709</v>
      </c>
      <c r="AW64"/>
    </row>
    <row r="65" spans="1:49" ht="15" customHeight="1" x14ac:dyDescent="0.25">
      <c r="A65" s="35" t="str">
        <f>IF(OR(AND(FET_config="Dual/Power Block",LEFT(Logic!B65,4)="CSD8"),AND(FET_config="Single Discrete",LEFT(Logic!B65,4)="CSD1")),Logic!B65,"")</f>
        <v>CSD18532KCS</v>
      </c>
      <c r="B65" s="37" t="str">
        <f>IF(OR($A65=0,$A65=""),"0",IF(LOOKUP($A65,Discrete_NFET[PARTNUMBER],Discrete_NFET[RDSON25])="(NULL)","0","1"))</f>
        <v>0</v>
      </c>
      <c r="C65" s="38" t="str">
        <f>IF(OR($A65=0,$A65=""),"0",IF(LOOKUP($A65,Discrete_NFET[PARTNUMBER],Discrete_NFET[RDSON3])="(NULL)","0","1"))</f>
        <v>0</v>
      </c>
      <c r="D65" s="40" t="str">
        <f>IF(OR($A65=0,$A65=""),"0",IF(LOOKUP($A65,Discrete_NFET[PARTNUMBER],Discrete_NFET[RDSON45])="(NULL)","0","1"))</f>
        <v>1</v>
      </c>
      <c r="E65" s="45" t="str">
        <f>IF(OR($A65=0,$A65=""),"0",IF(LOOKUP($A65,Discrete_NFET[PARTNUMBER],Discrete_NFET[RDSON6])="(NULL)","0","1"))</f>
        <v>0</v>
      </c>
      <c r="F65" s="34" t="str">
        <f>IF(OR($A65=0,$A65=""),"0",IF(LOOKUP($A65,Discrete_NFET[PARTNUMBER],Discrete_NFET[RDSON8])="(NULL)","0","1"))</f>
        <v>0</v>
      </c>
      <c r="G65" s="43" t="str">
        <f>IF(OR($A65=0,$A65=""),"0",IF(LOOKUP($A65,Discrete_NFET[PARTNUMBER],Discrete_NFET[RDSON10])="(NULL)","0","1"))</f>
        <v>1</v>
      </c>
      <c r="H65" s="36" t="b">
        <f t="shared" si="19"/>
        <v>0</v>
      </c>
      <c r="I65" s="39" t="b">
        <f t="shared" si="20"/>
        <v>0</v>
      </c>
      <c r="J65" s="41" t="b">
        <f t="shared" si="21"/>
        <v>1</v>
      </c>
      <c r="K65" s="46" t="b">
        <f t="shared" si="22"/>
        <v>0</v>
      </c>
      <c r="L65" s="42" t="b">
        <f t="shared" si="23"/>
        <v>0</v>
      </c>
      <c r="M65" s="44" t="b">
        <f t="shared" si="24"/>
        <v>1</v>
      </c>
      <c r="N65" s="47" t="b">
        <f t="shared" si="25"/>
        <v>1</v>
      </c>
      <c r="O65" s="36" t="b">
        <f t="shared" si="26"/>
        <v>0</v>
      </c>
      <c r="P65" s="39" t="b">
        <f t="shared" si="27"/>
        <v>0</v>
      </c>
      <c r="Q65" s="41" t="b">
        <f t="shared" si="28"/>
        <v>1</v>
      </c>
      <c r="R65" s="46" t="b">
        <f t="shared" si="29"/>
        <v>0</v>
      </c>
      <c r="S65" s="42" t="b">
        <f t="shared" si="30"/>
        <v>0</v>
      </c>
      <c r="T65" s="44" t="b">
        <f t="shared" si="31"/>
        <v>1</v>
      </c>
      <c r="U65" s="148">
        <f>IF(T65,LOOKUP(A65,Discrete_NFET[PARTNUMBER],Discrete_NFET[RDSON10])*1000,IF(S65,LOOKUP(A65,Discrete_NFET[PARTNUMBER],Discrete_NFET[RDSON8])*1000,IF(R65,LOOKUP(A65,Discrete_NFET[PARTNUMBER],Discrete_NFET[RDSON6])*1000,IF(Q65,LOOKUP(A65,Discrete_NFET[PARTNUMBER],Discrete_NFET[RDSON45])*1000,IF(P65,LOOKUP(A65,Discrete_NFET[PARTNUMBER],Discrete_NFET[RDSON3])*1000,IF(O65,LOOKUP(A65,Discrete_NFET[PARTNUMBER],Discrete_NFET[RDSON25])*1000,""))))))</f>
        <v>4.2</v>
      </c>
      <c r="V65" s="48">
        <f>IF(AND(A65&lt;&gt;0,A65&lt;&gt;""),U65*(1+(Tj-25)*(LOOKUP(A65,Discrete_NFET[PARTNUMBER],Discrete_NFET[RDSDELTA])/((LOOKUP(A65,Discrete_NFET[PARTNUMBER],Discrete_NFET[TJMAX])-25)))),"")</f>
        <v>4.8790000000000004</v>
      </c>
      <c r="W65" s="35">
        <f>IF(AND($A65&lt;&gt;0,$A65&lt;&gt;""),LOOKUP($A65,Discrete_NFET[PARTNUMBER],Discrete_NFET[QGS]),"")</f>
        <v>10</v>
      </c>
      <c r="X65" s="35">
        <f>IF(AND($A65&lt;&gt;0,$A65&lt;&gt;""),LOOKUP($A65,Discrete_NFET[PARTNUMBER],Discrete_NFET[QGD]),"")</f>
        <v>6.9</v>
      </c>
      <c r="Y65" s="35">
        <f>IF(AND($A65&lt;&gt;0,$A65&lt;&gt;""),LOOKUP($A65,Discrete_NFET[PARTNUMBER],Discrete_NFET[QGTH]),"")</f>
        <v>7.3</v>
      </c>
      <c r="Z65" s="35">
        <f t="shared" si="32"/>
        <v>9.5999999999999979</v>
      </c>
      <c r="AA65" s="35">
        <f>IF(AND($A65&lt;&gt;0,$A65&lt;&gt;""),LOOKUP($A65,Discrete_NFET[PARTNUMBER],Discrete_NFET[QOSSTYP]),"")</f>
        <v>52</v>
      </c>
      <c r="AB65" s="35">
        <f>IF(AND($A65&lt;&gt;0,$A65&lt;&gt;""),LOOKUP($A65,Discrete_NFET[PARTNUMBER],Discrete_NFET[QRR]),"")</f>
        <v>127</v>
      </c>
      <c r="AC65" s="35">
        <f>IF(AND(A65&lt;&gt;0,A65&lt;&gt;""),LOOKUP(A65,Discrete_NFET[PARTNUMBER],Discrete_NFET[VF_TYP]),"")</f>
        <v>0.8</v>
      </c>
      <c r="AD65" s="127">
        <f>IF(AND($A65&lt;&gt;0,$A65&lt;&gt;"",OR(RIGHT(Logic!B65,2)="C)",LEFT(Logic!B65,4)="CSD1")),(1+(1-DUTY))*IM_RMS_120^2*V65*m/3/Num_FETS,"")</f>
        <v>0.20530956640504769</v>
      </c>
      <c r="AE65" s="127">
        <f>IF(AND($A65&lt;&gt;0,$A65&lt;&gt;"",OR(RIGHT(Logic!B65,2)="C)",LEFT(Logic!B65,4)="CSD1")),Num_FETS*0.5*IM_RMS_120*VDC_AVG*Z65*n*MOT_ELEC_FREQ/GDR_SRC,"")</f>
        <v>3.0959752321981418E-5</v>
      </c>
      <c r="AF65" s="127">
        <f>IF(AND($A65&lt;&gt;0,$A65&lt;&gt;"",OR(RIGHT(Logic!B65,2)="C)",LEFT(Logic!B65,4)="CSD1")),Num_FETS*0.5*IM_RMS_120*VDC_AVG*Z65*n*MOT_ELEC_FREQ/GDR_SINK,"")</f>
        <v>2.1052631578947366E-5</v>
      </c>
      <c r="AG65" s="127">
        <f>IF(AND($A65&lt;&gt;0,$A65&lt;&gt;"",OR(RIGHT(Logic!B65,2)="T)",LEFT(Logic!B65,4)="CSD1")),DUTY*IM_RMS_120^2*V65*m/3/Num_FETS,"")</f>
        <v>0.18575627436647171</v>
      </c>
      <c r="AH65" s="127">
        <f>IF(AND($A65&lt;&gt;0,$A65&lt;&gt;"",OR(RIGHT(Logic!B65,2)="T)",LEFT(Logic!B65,4)="CSD1")),Num_FETS*0.5*IM_RMS_120*VDC_AVG*Z65*n*FSW*k/GDR_SRC/3,"")</f>
        <v>6.1919504643962826E-3</v>
      </c>
      <c r="AI65" s="127">
        <f>IF(AND($A65&lt;&gt;0,$A65&lt;&gt;"",OR(RIGHT(Logic!B65,2)="T)",LEFT(Logic!B65,4)="CSD1")),Num_FETS*0.5*IM_RMS_120*VDC_AVG*Z65*n*FSW*k/GDR_SINK/3,"")</f>
        <v>4.2105263157894727E-3</v>
      </c>
      <c r="AJ65" s="127">
        <f t="shared" si="35"/>
        <v>6.2400000000000008E-3</v>
      </c>
      <c r="AK65" s="127">
        <f t="shared" si="36"/>
        <v>1.2414567897146714E-2</v>
      </c>
      <c r="AL65" s="127">
        <f t="shared" si="37"/>
        <v>3.05308E-2</v>
      </c>
      <c r="AM65" s="127">
        <f t="shared" si="33"/>
        <v>0.37243703691440144</v>
      </c>
      <c r="AN65" s="127">
        <f>IF(AND($A65&lt;&gt;0,$A65&lt;&gt;"",OR(RIGHT(Logic!B65,2)="C)",LEFT(Logic!B65,4)="CSD1")),SUM(AD65:AF65)+(AJ65/3)+AK65+AL65/6+AM65/6,AN66)</f>
        <v>0.28701745283849556</v>
      </c>
      <c r="AO65" s="127">
        <f>IF(AND($A65&lt;&gt;0,$A65&lt;&gt;"",OR(RIGHT(Logic!B65,2)="T)",LEFT(Logic!B65,4)="CSD1")),SUM(AG65:AI65)+(AJ65/3)+AL65/6+AM65/6,AO64)</f>
        <v>0.26540005729905769</v>
      </c>
      <c r="AP65" s="48">
        <f t="shared" si="34"/>
        <v>0.55000000000000004</v>
      </c>
      <c r="AQ65" s="35" t="str">
        <f>IF(AND(A65&lt;&gt;0,A65&lt;&gt;""),LOOKUP(A65,Discrete_NFET[PARTNUMBER],Discrete_NFET[TI_EQ_PACKAGE]),"")</f>
        <v>TO-220</v>
      </c>
      <c r="AR65" s="49">
        <f>IF(AND(A65&lt;&gt;0,A65&lt;&gt;""),LOOKUP(A65,Discrete_NFET[PARTNUMBER],Discrete_NFET[1KPRICE]),"")</f>
        <v>0.78</v>
      </c>
      <c r="AS65" s="35" t="str">
        <f>IF(AND($A65&lt;&gt;0,$A65&lt;&gt;""),CONCATENATE(TEXT(AP65,"0.00"),"W, ",IF('User Input'!F$11="Single Discrete",A65,IF('User Input'!F$11="Dual/Power Block",LEFT(A65,FIND(")",A65)-7),A65)),", ",AQ65,", ",TEXT(AR65,"$0.00")),"Invalid Part")</f>
        <v>0.55W, CSD18532KCS, TO-220, $0.78</v>
      </c>
      <c r="AT65" t="s">
        <v>773</v>
      </c>
      <c r="AW65"/>
    </row>
    <row r="66" spans="1:49" ht="15" customHeight="1" x14ac:dyDescent="0.25">
      <c r="A66" s="35" t="str">
        <f>IF(OR(AND(FET_config="Dual/Power Block",LEFT(Logic!B66,4)="CSD8"),AND(FET_config="Single Discrete",LEFT(Logic!B66,4)="CSD1")),Logic!B66,"")</f>
        <v>CSD18532NQ5B</v>
      </c>
      <c r="B66" s="37" t="str">
        <f>IF(OR($A66=0,$A66=""),"0",IF(LOOKUP($A66,Discrete_NFET[PARTNUMBER],Discrete_NFET[RDSON25])="(NULL)","0","1"))</f>
        <v>0</v>
      </c>
      <c r="C66" s="38" t="str">
        <f>IF(OR($A66=0,$A66=""),"0",IF(LOOKUP($A66,Discrete_NFET[PARTNUMBER],Discrete_NFET[RDSON3])="(NULL)","0","1"))</f>
        <v>0</v>
      </c>
      <c r="D66" s="40" t="str">
        <f>IF(OR($A66=0,$A66=""),"0",IF(LOOKUP($A66,Discrete_NFET[PARTNUMBER],Discrete_NFET[RDSON45])="(NULL)","0","1"))</f>
        <v>0</v>
      </c>
      <c r="E66" s="45" t="str">
        <f>IF(OR($A66=0,$A66=""),"0",IF(LOOKUP($A66,Discrete_NFET[PARTNUMBER],Discrete_NFET[RDSON6])="(NULL)","0","1"))</f>
        <v>1</v>
      </c>
      <c r="F66" s="34" t="str">
        <f>IF(OR($A66=0,$A66=""),"0",IF(LOOKUP($A66,Discrete_NFET[PARTNUMBER],Discrete_NFET[RDSON8])="(NULL)","0","1"))</f>
        <v>0</v>
      </c>
      <c r="G66" s="43" t="str">
        <f>IF(OR($A66=0,$A66=""),"0",IF(LOOKUP($A66,Discrete_NFET[PARTNUMBER],Discrete_NFET[RDSON10])="(NULL)","0","1"))</f>
        <v>1</v>
      </c>
      <c r="H66" s="36" t="b">
        <f t="shared" si="19"/>
        <v>0</v>
      </c>
      <c r="I66" s="39" t="b">
        <f t="shared" si="20"/>
        <v>0</v>
      </c>
      <c r="J66" s="41" t="b">
        <f t="shared" si="21"/>
        <v>0</v>
      </c>
      <c r="K66" s="46" t="b">
        <f t="shared" si="22"/>
        <v>1</v>
      </c>
      <c r="L66" s="42" t="b">
        <f t="shared" si="23"/>
        <v>0</v>
      </c>
      <c r="M66" s="44" t="b">
        <f t="shared" si="24"/>
        <v>1</v>
      </c>
      <c r="N66" s="47" t="b">
        <f t="shared" si="25"/>
        <v>1</v>
      </c>
      <c r="O66" s="36" t="b">
        <f t="shared" si="26"/>
        <v>0</v>
      </c>
      <c r="P66" s="39" t="b">
        <f t="shared" si="27"/>
        <v>0</v>
      </c>
      <c r="Q66" s="41" t="b">
        <f t="shared" si="28"/>
        <v>0</v>
      </c>
      <c r="R66" s="46" t="b">
        <f t="shared" si="29"/>
        <v>1</v>
      </c>
      <c r="S66" s="42" t="b">
        <f t="shared" si="30"/>
        <v>0</v>
      </c>
      <c r="T66" s="44" t="b">
        <f t="shared" si="31"/>
        <v>1</v>
      </c>
      <c r="U66" s="148">
        <f>IF(T66,LOOKUP(A66,Discrete_NFET[PARTNUMBER],Discrete_NFET[RDSON10])*1000,IF(S66,LOOKUP(A66,Discrete_NFET[PARTNUMBER],Discrete_NFET[RDSON8])*1000,IF(R66,LOOKUP(A66,Discrete_NFET[PARTNUMBER],Discrete_NFET[RDSON6])*1000,IF(Q66,LOOKUP(A66,Discrete_NFET[PARTNUMBER],Discrete_NFET[RDSON45])*1000,IF(P66,LOOKUP(A66,Discrete_NFET[PARTNUMBER],Discrete_NFET[RDSON3])*1000,IF(O66,LOOKUP(A66,Discrete_NFET[PARTNUMBER],Discrete_NFET[RDSON25])*1000,""))))))</f>
        <v>3.4</v>
      </c>
      <c r="V66" s="48">
        <f>IF(AND(A66&lt;&gt;0,A66&lt;&gt;""),U66*(1+(Tj-25)*(LOOKUP(A66,Discrete_NFET[PARTNUMBER],Discrete_NFET[RDSDELTA])/((LOOKUP(A66,Discrete_NFET[PARTNUMBER],Discrete_NFET[TJMAX])-25)))),"")</f>
        <v>3.9779999999999998</v>
      </c>
      <c r="W66" s="35">
        <f>IF(AND($A66&lt;&gt;0,$A66&lt;&gt;""),LOOKUP($A66,Discrete_NFET[PARTNUMBER],Discrete_NFET[QGS]),"")</f>
        <v>16</v>
      </c>
      <c r="X66" s="35">
        <f>IF(AND($A66&lt;&gt;0,$A66&lt;&gt;""),LOOKUP($A66,Discrete_NFET[PARTNUMBER],Discrete_NFET[QGD]),"")</f>
        <v>7.9</v>
      </c>
      <c r="Y66" s="35">
        <f>IF(AND($A66&lt;&gt;0,$A66&lt;&gt;""),LOOKUP($A66,Discrete_NFET[PARTNUMBER],Discrete_NFET[QGTH]),"")</f>
        <v>11</v>
      </c>
      <c r="Z66" s="35">
        <f t="shared" si="32"/>
        <v>12.899999999999999</v>
      </c>
      <c r="AA66" s="35">
        <f>IF(AND($A66&lt;&gt;0,$A66&lt;&gt;""),LOOKUP($A66,Discrete_NFET[PARTNUMBER],Discrete_NFET[QOSSTYP]),"")</f>
        <v>69</v>
      </c>
      <c r="AB66" s="35">
        <f>IF(AND($A66&lt;&gt;0,$A66&lt;&gt;""),LOOKUP($A66,Discrete_NFET[PARTNUMBER],Discrete_NFET[QRR]),"")</f>
        <v>139</v>
      </c>
      <c r="AC66" s="35">
        <f>IF(AND(A66&lt;&gt;0,A66&lt;&gt;""),LOOKUP(A66,Discrete_NFET[PARTNUMBER],Discrete_NFET[VF_TYP]),"")</f>
        <v>0.8</v>
      </c>
      <c r="AD66" s="127">
        <f>IF(AND($A66&lt;&gt;0,$A66&lt;&gt;"",OR(RIGHT(Logic!B66,2)="C)",LEFT(Logic!B66,4)="CSD1")),(1+(1-DUTY))*IM_RMS_120^2*V66*m/3/Num_FETS,"")</f>
        <v>0.16739525623268695</v>
      </c>
      <c r="AE66" s="127">
        <f>IF(AND($A66&lt;&gt;0,$A66&lt;&gt;"",OR(RIGHT(Logic!B66,2)="C)",LEFT(Logic!B66,4)="CSD1")),Num_FETS*0.5*IM_RMS_120*VDC_AVG*Z66*n*MOT_ELEC_FREQ/GDR_SRC,"")</f>
        <v>4.1602167182662536E-5</v>
      </c>
      <c r="AF66" s="127">
        <f>IF(AND($A66&lt;&gt;0,$A66&lt;&gt;"",OR(RIGHT(Logic!B66,2)="C)",LEFT(Logic!B66,4)="CSD1")),Num_FETS*0.5*IM_RMS_120*VDC_AVG*Z66*n*MOT_ELEC_FREQ/GDR_SINK,"")</f>
        <v>2.8289473684210525E-5</v>
      </c>
      <c r="AG66" s="127">
        <f>IF(AND($A66&lt;&gt;0,$A66&lt;&gt;"",OR(RIGHT(Logic!B66,2)="T)",LEFT(Logic!B66,4)="CSD1")),DUTY*IM_RMS_120^2*V66*m/3/Num_FETS,"")</f>
        <v>0.15145285087719293</v>
      </c>
      <c r="AH66" s="127">
        <f>IF(AND($A66&lt;&gt;0,$A66&lt;&gt;"",OR(RIGHT(Logic!B66,2)="T)",LEFT(Logic!B66,4)="CSD1")),Num_FETS*0.5*IM_RMS_120*VDC_AVG*Z66*n*FSW*k/GDR_SRC/3,"")</f>
        <v>8.3204334365325067E-3</v>
      </c>
      <c r="AI66" s="127">
        <f>IF(AND($A66&lt;&gt;0,$A66&lt;&gt;"",OR(RIGHT(Logic!B66,2)="T)",LEFT(Logic!B66,4)="CSD1")),Num_FETS*0.5*IM_RMS_120*VDC_AVG*Z66*n*FSW*k/GDR_SINK/3,"")</f>
        <v>5.6578947368421048E-3</v>
      </c>
      <c r="AJ66" s="127">
        <f t="shared" ref="AJ66:AJ97" si="38">IF(AND($A66&lt;&gt;0,$A66&lt;&gt;""),Num_FETS*((AA66*VDC_AVG)*((FSW*k)))*n/2,"")</f>
        <v>8.2800000000000009E-3</v>
      </c>
      <c r="AK66" s="127">
        <f t="shared" ref="AK66:AK97" si="39">IF(AND($A66&lt;&gt;0,$A66&lt;&gt;""),2*T_DEAD*n*AC66*IM_PEAK*(FSW*k)/3,"")</f>
        <v>1.2414567897146714E-2</v>
      </c>
      <c r="AL66" s="127">
        <f t="shared" ref="AL66:AL97" si="40">IF(AND($A66&lt;&gt;0,$A66&lt;&gt;""),Num_FETS*((AB66*VDC_AVG)*((MOT_ELEC_FREQ+FSW*k)))*n,"")</f>
        <v>3.3415599999999997E-2</v>
      </c>
      <c r="AM66" s="127">
        <f t="shared" si="33"/>
        <v>0.37243703691440144</v>
      </c>
      <c r="AN66" s="127">
        <f>IF(AND($A66&lt;&gt;0,$A66&lt;&gt;"",OR(RIGHT(Logic!B66,2)="C)",LEFT(Logic!B66,4)="CSD1")),SUM(AD66:AF66)+(AJ66/3)+AK66+AL66/6+AM66/6,AN67)</f>
        <v>0.25028182192310078</v>
      </c>
      <c r="AO66" s="127">
        <f>IF(AND($A66&lt;&gt;0,$A66&lt;&gt;"",OR(RIGHT(Logic!B66,2)="T)",LEFT(Logic!B66,4)="CSD1")),SUM(AG66:AI66)+(AJ66/3)+AL66/6+AM66/6,AO65)</f>
        <v>0.23583328520296781</v>
      </c>
      <c r="AP66" s="48">
        <f t="shared" si="34"/>
        <v>0.49</v>
      </c>
      <c r="AQ66" s="35" t="str">
        <f>IF(AND(A66&lt;&gt;0,A66&lt;&gt;""),LOOKUP(A66,Discrete_NFET[PARTNUMBER],Discrete_NFET[TI_EQ_PACKAGE]),"")</f>
        <v>SON5X6</v>
      </c>
      <c r="AR66" s="49">
        <f>IF(AND(A66&lt;&gt;0,A66&lt;&gt;""),LOOKUP(A66,Discrete_NFET[PARTNUMBER],Discrete_NFET[1KPRICE]),"")</f>
        <v>0.81</v>
      </c>
      <c r="AS66" s="35" t="str">
        <f>IF(AND($A66&lt;&gt;0,$A66&lt;&gt;""),CONCATENATE(TEXT(AP66,"0.00"),"W, ",IF('User Input'!F$11="Single Discrete",A66,IF('User Input'!F$11="Dual/Power Block",LEFT(A66,FIND(")",A66)-7),A66)),", ",AQ66,", ",TEXT(AR66,"$0.00")),"Invalid Part")</f>
        <v>0.49W, CSD18532NQ5B, SON5X6, $0.81</v>
      </c>
      <c r="AT66" t="s">
        <v>772</v>
      </c>
      <c r="AW66"/>
    </row>
    <row r="67" spans="1:49" ht="15" customHeight="1" x14ac:dyDescent="0.25">
      <c r="A67" s="35" t="str">
        <f>IF(OR(AND(FET_config="Dual/Power Block",LEFT(Logic!B67,4)="CSD8"),AND(FET_config="Single Discrete",LEFT(Logic!B67,4)="CSD1")),Logic!B67,"")</f>
        <v>CSD18532Q5B</v>
      </c>
      <c r="B67" s="37" t="str">
        <f>IF(OR($A67=0,$A67=""),"0",IF(LOOKUP($A67,Discrete_NFET[PARTNUMBER],Discrete_NFET[RDSON25])="(NULL)","0","1"))</f>
        <v>0</v>
      </c>
      <c r="C67" s="38" t="str">
        <f>IF(OR($A67=0,$A67=""),"0",IF(LOOKUP($A67,Discrete_NFET[PARTNUMBER],Discrete_NFET[RDSON3])="(NULL)","0","1"))</f>
        <v>0</v>
      </c>
      <c r="D67" s="40" t="str">
        <f>IF(OR($A67=0,$A67=""),"0",IF(LOOKUP($A67,Discrete_NFET[PARTNUMBER],Discrete_NFET[RDSON45])="(NULL)","0","1"))</f>
        <v>1</v>
      </c>
      <c r="E67" s="45" t="str">
        <f>IF(OR($A67=0,$A67=""),"0",IF(LOOKUP($A67,Discrete_NFET[PARTNUMBER],Discrete_NFET[RDSON6])="(NULL)","0","1"))</f>
        <v>0</v>
      </c>
      <c r="F67" s="34" t="str">
        <f>IF(OR($A67=0,$A67=""),"0",IF(LOOKUP($A67,Discrete_NFET[PARTNUMBER],Discrete_NFET[RDSON8])="(NULL)","0","1"))</f>
        <v>0</v>
      </c>
      <c r="G67" s="43" t="str">
        <f>IF(OR($A67=0,$A67=""),"0",IF(LOOKUP($A67,Discrete_NFET[PARTNUMBER],Discrete_NFET[RDSON10])="(NULL)","0","1"))</f>
        <v>1</v>
      </c>
      <c r="H67" s="36" t="b">
        <f t="shared" si="19"/>
        <v>0</v>
      </c>
      <c r="I67" s="39" t="b">
        <f t="shared" si="20"/>
        <v>0</v>
      </c>
      <c r="J67" s="41" t="b">
        <f t="shared" si="21"/>
        <v>1</v>
      </c>
      <c r="K67" s="46" t="b">
        <f t="shared" si="22"/>
        <v>0</v>
      </c>
      <c r="L67" s="42" t="b">
        <f t="shared" si="23"/>
        <v>0</v>
      </c>
      <c r="M67" s="44" t="b">
        <f t="shared" si="24"/>
        <v>1</v>
      </c>
      <c r="N67" s="47" t="b">
        <f t="shared" si="25"/>
        <v>1</v>
      </c>
      <c r="O67" s="36" t="b">
        <f t="shared" si="26"/>
        <v>0</v>
      </c>
      <c r="P67" s="39" t="b">
        <f t="shared" si="27"/>
        <v>0</v>
      </c>
      <c r="Q67" s="41" t="b">
        <f t="shared" si="28"/>
        <v>1</v>
      </c>
      <c r="R67" s="46" t="b">
        <f t="shared" si="29"/>
        <v>0</v>
      </c>
      <c r="S67" s="42" t="b">
        <f t="shared" si="30"/>
        <v>0</v>
      </c>
      <c r="T67" s="44" t="b">
        <f t="shared" si="31"/>
        <v>1</v>
      </c>
      <c r="U67" s="148">
        <f>IF(T67,LOOKUP(A67,Discrete_NFET[PARTNUMBER],Discrete_NFET[RDSON10])*1000,IF(S67,LOOKUP(A67,Discrete_NFET[PARTNUMBER],Discrete_NFET[RDSON8])*1000,IF(R67,LOOKUP(A67,Discrete_NFET[PARTNUMBER],Discrete_NFET[RDSON6])*1000,IF(Q67,LOOKUP(A67,Discrete_NFET[PARTNUMBER],Discrete_NFET[RDSON45])*1000,IF(P67,LOOKUP(A67,Discrete_NFET[PARTNUMBER],Discrete_NFET[RDSON3])*1000,IF(O67,LOOKUP(A67,Discrete_NFET[PARTNUMBER],Discrete_NFET[RDSON25])*1000,""))))))</f>
        <v>3.2</v>
      </c>
      <c r="V67" s="48">
        <f>IF(AND(A67&lt;&gt;0,A67&lt;&gt;""),U67*(1+(Tj-25)*(LOOKUP(A67,Discrete_NFET[PARTNUMBER],Discrete_NFET[RDSDELTA])/((LOOKUP(A67,Discrete_NFET[PARTNUMBER],Discrete_NFET[TJMAX])-25)))),"")</f>
        <v>3.8656000000000001</v>
      </c>
      <c r="W67" s="35">
        <f>IF(AND($A67&lt;&gt;0,$A67&lt;&gt;""),LOOKUP($A67,Discrete_NFET[PARTNUMBER],Discrete_NFET[QGS]),"")</f>
        <v>10</v>
      </c>
      <c r="X67" s="35">
        <f>IF(AND($A67&lt;&gt;0,$A67&lt;&gt;""),LOOKUP($A67,Discrete_NFET[PARTNUMBER],Discrete_NFET[QGD]),"")</f>
        <v>6.9</v>
      </c>
      <c r="Y67" s="35">
        <f>IF(AND($A67&lt;&gt;0,$A67&lt;&gt;""),LOOKUP($A67,Discrete_NFET[PARTNUMBER],Discrete_NFET[QGTH]),"")</f>
        <v>6.3</v>
      </c>
      <c r="Z67" s="35">
        <f t="shared" si="32"/>
        <v>10.599999999999998</v>
      </c>
      <c r="AA67" s="35">
        <f>IF(AND($A67&lt;&gt;0,$A67&lt;&gt;""),LOOKUP($A67,Discrete_NFET[PARTNUMBER],Discrete_NFET[QOSSTYP]),"")</f>
        <v>52</v>
      </c>
      <c r="AB67" s="35">
        <f>IF(AND($A67&lt;&gt;0,$A67&lt;&gt;""),LOOKUP($A67,Discrete_NFET[PARTNUMBER],Discrete_NFET[QRR]),"")</f>
        <v>111</v>
      </c>
      <c r="AC67" s="35">
        <f>IF(AND(A67&lt;&gt;0,A67&lt;&gt;""),LOOKUP(A67,Discrete_NFET[PARTNUMBER],Discrete_NFET[VF_TYP]),"")</f>
        <v>0.8</v>
      </c>
      <c r="AD67" s="127">
        <f>IF(AND($A67&lt;&gt;0,$A67&lt;&gt;"",OR(RIGHT(Logic!B67,2)="C)",LEFT(Logic!B67,4)="CSD1")),(1+(1-DUTY))*IM_RMS_120^2*V67*m/3/Num_FETS,"")</f>
        <v>0.16266543551862109</v>
      </c>
      <c r="AE67" s="127">
        <f>IF(AND($A67&lt;&gt;0,$A67&lt;&gt;"",OR(RIGHT(Logic!B67,2)="C)",LEFT(Logic!B67,4)="CSD1")),Num_FETS*0.5*IM_RMS_120*VDC_AVG*Z67*n*MOT_ELEC_FREQ/GDR_SRC,"")</f>
        <v>3.4184726522187812E-5</v>
      </c>
      <c r="AF67" s="127">
        <f>IF(AND($A67&lt;&gt;0,$A67&lt;&gt;"",OR(RIGHT(Logic!B67,2)="C)",LEFT(Logic!B67,4)="CSD1")),Num_FETS*0.5*IM_RMS_120*VDC_AVG*Z67*n*MOT_ELEC_FREQ/GDR_SINK,"")</f>
        <v>2.3245614035087715E-5</v>
      </c>
      <c r="AG67" s="127">
        <f>IF(AND($A67&lt;&gt;0,$A67&lt;&gt;"",OR(RIGHT(Logic!B67,2)="T)",LEFT(Logic!B67,4)="CSD1")),DUTY*IM_RMS_120^2*V67*m/3/Num_FETS,"")</f>
        <v>0.14717348927875243</v>
      </c>
      <c r="AH67" s="127">
        <f>IF(AND($A67&lt;&gt;0,$A67&lt;&gt;"",OR(RIGHT(Logic!B67,2)="T)",LEFT(Logic!B67,4)="CSD1")),Num_FETS*0.5*IM_RMS_120*VDC_AVG*Z67*n*FSW*k/GDR_SRC/3,"")</f>
        <v>6.8369453044375616E-3</v>
      </c>
      <c r="AI67" s="127">
        <f>IF(AND($A67&lt;&gt;0,$A67&lt;&gt;"",OR(RIGHT(Logic!B67,2)="T)",LEFT(Logic!B67,4)="CSD1")),Num_FETS*0.5*IM_RMS_120*VDC_AVG*Z67*n*FSW*k/GDR_SINK/3,"")</f>
        <v>4.6491228070175425E-3</v>
      </c>
      <c r="AJ67" s="127">
        <f t="shared" si="38"/>
        <v>6.2400000000000008E-3</v>
      </c>
      <c r="AK67" s="127">
        <f t="shared" si="39"/>
        <v>1.2414567897146714E-2</v>
      </c>
      <c r="AL67" s="127">
        <f t="shared" si="40"/>
        <v>2.66844E-2</v>
      </c>
      <c r="AM67" s="127">
        <f t="shared" si="33"/>
        <v>0.37243703691440144</v>
      </c>
      <c r="AN67" s="127">
        <f>IF(AND($A67&lt;&gt;0,$A67&lt;&gt;"",OR(RIGHT(Logic!B67,2)="C)",LEFT(Logic!B67,4)="CSD1")),SUM(AD67:AF67)+(AJ67/3)+AK67+AL67/6+AM67/6,AN68)</f>
        <v>0.24373767324205864</v>
      </c>
      <c r="AO67" s="127">
        <f>IF(AND($A67&lt;&gt;0,$A67&lt;&gt;"",OR(RIGHT(Logic!B67,2)="T)",LEFT(Logic!B67,4)="CSD1")),SUM(AG67:AI67)+(AJ67/3)+AL67/6+AM67/6,AO66)</f>
        <v>0.22725979687594111</v>
      </c>
      <c r="AP67" s="48">
        <f t="shared" si="34"/>
        <v>0.47</v>
      </c>
      <c r="AQ67" s="35" t="str">
        <f>IF(AND(A67&lt;&gt;0,A67&lt;&gt;""),LOOKUP(A67,Discrete_NFET[PARTNUMBER],Discrete_NFET[TI_EQ_PACKAGE]),"")</f>
        <v>SON5X6</v>
      </c>
      <c r="AR67" s="49">
        <f>IF(AND(A67&lt;&gt;0,A67&lt;&gt;""),LOOKUP(A67,Discrete_NFET[PARTNUMBER],Discrete_NFET[1KPRICE]),"")</f>
        <v>0.81</v>
      </c>
      <c r="AS67" s="35" t="str">
        <f>IF(AND($A67&lt;&gt;0,$A67&lt;&gt;""),CONCATENATE(TEXT(AP67,"0.00"),"W, ",IF('User Input'!F$11="Single Discrete",A67,IF('User Input'!F$11="Dual/Power Block",LEFT(A67,FIND(")",A67)-7),A67)),", ",AQ67,", ",TEXT(AR67,"$0.00")),"Invalid Part")</f>
        <v>0.47W, CSD18532Q5B, SON5X6, $0.81</v>
      </c>
      <c r="AT67" t="s">
        <v>746</v>
      </c>
      <c r="AW67"/>
    </row>
    <row r="68" spans="1:49" ht="15" customHeight="1" x14ac:dyDescent="0.25">
      <c r="A68" s="35" t="str">
        <f>IF(OR(AND(FET_config="Dual/Power Block",LEFT(Logic!B68,4)="CSD8"),AND(FET_config="Single Discrete",LEFT(Logic!B68,4)="CSD1")),Logic!B68,"")</f>
        <v>CSD18533KCS</v>
      </c>
      <c r="B68" s="37" t="str">
        <f>IF(OR($A68=0,$A68=""),"0",IF(LOOKUP($A68,Discrete_NFET[PARTNUMBER],Discrete_NFET[RDSON25])="(NULL)","0","1"))</f>
        <v>0</v>
      </c>
      <c r="C68" s="38" t="str">
        <f>IF(OR($A68=0,$A68=""),"0",IF(LOOKUP($A68,Discrete_NFET[PARTNUMBER],Discrete_NFET[RDSON3])="(NULL)","0","1"))</f>
        <v>0</v>
      </c>
      <c r="D68" s="40" t="str">
        <f>IF(OR($A68=0,$A68=""),"0",IF(LOOKUP($A68,Discrete_NFET[PARTNUMBER],Discrete_NFET[RDSON45])="(NULL)","0","1"))</f>
        <v>1</v>
      </c>
      <c r="E68" s="45" t="str">
        <f>IF(OR($A68=0,$A68=""),"0",IF(LOOKUP($A68,Discrete_NFET[PARTNUMBER],Discrete_NFET[RDSON6])="(NULL)","0","1"))</f>
        <v>0</v>
      </c>
      <c r="F68" s="34" t="str">
        <f>IF(OR($A68=0,$A68=""),"0",IF(LOOKUP($A68,Discrete_NFET[PARTNUMBER],Discrete_NFET[RDSON8])="(NULL)","0","1"))</f>
        <v>0</v>
      </c>
      <c r="G68" s="43" t="str">
        <f>IF(OR($A68=0,$A68=""),"0",IF(LOOKUP($A68,Discrete_NFET[PARTNUMBER],Discrete_NFET[RDSON10])="(NULL)","0","1"))</f>
        <v>1</v>
      </c>
      <c r="H68" s="36" t="b">
        <f t="shared" ref="H68:H131" si="41">AND(AV$2,B68="1")</f>
        <v>0</v>
      </c>
      <c r="I68" s="39" t="b">
        <f t="shared" ref="I68:I131" si="42">AND(AW$2,C68="1")</f>
        <v>0</v>
      </c>
      <c r="J68" s="41" t="b">
        <f t="shared" ref="J68:J131" si="43">AND(AX$2,D68="1")</f>
        <v>1</v>
      </c>
      <c r="K68" s="46" t="b">
        <f t="shared" ref="K68:K131" si="44">AND(AY$2,E68="1")</f>
        <v>0</v>
      </c>
      <c r="L68" s="42" t="b">
        <f t="shared" ref="L68:L131" si="45">AND(AZ$2,F68="1")</f>
        <v>0</v>
      </c>
      <c r="M68" s="44" t="b">
        <f t="shared" ref="M68:M131" si="46">AND(BA$2,G68="1")</f>
        <v>1</v>
      </c>
      <c r="N68" s="47" t="b">
        <f t="shared" ref="N68:N131" si="47">OR(H68:M68)</f>
        <v>1</v>
      </c>
      <c r="O68" s="36" t="b">
        <f t="shared" ref="O68:O131" si="48">IF($N68,H68,IF((B68="1"),OR($AU$2,$AU$9)))</f>
        <v>0</v>
      </c>
      <c r="P68" s="39" t="b">
        <f t="shared" ref="P68:P131" si="49">IF($N68,I68,IF((C68="1"),OR(AU$2,AU$9,AX$2,J68)))</f>
        <v>0</v>
      </c>
      <c r="Q68" s="41" t="b">
        <f t="shared" ref="Q68:Q131" si="50">IF($N68,J68,IF((D68="1"),OR(AW$2,I68,AY$2,K68)))</f>
        <v>1</v>
      </c>
      <c r="R68" s="46" t="b">
        <f t="shared" ref="R68:R131" si="51">IF($N68,K68,IF((E68="1"),OR(AX$2,J68,AZ$2,L68)))</f>
        <v>0</v>
      </c>
      <c r="S68" s="42" t="b">
        <f t="shared" ref="S68:S131" si="52">IF($N68,L68,IF((F68="1"),OR(AY$2,K68,BA$2,M68)))</f>
        <v>0</v>
      </c>
      <c r="T68" s="44" t="b">
        <f t="shared" ref="T68:T131" si="53">IF($N68,M68,IF((G68="1"),OR(AZ$2,L68)))</f>
        <v>1</v>
      </c>
      <c r="U68" s="148">
        <f>IF(T68,LOOKUP(A68,Discrete_NFET[PARTNUMBER],Discrete_NFET[RDSON10])*1000,IF(S68,LOOKUP(A68,Discrete_NFET[PARTNUMBER],Discrete_NFET[RDSON8])*1000,IF(R68,LOOKUP(A68,Discrete_NFET[PARTNUMBER],Discrete_NFET[RDSON6])*1000,IF(Q68,LOOKUP(A68,Discrete_NFET[PARTNUMBER],Discrete_NFET[RDSON45])*1000,IF(P68,LOOKUP(A68,Discrete_NFET[PARTNUMBER],Discrete_NFET[RDSON3])*1000,IF(O68,LOOKUP(A68,Discrete_NFET[PARTNUMBER],Discrete_NFET[RDSON25])*1000,""))))))</f>
        <v>6.3</v>
      </c>
      <c r="V68" s="48">
        <f>IF(AND(A68&lt;&gt;0,A68&lt;&gt;""),U68*(1+(Tj-25)*(LOOKUP(A68,Discrete_NFET[PARTNUMBER],Discrete_NFET[RDSDELTA])/((LOOKUP(A68,Discrete_NFET[PARTNUMBER],Discrete_NFET[TJMAX])-25)))),"")</f>
        <v>7.3079999999999989</v>
      </c>
      <c r="W68" s="35">
        <f>IF(AND($A68&lt;&gt;0,$A68&lt;&gt;""),LOOKUP($A68,Discrete_NFET[PARTNUMBER],Discrete_NFET[QGS]),"")</f>
        <v>9.4</v>
      </c>
      <c r="X68" s="35">
        <f>IF(AND($A68&lt;&gt;0,$A68&lt;&gt;""),LOOKUP($A68,Discrete_NFET[PARTNUMBER],Discrete_NFET[QGD]),"")</f>
        <v>3.9</v>
      </c>
      <c r="Y68" s="35">
        <f>IF(AND($A68&lt;&gt;0,$A68&lt;&gt;""),LOOKUP($A68,Discrete_NFET[PARTNUMBER],Discrete_NFET[QGTH]),"")</f>
        <v>4.5999999999999996</v>
      </c>
      <c r="Z68" s="35">
        <f t="shared" ref="Z68:Z131" si="54">IF(AND(A68&lt;&gt;0,A68&lt;&gt;""),W68+X68-Y68,"")</f>
        <v>8.7000000000000011</v>
      </c>
      <c r="AA68" s="35">
        <f>IF(AND($A68&lt;&gt;0,$A68&lt;&gt;""),LOOKUP($A68,Discrete_NFET[PARTNUMBER],Discrete_NFET[QOSSTYP]),"")</f>
        <v>31</v>
      </c>
      <c r="AB68" s="35">
        <f>IF(AND($A68&lt;&gt;0,$A68&lt;&gt;""),LOOKUP($A68,Discrete_NFET[PARTNUMBER],Discrete_NFET[QRR]),"")</f>
        <v>97</v>
      </c>
      <c r="AC68" s="35">
        <f>IF(AND(A68&lt;&gt;0,A68&lt;&gt;""),LOOKUP(A68,Discrete_NFET[PARTNUMBER],Discrete_NFET[VF_TYP]),"")</f>
        <v>0.8</v>
      </c>
      <c r="AD68" s="127">
        <f>IF(AND($A68&lt;&gt;0,$A68&lt;&gt;"",OR(RIGHT(Logic!B68,2)="C)",LEFT(Logic!B68,4)="CSD1")),(1+(1-DUTY))*IM_RMS_120^2*V68*m/3/Num_FETS,"")</f>
        <v>0.30752250692520766</v>
      </c>
      <c r="AE68" s="127">
        <f>IF(AND($A68&lt;&gt;0,$A68&lt;&gt;"",OR(RIGHT(Logic!B68,2)="C)",LEFT(Logic!B68,4)="CSD1")),Num_FETS*0.5*IM_RMS_120*VDC_AVG*Z68*n*MOT_ELEC_FREQ/GDR_SRC,"")</f>
        <v>2.8057275541795665E-5</v>
      </c>
      <c r="AF68" s="127">
        <f>IF(AND($A68&lt;&gt;0,$A68&lt;&gt;"",OR(RIGHT(Logic!B68,2)="C)",LEFT(Logic!B68,4)="CSD1")),Num_FETS*0.5*IM_RMS_120*VDC_AVG*Z68*n*MOT_ELEC_FREQ/GDR_SINK,"")</f>
        <v>1.9078947368421053E-5</v>
      </c>
      <c r="AG68" s="127">
        <f>IF(AND($A68&lt;&gt;0,$A68&lt;&gt;"",OR(RIGHT(Logic!B68,2)="T)",LEFT(Logic!B68,4)="CSD1")),DUTY*IM_RMS_120^2*V68*m/3/Num_FETS,"")</f>
        <v>0.27823464912280688</v>
      </c>
      <c r="AH68" s="127">
        <f>IF(AND($A68&lt;&gt;0,$A68&lt;&gt;"",OR(RIGHT(Logic!B68,2)="T)",LEFT(Logic!B68,4)="CSD1")),Num_FETS*0.5*IM_RMS_120*VDC_AVG*Z68*n*FSW*k/GDR_SRC/3,"")</f>
        <v>5.6114551083591329E-3</v>
      </c>
      <c r="AI68" s="127">
        <f>IF(AND($A68&lt;&gt;0,$A68&lt;&gt;"",OR(RIGHT(Logic!B68,2)="T)",LEFT(Logic!B68,4)="CSD1")),Num_FETS*0.5*IM_RMS_120*VDC_AVG*Z68*n*FSW*k/GDR_SINK/3,"")</f>
        <v>3.8157894736842103E-3</v>
      </c>
      <c r="AJ68" s="127">
        <f t="shared" si="38"/>
        <v>3.7200000000000002E-3</v>
      </c>
      <c r="AK68" s="127">
        <f t="shared" si="39"/>
        <v>1.2414567897146714E-2</v>
      </c>
      <c r="AL68" s="127">
        <f t="shared" si="40"/>
        <v>2.3318800000000001E-2</v>
      </c>
      <c r="AM68" s="127">
        <f t="shared" ref="AM68:AM131" si="55">IF(AND($A68&lt;&gt;0,$A68&lt;&gt;""),6*0.5*AC68*IM_PEAK*MOT_COM_TIME*m*MOT_ELEC_FREQ,"")</f>
        <v>0.37243703691440144</v>
      </c>
      <c r="AN68" s="127">
        <f>IF(AND($A68&lt;&gt;0,$A68&lt;&gt;"",OR(RIGHT(Logic!B68,2)="C)",LEFT(Logic!B68,4)="CSD1")),SUM(AD68:AF68)+(AJ68/3)+AK68+AL68/6+AM68/6,AN69)</f>
        <v>0.38718351719766481</v>
      </c>
      <c r="AO68" s="127">
        <f>IF(AND($A68&lt;&gt;0,$A68&lt;&gt;"",OR(RIGHT(Logic!B68,2)="T)",LEFT(Logic!B68,4)="CSD1")),SUM(AG68:AI68)+(AJ68/3)+AL68/6+AM68/6,AO67)</f>
        <v>0.35486119985725045</v>
      </c>
      <c r="AP68" s="48">
        <f t="shared" ref="AP68:AP131" si="56">IF(AND($A68&lt;&gt;0,$A68&lt;&gt;""),ROUND(SUM(AN68:AO68),2),"")</f>
        <v>0.74</v>
      </c>
      <c r="AQ68" s="35" t="str">
        <f>IF(AND(A68&lt;&gt;0,A68&lt;&gt;""),LOOKUP(A68,Discrete_NFET[PARTNUMBER],Discrete_NFET[TI_EQ_PACKAGE]),"")</f>
        <v>TO-220</v>
      </c>
      <c r="AR68" s="49">
        <f>IF(AND(A68&lt;&gt;0,A68&lt;&gt;""),LOOKUP(A68,Discrete_NFET[PARTNUMBER],Discrete_NFET[1KPRICE]),"")</f>
        <v>0.55000000000000004</v>
      </c>
      <c r="AS68" s="35" t="str">
        <f>IF(AND($A68&lt;&gt;0,$A68&lt;&gt;""),CONCATENATE(TEXT(AP68,"0.00"),"W, ",IF('User Input'!F$11="Single Discrete",A68,IF('User Input'!F$11="Dual/Power Block",LEFT(A68,FIND(")",A68)-7),A68)),", ",AQ68,", ",TEXT(AR68,"$0.00")),"Invalid Part")</f>
        <v>0.74W, CSD18533KCS, TO-220, $0.55</v>
      </c>
      <c r="AT68" t="s">
        <v>745</v>
      </c>
      <c r="AW68"/>
    </row>
    <row r="69" spans="1:49" ht="15" customHeight="1" x14ac:dyDescent="0.25">
      <c r="A69" s="35" t="str">
        <f>IF(OR(AND(FET_config="Dual/Power Block",LEFT(Logic!B69,4)="CSD8"),AND(FET_config="Single Discrete",LEFT(Logic!B69,4)="CSD1")),Logic!B69,"")</f>
        <v>CSD18533Q5A</v>
      </c>
      <c r="B69" s="37" t="str">
        <f>IF(OR($A69=0,$A69=""),"0",IF(LOOKUP($A69,Discrete_NFET[PARTNUMBER],Discrete_NFET[RDSON25])="(NULL)","0","1"))</f>
        <v>0</v>
      </c>
      <c r="C69" s="38" t="str">
        <f>IF(OR($A69=0,$A69=""),"0",IF(LOOKUP($A69,Discrete_NFET[PARTNUMBER],Discrete_NFET[RDSON3])="(NULL)","0","1"))</f>
        <v>0</v>
      </c>
      <c r="D69" s="40" t="str">
        <f>IF(OR($A69=0,$A69=""),"0",IF(LOOKUP($A69,Discrete_NFET[PARTNUMBER],Discrete_NFET[RDSON45])="(NULL)","0","1"))</f>
        <v>1</v>
      </c>
      <c r="E69" s="45" t="str">
        <f>IF(OR($A69=0,$A69=""),"0",IF(LOOKUP($A69,Discrete_NFET[PARTNUMBER],Discrete_NFET[RDSON6])="(NULL)","0","1"))</f>
        <v>0</v>
      </c>
      <c r="F69" s="34" t="str">
        <f>IF(OR($A69=0,$A69=""),"0",IF(LOOKUP($A69,Discrete_NFET[PARTNUMBER],Discrete_NFET[RDSON8])="(NULL)","0","1"))</f>
        <v>0</v>
      </c>
      <c r="G69" s="43" t="str">
        <f>IF(OR($A69=0,$A69=""),"0",IF(LOOKUP($A69,Discrete_NFET[PARTNUMBER],Discrete_NFET[RDSON10])="(NULL)","0","1"))</f>
        <v>1</v>
      </c>
      <c r="H69" s="36" t="b">
        <f t="shared" si="41"/>
        <v>0</v>
      </c>
      <c r="I69" s="39" t="b">
        <f t="shared" si="42"/>
        <v>0</v>
      </c>
      <c r="J69" s="41" t="b">
        <f t="shared" si="43"/>
        <v>1</v>
      </c>
      <c r="K69" s="46" t="b">
        <f t="shared" si="44"/>
        <v>0</v>
      </c>
      <c r="L69" s="42" t="b">
        <f t="shared" si="45"/>
        <v>0</v>
      </c>
      <c r="M69" s="44" t="b">
        <f t="shared" si="46"/>
        <v>1</v>
      </c>
      <c r="N69" s="47" t="b">
        <f t="shared" si="47"/>
        <v>1</v>
      </c>
      <c r="O69" s="36" t="b">
        <f t="shared" si="48"/>
        <v>0</v>
      </c>
      <c r="P69" s="39" t="b">
        <f t="shared" si="49"/>
        <v>0</v>
      </c>
      <c r="Q69" s="41" t="b">
        <f t="shared" si="50"/>
        <v>1</v>
      </c>
      <c r="R69" s="46" t="b">
        <f t="shared" si="51"/>
        <v>0</v>
      </c>
      <c r="S69" s="42" t="b">
        <f t="shared" si="52"/>
        <v>0</v>
      </c>
      <c r="T69" s="44" t="b">
        <f t="shared" si="53"/>
        <v>1</v>
      </c>
      <c r="U69" s="148">
        <f>IF(T69,LOOKUP(A69,Discrete_NFET[PARTNUMBER],Discrete_NFET[RDSON10])*1000,IF(S69,LOOKUP(A69,Discrete_NFET[PARTNUMBER],Discrete_NFET[RDSON8])*1000,IF(R69,LOOKUP(A69,Discrete_NFET[PARTNUMBER],Discrete_NFET[RDSON6])*1000,IF(Q69,LOOKUP(A69,Discrete_NFET[PARTNUMBER],Discrete_NFET[RDSON45])*1000,IF(P69,LOOKUP(A69,Discrete_NFET[PARTNUMBER],Discrete_NFET[RDSON3])*1000,IF(O69,LOOKUP(A69,Discrete_NFET[PARTNUMBER],Discrete_NFET[RDSON25])*1000,""))))))</f>
        <v>5.8999999999999995</v>
      </c>
      <c r="V69" s="48">
        <f>IF(AND(A69&lt;&gt;0,A69&lt;&gt;""),U69*(1+(Tj-25)*(LOOKUP(A69,Discrete_NFET[PARTNUMBER],Discrete_NFET[RDSDELTA])/((LOOKUP(A69,Discrete_NFET[PARTNUMBER],Discrete_NFET[TJMAX])-25)))),"")</f>
        <v>7.0799999999999992</v>
      </c>
      <c r="W69" s="35">
        <f>IF(AND($A69&lt;&gt;0,$A69&lt;&gt;""),LOOKUP($A69,Discrete_NFET[PARTNUMBER],Discrete_NFET[QGS]),"")</f>
        <v>6.6</v>
      </c>
      <c r="X69" s="35">
        <f>IF(AND($A69&lt;&gt;0,$A69&lt;&gt;""),LOOKUP($A69,Discrete_NFET[PARTNUMBER],Discrete_NFET[QGD]),"")</f>
        <v>5.4</v>
      </c>
      <c r="Y69" s="35">
        <f>IF(AND($A69&lt;&gt;0,$A69&lt;&gt;""),LOOKUP($A69,Discrete_NFET[PARTNUMBER],Discrete_NFET[QGTH]),"")</f>
        <v>4.7</v>
      </c>
      <c r="Z69" s="35">
        <f t="shared" si="54"/>
        <v>7.3</v>
      </c>
      <c r="AA69" s="35">
        <f>IF(AND($A69&lt;&gt;0,$A69&lt;&gt;""),LOOKUP($A69,Discrete_NFET[PARTNUMBER],Discrete_NFET[QOSSTYP]),"")</f>
        <v>31</v>
      </c>
      <c r="AB69" s="35">
        <f>IF(AND($A69&lt;&gt;0,$A69&lt;&gt;""),LOOKUP($A69,Discrete_NFET[PARTNUMBER],Discrete_NFET[QRR]),"")</f>
        <v>68</v>
      </c>
      <c r="AC69" s="35">
        <f>IF(AND(A69&lt;&gt;0,A69&lt;&gt;""),LOOKUP(A69,Discrete_NFET[PARTNUMBER],Discrete_NFET[VF_TYP]),"")</f>
        <v>0.8</v>
      </c>
      <c r="AD69" s="127">
        <f>IF(AND($A69&lt;&gt;0,$A69&lt;&gt;"",OR(RIGHT(Logic!B69,2)="C)",LEFT(Logic!B69,4)="CSD1")),(1+(1-DUTY))*IM_RMS_120^2*V69*m/3/Num_FETS,"")</f>
        <v>0.29792820867959363</v>
      </c>
      <c r="AE69" s="127">
        <f>IF(AND($A69&lt;&gt;0,$A69&lt;&gt;"",OR(RIGHT(Logic!B69,2)="C)",LEFT(Logic!B69,4)="CSD1")),Num_FETS*0.5*IM_RMS_120*VDC_AVG*Z69*n*MOT_ELEC_FREQ/GDR_SRC,"")</f>
        <v>2.3542311661506708E-5</v>
      </c>
      <c r="AF69" s="127">
        <f>IF(AND($A69&lt;&gt;0,$A69&lt;&gt;"",OR(RIGHT(Logic!B69,2)="C)",LEFT(Logic!B69,4)="CSD1")),Num_FETS*0.5*IM_RMS_120*VDC_AVG*Z69*n*MOT_ELEC_FREQ/GDR_SINK,"")</f>
        <v>1.6008771929824562E-5</v>
      </c>
      <c r="AG69" s="127">
        <f>IF(AND($A69&lt;&gt;0,$A69&lt;&gt;"",OR(RIGHT(Logic!B69,2)="T)",LEFT(Logic!B69,4)="CSD1")),DUTY*IM_RMS_120^2*V69*m/3/Num_FETS,"")</f>
        <v>0.26955409356725135</v>
      </c>
      <c r="AH69" s="127">
        <f>IF(AND($A69&lt;&gt;0,$A69&lt;&gt;"",OR(RIGHT(Logic!B69,2)="T)",LEFT(Logic!B69,4)="CSD1")),Num_FETS*0.5*IM_RMS_120*VDC_AVG*Z69*n*FSW*k/GDR_SRC/3,"")</f>
        <v>4.708462332301341E-3</v>
      </c>
      <c r="AI69" s="127">
        <f>IF(AND($A69&lt;&gt;0,$A69&lt;&gt;"",OR(RIGHT(Logic!B69,2)="T)",LEFT(Logic!B69,4)="CSD1")),Num_FETS*0.5*IM_RMS_120*VDC_AVG*Z69*n*FSW*k/GDR_SINK/3,"")</f>
        <v>3.2017543859649122E-3</v>
      </c>
      <c r="AJ69" s="127">
        <f t="shared" si="38"/>
        <v>3.7200000000000002E-3</v>
      </c>
      <c r="AK69" s="127">
        <f t="shared" si="39"/>
        <v>1.2414567897146714E-2</v>
      </c>
      <c r="AL69" s="127">
        <f t="shared" si="40"/>
        <v>1.6347199999999999E-2</v>
      </c>
      <c r="AM69" s="127">
        <f t="shared" si="55"/>
        <v>0.37243703691440144</v>
      </c>
      <c r="AN69" s="127">
        <f>IF(AND($A69&lt;&gt;0,$A69&lt;&gt;"",OR(RIGHT(Logic!B69,2)="C)",LEFT(Logic!B69,4)="CSD1")),SUM(AD69:AF69)+(AJ69/3)+AK69+AL69/6+AM69/6,AN70)</f>
        <v>0.3764197004793986</v>
      </c>
      <c r="AO69" s="127">
        <f>IF(AND($A69&lt;&gt;0,$A69&lt;&gt;"",OR(RIGHT(Logic!B69,2)="T)",LEFT(Logic!B69,4)="CSD1")),SUM(AG69:AI69)+(AJ69/3)+AL69/6+AM69/6,AO68)</f>
        <v>0.34350168310458451</v>
      </c>
      <c r="AP69" s="48">
        <f t="shared" si="56"/>
        <v>0.72</v>
      </c>
      <c r="AQ69" s="35" t="str">
        <f>IF(AND(A69&lt;&gt;0,A69&lt;&gt;""),LOOKUP(A69,Discrete_NFET[PARTNUMBER],Discrete_NFET[TI_EQ_PACKAGE]),"")</f>
        <v>SON5X6</v>
      </c>
      <c r="AR69" s="49">
        <f>IF(AND(A69&lt;&gt;0,A69&lt;&gt;""),LOOKUP(A69,Discrete_NFET[PARTNUMBER],Discrete_NFET[1KPRICE]),"")</f>
        <v>0.44</v>
      </c>
      <c r="AS69" s="35" t="str">
        <f>IF(AND($A69&lt;&gt;0,$A69&lt;&gt;""),CONCATENATE(TEXT(AP69,"0.00"),"W, ",IF('User Input'!F$11="Single Discrete",A69,IF('User Input'!F$11="Dual/Power Block",LEFT(A69,FIND(")",A69)-7),A69)),", ",AQ69,", ",TEXT(AR69,"$0.00")),"Invalid Part")</f>
        <v>0.72W, CSD18533Q5A, SON5X6, $0.44</v>
      </c>
      <c r="AT69" t="s">
        <v>757</v>
      </c>
      <c r="AW69"/>
    </row>
    <row r="70" spans="1:49" ht="15" customHeight="1" x14ac:dyDescent="0.25">
      <c r="A70" s="35" t="str">
        <f>IF(OR(AND(FET_config="Dual/Power Block",LEFT(Logic!B70,4)="CSD8"),AND(FET_config="Single Discrete",LEFT(Logic!B70,4)="CSD1")),Logic!B70,"")</f>
        <v>CSD18534KCS</v>
      </c>
      <c r="B70" s="37" t="str">
        <f>IF(OR($A70=0,$A70=""),"0",IF(LOOKUP($A70,Discrete_NFET[PARTNUMBER],Discrete_NFET[RDSON25])="(NULL)","0","1"))</f>
        <v>0</v>
      </c>
      <c r="C70" s="38" t="str">
        <f>IF(OR($A70=0,$A70=""),"0",IF(LOOKUP($A70,Discrete_NFET[PARTNUMBER],Discrete_NFET[RDSON3])="(NULL)","0","1"))</f>
        <v>0</v>
      </c>
      <c r="D70" s="40" t="str">
        <f>IF(OR($A70=0,$A70=""),"0",IF(LOOKUP($A70,Discrete_NFET[PARTNUMBER],Discrete_NFET[RDSON45])="(NULL)","0","1"))</f>
        <v>1</v>
      </c>
      <c r="E70" s="45" t="str">
        <f>IF(OR($A70=0,$A70=""),"0",IF(LOOKUP($A70,Discrete_NFET[PARTNUMBER],Discrete_NFET[RDSON6])="(NULL)","0","1"))</f>
        <v>0</v>
      </c>
      <c r="F70" s="34" t="str">
        <f>IF(OR($A70=0,$A70=""),"0",IF(LOOKUP($A70,Discrete_NFET[PARTNUMBER],Discrete_NFET[RDSON8])="(NULL)","0","1"))</f>
        <v>0</v>
      </c>
      <c r="G70" s="43" t="str">
        <f>IF(OR($A70=0,$A70=""),"0",IF(LOOKUP($A70,Discrete_NFET[PARTNUMBER],Discrete_NFET[RDSON10])="(NULL)","0","1"))</f>
        <v>1</v>
      </c>
      <c r="H70" s="36" t="b">
        <f t="shared" si="41"/>
        <v>0</v>
      </c>
      <c r="I70" s="39" t="b">
        <f t="shared" si="42"/>
        <v>0</v>
      </c>
      <c r="J70" s="41" t="b">
        <f t="shared" si="43"/>
        <v>1</v>
      </c>
      <c r="K70" s="46" t="b">
        <f t="shared" si="44"/>
        <v>0</v>
      </c>
      <c r="L70" s="42" t="b">
        <f t="shared" si="45"/>
        <v>0</v>
      </c>
      <c r="M70" s="44" t="b">
        <f t="shared" si="46"/>
        <v>1</v>
      </c>
      <c r="N70" s="47" t="b">
        <f t="shared" si="47"/>
        <v>1</v>
      </c>
      <c r="O70" s="36" t="b">
        <f t="shared" si="48"/>
        <v>0</v>
      </c>
      <c r="P70" s="39" t="b">
        <f t="shared" si="49"/>
        <v>0</v>
      </c>
      <c r="Q70" s="41" t="b">
        <f t="shared" si="50"/>
        <v>1</v>
      </c>
      <c r="R70" s="46" t="b">
        <f t="shared" si="51"/>
        <v>0</v>
      </c>
      <c r="S70" s="42" t="b">
        <f t="shared" si="52"/>
        <v>0</v>
      </c>
      <c r="T70" s="44" t="b">
        <f t="shared" si="53"/>
        <v>1</v>
      </c>
      <c r="U70" s="148">
        <f>IF(T70,LOOKUP(A70,Discrete_NFET[PARTNUMBER],Discrete_NFET[RDSON10])*1000,IF(S70,LOOKUP(A70,Discrete_NFET[PARTNUMBER],Discrete_NFET[RDSON8])*1000,IF(R70,LOOKUP(A70,Discrete_NFET[PARTNUMBER],Discrete_NFET[RDSON6])*1000,IF(Q70,LOOKUP(A70,Discrete_NFET[PARTNUMBER],Discrete_NFET[RDSON45])*1000,IF(P70,LOOKUP(A70,Discrete_NFET[PARTNUMBER],Discrete_NFET[RDSON3])*1000,IF(O70,LOOKUP(A70,Discrete_NFET[PARTNUMBER],Discrete_NFET[RDSON25])*1000,""))))))</f>
        <v>9.5</v>
      </c>
      <c r="V70" s="48">
        <f>IF(AND(A70&lt;&gt;0,A70&lt;&gt;""),U70*(1+(Tj-25)*(LOOKUP(A70,Discrete_NFET[PARTNUMBER],Discrete_NFET[RDSDELTA])/((LOOKUP(A70,Discrete_NFET[PARTNUMBER],Discrete_NFET[TJMAX])-25)))),"")</f>
        <v>11.1625</v>
      </c>
      <c r="W70" s="35">
        <f>IF(AND($A70&lt;&gt;0,$A70&lt;&gt;""),LOOKUP($A70,Discrete_NFET[PARTNUMBER],Discrete_NFET[QGS]),"")</f>
        <v>4.8</v>
      </c>
      <c r="X70" s="35">
        <f>IF(AND($A70&lt;&gt;0,$A70&lt;&gt;""),LOOKUP($A70,Discrete_NFET[PARTNUMBER],Discrete_NFET[QGD]),"")</f>
        <v>3.1</v>
      </c>
      <c r="Y70" s="35">
        <f>IF(AND($A70&lt;&gt;0,$A70&lt;&gt;""),LOOKUP($A70,Discrete_NFET[PARTNUMBER],Discrete_NFET[QGTH]),"")</f>
        <v>3.3</v>
      </c>
      <c r="Z70" s="35">
        <f t="shared" si="54"/>
        <v>4.6000000000000005</v>
      </c>
      <c r="AA70" s="35">
        <f>IF(AND($A70&lt;&gt;0,$A70&lt;&gt;""),LOOKUP($A70,Discrete_NFET[PARTNUMBER],Discrete_NFET[QOSSTYP]),"")</f>
        <v>18</v>
      </c>
      <c r="AB70" s="35">
        <f>IF(AND($A70&lt;&gt;0,$A70&lt;&gt;""),LOOKUP($A70,Discrete_NFET[PARTNUMBER],Discrete_NFET[QRR]),"")</f>
        <v>68</v>
      </c>
      <c r="AC70" s="35">
        <f>IF(AND(A70&lt;&gt;0,A70&lt;&gt;""),LOOKUP(A70,Discrete_NFET[PARTNUMBER],Discrete_NFET[VF_TYP]),"")</f>
        <v>0.8</v>
      </c>
      <c r="AD70" s="127">
        <f>IF(AND($A70&lt;&gt;0,$A70&lt;&gt;"",OR(RIGHT(Logic!B70,2)="C)",LEFT(Logic!B70,4)="CSD1")),(1+(1-DUTY))*IM_RMS_120^2*V70*m/3/Num_FETS,"")</f>
        <v>0.46972085160818705</v>
      </c>
      <c r="AE70" s="127">
        <f>IF(AND($A70&lt;&gt;0,$A70&lt;&gt;"",OR(RIGHT(Logic!B70,2)="C)",LEFT(Logic!B70,4)="CSD1")),Num_FETS*0.5*IM_RMS_120*VDC_AVG*Z70*n*MOT_ELEC_FREQ/GDR_SRC,"")</f>
        <v>1.4834881320949433E-5</v>
      </c>
      <c r="AF70" s="127">
        <f>IF(AND($A70&lt;&gt;0,$A70&lt;&gt;"",OR(RIGHT(Logic!B70,2)="C)",LEFT(Logic!B70,4)="CSD1")),Num_FETS*0.5*IM_RMS_120*VDC_AVG*Z70*n*MOT_ELEC_FREQ/GDR_SINK,"")</f>
        <v>1.0087719298245615E-5</v>
      </c>
      <c r="AG70" s="127">
        <f>IF(AND($A70&lt;&gt;0,$A70&lt;&gt;"",OR(RIGHT(Logic!B70,2)="T)",LEFT(Logic!B70,4)="CSD1")),DUTY*IM_RMS_120^2*V70*m/3/Num_FETS,"")</f>
        <v>0.42498553240740727</v>
      </c>
      <c r="AH70" s="127">
        <f>IF(AND($A70&lt;&gt;0,$A70&lt;&gt;"",OR(RIGHT(Logic!B70,2)="T)",LEFT(Logic!B70,4)="CSD1")),Num_FETS*0.5*IM_RMS_120*VDC_AVG*Z70*n*FSW*k/GDR_SRC/3,"")</f>
        <v>2.9669762641898866E-3</v>
      </c>
      <c r="AI70" s="127">
        <f>IF(AND($A70&lt;&gt;0,$A70&lt;&gt;"",OR(RIGHT(Logic!B70,2)="T)",LEFT(Logic!B70,4)="CSD1")),Num_FETS*0.5*IM_RMS_120*VDC_AVG*Z70*n*FSW*k/GDR_SINK/3,"")</f>
        <v>2.0175438596491233E-3</v>
      </c>
      <c r="AJ70" s="127">
        <f t="shared" si="38"/>
        <v>2.16E-3</v>
      </c>
      <c r="AK70" s="127">
        <f t="shared" si="39"/>
        <v>1.2414567897146714E-2</v>
      </c>
      <c r="AL70" s="127">
        <f t="shared" si="40"/>
        <v>1.6347199999999999E-2</v>
      </c>
      <c r="AM70" s="127">
        <f t="shared" si="55"/>
        <v>0.37243703691440144</v>
      </c>
      <c r="AN70" s="127">
        <f>IF(AND($A70&lt;&gt;0,$A70&lt;&gt;"",OR(RIGHT(Logic!B70,2)="C)",LEFT(Logic!B70,4)="CSD1")),SUM(AD70:AF70)+(AJ70/3)+AK70+AL70/6+AM70/6,AN71)</f>
        <v>0.54767771492501982</v>
      </c>
      <c r="AO70" s="127">
        <f>IF(AND($A70&lt;&gt;0,$A70&lt;&gt;"",OR(RIGHT(Logic!B70,2)="T)",LEFT(Logic!B70,4)="CSD1")),SUM(AG70:AI70)+(AJ70/3)+AL70/6+AM70/6,AO69)</f>
        <v>0.4954874253503132</v>
      </c>
      <c r="AP70" s="48">
        <f t="shared" si="56"/>
        <v>1.04</v>
      </c>
      <c r="AQ70" s="35" t="str">
        <f>IF(AND(A70&lt;&gt;0,A70&lt;&gt;""),LOOKUP(A70,Discrete_NFET[PARTNUMBER],Discrete_NFET[TI_EQ_PACKAGE]),"")</f>
        <v>TO-220</v>
      </c>
      <c r="AR70" s="49">
        <f>IF(AND(A70&lt;&gt;0,A70&lt;&gt;""),LOOKUP(A70,Discrete_NFET[PARTNUMBER],Discrete_NFET[1KPRICE]),"")</f>
        <v>0.44</v>
      </c>
      <c r="AS70" s="35" t="str">
        <f>IF(AND($A70&lt;&gt;0,$A70&lt;&gt;""),CONCATENATE(TEXT(AP70,"0.00"),"W, ",IF('User Input'!F$11="Single Discrete",A70,IF('User Input'!F$11="Dual/Power Block",LEFT(A70,FIND(")",A70)-7),A70)),", ",AQ70,", ",TEXT(AR70,"$0.00")),"Invalid Part")</f>
        <v>1.04W, CSD18534KCS, TO-220, $0.44</v>
      </c>
      <c r="AT70" t="s">
        <v>756</v>
      </c>
      <c r="AW70"/>
    </row>
    <row r="71" spans="1:49" ht="15" customHeight="1" x14ac:dyDescent="0.25">
      <c r="A71" s="35" t="str">
        <f>IF(OR(AND(FET_config="Dual/Power Block",LEFT(Logic!B71,4)="CSD8"),AND(FET_config="Single Discrete",LEFT(Logic!B71,4)="CSD1")),Logic!B71,"")</f>
        <v>CSD18534Q5A</v>
      </c>
      <c r="B71" s="37" t="str">
        <f>IF(OR($A71=0,$A71=""),"0",IF(LOOKUP($A71,Discrete_NFET[PARTNUMBER],Discrete_NFET[RDSON25])="(NULL)","0","1"))</f>
        <v>0</v>
      </c>
      <c r="C71" s="38" t="str">
        <f>IF(OR($A71=0,$A71=""),"0",IF(LOOKUP($A71,Discrete_NFET[PARTNUMBER],Discrete_NFET[RDSON3])="(NULL)","0","1"))</f>
        <v>0</v>
      </c>
      <c r="D71" s="40" t="str">
        <f>IF(OR($A71=0,$A71=""),"0",IF(LOOKUP($A71,Discrete_NFET[PARTNUMBER],Discrete_NFET[RDSON45])="(NULL)","0","1"))</f>
        <v>1</v>
      </c>
      <c r="E71" s="45" t="str">
        <f>IF(OR($A71=0,$A71=""),"0",IF(LOOKUP($A71,Discrete_NFET[PARTNUMBER],Discrete_NFET[RDSON6])="(NULL)","0","1"))</f>
        <v>0</v>
      </c>
      <c r="F71" s="34" t="str">
        <f>IF(OR($A71=0,$A71=""),"0",IF(LOOKUP($A71,Discrete_NFET[PARTNUMBER],Discrete_NFET[RDSON8])="(NULL)","0","1"))</f>
        <v>0</v>
      </c>
      <c r="G71" s="43" t="str">
        <f>IF(OR($A71=0,$A71=""),"0",IF(LOOKUP($A71,Discrete_NFET[PARTNUMBER],Discrete_NFET[RDSON10])="(NULL)","0","1"))</f>
        <v>1</v>
      </c>
      <c r="H71" s="36" t="b">
        <f t="shared" si="41"/>
        <v>0</v>
      </c>
      <c r="I71" s="39" t="b">
        <f t="shared" si="42"/>
        <v>0</v>
      </c>
      <c r="J71" s="41" t="b">
        <f t="shared" si="43"/>
        <v>1</v>
      </c>
      <c r="K71" s="46" t="b">
        <f t="shared" si="44"/>
        <v>0</v>
      </c>
      <c r="L71" s="42" t="b">
        <f t="shared" si="45"/>
        <v>0</v>
      </c>
      <c r="M71" s="44" t="b">
        <f t="shared" si="46"/>
        <v>1</v>
      </c>
      <c r="N71" s="47" t="b">
        <f t="shared" si="47"/>
        <v>1</v>
      </c>
      <c r="O71" s="36" t="b">
        <f t="shared" si="48"/>
        <v>0</v>
      </c>
      <c r="P71" s="39" t="b">
        <f t="shared" si="49"/>
        <v>0</v>
      </c>
      <c r="Q71" s="41" t="b">
        <f t="shared" si="50"/>
        <v>1</v>
      </c>
      <c r="R71" s="46" t="b">
        <f t="shared" si="51"/>
        <v>0</v>
      </c>
      <c r="S71" s="42" t="b">
        <f t="shared" si="52"/>
        <v>0</v>
      </c>
      <c r="T71" s="44" t="b">
        <f t="shared" si="53"/>
        <v>1</v>
      </c>
      <c r="U71" s="148">
        <f>IF(T71,LOOKUP(A71,Discrete_NFET[PARTNUMBER],Discrete_NFET[RDSON10])*1000,IF(S71,LOOKUP(A71,Discrete_NFET[PARTNUMBER],Discrete_NFET[RDSON8])*1000,IF(R71,LOOKUP(A71,Discrete_NFET[PARTNUMBER],Discrete_NFET[RDSON6])*1000,IF(Q71,LOOKUP(A71,Discrete_NFET[PARTNUMBER],Discrete_NFET[RDSON45])*1000,IF(P71,LOOKUP(A71,Discrete_NFET[PARTNUMBER],Discrete_NFET[RDSON3])*1000,IF(O71,LOOKUP(A71,Discrete_NFET[PARTNUMBER],Discrete_NFET[RDSON25])*1000,""))))))</f>
        <v>9.7999999999999989</v>
      </c>
      <c r="V71" s="48">
        <f>IF(AND(A71&lt;&gt;0,A71&lt;&gt;""),U71*(1+(Tj-25)*(LOOKUP(A71,Discrete_NFET[PARTNUMBER],Discrete_NFET[RDSDELTA])/((LOOKUP(A71,Discrete_NFET[PARTNUMBER],Discrete_NFET[TJMAX])-25)))),"")</f>
        <v>11.642399999999999</v>
      </c>
      <c r="W71" s="35">
        <f>IF(AND($A71&lt;&gt;0,$A71&lt;&gt;""),LOOKUP($A71,Discrete_NFET[PARTNUMBER],Discrete_NFET[QGS]),"")</f>
        <v>3.2</v>
      </c>
      <c r="X71" s="35">
        <f>IF(AND($A71&lt;&gt;0,$A71&lt;&gt;""),LOOKUP($A71,Discrete_NFET[PARTNUMBER],Discrete_NFET[QGD]),"")</f>
        <v>3.5</v>
      </c>
      <c r="Y71" s="35">
        <f>IF(AND($A71&lt;&gt;0,$A71&lt;&gt;""),LOOKUP($A71,Discrete_NFET[PARTNUMBER],Discrete_NFET[QGTH]),"")</f>
        <v>2.6</v>
      </c>
      <c r="Z71" s="35">
        <f t="shared" si="54"/>
        <v>4.0999999999999996</v>
      </c>
      <c r="AA71" s="35">
        <f>IF(AND($A71&lt;&gt;0,$A71&lt;&gt;""),LOOKUP($A71,Discrete_NFET[PARTNUMBER],Discrete_NFET[QOSSTYP]),"")</f>
        <v>19</v>
      </c>
      <c r="AB71" s="35">
        <f>IF(AND($A71&lt;&gt;0,$A71&lt;&gt;""),LOOKUP($A71,Discrete_NFET[PARTNUMBER],Discrete_NFET[QRR]),"")</f>
        <v>54</v>
      </c>
      <c r="AC71" s="35">
        <f>IF(AND(A71&lt;&gt;0,A71&lt;&gt;""),LOOKUP(A71,Discrete_NFET[PARTNUMBER],Discrete_NFET[VF_TYP]),"")</f>
        <v>0.8</v>
      </c>
      <c r="AD71" s="127">
        <f>IF(AND($A71&lt;&gt;0,$A71&lt;&gt;"",OR(RIGHT(Logic!B71,2)="C)",LEFT(Logic!B71,4)="CSD1")),(1+(1-DUTY))*IM_RMS_120^2*V71*m/3/Num_FETS,"")</f>
        <v>0.48991516620498604</v>
      </c>
      <c r="AE71" s="127">
        <f>IF(AND($A71&lt;&gt;0,$A71&lt;&gt;"",OR(RIGHT(Logic!B71,2)="C)",LEFT(Logic!B71,4)="CSD1")),Num_FETS*0.5*IM_RMS_120*VDC_AVG*Z71*n*MOT_ELEC_FREQ/GDR_SRC,"")</f>
        <v>1.322239422084623E-5</v>
      </c>
      <c r="AF71" s="127">
        <f>IF(AND($A71&lt;&gt;0,$A71&lt;&gt;"",OR(RIGHT(Logic!B71,2)="C)",LEFT(Logic!B71,4)="CSD1")),Num_FETS*0.5*IM_RMS_120*VDC_AVG*Z71*n*MOT_ELEC_FREQ/GDR_SINK,"")</f>
        <v>8.9912280701754374E-6</v>
      </c>
      <c r="AG71" s="127">
        <f>IF(AND($A71&lt;&gt;0,$A71&lt;&gt;"",OR(RIGHT(Logic!B71,2)="T)",LEFT(Logic!B71,4)="CSD1")),DUTY*IM_RMS_120^2*V71*m/3/Num_FETS,"")</f>
        <v>0.44325657894736831</v>
      </c>
      <c r="AH71" s="127">
        <f>IF(AND($A71&lt;&gt;0,$A71&lt;&gt;"",OR(RIGHT(Logic!B71,2)="T)",LEFT(Logic!B71,4)="CSD1")),Num_FETS*0.5*IM_RMS_120*VDC_AVG*Z71*n*FSW*k/GDR_SRC/3,"")</f>
        <v>2.6444788441692458E-3</v>
      </c>
      <c r="AI71" s="127">
        <f>IF(AND($A71&lt;&gt;0,$A71&lt;&gt;"",OR(RIGHT(Logic!B71,2)="T)",LEFT(Logic!B71,4)="CSD1")),Num_FETS*0.5*IM_RMS_120*VDC_AVG*Z71*n*FSW*k/GDR_SINK/3,"")</f>
        <v>1.7982456140350873E-3</v>
      </c>
      <c r="AJ71" s="127">
        <f t="shared" si="38"/>
        <v>2.2800000000000003E-3</v>
      </c>
      <c r="AK71" s="127">
        <f t="shared" si="39"/>
        <v>1.2414567897146714E-2</v>
      </c>
      <c r="AL71" s="127">
        <f t="shared" si="40"/>
        <v>1.2981600000000001E-2</v>
      </c>
      <c r="AM71" s="127">
        <f t="shared" si="55"/>
        <v>0.37243703691440144</v>
      </c>
      <c r="AN71" s="127">
        <f>IF(AND($A71&lt;&gt;0,$A71&lt;&gt;"",OR(RIGHT(Logic!B71,2)="C)",LEFT(Logic!B71,4)="CSD1")),SUM(AD71:AF71)+(AJ71/3)+AK71+AL71/6+AM71/6,AN72)</f>
        <v>0.56734838721015746</v>
      </c>
      <c r="AO71" s="127">
        <f>IF(AND($A71&lt;&gt;0,$A71&lt;&gt;"",OR(RIGHT(Logic!B71,2)="T)",LEFT(Logic!B71,4)="CSD1")),SUM(AG71:AI71)+(AJ71/3)+AL71/6+AM71/6,AO70)</f>
        <v>0.51269574289130615</v>
      </c>
      <c r="AP71" s="48">
        <f t="shared" si="56"/>
        <v>1.08</v>
      </c>
      <c r="AQ71" s="35" t="str">
        <f>IF(AND(A71&lt;&gt;0,A71&lt;&gt;""),LOOKUP(A71,Discrete_NFET[PARTNUMBER],Discrete_NFET[TI_EQ_PACKAGE]),"")</f>
        <v>SON5X6</v>
      </c>
      <c r="AR71" s="49">
        <f>IF(AND(A71&lt;&gt;0,A71&lt;&gt;""),LOOKUP(A71,Discrete_NFET[PARTNUMBER],Discrete_NFET[1KPRICE]),"")</f>
        <v>0.31</v>
      </c>
      <c r="AS71" s="35" t="str">
        <f>IF(AND($A71&lt;&gt;0,$A71&lt;&gt;""),CONCATENATE(TEXT(AP71,"0.00"),"W, ",IF('User Input'!F$11="Single Discrete",A71,IF('User Input'!F$11="Dual/Power Block",LEFT(A71,FIND(")",A71)-7),A71)),", ",AQ71,", ",TEXT(AR71,"$0.00")),"Invalid Part")</f>
        <v>1.08W, CSD18534Q5A, SON5X6, $0.31</v>
      </c>
      <c r="AT71" t="s">
        <v>789</v>
      </c>
      <c r="AU71" s="7" t="e">
        <f>IF('User Input'!F55&lt;&gt;"Dual/Power Block",LEFT(A73,FIND("L",A73)-1),A73)</f>
        <v>#VALUE!</v>
      </c>
      <c r="AW71"/>
    </row>
    <row r="72" spans="1:49" ht="15" customHeight="1" x14ac:dyDescent="0.25">
      <c r="A72" s="35" t="str">
        <f>IF(OR(AND(FET_config="Dual/Power Block",LEFT(Logic!B72,4)="CSD8"),AND(FET_config="Single Discrete",LEFT(Logic!B72,4)="CSD1")),Logic!B72,"")</f>
        <v>CSD18535KCS</v>
      </c>
      <c r="B72" s="37" t="str">
        <f>IF(OR($A72=0,$A72=""),"0",IF(LOOKUP($A72,Discrete_NFET[PARTNUMBER],Discrete_NFET[RDSON25])="(NULL)","0","1"))</f>
        <v>0</v>
      </c>
      <c r="C72" s="38" t="str">
        <f>IF(OR($A72=0,$A72=""),"0",IF(LOOKUP($A72,Discrete_NFET[PARTNUMBER],Discrete_NFET[RDSON3])="(NULL)","0","1"))</f>
        <v>0</v>
      </c>
      <c r="D72" s="40" t="str">
        <f>IF(OR($A72=0,$A72=""),"0",IF(LOOKUP($A72,Discrete_NFET[PARTNUMBER],Discrete_NFET[RDSON45])="(NULL)","0","1"))</f>
        <v>1</v>
      </c>
      <c r="E72" s="45" t="str">
        <f>IF(OR($A72=0,$A72=""),"0",IF(LOOKUP($A72,Discrete_NFET[PARTNUMBER],Discrete_NFET[RDSON6])="(NULL)","0","1"))</f>
        <v>0</v>
      </c>
      <c r="F72" s="34" t="str">
        <f>IF(OR($A72=0,$A72=""),"0",IF(LOOKUP($A72,Discrete_NFET[PARTNUMBER],Discrete_NFET[RDSON8])="(NULL)","0","1"))</f>
        <v>0</v>
      </c>
      <c r="G72" s="43" t="str">
        <f>IF(OR($A72=0,$A72=""),"0",IF(LOOKUP($A72,Discrete_NFET[PARTNUMBER],Discrete_NFET[RDSON10])="(NULL)","0","1"))</f>
        <v>1</v>
      </c>
      <c r="H72" s="36" t="b">
        <f t="shared" si="41"/>
        <v>0</v>
      </c>
      <c r="I72" s="39" t="b">
        <f t="shared" si="42"/>
        <v>0</v>
      </c>
      <c r="J72" s="41" t="b">
        <f t="shared" si="43"/>
        <v>1</v>
      </c>
      <c r="K72" s="46" t="b">
        <f t="shared" si="44"/>
        <v>0</v>
      </c>
      <c r="L72" s="42" t="b">
        <f t="shared" si="45"/>
        <v>0</v>
      </c>
      <c r="M72" s="44" t="b">
        <f t="shared" si="46"/>
        <v>1</v>
      </c>
      <c r="N72" s="47" t="b">
        <f t="shared" si="47"/>
        <v>1</v>
      </c>
      <c r="O72" s="36" t="b">
        <f t="shared" si="48"/>
        <v>0</v>
      </c>
      <c r="P72" s="39" t="b">
        <f t="shared" si="49"/>
        <v>0</v>
      </c>
      <c r="Q72" s="41" t="b">
        <f t="shared" si="50"/>
        <v>1</v>
      </c>
      <c r="R72" s="46" t="b">
        <f t="shared" si="51"/>
        <v>0</v>
      </c>
      <c r="S72" s="42" t="b">
        <f t="shared" si="52"/>
        <v>0</v>
      </c>
      <c r="T72" s="44" t="b">
        <f t="shared" si="53"/>
        <v>1</v>
      </c>
      <c r="U72" s="148">
        <f>IF(T72,LOOKUP(A72,Discrete_NFET[PARTNUMBER],Discrete_NFET[RDSON10])*1000,IF(S72,LOOKUP(A72,Discrete_NFET[PARTNUMBER],Discrete_NFET[RDSON8])*1000,IF(R72,LOOKUP(A72,Discrete_NFET[PARTNUMBER],Discrete_NFET[RDSON6])*1000,IF(Q72,LOOKUP(A72,Discrete_NFET[PARTNUMBER],Discrete_NFET[RDSON45])*1000,IF(P72,LOOKUP(A72,Discrete_NFET[PARTNUMBER],Discrete_NFET[RDSON3])*1000,IF(O72,LOOKUP(A72,Discrete_NFET[PARTNUMBER],Discrete_NFET[RDSON25])*1000,""))))))</f>
        <v>2</v>
      </c>
      <c r="V72" s="48">
        <f>IF(AND(A72&lt;&gt;0,A72&lt;&gt;""),U72*(1+(Tj-25)*(LOOKUP(A72,Discrete_NFET[PARTNUMBER],Discrete_NFET[RDSDELTA])/((LOOKUP(A72,Discrete_NFET[PARTNUMBER],Discrete_NFET[TJMAX])-25)))),"")</f>
        <v>2.25</v>
      </c>
      <c r="W72" s="35">
        <f>IF(AND($A72&lt;&gt;0,$A72&lt;&gt;""),LOOKUP($A72,Discrete_NFET[PARTNUMBER],Discrete_NFET[QGS]),"")</f>
        <v>15.7</v>
      </c>
      <c r="X72" s="35">
        <f>IF(AND($A72&lt;&gt;0,$A72&lt;&gt;""),LOOKUP($A72,Discrete_NFET[PARTNUMBER],Discrete_NFET[QGD]),"")</f>
        <v>10.4</v>
      </c>
      <c r="Y72" s="35">
        <f>IF(AND($A72&lt;&gt;0,$A72&lt;&gt;""),LOOKUP($A72,Discrete_NFET[PARTNUMBER],Discrete_NFET[QGTH]),"")</f>
        <v>9.4</v>
      </c>
      <c r="Z72" s="35">
        <f t="shared" si="54"/>
        <v>16.700000000000003</v>
      </c>
      <c r="AA72" s="35">
        <f>IF(AND($A72&lt;&gt;0,$A72&lt;&gt;""),LOOKUP($A72,Discrete_NFET[PARTNUMBER],Discrete_NFET[QOSSTYP]),"")</f>
        <v>140</v>
      </c>
      <c r="AB72" s="35">
        <f>IF(AND($A72&lt;&gt;0,$A72&lt;&gt;""),LOOKUP($A72,Discrete_NFET[PARTNUMBER],Discrete_NFET[QRR]),"")</f>
        <v>214</v>
      </c>
      <c r="AC72" s="35">
        <f>IF(AND(A72&lt;&gt;0,A72&lt;&gt;""),LOOKUP(A72,Discrete_NFET[PARTNUMBER],Discrete_NFET[VF_TYP]),"")</f>
        <v>0.9</v>
      </c>
      <c r="AD72" s="127">
        <f>IF(AND($A72&lt;&gt;0,$A72&lt;&gt;"",OR(RIGHT(Logic!B72,2)="C)",LEFT(Logic!B72,4)="CSD1")),(1+(1-DUTY))*IM_RMS_120^2*V72*m/3/Num_FETS,"")</f>
        <v>9.4680574792243746E-2</v>
      </c>
      <c r="AE72" s="127">
        <f>IF(AND($A72&lt;&gt;0,$A72&lt;&gt;"",OR(RIGHT(Logic!B72,2)="C)",LEFT(Logic!B72,4)="CSD1")),Num_FETS*0.5*IM_RMS_120*VDC_AVG*Z72*n*MOT_ELEC_FREQ/GDR_SRC,"")</f>
        <v>5.3857069143446857E-5</v>
      </c>
      <c r="AF72" s="127">
        <f>IF(AND($A72&lt;&gt;0,$A72&lt;&gt;"",OR(RIGHT(Logic!B72,2)="C)",LEFT(Logic!B72,4)="CSD1")),Num_FETS*0.5*IM_RMS_120*VDC_AVG*Z72*n*MOT_ELEC_FREQ/GDR_SINK,"")</f>
        <v>3.6622807017543865E-5</v>
      </c>
      <c r="AG72" s="127">
        <f>IF(AND($A72&lt;&gt;0,$A72&lt;&gt;"",OR(RIGHT(Logic!B72,2)="T)",LEFT(Logic!B72,4)="CSD1")),DUTY*IM_RMS_120^2*V72*m/3/Num_FETS,"")</f>
        <v>8.5663377192982434E-2</v>
      </c>
      <c r="AH72" s="127">
        <f>IF(AND($A72&lt;&gt;0,$A72&lt;&gt;"",OR(RIGHT(Logic!B72,2)="T)",LEFT(Logic!B72,4)="CSD1")),Num_FETS*0.5*IM_RMS_120*VDC_AVG*Z72*n*FSW*k/GDR_SRC/3,"")</f>
        <v>1.0771413828689373E-2</v>
      </c>
      <c r="AI72" s="127">
        <f>IF(AND($A72&lt;&gt;0,$A72&lt;&gt;"",OR(RIGHT(Logic!B72,2)="T)",LEFT(Logic!B72,4)="CSD1")),Num_FETS*0.5*IM_RMS_120*VDC_AVG*Z72*n*FSW*k/GDR_SINK/3,"")</f>
        <v>7.3245614035087727E-3</v>
      </c>
      <c r="AJ72" s="127">
        <f t="shared" si="38"/>
        <v>1.6800000000000002E-2</v>
      </c>
      <c r="AK72" s="127">
        <f t="shared" si="39"/>
        <v>1.3966388884290052E-2</v>
      </c>
      <c r="AL72" s="127">
        <f t="shared" si="40"/>
        <v>5.1445600000000001E-2</v>
      </c>
      <c r="AM72" s="127">
        <f t="shared" si="55"/>
        <v>0.41899166652870157</v>
      </c>
      <c r="AN72" s="127">
        <f>IF(AND($A72&lt;&gt;0,$A72&lt;&gt;"",OR(RIGHT(Logic!B72,2)="C)",LEFT(Logic!B72,4)="CSD1")),SUM(AD72:AF72)+(AJ72/3)+AK72+AL72/6+AM72/6,AN73)</f>
        <v>0.19274365464081172</v>
      </c>
      <c r="AO72" s="127">
        <f>IF(AND($A72&lt;&gt;0,$A72&lt;&gt;"",OR(RIGHT(Logic!B72,2)="T)",LEFT(Logic!B72,4)="CSD1")),SUM(AG72:AI72)+(AJ72/3)+AL72/6+AM72/6,AO71)</f>
        <v>0.18776556351329748</v>
      </c>
      <c r="AP72" s="48">
        <f t="shared" si="56"/>
        <v>0.38</v>
      </c>
      <c r="AQ72" s="35" t="str">
        <f>IF(AND(A72&lt;&gt;0,A72&lt;&gt;""),LOOKUP(A72,Discrete_NFET[PARTNUMBER],Discrete_NFET[TI_EQ_PACKAGE]),"")</f>
        <v>TO-220</v>
      </c>
      <c r="AR72" s="49">
        <f>IF(AND(A72&lt;&gt;0,A72&lt;&gt;""),LOOKUP(A72,Discrete_NFET[PARTNUMBER],Discrete_NFET[1KPRICE]),"")</f>
        <v>1.1599999999999999</v>
      </c>
      <c r="AS72" s="35" t="str">
        <f>IF(AND($A72&lt;&gt;0,$A72&lt;&gt;""),CONCATENATE(TEXT(AP72,"0.00"),"W, ",IF('User Input'!F$11="Single Discrete",A72,IF('User Input'!F$11="Dual/Power Block",LEFT(A72,FIND(")",A72)-7),A72)),", ",AQ72,", ",TEXT(AR72,"$0.00")),"Invalid Part")</f>
        <v>0.38W, CSD18535KCS, TO-220, $1.16</v>
      </c>
      <c r="AT72" t="s">
        <v>732</v>
      </c>
      <c r="AW72"/>
    </row>
    <row r="73" spans="1:49" ht="15" customHeight="1" x14ac:dyDescent="0.25">
      <c r="A73" s="35" t="str">
        <f>IF(OR(AND(FET_config="Dual/Power Block",LEFT(Logic!B73,4)="CSD8"),AND(FET_config="Single Discrete",LEFT(Logic!B73,4)="CSD1")),Logic!B73,"")</f>
        <v>CSD18535KTT</v>
      </c>
      <c r="B73" s="37" t="str">
        <f>IF(OR($A73=0,$A73=""),"0",IF(LOOKUP($A73,Discrete_NFET[PARTNUMBER],Discrete_NFET[RDSON25])="(NULL)","0","1"))</f>
        <v>0</v>
      </c>
      <c r="C73" s="38" t="str">
        <f>IF(OR($A73=0,$A73=""),"0",IF(LOOKUP($A73,Discrete_NFET[PARTNUMBER],Discrete_NFET[RDSON3])="(NULL)","0","1"))</f>
        <v>0</v>
      </c>
      <c r="D73" s="40" t="str">
        <f>IF(OR($A73=0,$A73=""),"0",IF(LOOKUP($A73,Discrete_NFET[PARTNUMBER],Discrete_NFET[RDSON45])="(NULL)","0","1"))</f>
        <v>1</v>
      </c>
      <c r="E73" s="45" t="str">
        <f>IF(OR($A73=0,$A73=""),"0",IF(LOOKUP($A73,Discrete_NFET[PARTNUMBER],Discrete_NFET[RDSON6])="(NULL)","0","1"))</f>
        <v>0</v>
      </c>
      <c r="F73" s="34" t="str">
        <f>IF(OR($A73=0,$A73=""),"0",IF(LOOKUP($A73,Discrete_NFET[PARTNUMBER],Discrete_NFET[RDSON8])="(NULL)","0","1"))</f>
        <v>0</v>
      </c>
      <c r="G73" s="43" t="str">
        <f>IF(OR($A73=0,$A73=""),"0",IF(LOOKUP($A73,Discrete_NFET[PARTNUMBER],Discrete_NFET[RDSON10])="(NULL)","0","1"))</f>
        <v>1</v>
      </c>
      <c r="H73" s="36" t="b">
        <f t="shared" si="41"/>
        <v>0</v>
      </c>
      <c r="I73" s="39" t="b">
        <f t="shared" si="42"/>
        <v>0</v>
      </c>
      <c r="J73" s="41" t="b">
        <f t="shared" si="43"/>
        <v>1</v>
      </c>
      <c r="K73" s="46" t="b">
        <f t="shared" si="44"/>
        <v>0</v>
      </c>
      <c r="L73" s="42" t="b">
        <f t="shared" si="45"/>
        <v>0</v>
      </c>
      <c r="M73" s="44" t="b">
        <f t="shared" si="46"/>
        <v>1</v>
      </c>
      <c r="N73" s="47" t="b">
        <f t="shared" si="47"/>
        <v>1</v>
      </c>
      <c r="O73" s="36" t="b">
        <f t="shared" si="48"/>
        <v>0</v>
      </c>
      <c r="P73" s="39" t="b">
        <f t="shared" si="49"/>
        <v>0</v>
      </c>
      <c r="Q73" s="41" t="b">
        <f t="shared" si="50"/>
        <v>1</v>
      </c>
      <c r="R73" s="46" t="b">
        <f t="shared" si="51"/>
        <v>0</v>
      </c>
      <c r="S73" s="42" t="b">
        <f t="shared" si="52"/>
        <v>0</v>
      </c>
      <c r="T73" s="44" t="b">
        <f t="shared" si="53"/>
        <v>1</v>
      </c>
      <c r="U73" s="148">
        <f>IF(T73,LOOKUP(A73,Discrete_NFET[PARTNUMBER],Discrete_NFET[RDSON10])*1000,IF(S73,LOOKUP(A73,Discrete_NFET[PARTNUMBER],Discrete_NFET[RDSON8])*1000,IF(R73,LOOKUP(A73,Discrete_NFET[PARTNUMBER],Discrete_NFET[RDSON6])*1000,IF(Q73,LOOKUP(A73,Discrete_NFET[PARTNUMBER],Discrete_NFET[RDSON45])*1000,IF(P73,LOOKUP(A73,Discrete_NFET[PARTNUMBER],Discrete_NFET[RDSON3])*1000,IF(O73,LOOKUP(A73,Discrete_NFET[PARTNUMBER],Discrete_NFET[RDSON25])*1000,""))))))</f>
        <v>2</v>
      </c>
      <c r="V73" s="48">
        <f>IF(AND(A73&lt;&gt;0,A73&lt;&gt;""),U73*(1+(Tj-25)*(LOOKUP(A73,Discrete_NFET[PARTNUMBER],Discrete_NFET[RDSDELTA])/((LOOKUP(A73,Discrete_NFET[PARTNUMBER],Discrete_NFET[TJMAX])-25)))),"")</f>
        <v>2.31</v>
      </c>
      <c r="W73" s="35">
        <f>IF(AND($A73&lt;&gt;0,$A73&lt;&gt;""),LOOKUP($A73,Discrete_NFET[PARTNUMBER],Discrete_NFET[QGS]),"")</f>
        <v>15.7</v>
      </c>
      <c r="X73" s="35">
        <f>IF(AND($A73&lt;&gt;0,$A73&lt;&gt;""),LOOKUP($A73,Discrete_NFET[PARTNUMBER],Discrete_NFET[QGD]),"")</f>
        <v>10.4</v>
      </c>
      <c r="Y73" s="35">
        <f>IF(AND($A73&lt;&gt;0,$A73&lt;&gt;""),LOOKUP($A73,Discrete_NFET[PARTNUMBER],Discrete_NFET[QGTH]),"")</f>
        <v>9.4</v>
      </c>
      <c r="Z73" s="35">
        <f t="shared" si="54"/>
        <v>16.700000000000003</v>
      </c>
      <c r="AA73" s="35">
        <f>IF(AND($A73&lt;&gt;0,$A73&lt;&gt;""),LOOKUP($A73,Discrete_NFET[PARTNUMBER],Discrete_NFET[QOSSTYP]),"")</f>
        <v>140</v>
      </c>
      <c r="AB73" s="35">
        <f>IF(AND($A73&lt;&gt;0,$A73&lt;&gt;""),LOOKUP($A73,Discrete_NFET[PARTNUMBER],Discrete_NFET[QRR]),"")</f>
        <v>214</v>
      </c>
      <c r="AC73" s="35">
        <f>IF(AND(A73&lt;&gt;0,A73&lt;&gt;""),LOOKUP(A73,Discrete_NFET[PARTNUMBER],Discrete_NFET[VF_TYP]),"")</f>
        <v>0.9</v>
      </c>
      <c r="AD73" s="127">
        <f>IF(AND($A73&lt;&gt;0,$A73&lt;&gt;"",OR(RIGHT(Logic!B73,2)="C)",LEFT(Logic!B73,4)="CSD1")),(1+(1-DUTY))*IM_RMS_120^2*V73*m/3/Num_FETS,"")</f>
        <v>9.7205390120036914E-2</v>
      </c>
      <c r="AE73" s="127">
        <f>IF(AND($A73&lt;&gt;0,$A73&lt;&gt;"",OR(RIGHT(Logic!B73,2)="C)",LEFT(Logic!B73,4)="CSD1")),Num_FETS*0.5*IM_RMS_120*VDC_AVG*Z73*n*MOT_ELEC_FREQ/GDR_SRC,"")</f>
        <v>5.3857069143446857E-5</v>
      </c>
      <c r="AF73" s="127">
        <f>IF(AND($A73&lt;&gt;0,$A73&lt;&gt;"",OR(RIGHT(Logic!B73,2)="C)",LEFT(Logic!B73,4)="CSD1")),Num_FETS*0.5*IM_RMS_120*VDC_AVG*Z73*n*MOT_ELEC_FREQ/GDR_SINK,"")</f>
        <v>3.6622807017543865E-5</v>
      </c>
      <c r="AG73" s="127">
        <f>IF(AND($A73&lt;&gt;0,$A73&lt;&gt;"",OR(RIGHT(Logic!B73,2)="T)",LEFT(Logic!B73,4)="CSD1")),DUTY*IM_RMS_120^2*V73*m/3/Num_FETS,"")</f>
        <v>8.7947733918128643E-2</v>
      </c>
      <c r="AH73" s="127">
        <f>IF(AND($A73&lt;&gt;0,$A73&lt;&gt;"",OR(RIGHT(Logic!B73,2)="T)",LEFT(Logic!B73,4)="CSD1")),Num_FETS*0.5*IM_RMS_120*VDC_AVG*Z73*n*FSW*k/GDR_SRC/3,"")</f>
        <v>1.0771413828689373E-2</v>
      </c>
      <c r="AI73" s="127">
        <f>IF(AND($A73&lt;&gt;0,$A73&lt;&gt;"",OR(RIGHT(Logic!B73,2)="T)",LEFT(Logic!B73,4)="CSD1")),Num_FETS*0.5*IM_RMS_120*VDC_AVG*Z73*n*FSW*k/GDR_SINK/3,"")</f>
        <v>7.3245614035087727E-3</v>
      </c>
      <c r="AJ73" s="127">
        <f t="shared" si="38"/>
        <v>1.6800000000000002E-2</v>
      </c>
      <c r="AK73" s="127">
        <f t="shared" si="39"/>
        <v>1.3966388884290052E-2</v>
      </c>
      <c r="AL73" s="127">
        <f t="shared" si="40"/>
        <v>5.1445600000000001E-2</v>
      </c>
      <c r="AM73" s="127">
        <f t="shared" si="55"/>
        <v>0.41899166652870157</v>
      </c>
      <c r="AN73" s="127">
        <f>IF(AND($A73&lt;&gt;0,$A73&lt;&gt;"",OR(RIGHT(Logic!B73,2)="C)",LEFT(Logic!B73,4)="CSD1")),SUM(AD73:AF73)+(AJ73/3)+AK73+AL73/6+AM73/6,AN74)</f>
        <v>0.19526846996860486</v>
      </c>
      <c r="AO73" s="127">
        <f>IF(AND($A73&lt;&gt;0,$A73&lt;&gt;"",OR(RIGHT(Logic!B73,2)="T)",LEFT(Logic!B73,4)="CSD1")),SUM(AG73:AI73)+(AJ73/3)+AL73/6+AM73/6,AO72)</f>
        <v>0.19004992023844369</v>
      </c>
      <c r="AP73" s="48">
        <f t="shared" si="56"/>
        <v>0.39</v>
      </c>
      <c r="AQ73" s="35" t="str">
        <f>IF(AND(A73&lt;&gt;0,A73&lt;&gt;""),LOOKUP(A73,Discrete_NFET[PARTNUMBER],Discrete_NFET[TI_EQ_PACKAGE]),"")</f>
        <v>DDPAK</v>
      </c>
      <c r="AR73" s="49">
        <f>IF(AND(A73&lt;&gt;0,A73&lt;&gt;""),LOOKUP(A73,Discrete_NFET[PARTNUMBER],Discrete_NFET[1KPRICE]),"")</f>
        <v>1.21</v>
      </c>
      <c r="AS73" s="35" t="str">
        <f>IF(AND($A73&lt;&gt;0,$A73&lt;&gt;""),CONCATENATE(TEXT(AP73,"0.00"),"W, ",IF('User Input'!F$11="Single Discrete",A73,IF('User Input'!F$11="Dual/Power Block",LEFT(A73,FIND(")",A73)-7),A73)),", ",AQ73,", ",TEXT(AR73,"$0.00")),"Invalid Part")</f>
        <v>0.39W, CSD18535KTT, DDPAK, $1.21</v>
      </c>
      <c r="AT73" t="s">
        <v>715</v>
      </c>
      <c r="AW73"/>
    </row>
    <row r="74" spans="1:49" ht="15" customHeight="1" x14ac:dyDescent="0.25">
      <c r="A74" s="35" t="str">
        <f>IF(OR(AND(FET_config="Dual/Power Block",LEFT(Logic!B74,4)="CSD8"),AND(FET_config="Single Discrete",LEFT(Logic!B74,4)="CSD1")),Logic!B74,"")</f>
        <v>CSD18536KCS</v>
      </c>
      <c r="B74" s="37" t="str">
        <f>IF(OR($A74=0,$A74=""),"0",IF(LOOKUP($A74,Discrete_NFET[PARTNUMBER],Discrete_NFET[RDSON25])="(NULL)","0","1"))</f>
        <v>0</v>
      </c>
      <c r="C74" s="38" t="str">
        <f>IF(OR($A74=0,$A74=""),"0",IF(LOOKUP($A74,Discrete_NFET[PARTNUMBER],Discrete_NFET[RDSON3])="(NULL)","0","1"))</f>
        <v>0</v>
      </c>
      <c r="D74" s="40" t="str">
        <f>IF(OR($A74=0,$A74=""),"0",IF(LOOKUP($A74,Discrete_NFET[PARTNUMBER],Discrete_NFET[RDSON45])="(NULL)","0","1"))</f>
        <v>1</v>
      </c>
      <c r="E74" s="45" t="str">
        <f>IF(OR($A74=0,$A74=""),"0",IF(LOOKUP($A74,Discrete_NFET[PARTNUMBER],Discrete_NFET[RDSON6])="(NULL)","0","1"))</f>
        <v>0</v>
      </c>
      <c r="F74" s="34" t="str">
        <f>IF(OR($A74=0,$A74=""),"0",IF(LOOKUP($A74,Discrete_NFET[PARTNUMBER],Discrete_NFET[RDSON8])="(NULL)","0","1"))</f>
        <v>0</v>
      </c>
      <c r="G74" s="43" t="str">
        <f>IF(OR($A74=0,$A74=""),"0",IF(LOOKUP($A74,Discrete_NFET[PARTNUMBER],Discrete_NFET[RDSON10])="(NULL)","0","1"))</f>
        <v>1</v>
      </c>
      <c r="H74" s="36" t="b">
        <f t="shared" si="41"/>
        <v>0</v>
      </c>
      <c r="I74" s="39" t="b">
        <f t="shared" si="42"/>
        <v>0</v>
      </c>
      <c r="J74" s="41" t="b">
        <f t="shared" si="43"/>
        <v>1</v>
      </c>
      <c r="K74" s="46" t="b">
        <f t="shared" si="44"/>
        <v>0</v>
      </c>
      <c r="L74" s="42" t="b">
        <f t="shared" si="45"/>
        <v>0</v>
      </c>
      <c r="M74" s="44" t="b">
        <f t="shared" si="46"/>
        <v>1</v>
      </c>
      <c r="N74" s="47" t="b">
        <f t="shared" si="47"/>
        <v>1</v>
      </c>
      <c r="O74" s="36" t="b">
        <f t="shared" si="48"/>
        <v>0</v>
      </c>
      <c r="P74" s="39" t="b">
        <f t="shared" si="49"/>
        <v>0</v>
      </c>
      <c r="Q74" s="41" t="b">
        <f t="shared" si="50"/>
        <v>1</v>
      </c>
      <c r="R74" s="46" t="b">
        <f t="shared" si="51"/>
        <v>0</v>
      </c>
      <c r="S74" s="42" t="b">
        <f t="shared" si="52"/>
        <v>0</v>
      </c>
      <c r="T74" s="44" t="b">
        <f t="shared" si="53"/>
        <v>1</v>
      </c>
      <c r="U74" s="148">
        <f>IF(T74,LOOKUP(A74,Discrete_NFET[PARTNUMBER],Discrete_NFET[RDSON10])*1000,IF(S74,LOOKUP(A74,Discrete_NFET[PARTNUMBER],Discrete_NFET[RDSON8])*1000,IF(R74,LOOKUP(A74,Discrete_NFET[PARTNUMBER],Discrete_NFET[RDSON6])*1000,IF(Q74,LOOKUP(A74,Discrete_NFET[PARTNUMBER],Discrete_NFET[RDSON45])*1000,IF(P74,LOOKUP(A74,Discrete_NFET[PARTNUMBER],Discrete_NFET[RDSON3])*1000,IF(O74,LOOKUP(A74,Discrete_NFET[PARTNUMBER],Discrete_NFET[RDSON25])*1000,""))))))</f>
        <v>1.6</v>
      </c>
      <c r="V74" s="48">
        <f>IF(AND(A74&lt;&gt;0,A74&lt;&gt;""),U74*(1+(Tj-25)*(LOOKUP(A74,Discrete_NFET[PARTNUMBER],Discrete_NFET[RDSDELTA])/((LOOKUP(A74,Discrete_NFET[PARTNUMBER],Discrete_NFET[TJMAX])-25)))),"")</f>
        <v>1.7920000000000003</v>
      </c>
      <c r="W74" s="35">
        <f>IF(AND($A74&lt;&gt;0,$A74&lt;&gt;""),LOOKUP($A74,Discrete_NFET[PARTNUMBER],Discrete_NFET[QGS]),"")</f>
        <v>18</v>
      </c>
      <c r="X74" s="35">
        <f>IF(AND($A74&lt;&gt;0,$A74&lt;&gt;""),LOOKUP($A74,Discrete_NFET[PARTNUMBER],Discrete_NFET[QGD]),"")</f>
        <v>14</v>
      </c>
      <c r="Y74" s="35">
        <f>IF(AND($A74&lt;&gt;0,$A74&lt;&gt;""),LOOKUP($A74,Discrete_NFET[PARTNUMBER],Discrete_NFET[QGTH]),"")</f>
        <v>17</v>
      </c>
      <c r="Z74" s="35">
        <f t="shared" si="54"/>
        <v>15</v>
      </c>
      <c r="AA74" s="35">
        <f>IF(AND($A74&lt;&gt;0,$A74&lt;&gt;""),LOOKUP($A74,Discrete_NFET[PARTNUMBER],Discrete_NFET[QOSSTYP]),"")</f>
        <v>230</v>
      </c>
      <c r="AB74" s="35">
        <f>IF(AND($A74&lt;&gt;0,$A74&lt;&gt;""),LOOKUP($A74,Discrete_NFET[PARTNUMBER],Discrete_NFET[QRR]),"")</f>
        <v>323</v>
      </c>
      <c r="AC74" s="35">
        <f>IF(AND(A74&lt;&gt;0,A74&lt;&gt;""),LOOKUP(A74,Discrete_NFET[PARTNUMBER],Discrete_NFET[VF_TYP]),"")</f>
        <v>0.9</v>
      </c>
      <c r="AD74" s="127">
        <f>IF(AND($A74&lt;&gt;0,$A74&lt;&gt;"",OR(RIGHT(Logic!B74,2)="C)",LEFT(Logic!B74,4)="CSD1")),(1+(1-DUTY))*IM_RMS_120^2*V74*m/3/Num_FETS,"")</f>
        <v>7.540781779008926E-2</v>
      </c>
      <c r="AE74" s="127">
        <f>IF(AND($A74&lt;&gt;0,$A74&lt;&gt;"",OR(RIGHT(Logic!B74,2)="C)",LEFT(Logic!B74,4)="CSD1")),Num_FETS*0.5*IM_RMS_120*VDC_AVG*Z74*n*MOT_ELEC_FREQ/GDR_SRC,"")</f>
        <v>4.8374613003095971E-5</v>
      </c>
      <c r="AF74" s="127">
        <f>IF(AND($A74&lt;&gt;0,$A74&lt;&gt;"",OR(RIGHT(Logic!B74,2)="C)",LEFT(Logic!B74,4)="CSD1")),Num_FETS*0.5*IM_RMS_120*VDC_AVG*Z74*n*MOT_ELEC_FREQ/GDR_SINK,"")</f>
        <v>3.2894736842105262E-5</v>
      </c>
      <c r="AG74" s="127">
        <f>IF(AND($A74&lt;&gt;0,$A74&lt;&gt;"",OR(RIGHT(Logic!B74,2)="T)",LEFT(Logic!B74,4)="CSD1")),DUTY*IM_RMS_120^2*V74*m/3/Num_FETS,"")</f>
        <v>6.8226120857699801E-2</v>
      </c>
      <c r="AH74" s="127">
        <f>IF(AND($A74&lt;&gt;0,$A74&lt;&gt;"",OR(RIGHT(Logic!B74,2)="T)",LEFT(Logic!B74,4)="CSD1")),Num_FETS*0.5*IM_RMS_120*VDC_AVG*Z74*n*FSW*k/GDR_SRC/3,"")</f>
        <v>9.674922600619194E-3</v>
      </c>
      <c r="AI74" s="127">
        <f>IF(AND($A74&lt;&gt;0,$A74&lt;&gt;"",OR(RIGHT(Logic!B74,2)="T)",LEFT(Logic!B74,4)="CSD1")),Num_FETS*0.5*IM_RMS_120*VDC_AVG*Z74*n*FSW*k/GDR_SINK/3,"")</f>
        <v>6.5789473684210523E-3</v>
      </c>
      <c r="AJ74" s="127">
        <f t="shared" si="38"/>
        <v>2.7600000000000003E-2</v>
      </c>
      <c r="AK74" s="127">
        <f t="shared" si="39"/>
        <v>1.3966388884290052E-2</v>
      </c>
      <c r="AL74" s="127">
        <f t="shared" si="40"/>
        <v>7.7649200000000002E-2</v>
      </c>
      <c r="AM74" s="127">
        <f t="shared" si="55"/>
        <v>0.41899166652870157</v>
      </c>
      <c r="AN74" s="127">
        <f>IF(AND($A74&lt;&gt;0,$A74&lt;&gt;"",OR(RIGHT(Logic!B74,2)="C)",LEFT(Logic!B74,4)="CSD1")),SUM(AD74:AF74)+(AJ74/3)+AK74+AL74/6+AM74/6,AN75)</f>
        <v>0.18142895377900811</v>
      </c>
      <c r="AO74" s="127">
        <f>IF(AND($A74&lt;&gt;0,$A74&lt;&gt;"",OR(RIGHT(Logic!B74,2)="T)",LEFT(Logic!B74,4)="CSD1")),SUM(AG74:AI74)+(AJ74/3)+AL74/6+AM74/6,AO73)</f>
        <v>0.17645346858152364</v>
      </c>
      <c r="AP74" s="48">
        <f t="shared" si="56"/>
        <v>0.36</v>
      </c>
      <c r="AQ74" s="35" t="str">
        <f>IF(AND(A74&lt;&gt;0,A74&lt;&gt;""),LOOKUP(A74,Discrete_NFET[PARTNUMBER],Discrete_NFET[TI_EQ_PACKAGE]),"")</f>
        <v>TO-220</v>
      </c>
      <c r="AR74" s="49">
        <f>IF(AND(A74&lt;&gt;0,A74&lt;&gt;""),LOOKUP(A74,Discrete_NFET[PARTNUMBER],Discrete_NFET[1KPRICE]),"")</f>
        <v>1.76</v>
      </c>
      <c r="AS74" s="35" t="str">
        <f>IF(AND($A74&lt;&gt;0,$A74&lt;&gt;""),CONCATENATE(TEXT(AP74,"0.00"),"W, ",IF('User Input'!F$11="Single Discrete",A74,IF('User Input'!F$11="Dual/Power Block",LEFT(A74,FIND(")",A74)-7),A74)),", ",AQ74,", ",TEXT(AR74,"$0.00")),"Invalid Part")</f>
        <v>0.36W, CSD18536KCS, TO-220, $1.76</v>
      </c>
      <c r="AT74" t="s">
        <v>786</v>
      </c>
      <c r="AW74"/>
    </row>
    <row r="75" spans="1:49" ht="15" customHeight="1" x14ac:dyDescent="0.25">
      <c r="A75" s="35" t="str">
        <f>IF(OR(AND(FET_config="Dual/Power Block",LEFT(Logic!B75,4)="CSD8"),AND(FET_config="Single Discrete",LEFT(Logic!B75,4)="CSD1")),Logic!B75,"")</f>
        <v>CSD18536KTT</v>
      </c>
      <c r="B75" s="37" t="str">
        <f>IF(OR($A75=0,$A75=""),"0",IF(LOOKUP($A75,Discrete_NFET[PARTNUMBER],Discrete_NFET[RDSON25])="(NULL)","0","1"))</f>
        <v>0</v>
      </c>
      <c r="C75" s="38" t="str">
        <f>IF(OR($A75=0,$A75=""),"0",IF(LOOKUP($A75,Discrete_NFET[PARTNUMBER],Discrete_NFET[RDSON3])="(NULL)","0","1"))</f>
        <v>0</v>
      </c>
      <c r="D75" s="40" t="str">
        <f>IF(OR($A75=0,$A75=""),"0",IF(LOOKUP($A75,Discrete_NFET[PARTNUMBER],Discrete_NFET[RDSON45])="(NULL)","0","1"))</f>
        <v>1</v>
      </c>
      <c r="E75" s="45" t="str">
        <f>IF(OR($A75=0,$A75=""),"0",IF(LOOKUP($A75,Discrete_NFET[PARTNUMBER],Discrete_NFET[RDSON6])="(NULL)","0","1"))</f>
        <v>0</v>
      </c>
      <c r="F75" s="34" t="str">
        <f>IF(OR($A75=0,$A75=""),"0",IF(LOOKUP($A75,Discrete_NFET[PARTNUMBER],Discrete_NFET[RDSON8])="(NULL)","0","1"))</f>
        <v>0</v>
      </c>
      <c r="G75" s="43" t="str">
        <f>IF(OR($A75=0,$A75=""),"0",IF(LOOKUP($A75,Discrete_NFET[PARTNUMBER],Discrete_NFET[RDSON10])="(NULL)","0","1"))</f>
        <v>1</v>
      </c>
      <c r="H75" s="36" t="b">
        <f t="shared" si="41"/>
        <v>0</v>
      </c>
      <c r="I75" s="39" t="b">
        <f t="shared" si="42"/>
        <v>0</v>
      </c>
      <c r="J75" s="41" t="b">
        <f t="shared" si="43"/>
        <v>1</v>
      </c>
      <c r="K75" s="46" t="b">
        <f t="shared" si="44"/>
        <v>0</v>
      </c>
      <c r="L75" s="42" t="b">
        <f t="shared" si="45"/>
        <v>0</v>
      </c>
      <c r="M75" s="44" t="b">
        <f t="shared" si="46"/>
        <v>1</v>
      </c>
      <c r="N75" s="47" t="b">
        <f t="shared" si="47"/>
        <v>1</v>
      </c>
      <c r="O75" s="36" t="b">
        <f t="shared" si="48"/>
        <v>0</v>
      </c>
      <c r="P75" s="39" t="b">
        <f t="shared" si="49"/>
        <v>0</v>
      </c>
      <c r="Q75" s="41" t="b">
        <f t="shared" si="50"/>
        <v>1</v>
      </c>
      <c r="R75" s="46" t="b">
        <f t="shared" si="51"/>
        <v>0</v>
      </c>
      <c r="S75" s="42" t="b">
        <f t="shared" si="52"/>
        <v>0</v>
      </c>
      <c r="T75" s="44" t="b">
        <f t="shared" si="53"/>
        <v>1</v>
      </c>
      <c r="U75" s="148">
        <f>IF(T75,LOOKUP(A75,Discrete_NFET[PARTNUMBER],Discrete_NFET[RDSON10])*1000,IF(S75,LOOKUP(A75,Discrete_NFET[PARTNUMBER],Discrete_NFET[RDSON8])*1000,IF(R75,LOOKUP(A75,Discrete_NFET[PARTNUMBER],Discrete_NFET[RDSON6])*1000,IF(Q75,LOOKUP(A75,Discrete_NFET[PARTNUMBER],Discrete_NFET[RDSON45])*1000,IF(P75,LOOKUP(A75,Discrete_NFET[PARTNUMBER],Discrete_NFET[RDSON3])*1000,IF(O75,LOOKUP(A75,Discrete_NFET[PARTNUMBER],Discrete_NFET[RDSON25])*1000,""))))))</f>
        <v>1.6</v>
      </c>
      <c r="V75" s="48">
        <f>IF(AND(A75&lt;&gt;0,A75&lt;&gt;""),U75*(1+(Tj-25)*(LOOKUP(A75,Discrete_NFET[PARTNUMBER],Discrete_NFET[RDSDELTA])/((LOOKUP(A75,Discrete_NFET[PARTNUMBER],Discrete_NFET[TJMAX])-25)))),"")</f>
        <v>1.8346666666666669</v>
      </c>
      <c r="W75" s="35">
        <f>IF(AND($A75&lt;&gt;0,$A75&lt;&gt;""),LOOKUP($A75,Discrete_NFET[PARTNUMBER],Discrete_NFET[QGS]),"")</f>
        <v>18</v>
      </c>
      <c r="X75" s="35">
        <f>IF(AND($A75&lt;&gt;0,$A75&lt;&gt;""),LOOKUP($A75,Discrete_NFET[PARTNUMBER],Discrete_NFET[QGD]),"")</f>
        <v>14</v>
      </c>
      <c r="Y75" s="35">
        <f>IF(AND($A75&lt;&gt;0,$A75&lt;&gt;""),LOOKUP($A75,Discrete_NFET[PARTNUMBER],Discrete_NFET[QGTH]),"")</f>
        <v>17</v>
      </c>
      <c r="Z75" s="35">
        <f t="shared" si="54"/>
        <v>15</v>
      </c>
      <c r="AA75" s="35">
        <f>IF(AND($A75&lt;&gt;0,$A75&lt;&gt;""),LOOKUP($A75,Discrete_NFET[PARTNUMBER],Discrete_NFET[QOSSTYP]),"")</f>
        <v>230</v>
      </c>
      <c r="AB75" s="35">
        <f>IF(AND($A75&lt;&gt;0,$A75&lt;&gt;""),LOOKUP($A75,Discrete_NFET[PARTNUMBER],Discrete_NFET[QRR]),"")</f>
        <v>323</v>
      </c>
      <c r="AC75" s="35">
        <f>IF(AND(A75&lt;&gt;0,A75&lt;&gt;""),LOOKUP(A75,Discrete_NFET[PARTNUMBER],Discrete_NFET[VF_TYP]),"")</f>
        <v>0.9</v>
      </c>
      <c r="AD75" s="127">
        <f>IF(AND($A75&lt;&gt;0,$A75&lt;&gt;"",OR(RIGHT(Logic!B75,2)="C)",LEFT(Logic!B75,4)="CSD1")),(1+(1-DUTY))*IM_RMS_120^2*V75*m/3/Num_FETS,"")</f>
        <v>7.7203242023186625E-2</v>
      </c>
      <c r="AE75" s="127">
        <f>IF(AND($A75&lt;&gt;0,$A75&lt;&gt;"",OR(RIGHT(Logic!B75,2)="C)",LEFT(Logic!B75,4)="CSD1")),Num_FETS*0.5*IM_RMS_120*VDC_AVG*Z75*n*MOT_ELEC_FREQ/GDR_SRC,"")</f>
        <v>4.8374613003095971E-5</v>
      </c>
      <c r="AF75" s="127">
        <f>IF(AND($A75&lt;&gt;0,$A75&lt;&gt;"",OR(RIGHT(Logic!B75,2)="C)",LEFT(Logic!B75,4)="CSD1")),Num_FETS*0.5*IM_RMS_120*VDC_AVG*Z75*n*MOT_ELEC_FREQ/GDR_SINK,"")</f>
        <v>3.2894736842105262E-5</v>
      </c>
      <c r="AG75" s="127">
        <f>IF(AND($A75&lt;&gt;0,$A75&lt;&gt;"",OR(RIGHT(Logic!B75,2)="T)",LEFT(Logic!B75,4)="CSD1")),DUTY*IM_RMS_120^2*V75*m/3/Num_FETS,"")</f>
        <v>6.985055230669264E-2</v>
      </c>
      <c r="AH75" s="127">
        <f>IF(AND($A75&lt;&gt;0,$A75&lt;&gt;"",OR(RIGHT(Logic!B75,2)="T)",LEFT(Logic!B75,4)="CSD1")),Num_FETS*0.5*IM_RMS_120*VDC_AVG*Z75*n*FSW*k/GDR_SRC/3,"")</f>
        <v>9.674922600619194E-3</v>
      </c>
      <c r="AI75" s="127">
        <f>IF(AND($A75&lt;&gt;0,$A75&lt;&gt;"",OR(RIGHT(Logic!B75,2)="T)",LEFT(Logic!B75,4)="CSD1")),Num_FETS*0.5*IM_RMS_120*VDC_AVG*Z75*n*FSW*k/GDR_SINK/3,"")</f>
        <v>6.5789473684210523E-3</v>
      </c>
      <c r="AJ75" s="127">
        <f t="shared" si="38"/>
        <v>2.7600000000000003E-2</v>
      </c>
      <c r="AK75" s="127">
        <f t="shared" si="39"/>
        <v>1.3966388884290052E-2</v>
      </c>
      <c r="AL75" s="127">
        <f t="shared" si="40"/>
        <v>7.7649200000000002E-2</v>
      </c>
      <c r="AM75" s="127">
        <f t="shared" si="55"/>
        <v>0.41899166652870157</v>
      </c>
      <c r="AN75" s="127">
        <f>IF(AND($A75&lt;&gt;0,$A75&lt;&gt;"",OR(RIGHT(Logic!B75,2)="C)",LEFT(Logic!B75,4)="CSD1")),SUM(AD75:AF75)+(AJ75/3)+AK75+AL75/6+AM75/6,AN76)</f>
        <v>0.18322437801210548</v>
      </c>
      <c r="AO75" s="127">
        <f>IF(AND($A75&lt;&gt;0,$A75&lt;&gt;"",OR(RIGHT(Logic!B75,2)="T)",LEFT(Logic!B75,4)="CSD1")),SUM(AG75:AI75)+(AJ75/3)+AL75/6+AM75/6,AO74)</f>
        <v>0.17807790003051649</v>
      </c>
      <c r="AP75" s="48">
        <f t="shared" si="56"/>
        <v>0.36</v>
      </c>
      <c r="AQ75" s="35" t="str">
        <f>IF(AND(A75&lt;&gt;0,A75&lt;&gt;""),LOOKUP(A75,Discrete_NFET[PARTNUMBER],Discrete_NFET[TI_EQ_PACKAGE]),"")</f>
        <v>DDPAK</v>
      </c>
      <c r="AR75" s="49">
        <f>IF(AND(A75&lt;&gt;0,A75&lt;&gt;""),LOOKUP(A75,Discrete_NFET[PARTNUMBER],Discrete_NFET[1KPRICE]),"")</f>
        <v>1.8</v>
      </c>
      <c r="AS75" s="35" t="str">
        <f>IF(AND($A75&lt;&gt;0,$A75&lt;&gt;""),CONCATENATE(TEXT(AP75,"0.00"),"W, ",IF('User Input'!F$11="Single Discrete",A75,IF('User Input'!F$11="Dual/Power Block",LEFT(A75,FIND(")",A75)-7),A75)),", ",AQ75,", ",TEXT(AR75,"$0.00")),"Invalid Part")</f>
        <v>0.36W, CSD18536KTT, DDPAK, $1.80</v>
      </c>
      <c r="AT75" t="s">
        <v>731</v>
      </c>
      <c r="AW75"/>
    </row>
    <row r="76" spans="1:49" ht="15" customHeight="1" x14ac:dyDescent="0.25">
      <c r="A76" s="35" t="str">
        <f>IF(OR(AND(FET_config="Dual/Power Block",LEFT(Logic!B76,4)="CSD8"),AND(FET_config="Single Discrete",LEFT(Logic!B76,4)="CSD1")),Logic!B76,"")</f>
        <v>CSD18537NKCS</v>
      </c>
      <c r="B76" s="37" t="str">
        <f>IF(OR($A76=0,$A76=""),"0",IF(LOOKUP($A76,Discrete_NFET[PARTNUMBER],Discrete_NFET[RDSON25])="(NULL)","0","1"))</f>
        <v>0</v>
      </c>
      <c r="C76" s="38" t="str">
        <f>IF(OR($A76=0,$A76=""),"0",IF(LOOKUP($A76,Discrete_NFET[PARTNUMBER],Discrete_NFET[RDSON3])="(NULL)","0","1"))</f>
        <v>0</v>
      </c>
      <c r="D76" s="40" t="str">
        <f>IF(OR($A76=0,$A76=""),"0",IF(LOOKUP($A76,Discrete_NFET[PARTNUMBER],Discrete_NFET[RDSON45])="(NULL)","0","1"))</f>
        <v>0</v>
      </c>
      <c r="E76" s="45" t="str">
        <f>IF(OR($A76=0,$A76=""),"0",IF(LOOKUP($A76,Discrete_NFET[PARTNUMBER],Discrete_NFET[RDSON6])="(NULL)","0","1"))</f>
        <v>1</v>
      </c>
      <c r="F76" s="34" t="str">
        <f>IF(OR($A76=0,$A76=""),"0",IF(LOOKUP($A76,Discrete_NFET[PARTNUMBER],Discrete_NFET[RDSON8])="(NULL)","0","1"))</f>
        <v>0</v>
      </c>
      <c r="G76" s="43" t="str">
        <f>IF(OR($A76=0,$A76=""),"0",IF(LOOKUP($A76,Discrete_NFET[PARTNUMBER],Discrete_NFET[RDSON10])="(NULL)","0","1"))</f>
        <v>1</v>
      </c>
      <c r="H76" s="36" t="b">
        <f t="shared" si="41"/>
        <v>0</v>
      </c>
      <c r="I76" s="39" t="b">
        <f t="shared" si="42"/>
        <v>0</v>
      </c>
      <c r="J76" s="41" t="b">
        <f t="shared" si="43"/>
        <v>0</v>
      </c>
      <c r="K76" s="46" t="b">
        <f t="shared" si="44"/>
        <v>1</v>
      </c>
      <c r="L76" s="42" t="b">
        <f t="shared" si="45"/>
        <v>0</v>
      </c>
      <c r="M76" s="44" t="b">
        <f t="shared" si="46"/>
        <v>1</v>
      </c>
      <c r="N76" s="47" t="b">
        <f t="shared" si="47"/>
        <v>1</v>
      </c>
      <c r="O76" s="36" t="b">
        <f t="shared" si="48"/>
        <v>0</v>
      </c>
      <c r="P76" s="39" t="b">
        <f t="shared" si="49"/>
        <v>0</v>
      </c>
      <c r="Q76" s="41" t="b">
        <f t="shared" si="50"/>
        <v>0</v>
      </c>
      <c r="R76" s="46" t="b">
        <f t="shared" si="51"/>
        <v>1</v>
      </c>
      <c r="S76" s="42" t="b">
        <f t="shared" si="52"/>
        <v>0</v>
      </c>
      <c r="T76" s="44" t="b">
        <f t="shared" si="53"/>
        <v>1</v>
      </c>
      <c r="U76" s="148">
        <f>IF(T76,LOOKUP(A76,Discrete_NFET[PARTNUMBER],Discrete_NFET[RDSON10])*1000,IF(S76,LOOKUP(A76,Discrete_NFET[PARTNUMBER],Discrete_NFET[RDSON8])*1000,IF(R76,LOOKUP(A76,Discrete_NFET[PARTNUMBER],Discrete_NFET[RDSON6])*1000,IF(Q76,LOOKUP(A76,Discrete_NFET[PARTNUMBER],Discrete_NFET[RDSON45])*1000,IF(P76,LOOKUP(A76,Discrete_NFET[PARTNUMBER],Discrete_NFET[RDSON3])*1000,IF(O76,LOOKUP(A76,Discrete_NFET[PARTNUMBER],Discrete_NFET[RDSON25])*1000,""))))))</f>
        <v>14</v>
      </c>
      <c r="V76" s="48">
        <f>IF(AND(A76&lt;&gt;0,A76&lt;&gt;""),U76*(1+(Tj-25)*(LOOKUP(A76,Discrete_NFET[PARTNUMBER],Discrete_NFET[RDSDELTA])/((LOOKUP(A76,Discrete_NFET[PARTNUMBER],Discrete_NFET[TJMAX])-25)))),"")</f>
        <v>16.193333333333335</v>
      </c>
      <c r="W76" s="35">
        <f>IF(AND($A76&lt;&gt;0,$A76&lt;&gt;""),LOOKUP($A76,Discrete_NFET[PARTNUMBER],Discrete_NFET[QGS]),"")</f>
        <v>5.2</v>
      </c>
      <c r="X76" s="35">
        <f>IF(AND($A76&lt;&gt;0,$A76&lt;&gt;""),LOOKUP($A76,Discrete_NFET[PARTNUMBER],Discrete_NFET[QGD]),"")</f>
        <v>2.2999999999999998</v>
      </c>
      <c r="Y76" s="35">
        <f>IF(AND($A76&lt;&gt;0,$A76&lt;&gt;""),LOOKUP($A76,Discrete_NFET[PARTNUMBER],Discrete_NFET[QGTH]),"")</f>
        <v>3.3</v>
      </c>
      <c r="Z76" s="35">
        <f t="shared" si="54"/>
        <v>4.2</v>
      </c>
      <c r="AA76" s="35">
        <f>IF(AND($A76&lt;&gt;0,$A76&lt;&gt;""),LOOKUP($A76,Discrete_NFET[PARTNUMBER],Discrete_NFET[QOSSTYP]),"")</f>
        <v>25</v>
      </c>
      <c r="AB76" s="35">
        <f>IF(AND($A76&lt;&gt;0,$A76&lt;&gt;""),LOOKUP($A76,Discrete_NFET[PARTNUMBER],Discrete_NFET[QRR]),"")</f>
        <v>77</v>
      </c>
      <c r="AC76" s="35">
        <f>IF(AND(A76&lt;&gt;0,A76&lt;&gt;""),LOOKUP(A76,Discrete_NFET[PARTNUMBER],Discrete_NFET[VF_TYP]),"")</f>
        <v>0.9</v>
      </c>
      <c r="AD76" s="127">
        <f>IF(AND($A76&lt;&gt;0,$A76&lt;&gt;"",OR(RIGHT(Logic!B76,2)="C)",LEFT(Logic!B76,4)="CSD1")),(1+(1-DUTY))*IM_RMS_120^2*V76*m/3/Num_FETS,"")</f>
        <v>0.68141960346773367</v>
      </c>
      <c r="AE76" s="127">
        <f>IF(AND($A76&lt;&gt;0,$A76&lt;&gt;"",OR(RIGHT(Logic!B76,2)="C)",LEFT(Logic!B76,4)="CSD1")),Num_FETS*0.5*IM_RMS_120*VDC_AVG*Z76*n*MOT_ELEC_FREQ/GDR_SRC,"")</f>
        <v>1.3544891640866875E-5</v>
      </c>
      <c r="AF76" s="127">
        <f>IF(AND($A76&lt;&gt;0,$A76&lt;&gt;"",OR(RIGHT(Logic!B76,2)="C)",LEFT(Logic!B76,4)="CSD1")),Num_FETS*0.5*IM_RMS_120*VDC_AVG*Z76*n*MOT_ELEC_FREQ/GDR_SINK,"")</f>
        <v>9.2105263157894754E-6</v>
      </c>
      <c r="AG76" s="127">
        <f>IF(AND($A76&lt;&gt;0,$A76&lt;&gt;"",OR(RIGHT(Logic!B76,2)="T)",LEFT(Logic!B76,4)="CSD1")),DUTY*IM_RMS_120^2*V76*m/3/Num_FETS,"")</f>
        <v>0.6165224983755685</v>
      </c>
      <c r="AH76" s="127">
        <f>IF(AND($A76&lt;&gt;0,$A76&lt;&gt;"",OR(RIGHT(Logic!B76,2)="T)",LEFT(Logic!B76,4)="CSD1")),Num_FETS*0.5*IM_RMS_120*VDC_AVG*Z76*n*FSW*k/GDR_SRC/3,"")</f>
        <v>2.7089783281733747E-3</v>
      </c>
      <c r="AI76" s="127">
        <f>IF(AND($A76&lt;&gt;0,$A76&lt;&gt;"",OR(RIGHT(Logic!B76,2)="T)",LEFT(Logic!B76,4)="CSD1")),Num_FETS*0.5*IM_RMS_120*VDC_AVG*Z76*n*FSW*k/GDR_SINK/3,"")</f>
        <v>1.8421052631578949E-3</v>
      </c>
      <c r="AJ76" s="127">
        <f t="shared" si="38"/>
        <v>3.0000000000000001E-3</v>
      </c>
      <c r="AK76" s="127">
        <f t="shared" si="39"/>
        <v>1.3966388884290052E-2</v>
      </c>
      <c r="AL76" s="127">
        <f t="shared" si="40"/>
        <v>1.8510800000000001E-2</v>
      </c>
      <c r="AM76" s="127">
        <f t="shared" si="55"/>
        <v>0.41899166652870157</v>
      </c>
      <c r="AN76" s="127">
        <f>IF(AND($A76&lt;&gt;0,$A76&lt;&gt;"",OR(RIGHT(Logic!B76,2)="C)",LEFT(Logic!B76,4)="CSD1")),SUM(AD76:AF76)+(AJ76/3)+AK76+AL76/6+AM76/6,AN77)</f>
        <v>0.76932582552476392</v>
      </c>
      <c r="AO76" s="127">
        <f>IF(AND($A76&lt;&gt;0,$A76&lt;&gt;"",OR(RIGHT(Logic!B76,2)="T)",LEFT(Logic!B76,4)="CSD1")),SUM(AG76:AI76)+(AJ76/3)+AL76/6+AM76/6,AO75)</f>
        <v>0.69499065972168339</v>
      </c>
      <c r="AP76" s="48">
        <f t="shared" si="56"/>
        <v>1.46</v>
      </c>
      <c r="AQ76" s="35" t="str">
        <f>IF(AND(A76&lt;&gt;0,A76&lt;&gt;""),LOOKUP(A76,Discrete_NFET[PARTNUMBER],Discrete_NFET[TI_EQ_PACKAGE]),"")</f>
        <v>TO-220</v>
      </c>
      <c r="AR76" s="49">
        <f>IF(AND(A76&lt;&gt;0,A76&lt;&gt;""),LOOKUP(A76,Discrete_NFET[PARTNUMBER],Discrete_NFET[1KPRICE]),"")</f>
        <v>0.39</v>
      </c>
      <c r="AS76" s="35" t="str">
        <f>IF(AND($A76&lt;&gt;0,$A76&lt;&gt;""),CONCATENATE(TEXT(AP76,"0.00"),"W, ",IF('User Input'!F$11="Single Discrete",A76,IF('User Input'!F$11="Dual/Power Block",LEFT(A76,FIND(")",A76)-7),A76)),", ",AQ76,", ",TEXT(AR76,"$0.00")),"Invalid Part")</f>
        <v>1.46W, CSD18537NKCS, TO-220, $0.39</v>
      </c>
      <c r="AT76" t="s">
        <v>729</v>
      </c>
      <c r="AW76"/>
    </row>
    <row r="77" spans="1:49" ht="15" customHeight="1" x14ac:dyDescent="0.25">
      <c r="A77" s="35" t="str">
        <f>IF(OR(AND(FET_config="Dual/Power Block",LEFT(Logic!B77,4)="CSD8"),AND(FET_config="Single Discrete",LEFT(Logic!B77,4)="CSD1")),Logic!B77,"")</f>
        <v>CSD18537NQ5A</v>
      </c>
      <c r="B77" s="37" t="str">
        <f>IF(OR($A77=0,$A77=""),"0",IF(LOOKUP($A77,Discrete_NFET[PARTNUMBER],Discrete_NFET[RDSON25])="(NULL)","0","1"))</f>
        <v>0</v>
      </c>
      <c r="C77" s="38" t="str">
        <f>IF(OR($A77=0,$A77=""),"0",IF(LOOKUP($A77,Discrete_NFET[PARTNUMBER],Discrete_NFET[RDSON3])="(NULL)","0","1"))</f>
        <v>0</v>
      </c>
      <c r="D77" s="40" t="str">
        <f>IF(OR($A77=0,$A77=""),"0",IF(LOOKUP($A77,Discrete_NFET[PARTNUMBER],Discrete_NFET[RDSON45])="(NULL)","0","1"))</f>
        <v>0</v>
      </c>
      <c r="E77" s="45" t="str">
        <f>IF(OR($A77=0,$A77=""),"0",IF(LOOKUP($A77,Discrete_NFET[PARTNUMBER],Discrete_NFET[RDSON6])="(NULL)","0","1"))</f>
        <v>1</v>
      </c>
      <c r="F77" s="34" t="str">
        <f>IF(OR($A77=0,$A77=""),"0",IF(LOOKUP($A77,Discrete_NFET[PARTNUMBER],Discrete_NFET[RDSON8])="(NULL)","0","1"))</f>
        <v>0</v>
      </c>
      <c r="G77" s="43" t="str">
        <f>IF(OR($A77=0,$A77=""),"0",IF(LOOKUP($A77,Discrete_NFET[PARTNUMBER],Discrete_NFET[RDSON10])="(NULL)","0","1"))</f>
        <v>1</v>
      </c>
      <c r="H77" s="36" t="b">
        <f t="shared" si="41"/>
        <v>0</v>
      </c>
      <c r="I77" s="39" t="b">
        <f t="shared" si="42"/>
        <v>0</v>
      </c>
      <c r="J77" s="41" t="b">
        <f t="shared" si="43"/>
        <v>0</v>
      </c>
      <c r="K77" s="46" t="b">
        <f t="shared" si="44"/>
        <v>1</v>
      </c>
      <c r="L77" s="42" t="b">
        <f t="shared" si="45"/>
        <v>0</v>
      </c>
      <c r="M77" s="44" t="b">
        <f t="shared" si="46"/>
        <v>1</v>
      </c>
      <c r="N77" s="47" t="b">
        <f t="shared" si="47"/>
        <v>1</v>
      </c>
      <c r="O77" s="36" t="b">
        <f t="shared" si="48"/>
        <v>0</v>
      </c>
      <c r="P77" s="39" t="b">
        <f t="shared" si="49"/>
        <v>0</v>
      </c>
      <c r="Q77" s="41" t="b">
        <f t="shared" si="50"/>
        <v>0</v>
      </c>
      <c r="R77" s="46" t="b">
        <f t="shared" si="51"/>
        <v>1</v>
      </c>
      <c r="S77" s="42" t="b">
        <f t="shared" si="52"/>
        <v>0</v>
      </c>
      <c r="T77" s="44" t="b">
        <f t="shared" si="53"/>
        <v>1</v>
      </c>
      <c r="U77" s="148">
        <f>IF(T77,LOOKUP(A77,Discrete_NFET[PARTNUMBER],Discrete_NFET[RDSON10])*1000,IF(S77,LOOKUP(A77,Discrete_NFET[PARTNUMBER],Discrete_NFET[RDSON8])*1000,IF(R77,LOOKUP(A77,Discrete_NFET[PARTNUMBER],Discrete_NFET[RDSON6])*1000,IF(Q77,LOOKUP(A77,Discrete_NFET[PARTNUMBER],Discrete_NFET[RDSON45])*1000,IF(P77,LOOKUP(A77,Discrete_NFET[PARTNUMBER],Discrete_NFET[RDSON3])*1000,IF(O77,LOOKUP(A77,Discrete_NFET[PARTNUMBER],Discrete_NFET[RDSON25])*1000,""))))))</f>
        <v>13</v>
      </c>
      <c r="V77" s="48">
        <f>IF(AND(A77&lt;&gt;0,A77&lt;&gt;""),U77*(1+(Tj-25)*(LOOKUP(A77,Discrete_NFET[PARTNUMBER],Discrete_NFET[RDSDELTA])/((LOOKUP(A77,Discrete_NFET[PARTNUMBER],Discrete_NFET[TJMAX])-25)))),"")</f>
        <v>15.469999999999999</v>
      </c>
      <c r="W77" s="35">
        <f>IF(AND($A77&lt;&gt;0,$A77&lt;&gt;""),LOOKUP($A77,Discrete_NFET[PARTNUMBER],Discrete_NFET[QGS]),"")</f>
        <v>4.7</v>
      </c>
      <c r="X77" s="35">
        <f>IF(AND($A77&lt;&gt;0,$A77&lt;&gt;""),LOOKUP($A77,Discrete_NFET[PARTNUMBER],Discrete_NFET[QGD]),"")</f>
        <v>2.2999999999999998</v>
      </c>
      <c r="Y77" s="35">
        <f>IF(AND($A77&lt;&gt;0,$A77&lt;&gt;""),LOOKUP($A77,Discrete_NFET[PARTNUMBER],Discrete_NFET[QGTH]),"")</f>
        <v>3.3</v>
      </c>
      <c r="Z77" s="35">
        <f t="shared" si="54"/>
        <v>3.7</v>
      </c>
      <c r="AA77" s="35">
        <f>IF(AND($A77&lt;&gt;0,$A77&lt;&gt;""),LOOKUP($A77,Discrete_NFET[PARTNUMBER],Discrete_NFET[QOSSTYP]),"")</f>
        <v>25</v>
      </c>
      <c r="AB77" s="35">
        <f>IF(AND($A77&lt;&gt;0,$A77&lt;&gt;""),LOOKUP($A77,Discrete_NFET[PARTNUMBER],Discrete_NFET[QRR]),"")</f>
        <v>54</v>
      </c>
      <c r="AC77" s="35">
        <f>IF(AND(A77&lt;&gt;0,A77&lt;&gt;""),LOOKUP(A77,Discrete_NFET[PARTNUMBER],Discrete_NFET[VF_TYP]),"")</f>
        <v>0.8</v>
      </c>
      <c r="AD77" s="127">
        <f>IF(AND($A77&lt;&gt;0,$A77&lt;&gt;"",OR(RIGHT(Logic!B77,2)="C)",LEFT(Logic!B77,4)="CSD1")),(1+(1-DUTY))*IM_RMS_120^2*V77*m/3/Num_FETS,"")</f>
        <v>0.65098155201600472</v>
      </c>
      <c r="AE77" s="127">
        <f>IF(AND($A77&lt;&gt;0,$A77&lt;&gt;"",OR(RIGHT(Logic!B77,2)="C)",LEFT(Logic!B77,4)="CSD1")),Num_FETS*0.5*IM_RMS_120*VDC_AVG*Z77*n*MOT_ELEC_FREQ/GDR_SRC,"")</f>
        <v>1.1932404540763674E-5</v>
      </c>
      <c r="AF77" s="127">
        <f>IF(AND($A77&lt;&gt;0,$A77&lt;&gt;"",OR(RIGHT(Logic!B77,2)="C)",LEFT(Logic!B77,4)="CSD1")),Num_FETS*0.5*IM_RMS_120*VDC_AVG*Z77*n*MOT_ELEC_FREQ/GDR_SINK,"")</f>
        <v>8.1140350877192992E-6</v>
      </c>
      <c r="AG77" s="127">
        <f>IF(AND($A77&lt;&gt;0,$A77&lt;&gt;"",OR(RIGHT(Logic!B77,2)="T)",LEFT(Logic!B77,4)="CSD1")),DUTY*IM_RMS_120^2*V77*m/3/Num_FETS,"")</f>
        <v>0.58898330896686135</v>
      </c>
      <c r="AH77" s="127">
        <f>IF(AND($A77&lt;&gt;0,$A77&lt;&gt;"",OR(RIGHT(Logic!B77,2)="T)",LEFT(Logic!B77,4)="CSD1")),Num_FETS*0.5*IM_RMS_120*VDC_AVG*Z77*n*FSW*k/GDR_SRC/3,"")</f>
        <v>2.3864809081527343E-3</v>
      </c>
      <c r="AI77" s="127">
        <f>IF(AND($A77&lt;&gt;0,$A77&lt;&gt;"",OR(RIGHT(Logic!B77,2)="T)",LEFT(Logic!B77,4)="CSD1")),Num_FETS*0.5*IM_RMS_120*VDC_AVG*Z77*n*FSW*k/GDR_SINK/3,"")</f>
        <v>1.6228070175438594E-3</v>
      </c>
      <c r="AJ77" s="127">
        <f t="shared" si="38"/>
        <v>3.0000000000000001E-3</v>
      </c>
      <c r="AK77" s="127">
        <f t="shared" si="39"/>
        <v>1.2414567897146714E-2</v>
      </c>
      <c r="AL77" s="127">
        <f t="shared" si="40"/>
        <v>1.2981600000000001E-2</v>
      </c>
      <c r="AM77" s="127">
        <f t="shared" si="55"/>
        <v>0.37243703691440144</v>
      </c>
      <c r="AN77" s="127">
        <f>IF(AND($A77&lt;&gt;0,$A77&lt;&gt;"",OR(RIGHT(Logic!B77,2)="C)",LEFT(Logic!B77,4)="CSD1")),SUM(AD77:AF77)+(AJ77/3)+AK77+AL77/6+AM77/6,AN78)</f>
        <v>0.72865260583851355</v>
      </c>
      <c r="AO77" s="127">
        <f>IF(AND($A77&lt;&gt;0,$A77&lt;&gt;"",OR(RIGHT(Logic!B77,2)="T)",LEFT(Logic!B77,4)="CSD1")),SUM(AG77:AI77)+(AJ77/3)+AL77/6+AM77/6,AO76)</f>
        <v>0.65822903637829167</v>
      </c>
      <c r="AP77" s="48">
        <f t="shared" si="56"/>
        <v>1.39</v>
      </c>
      <c r="AQ77" s="35" t="str">
        <f>IF(AND(A77&lt;&gt;0,A77&lt;&gt;""),LOOKUP(A77,Discrete_NFET[PARTNUMBER],Discrete_NFET[TI_EQ_PACKAGE]),"")</f>
        <v>SON5X6</v>
      </c>
      <c r="AR77" s="49">
        <f>IF(AND(A77&lt;&gt;0,A77&lt;&gt;""),LOOKUP(A77,Discrete_NFET[PARTNUMBER],Discrete_NFET[1KPRICE]),"")</f>
        <v>0.26</v>
      </c>
      <c r="AS77" s="35" t="str">
        <f>IF(AND($A77&lt;&gt;0,$A77&lt;&gt;""),CONCATENATE(TEXT(AP77,"0.00"),"W, ",IF('User Input'!F$11="Single Discrete",A77,IF('User Input'!F$11="Dual/Power Block",LEFT(A77,FIND(")",A77)-7),A77)),", ",AQ77,", ",TEXT(AR77,"$0.00")),"Invalid Part")</f>
        <v>1.39W, CSD18537NQ5A, SON5X6, $0.26</v>
      </c>
      <c r="AT77" t="s">
        <v>714</v>
      </c>
      <c r="AW77"/>
    </row>
    <row r="78" spans="1:49" ht="15" customHeight="1" x14ac:dyDescent="0.25">
      <c r="A78" s="35" t="str">
        <f>IF(OR(AND(FET_config="Dual/Power Block",LEFT(Logic!B78,4)="CSD8"),AND(FET_config="Single Discrete",LEFT(Logic!B78,4)="CSD1")),Logic!B78,"")</f>
        <v>CSD18540Q5B</v>
      </c>
      <c r="B78" s="37" t="str">
        <f>IF(OR($A78=0,$A78=""),"0",IF(LOOKUP($A78,Discrete_NFET[PARTNUMBER],Discrete_NFET[RDSON25])="(NULL)","0","1"))</f>
        <v>0</v>
      </c>
      <c r="C78" s="38" t="str">
        <f>IF(OR($A78=0,$A78=""),"0",IF(LOOKUP($A78,Discrete_NFET[PARTNUMBER],Discrete_NFET[RDSON3])="(NULL)","0","1"))</f>
        <v>0</v>
      </c>
      <c r="D78" s="40" t="str">
        <f>IF(OR($A78=0,$A78=""),"0",IF(LOOKUP($A78,Discrete_NFET[PARTNUMBER],Discrete_NFET[RDSON45])="(NULL)","0","1"))</f>
        <v>1</v>
      </c>
      <c r="E78" s="45" t="str">
        <f>IF(OR($A78=0,$A78=""),"0",IF(LOOKUP($A78,Discrete_NFET[PARTNUMBER],Discrete_NFET[RDSON6])="(NULL)","0","1"))</f>
        <v>0</v>
      </c>
      <c r="F78" s="34" t="str">
        <f>IF(OR($A78=0,$A78=""),"0",IF(LOOKUP($A78,Discrete_NFET[PARTNUMBER],Discrete_NFET[RDSON8])="(NULL)","0","1"))</f>
        <v>0</v>
      </c>
      <c r="G78" s="43" t="str">
        <f>IF(OR($A78=0,$A78=""),"0",IF(LOOKUP($A78,Discrete_NFET[PARTNUMBER],Discrete_NFET[RDSON10])="(NULL)","0","1"))</f>
        <v>1</v>
      </c>
      <c r="H78" s="36" t="b">
        <f t="shared" si="41"/>
        <v>0</v>
      </c>
      <c r="I78" s="39" t="b">
        <f t="shared" si="42"/>
        <v>0</v>
      </c>
      <c r="J78" s="41" t="b">
        <f t="shared" si="43"/>
        <v>1</v>
      </c>
      <c r="K78" s="46" t="b">
        <f t="shared" si="44"/>
        <v>0</v>
      </c>
      <c r="L78" s="42" t="b">
        <f t="shared" si="45"/>
        <v>0</v>
      </c>
      <c r="M78" s="44" t="b">
        <f t="shared" si="46"/>
        <v>1</v>
      </c>
      <c r="N78" s="47" t="b">
        <f t="shared" si="47"/>
        <v>1</v>
      </c>
      <c r="O78" s="36" t="b">
        <f t="shared" si="48"/>
        <v>0</v>
      </c>
      <c r="P78" s="39" t="b">
        <f t="shared" si="49"/>
        <v>0</v>
      </c>
      <c r="Q78" s="41" t="b">
        <f t="shared" si="50"/>
        <v>1</v>
      </c>
      <c r="R78" s="46" t="b">
        <f t="shared" si="51"/>
        <v>0</v>
      </c>
      <c r="S78" s="42" t="b">
        <f t="shared" si="52"/>
        <v>0</v>
      </c>
      <c r="T78" s="44" t="b">
        <f t="shared" si="53"/>
        <v>1</v>
      </c>
      <c r="U78" s="148">
        <f>IF(T78,LOOKUP(A78,Discrete_NFET[PARTNUMBER],Discrete_NFET[RDSON10])*1000,IF(S78,LOOKUP(A78,Discrete_NFET[PARTNUMBER],Discrete_NFET[RDSON8])*1000,IF(R78,LOOKUP(A78,Discrete_NFET[PARTNUMBER],Discrete_NFET[RDSON6])*1000,IF(Q78,LOOKUP(A78,Discrete_NFET[PARTNUMBER],Discrete_NFET[RDSON45])*1000,IF(P78,LOOKUP(A78,Discrete_NFET[PARTNUMBER],Discrete_NFET[RDSON3])*1000,IF(O78,LOOKUP(A78,Discrete_NFET[PARTNUMBER],Discrete_NFET[RDSON25])*1000,""))))))</f>
        <v>2.2000000000000002</v>
      </c>
      <c r="V78" s="48">
        <f>IF(AND(A78&lt;&gt;0,A78&lt;&gt;""),U78*(1+(Tj-25)*(LOOKUP(A78,Discrete_NFET[PARTNUMBER],Discrete_NFET[RDSDELTA])/((LOOKUP(A78,Discrete_NFET[PARTNUMBER],Discrete_NFET[TJMAX])-25)))),"")</f>
        <v>2.500666666666667</v>
      </c>
      <c r="W78" s="35">
        <f>IF(AND($A78&lt;&gt;0,$A78&lt;&gt;""),LOOKUP($A78,Discrete_NFET[PARTNUMBER],Discrete_NFET[QGS]),"")</f>
        <v>8.6</v>
      </c>
      <c r="X78" s="35">
        <f>IF(AND($A78&lt;&gt;0,$A78&lt;&gt;""),LOOKUP($A78,Discrete_NFET[PARTNUMBER],Discrete_NFET[QGD]),"")</f>
        <v>6.7</v>
      </c>
      <c r="Y78" s="35">
        <f>IF(AND($A78&lt;&gt;0,$A78&lt;&gt;""),LOOKUP($A78,Discrete_NFET[PARTNUMBER],Discrete_NFET[QGTH]),"")</f>
        <v>6.3</v>
      </c>
      <c r="Z78" s="35">
        <f t="shared" si="54"/>
        <v>9</v>
      </c>
      <c r="AA78" s="35">
        <f>IF(AND($A78&lt;&gt;0,$A78&lt;&gt;""),LOOKUP($A78,Discrete_NFET[PARTNUMBER],Discrete_NFET[QOSSTYP]),"")</f>
        <v>83</v>
      </c>
      <c r="AB78" s="35">
        <f>IF(AND($A78&lt;&gt;0,$A78&lt;&gt;""),LOOKUP($A78,Discrete_NFET[PARTNUMBER],Discrete_NFET[QRR]),"")</f>
        <v>145</v>
      </c>
      <c r="AC78" s="35">
        <f>IF(AND(A78&lt;&gt;0,A78&lt;&gt;""),LOOKUP(A78,Discrete_NFET[PARTNUMBER],Discrete_NFET[VF_TYP]),"")</f>
        <v>0.8</v>
      </c>
      <c r="AD78" s="127">
        <f>IF(AND($A78&lt;&gt;0,$A78&lt;&gt;"",OR(RIGHT(Logic!B78,2)="C)",LEFT(Logic!B78,4)="CSD1")),(1+(1-DUTY))*IM_RMS_120^2*V78*m/3/Num_FETS,"")</f>
        <v>0.10522869216169077</v>
      </c>
      <c r="AE78" s="127">
        <f>IF(AND($A78&lt;&gt;0,$A78&lt;&gt;"",OR(RIGHT(Logic!B78,2)="C)",LEFT(Logic!B78,4)="CSD1")),Num_FETS*0.5*IM_RMS_120*VDC_AVG*Z78*n*MOT_ELEC_FREQ/GDR_SRC,"")</f>
        <v>2.9024767801857583E-5</v>
      </c>
      <c r="AF78" s="127">
        <f>IF(AND($A78&lt;&gt;0,$A78&lt;&gt;"",OR(RIGHT(Logic!B78,2)="C)",LEFT(Logic!B78,4)="CSD1")),Num_FETS*0.5*IM_RMS_120*VDC_AVG*Z78*n*MOT_ELEC_FREQ/GDR_SINK,"")</f>
        <v>1.9736842105263158E-5</v>
      </c>
      <c r="AG78" s="127">
        <f>IF(AND($A78&lt;&gt;0,$A78&lt;&gt;"",OR(RIGHT(Logic!B78,2)="T)",LEFT(Logic!B78,4)="CSD1")),DUTY*IM_RMS_120^2*V78*m/3/Num_FETS,"")</f>
        <v>9.5206911955815446E-2</v>
      </c>
      <c r="AH78" s="127">
        <f>IF(AND($A78&lt;&gt;0,$A78&lt;&gt;"",OR(RIGHT(Logic!B78,2)="T)",LEFT(Logic!B78,4)="CSD1")),Num_FETS*0.5*IM_RMS_120*VDC_AVG*Z78*n*FSW*k/GDR_SRC/3,"")</f>
        <v>5.8049535603715155E-3</v>
      </c>
      <c r="AI78" s="127">
        <f>IF(AND($A78&lt;&gt;0,$A78&lt;&gt;"",OR(RIGHT(Logic!B78,2)="T)",LEFT(Logic!B78,4)="CSD1")),Num_FETS*0.5*IM_RMS_120*VDC_AVG*Z78*n*FSW*k/GDR_SINK/3,"")</f>
        <v>3.9473684210526308E-3</v>
      </c>
      <c r="AJ78" s="127">
        <f t="shared" si="38"/>
        <v>9.9600000000000001E-3</v>
      </c>
      <c r="AK78" s="127">
        <f t="shared" si="39"/>
        <v>1.2414567897146714E-2</v>
      </c>
      <c r="AL78" s="127">
        <f t="shared" si="40"/>
        <v>3.4858E-2</v>
      </c>
      <c r="AM78" s="127">
        <f t="shared" si="55"/>
        <v>0.37243703691440144</v>
      </c>
      <c r="AN78" s="127">
        <f>IF(AND($A78&lt;&gt;0,$A78&lt;&gt;"",OR(RIGHT(Logic!B78,2)="C)",LEFT(Logic!B78,4)="CSD1")),SUM(AD78:AF78)+(AJ78/3)+AK78+AL78/6+AM78/6,AN79)</f>
        <v>0.18889452782114485</v>
      </c>
      <c r="AO78" s="127">
        <f>IF(AND($A78&lt;&gt;0,$A78&lt;&gt;"",OR(RIGHT(Logic!B78,2)="T)",LEFT(Logic!B78,4)="CSD1")),SUM(AG78:AI78)+(AJ78/3)+AL78/6+AM78/6,AO77)</f>
        <v>0.17616174008963983</v>
      </c>
      <c r="AP78" s="48">
        <f t="shared" si="56"/>
        <v>0.37</v>
      </c>
      <c r="AQ78" s="35" t="str">
        <f>IF(AND(A78&lt;&gt;0,A78&lt;&gt;""),LOOKUP(A78,Discrete_NFET[PARTNUMBER],Discrete_NFET[TI_EQ_PACKAGE]),"")</f>
        <v>SON5X6</v>
      </c>
      <c r="AR78" s="49">
        <f>IF(AND(A78&lt;&gt;0,A78&lt;&gt;""),LOOKUP(A78,Discrete_NFET[PARTNUMBER],Discrete_NFET[1KPRICE]),"")</f>
        <v>0.83</v>
      </c>
      <c r="AS78" s="35" t="str">
        <f>IF(AND($A78&lt;&gt;0,$A78&lt;&gt;""),CONCATENATE(TEXT(AP78,"0.00"),"W, ",IF('User Input'!F$11="Single Discrete",A78,IF('User Input'!F$11="Dual/Power Block",LEFT(A78,FIND(")",A78)-7),A78)),", ",AQ78,", ",TEXT(AR78,"$0.00")),"Invalid Part")</f>
        <v>0.37W, CSD18540Q5B, SON5X6, $0.83</v>
      </c>
      <c r="AT78" t="s">
        <v>722</v>
      </c>
      <c r="AW78"/>
    </row>
    <row r="79" spans="1:49" ht="15" customHeight="1" x14ac:dyDescent="0.25">
      <c r="A79" s="35" t="str">
        <f>IF(OR(AND(FET_config="Dual/Power Block",LEFT(Logic!B79,4)="CSD8"),AND(FET_config="Single Discrete",LEFT(Logic!B79,4)="CSD1")),Logic!B79,"")</f>
        <v>CSD18542KCS</v>
      </c>
      <c r="B79" s="37" t="str">
        <f>IF(OR($A79=0,$A79=""),"0",IF(LOOKUP($A79,Discrete_NFET[PARTNUMBER],Discrete_NFET[RDSON25])="(NULL)","0","1"))</f>
        <v>0</v>
      </c>
      <c r="C79" s="38" t="str">
        <f>IF(OR($A79=0,$A79=""),"0",IF(LOOKUP($A79,Discrete_NFET[PARTNUMBER],Discrete_NFET[RDSON3])="(NULL)","0","1"))</f>
        <v>0</v>
      </c>
      <c r="D79" s="40" t="str">
        <f>IF(OR($A79=0,$A79=""),"0",IF(LOOKUP($A79,Discrete_NFET[PARTNUMBER],Discrete_NFET[RDSON45])="(NULL)","0","1"))</f>
        <v>1</v>
      </c>
      <c r="E79" s="45" t="str">
        <f>IF(OR($A79=0,$A79=""),"0",IF(LOOKUP($A79,Discrete_NFET[PARTNUMBER],Discrete_NFET[RDSON6])="(NULL)","0","1"))</f>
        <v>0</v>
      </c>
      <c r="F79" s="34" t="str">
        <f>IF(OR($A79=0,$A79=""),"0",IF(LOOKUP($A79,Discrete_NFET[PARTNUMBER],Discrete_NFET[RDSON8])="(NULL)","0","1"))</f>
        <v>0</v>
      </c>
      <c r="G79" s="43" t="str">
        <f>IF(OR($A79=0,$A79=""),"0",IF(LOOKUP($A79,Discrete_NFET[PARTNUMBER],Discrete_NFET[RDSON10])="(NULL)","0","1"))</f>
        <v>1</v>
      </c>
      <c r="H79" s="36" t="b">
        <f t="shared" si="41"/>
        <v>0</v>
      </c>
      <c r="I79" s="39" t="b">
        <f t="shared" si="42"/>
        <v>0</v>
      </c>
      <c r="J79" s="41" t="b">
        <f t="shared" si="43"/>
        <v>1</v>
      </c>
      <c r="K79" s="46" t="b">
        <f t="shared" si="44"/>
        <v>0</v>
      </c>
      <c r="L79" s="42" t="b">
        <f t="shared" si="45"/>
        <v>0</v>
      </c>
      <c r="M79" s="44" t="b">
        <f t="shared" si="46"/>
        <v>1</v>
      </c>
      <c r="N79" s="47" t="b">
        <f t="shared" si="47"/>
        <v>1</v>
      </c>
      <c r="O79" s="36" t="b">
        <f t="shared" si="48"/>
        <v>0</v>
      </c>
      <c r="P79" s="39" t="b">
        <f t="shared" si="49"/>
        <v>0</v>
      </c>
      <c r="Q79" s="41" t="b">
        <f t="shared" si="50"/>
        <v>1</v>
      </c>
      <c r="R79" s="46" t="b">
        <f t="shared" si="51"/>
        <v>0</v>
      </c>
      <c r="S79" s="42" t="b">
        <f t="shared" si="52"/>
        <v>0</v>
      </c>
      <c r="T79" s="44" t="b">
        <f t="shared" si="53"/>
        <v>1</v>
      </c>
      <c r="U79" s="148">
        <f>IF(T79,LOOKUP(A79,Discrete_NFET[PARTNUMBER],Discrete_NFET[RDSON10])*1000,IF(S79,LOOKUP(A79,Discrete_NFET[PARTNUMBER],Discrete_NFET[RDSON8])*1000,IF(R79,LOOKUP(A79,Discrete_NFET[PARTNUMBER],Discrete_NFET[RDSON6])*1000,IF(Q79,LOOKUP(A79,Discrete_NFET[PARTNUMBER],Discrete_NFET[RDSON45])*1000,IF(P79,LOOKUP(A79,Discrete_NFET[PARTNUMBER],Discrete_NFET[RDSON3])*1000,IF(O79,LOOKUP(A79,Discrete_NFET[PARTNUMBER],Discrete_NFET[RDSON25])*1000,""))))))</f>
        <v>4</v>
      </c>
      <c r="V79" s="48">
        <f>IF(AND(A79&lt;&gt;0,A79&lt;&gt;""),U79*(1+(Tj-25)*(LOOKUP(A79,Discrete_NFET[PARTNUMBER],Discrete_NFET[RDSDELTA])/((LOOKUP(A79,Discrete_NFET[PARTNUMBER],Discrete_NFET[TJMAX])-25)))),"")</f>
        <v>4.6266666666666669</v>
      </c>
      <c r="W79" s="35">
        <f>IF(AND($A79&lt;&gt;0,$A79&lt;&gt;""),LOOKUP($A79,Discrete_NFET[PARTNUMBER],Discrete_NFET[QGS]),"")</f>
        <v>10</v>
      </c>
      <c r="X79" s="35">
        <f>IF(AND($A79&lt;&gt;0,$A79&lt;&gt;""),LOOKUP($A79,Discrete_NFET[PARTNUMBER],Discrete_NFET[QGD]),"")</f>
        <v>6.9</v>
      </c>
      <c r="Y79" s="35">
        <f>IF(AND($A79&lt;&gt;0,$A79&lt;&gt;""),LOOKUP($A79,Discrete_NFET[PARTNUMBER],Discrete_NFET[QGTH]),"")</f>
        <v>7.3</v>
      </c>
      <c r="Z79" s="35">
        <f t="shared" si="54"/>
        <v>9.5999999999999979</v>
      </c>
      <c r="AA79" s="35">
        <f>IF(AND($A79&lt;&gt;0,$A79&lt;&gt;""),LOOKUP($A79,Discrete_NFET[PARTNUMBER],Discrete_NFET[QOSSTYP]),"")</f>
        <v>63</v>
      </c>
      <c r="AB79" s="35">
        <f>IF(AND($A79&lt;&gt;0,$A79&lt;&gt;""),LOOKUP($A79,Discrete_NFET[PARTNUMBER],Discrete_NFET[QRR]),"")</f>
        <v>148</v>
      </c>
      <c r="AC79" s="35">
        <f>IF(AND(A79&lt;&gt;0,A79&lt;&gt;""),LOOKUP(A79,Discrete_NFET[PARTNUMBER],Discrete_NFET[VF_TYP]),"")</f>
        <v>0.9</v>
      </c>
      <c r="AD79" s="127">
        <f>IF(AND($A79&lt;&gt;0,$A79&lt;&gt;"",OR(RIGHT(Logic!B79,2)="C)",LEFT(Logic!B79,4)="CSD1")),(1+(1-DUTY))*IM_RMS_120^2*V79*m/3/Num_FETS,"")</f>
        <v>0.1946913152764953</v>
      </c>
      <c r="AE79" s="127">
        <f>IF(AND($A79&lt;&gt;0,$A79&lt;&gt;"",OR(RIGHT(Logic!B79,2)="C)",LEFT(Logic!B79,4)="CSD1")),Num_FETS*0.5*IM_RMS_120*VDC_AVG*Z79*n*MOT_ELEC_FREQ/GDR_SRC,"")</f>
        <v>3.0959752321981418E-5</v>
      </c>
      <c r="AF79" s="127">
        <f>IF(AND($A79&lt;&gt;0,$A79&lt;&gt;"",OR(RIGHT(Logic!B79,2)="C)",LEFT(Logic!B79,4)="CSD1")),Num_FETS*0.5*IM_RMS_120*VDC_AVG*Z79*n*MOT_ELEC_FREQ/GDR_SINK,"")</f>
        <v>2.1052631578947366E-5</v>
      </c>
      <c r="AG79" s="127">
        <f>IF(AND($A79&lt;&gt;0,$A79&lt;&gt;"",OR(RIGHT(Logic!B79,2)="T)",LEFT(Logic!B79,4)="CSD1")),DUTY*IM_RMS_120^2*V79*m/3/Num_FETS,"")</f>
        <v>0.17614928525016238</v>
      </c>
      <c r="AH79" s="127">
        <f>IF(AND($A79&lt;&gt;0,$A79&lt;&gt;"",OR(RIGHT(Logic!B79,2)="T)",LEFT(Logic!B79,4)="CSD1")),Num_FETS*0.5*IM_RMS_120*VDC_AVG*Z79*n*FSW*k/GDR_SRC/3,"")</f>
        <v>6.1919504643962826E-3</v>
      </c>
      <c r="AI79" s="127">
        <f>IF(AND($A79&lt;&gt;0,$A79&lt;&gt;"",OR(RIGHT(Logic!B79,2)="T)",LEFT(Logic!B79,4)="CSD1")),Num_FETS*0.5*IM_RMS_120*VDC_AVG*Z79*n*FSW*k/GDR_SINK/3,"")</f>
        <v>4.2105263157894727E-3</v>
      </c>
      <c r="AJ79" s="127">
        <f t="shared" si="38"/>
        <v>7.5600000000000007E-3</v>
      </c>
      <c r="AK79" s="127">
        <f t="shared" si="39"/>
        <v>1.3966388884290052E-2</v>
      </c>
      <c r="AL79" s="127">
        <f t="shared" si="40"/>
        <v>3.5579200000000005E-2</v>
      </c>
      <c r="AM79" s="127">
        <f t="shared" si="55"/>
        <v>0.41899166652870157</v>
      </c>
      <c r="AN79" s="127">
        <f>IF(AND($A79&lt;&gt;0,$A79&lt;&gt;"",OR(RIGHT(Logic!B79,2)="C)",LEFT(Logic!B79,4)="CSD1")),SUM(AD79:AF79)+(AJ79/3)+AK79+AL79/6+AM79/6,AN80)</f>
        <v>0.28699152763280322</v>
      </c>
      <c r="AO79" s="127">
        <f>IF(AND($A79&lt;&gt;0,$A79&lt;&gt;"",OR(RIGHT(Logic!B79,2)="T)",LEFT(Logic!B79,4)="CSD1")),SUM(AG79:AI79)+(AJ79/3)+AL79/6+AM79/6,AO78)</f>
        <v>0.26483357311846506</v>
      </c>
      <c r="AP79" s="48">
        <f t="shared" si="56"/>
        <v>0.55000000000000004</v>
      </c>
      <c r="AQ79" s="35" t="str">
        <f>IF(AND(A79&lt;&gt;0,A79&lt;&gt;""),LOOKUP(A79,Discrete_NFET[PARTNUMBER],Discrete_NFET[TI_EQ_PACKAGE]),"")</f>
        <v>TO-220</v>
      </c>
      <c r="AR79" s="49">
        <f>IF(AND(A79&lt;&gt;0,A79&lt;&gt;""),LOOKUP(A79,Discrete_NFET[PARTNUMBER],Discrete_NFET[1KPRICE]),"")</f>
        <v>0.78</v>
      </c>
      <c r="AS79" s="35" t="str">
        <f>IF(AND($A79&lt;&gt;0,$A79&lt;&gt;""),CONCATENATE(TEXT(AP79,"0.00"),"W, ",IF('User Input'!F$11="Single Discrete",A79,IF('User Input'!F$11="Dual/Power Block",LEFT(A79,FIND(")",A79)-7),A79)),", ",AQ79,", ",TEXT(AR79,"$0.00")),"Invalid Part")</f>
        <v>0.55W, CSD18542KCS, TO-220, $0.78</v>
      </c>
      <c r="AT79" t="s">
        <v>775</v>
      </c>
      <c r="AW79"/>
    </row>
    <row r="80" spans="1:49" ht="15" customHeight="1" x14ac:dyDescent="0.25">
      <c r="A80" s="35" t="str">
        <f>IF(OR(AND(FET_config="Dual/Power Block",LEFT(Logic!B80,4)="CSD8"),AND(FET_config="Single Discrete",LEFT(Logic!B80,4)="CSD1")),Logic!B80,"")</f>
        <v>CSD18542KTT</v>
      </c>
      <c r="B80" s="37" t="str">
        <f>IF(OR($A80=0,$A80=""),"0",IF(LOOKUP($A80,Discrete_NFET[PARTNUMBER],Discrete_NFET[RDSON25])="(NULL)","0","1"))</f>
        <v>0</v>
      </c>
      <c r="C80" s="38" t="str">
        <f>IF(OR($A80=0,$A80=""),"0",IF(LOOKUP($A80,Discrete_NFET[PARTNUMBER],Discrete_NFET[RDSON3])="(NULL)","0","1"))</f>
        <v>0</v>
      </c>
      <c r="D80" s="40" t="str">
        <f>IF(OR($A80=0,$A80=""),"0",IF(LOOKUP($A80,Discrete_NFET[PARTNUMBER],Discrete_NFET[RDSON45])="(NULL)","0","1"))</f>
        <v>1</v>
      </c>
      <c r="E80" s="45" t="str">
        <f>IF(OR($A80=0,$A80=""),"0",IF(LOOKUP($A80,Discrete_NFET[PARTNUMBER],Discrete_NFET[RDSON6])="(NULL)","0","1"))</f>
        <v>0</v>
      </c>
      <c r="F80" s="34" t="str">
        <f>IF(OR($A80=0,$A80=""),"0",IF(LOOKUP($A80,Discrete_NFET[PARTNUMBER],Discrete_NFET[RDSON8])="(NULL)","0","1"))</f>
        <v>0</v>
      </c>
      <c r="G80" s="43" t="str">
        <f>IF(OR($A80=0,$A80=""),"0",IF(LOOKUP($A80,Discrete_NFET[PARTNUMBER],Discrete_NFET[RDSON10])="(NULL)","0","1"))</f>
        <v>1</v>
      </c>
      <c r="H80" s="36" t="b">
        <f t="shared" si="41"/>
        <v>0</v>
      </c>
      <c r="I80" s="39" t="b">
        <f t="shared" si="42"/>
        <v>0</v>
      </c>
      <c r="J80" s="41" t="b">
        <f t="shared" si="43"/>
        <v>1</v>
      </c>
      <c r="K80" s="46" t="b">
        <f t="shared" si="44"/>
        <v>0</v>
      </c>
      <c r="L80" s="42" t="b">
        <f t="shared" si="45"/>
        <v>0</v>
      </c>
      <c r="M80" s="44" t="b">
        <f t="shared" si="46"/>
        <v>1</v>
      </c>
      <c r="N80" s="47" t="b">
        <f t="shared" si="47"/>
        <v>1</v>
      </c>
      <c r="O80" s="36" t="b">
        <f t="shared" si="48"/>
        <v>0</v>
      </c>
      <c r="P80" s="39" t="b">
        <f t="shared" si="49"/>
        <v>0</v>
      </c>
      <c r="Q80" s="41" t="b">
        <f t="shared" si="50"/>
        <v>1</v>
      </c>
      <c r="R80" s="46" t="b">
        <f t="shared" si="51"/>
        <v>0</v>
      </c>
      <c r="S80" s="42" t="b">
        <f t="shared" si="52"/>
        <v>0</v>
      </c>
      <c r="T80" s="44" t="b">
        <f t="shared" si="53"/>
        <v>1</v>
      </c>
      <c r="U80" s="148">
        <f>IF(T80,LOOKUP(A80,Discrete_NFET[PARTNUMBER],Discrete_NFET[RDSON10])*1000,IF(S80,LOOKUP(A80,Discrete_NFET[PARTNUMBER],Discrete_NFET[RDSON8])*1000,IF(R80,LOOKUP(A80,Discrete_NFET[PARTNUMBER],Discrete_NFET[RDSON6])*1000,IF(Q80,LOOKUP(A80,Discrete_NFET[PARTNUMBER],Discrete_NFET[RDSON45])*1000,IF(P80,LOOKUP(A80,Discrete_NFET[PARTNUMBER],Discrete_NFET[RDSON3])*1000,IF(O80,LOOKUP(A80,Discrete_NFET[PARTNUMBER],Discrete_NFET[RDSON25])*1000,""))))))</f>
        <v>4</v>
      </c>
      <c r="V80" s="48">
        <f>IF(AND(A80&lt;&gt;0,A80&lt;&gt;""),U80*(1+(Tj-25)*(LOOKUP(A80,Discrete_NFET[PARTNUMBER],Discrete_NFET[RDSDELTA])/((LOOKUP(A80,Discrete_NFET[PARTNUMBER],Discrete_NFET[TJMAX])-25)))),"")</f>
        <v>4.6266666666666669</v>
      </c>
      <c r="W80" s="35">
        <f>IF(AND($A80&lt;&gt;0,$A80&lt;&gt;""),LOOKUP($A80,Discrete_NFET[PARTNUMBER],Discrete_NFET[QGS]),"")</f>
        <v>13</v>
      </c>
      <c r="X80" s="35">
        <f>IF(AND($A80&lt;&gt;0,$A80&lt;&gt;""),LOOKUP($A80,Discrete_NFET[PARTNUMBER],Discrete_NFET[QGD]),"")</f>
        <v>6.9</v>
      </c>
      <c r="Y80" s="35">
        <f>IF(AND($A80&lt;&gt;0,$A80&lt;&gt;""),LOOKUP($A80,Discrete_NFET[PARTNUMBER],Discrete_NFET[QGTH]),"")</f>
        <v>7.3</v>
      </c>
      <c r="Z80" s="35">
        <f t="shared" si="54"/>
        <v>12.599999999999998</v>
      </c>
      <c r="AA80" s="35">
        <f>IF(AND($A80&lt;&gt;0,$A80&lt;&gt;""),LOOKUP($A80,Discrete_NFET[PARTNUMBER],Discrete_NFET[QOSSTYP]),"")</f>
        <v>63</v>
      </c>
      <c r="AB80" s="35">
        <f>IF(AND($A80&lt;&gt;0,$A80&lt;&gt;""),LOOKUP($A80,Discrete_NFET[PARTNUMBER],Discrete_NFET[QRR]),"")</f>
        <v>132</v>
      </c>
      <c r="AC80" s="35">
        <f>IF(AND(A80&lt;&gt;0,A80&lt;&gt;""),LOOKUP(A80,Discrete_NFET[PARTNUMBER],Discrete_NFET[VF_TYP]),"")</f>
        <v>0.9</v>
      </c>
      <c r="AD80" s="127">
        <f>IF(AND($A80&lt;&gt;0,$A80&lt;&gt;"",OR(RIGHT(Logic!B80,2)="C)",LEFT(Logic!B80,4)="CSD1")),(1+(1-DUTY))*IM_RMS_120^2*V80*m/3/Num_FETS,"")</f>
        <v>0.1946913152764953</v>
      </c>
      <c r="AE80" s="127">
        <f>IF(AND($A80&lt;&gt;0,$A80&lt;&gt;"",OR(RIGHT(Logic!B80,2)="C)",LEFT(Logic!B80,4)="CSD1")),Num_FETS*0.5*IM_RMS_120*VDC_AVG*Z80*n*MOT_ELEC_FREQ/GDR_SRC,"")</f>
        <v>4.0634674922600607E-5</v>
      </c>
      <c r="AF80" s="127">
        <f>IF(AND($A80&lt;&gt;0,$A80&lt;&gt;"",OR(RIGHT(Logic!B80,2)="C)",LEFT(Logic!B80,4)="CSD1")),Num_FETS*0.5*IM_RMS_120*VDC_AVG*Z80*n*MOT_ELEC_FREQ/GDR_SINK,"")</f>
        <v>2.7631578947368416E-5</v>
      </c>
      <c r="AG80" s="127">
        <f>IF(AND($A80&lt;&gt;0,$A80&lt;&gt;"",OR(RIGHT(Logic!B80,2)="T)",LEFT(Logic!B80,4)="CSD1")),DUTY*IM_RMS_120^2*V80*m/3/Num_FETS,"")</f>
        <v>0.17614928525016238</v>
      </c>
      <c r="AH80" s="127">
        <f>IF(AND($A80&lt;&gt;0,$A80&lt;&gt;"",OR(RIGHT(Logic!B80,2)="T)",LEFT(Logic!B80,4)="CSD1")),Num_FETS*0.5*IM_RMS_120*VDC_AVG*Z80*n*FSW*k/GDR_SRC/3,"")</f>
        <v>8.1269349845201223E-3</v>
      </c>
      <c r="AI80" s="127">
        <f>IF(AND($A80&lt;&gt;0,$A80&lt;&gt;"",OR(RIGHT(Logic!B80,2)="T)",LEFT(Logic!B80,4)="CSD1")),Num_FETS*0.5*IM_RMS_120*VDC_AVG*Z80*n*FSW*k/GDR_SINK/3,"")</f>
        <v>5.5263157894736839E-3</v>
      </c>
      <c r="AJ80" s="127">
        <f t="shared" si="38"/>
        <v>7.5600000000000007E-3</v>
      </c>
      <c r="AK80" s="127">
        <f t="shared" si="39"/>
        <v>1.3966388884290052E-2</v>
      </c>
      <c r="AL80" s="127">
        <f t="shared" si="40"/>
        <v>3.1732799999999999E-2</v>
      </c>
      <c r="AM80" s="127">
        <f t="shared" si="55"/>
        <v>0.41899166652870157</v>
      </c>
      <c r="AN80" s="127">
        <f>IF(AND($A80&lt;&gt;0,$A80&lt;&gt;"",OR(RIGHT(Logic!B80,2)="C)",LEFT(Logic!B80,4)="CSD1")),SUM(AD80:AF80)+(AJ80/3)+AK80+AL80/6+AM80/6,AN81)</f>
        <v>0.2863667148361056</v>
      </c>
      <c r="AO80" s="127">
        <f>IF(AND($A80&lt;&gt;0,$A80&lt;&gt;"",OR(RIGHT(Logic!B80,2)="T)",LEFT(Logic!B80,4)="CSD1")),SUM(AG80:AI80)+(AJ80/3)+AL80/6+AM80/6,AO79)</f>
        <v>0.26744328044560645</v>
      </c>
      <c r="AP80" s="48">
        <f t="shared" si="56"/>
        <v>0.55000000000000004</v>
      </c>
      <c r="AQ80" s="35" t="str">
        <f>IF(AND(A80&lt;&gt;0,A80&lt;&gt;""),LOOKUP(A80,Discrete_NFET[PARTNUMBER],Discrete_NFET[TI_EQ_PACKAGE]),"")</f>
        <v>DDPAK</v>
      </c>
      <c r="AR80" s="49">
        <f>IF(AND(A80&lt;&gt;0,A80&lt;&gt;""),LOOKUP(A80,Discrete_NFET[PARTNUMBER],Discrete_NFET[1KPRICE]),"")</f>
        <v>0.82</v>
      </c>
      <c r="AS80" s="35" t="str">
        <f>IF(AND($A80&lt;&gt;0,$A80&lt;&gt;""),CONCATENATE(TEXT(AP80,"0.00"),"W, ",IF('User Input'!F$11="Single Discrete",A80,IF('User Input'!F$11="Dual/Power Block",LEFT(A80,FIND(")",A80)-7),A80)),", ",AQ80,", ",TEXT(AR80,"$0.00")),"Invalid Part")</f>
        <v>0.55W, CSD18542KTT, DDPAK, $0.82</v>
      </c>
      <c r="AT80" t="s">
        <v>748</v>
      </c>
      <c r="AW80"/>
    </row>
    <row r="81" spans="1:49" ht="15" customHeight="1" x14ac:dyDescent="0.25">
      <c r="A81" s="35" t="str">
        <f>IF(OR(AND(FET_config="Dual/Power Block",LEFT(Logic!B81,4)="CSD8"),AND(FET_config="Single Discrete",LEFT(Logic!B81,4)="CSD1")),Logic!B81,"")</f>
        <v>CSD18543Q3A</v>
      </c>
      <c r="B81" s="37" t="str">
        <f>IF(OR($A81=0,$A81=""),"0",IF(LOOKUP($A81,Discrete_NFET[PARTNUMBER],Discrete_NFET[RDSON25])="(NULL)","0","1"))</f>
        <v>0</v>
      </c>
      <c r="C81" s="38" t="str">
        <f>IF(OR($A81=0,$A81=""),"0",IF(LOOKUP($A81,Discrete_NFET[PARTNUMBER],Discrete_NFET[RDSON3])="(NULL)","0","1"))</f>
        <v>0</v>
      </c>
      <c r="D81" s="40" t="str">
        <f>IF(OR($A81=0,$A81=""),"0",IF(LOOKUP($A81,Discrete_NFET[PARTNUMBER],Discrete_NFET[RDSON45])="(NULL)","0","1"))</f>
        <v>1</v>
      </c>
      <c r="E81" s="45" t="str">
        <f>IF(OR($A81=0,$A81=""),"0",IF(LOOKUP($A81,Discrete_NFET[PARTNUMBER],Discrete_NFET[RDSON6])="(NULL)","0","1"))</f>
        <v>0</v>
      </c>
      <c r="F81" s="34" t="str">
        <f>IF(OR($A81=0,$A81=""),"0",IF(LOOKUP($A81,Discrete_NFET[PARTNUMBER],Discrete_NFET[RDSON8])="(NULL)","0","1"))</f>
        <v>0</v>
      </c>
      <c r="G81" s="43" t="str">
        <f>IF(OR($A81=0,$A81=""),"0",IF(LOOKUP($A81,Discrete_NFET[PARTNUMBER],Discrete_NFET[RDSON10])="(NULL)","0","1"))</f>
        <v>1</v>
      </c>
      <c r="H81" s="36" t="b">
        <f t="shared" si="41"/>
        <v>0</v>
      </c>
      <c r="I81" s="39" t="b">
        <f t="shared" si="42"/>
        <v>0</v>
      </c>
      <c r="J81" s="41" t="b">
        <f t="shared" si="43"/>
        <v>1</v>
      </c>
      <c r="K81" s="46" t="b">
        <f t="shared" si="44"/>
        <v>0</v>
      </c>
      <c r="L81" s="42" t="b">
        <f t="shared" si="45"/>
        <v>0</v>
      </c>
      <c r="M81" s="44" t="b">
        <f t="shared" si="46"/>
        <v>1</v>
      </c>
      <c r="N81" s="47" t="b">
        <f t="shared" si="47"/>
        <v>1</v>
      </c>
      <c r="O81" s="36" t="b">
        <f t="shared" si="48"/>
        <v>0</v>
      </c>
      <c r="P81" s="39" t="b">
        <f t="shared" si="49"/>
        <v>0</v>
      </c>
      <c r="Q81" s="41" t="b">
        <f t="shared" si="50"/>
        <v>1</v>
      </c>
      <c r="R81" s="46" t="b">
        <f t="shared" si="51"/>
        <v>0</v>
      </c>
      <c r="S81" s="42" t="b">
        <f t="shared" si="52"/>
        <v>0</v>
      </c>
      <c r="T81" s="44" t="b">
        <f t="shared" si="53"/>
        <v>1</v>
      </c>
      <c r="U81" s="148">
        <f>IF(T81,LOOKUP(A81,Discrete_NFET[PARTNUMBER],Discrete_NFET[RDSON10])*1000,IF(S81,LOOKUP(A81,Discrete_NFET[PARTNUMBER],Discrete_NFET[RDSON8])*1000,IF(R81,LOOKUP(A81,Discrete_NFET[PARTNUMBER],Discrete_NFET[RDSON6])*1000,IF(Q81,LOOKUP(A81,Discrete_NFET[PARTNUMBER],Discrete_NFET[RDSON45])*1000,IF(P81,LOOKUP(A81,Discrete_NFET[PARTNUMBER],Discrete_NFET[RDSON3])*1000,IF(O81,LOOKUP(A81,Discrete_NFET[PARTNUMBER],Discrete_NFET[RDSON25])*1000,""))))))</f>
        <v>9.9</v>
      </c>
      <c r="V81" s="48">
        <f>IF(AND(A81&lt;&gt;0,A81&lt;&gt;""),U81*(1+(Tj-25)*(LOOKUP(A81,Discrete_NFET[PARTNUMBER],Discrete_NFET[RDSDELTA])/((LOOKUP(A81,Discrete_NFET[PARTNUMBER],Discrete_NFET[TJMAX])-25)))),"")</f>
        <v>11.781000000000001</v>
      </c>
      <c r="W81" s="35">
        <f>IF(AND($A81&lt;&gt;0,$A81&lt;&gt;""),LOOKUP($A81,Discrete_NFET[PARTNUMBER],Discrete_NFET[QGS]),"")</f>
        <v>3.1</v>
      </c>
      <c r="X81" s="35">
        <f>IF(AND($A81&lt;&gt;0,$A81&lt;&gt;""),LOOKUP($A81,Discrete_NFET[PARTNUMBER],Discrete_NFET[QGD]),"")</f>
        <v>1.7</v>
      </c>
      <c r="Y81" s="35">
        <f>IF(AND($A81&lt;&gt;0,$A81&lt;&gt;""),LOOKUP($A81,Discrete_NFET[PARTNUMBER],Discrete_NFET[QGTH]),"")</f>
        <v>2</v>
      </c>
      <c r="Z81" s="35">
        <f t="shared" si="54"/>
        <v>2.8</v>
      </c>
      <c r="AA81" s="35">
        <f>IF(AND($A81&lt;&gt;0,$A81&lt;&gt;""),LOOKUP($A81,Discrete_NFET[PARTNUMBER],Discrete_NFET[QOSSTYP]),"")</f>
        <v>24</v>
      </c>
      <c r="AB81" s="35">
        <f>IF(AND($A81&lt;&gt;0,$A81&lt;&gt;""),LOOKUP($A81,Discrete_NFET[PARTNUMBER],Discrete_NFET[QRR]),"")</f>
        <v>37</v>
      </c>
      <c r="AC81" s="35">
        <f>IF(AND(A81&lt;&gt;0,A81&lt;&gt;""),LOOKUP(A81,Discrete_NFET[PARTNUMBER],Discrete_NFET[VF_TYP]),"")</f>
        <v>0.8</v>
      </c>
      <c r="AD81" s="127">
        <f>IF(AND($A81&lt;&gt;0,$A81&lt;&gt;"",OR(RIGHT(Logic!B81,2)="C)",LEFT(Logic!B81,4)="CSD1")),(1+(1-DUTY))*IM_RMS_120^2*V81*m/3/Num_FETS,"")</f>
        <v>0.49574748961218834</v>
      </c>
      <c r="AE81" s="127">
        <f>IF(AND($A81&lt;&gt;0,$A81&lt;&gt;"",OR(RIGHT(Logic!B81,2)="C)",LEFT(Logic!B81,4)="CSD1")),Num_FETS*0.5*IM_RMS_120*VDC_AVG*Z81*n*MOT_ELEC_FREQ/GDR_SRC,"")</f>
        <v>9.0299277605779141E-6</v>
      </c>
      <c r="AF81" s="127">
        <f>IF(AND($A81&lt;&gt;0,$A81&lt;&gt;"",OR(RIGHT(Logic!B81,2)="C)",LEFT(Logic!B81,4)="CSD1")),Num_FETS*0.5*IM_RMS_120*VDC_AVG*Z81*n*MOT_ELEC_FREQ/GDR_SINK,"")</f>
        <v>6.1403508771929822E-6</v>
      </c>
      <c r="AG81" s="127">
        <f>IF(AND($A81&lt;&gt;0,$A81&lt;&gt;"",OR(RIGHT(Logic!B81,2)="T)",LEFT(Logic!B81,4)="CSD1")),DUTY*IM_RMS_120^2*V81*m/3/Num_FETS,"")</f>
        <v>0.44853344298245607</v>
      </c>
      <c r="AH81" s="127">
        <f>IF(AND($A81&lt;&gt;0,$A81&lt;&gt;"",OR(RIGHT(Logic!B81,2)="T)",LEFT(Logic!B81,4)="CSD1")),Num_FETS*0.5*IM_RMS_120*VDC_AVG*Z81*n*FSW*k/GDR_SRC/3,"")</f>
        <v>1.8059855521155828E-3</v>
      </c>
      <c r="AI81" s="127">
        <f>IF(AND($A81&lt;&gt;0,$A81&lt;&gt;"",OR(RIGHT(Logic!B81,2)="T)",LEFT(Logic!B81,4)="CSD1")),Num_FETS*0.5*IM_RMS_120*VDC_AVG*Z81*n*FSW*k/GDR_SINK/3,"")</f>
        <v>1.2280701754385965E-3</v>
      </c>
      <c r="AJ81" s="127">
        <f t="shared" si="38"/>
        <v>2.8800000000000002E-3</v>
      </c>
      <c r="AK81" s="127">
        <f t="shared" si="39"/>
        <v>1.2414567897146714E-2</v>
      </c>
      <c r="AL81" s="127">
        <f t="shared" si="40"/>
        <v>8.8948000000000013E-3</v>
      </c>
      <c r="AM81" s="127">
        <f t="shared" si="55"/>
        <v>0.37243703691440144</v>
      </c>
      <c r="AN81" s="127">
        <f>IF(AND($A81&lt;&gt;0,$A81&lt;&gt;"",OR(RIGHT(Logic!B81,2)="C)",LEFT(Logic!B81,4)="CSD1")),SUM(AD81:AF81)+(AJ81/3)+AK81+AL81/6+AM81/6,AN82)</f>
        <v>0.57269253394037312</v>
      </c>
      <c r="AO81" s="127">
        <f>IF(AND($A81&lt;&gt;0,$A81&lt;&gt;"",OR(RIGHT(Logic!B81,2)="T)",LEFT(Logic!B81,4)="CSD1")),SUM(AG81:AI81)+(AJ81/3)+AL81/6+AM81/6,AO80)</f>
        <v>0.51608280486241054</v>
      </c>
      <c r="AP81" s="48">
        <f t="shared" si="56"/>
        <v>1.0900000000000001</v>
      </c>
      <c r="AQ81" s="35" t="str">
        <f>IF(AND(A81&lt;&gt;0,A81&lt;&gt;""),LOOKUP(A81,Discrete_NFET[PARTNUMBER],Discrete_NFET[TI_EQ_PACKAGE]),"")</f>
        <v>SON3X3</v>
      </c>
      <c r="AR81" s="49">
        <f>IF(AND(A81&lt;&gt;0,A81&lt;&gt;""),LOOKUP(A81,Discrete_NFET[PARTNUMBER],Discrete_NFET[1KPRICE]),"")</f>
        <v>0.25</v>
      </c>
      <c r="AS81" s="35" t="str">
        <f>IF(AND($A81&lt;&gt;0,$A81&lt;&gt;""),CONCATENATE(TEXT(AP81,"0.00"),"W, ",IF('User Input'!F$11="Single Discrete",A81,IF('User Input'!F$11="Dual/Power Block",LEFT(A81,FIND(")",A81)-7),A81)),", ",AQ81,", ",TEXT(AR81,"$0.00")),"Invalid Part")</f>
        <v>1.09W, CSD18543Q3A, SON3X3, $0.25</v>
      </c>
      <c r="AT81" t="s">
        <v>774</v>
      </c>
      <c r="AW81"/>
    </row>
    <row r="82" spans="1:49" ht="15" customHeight="1" x14ac:dyDescent="0.25">
      <c r="A82" s="35" t="str">
        <f>IF(OR(AND(FET_config="Dual/Power Block",LEFT(Logic!B82,4)="CSD8"),AND(FET_config="Single Discrete",LEFT(Logic!B82,4)="CSD1")),Logic!B82,"")</f>
        <v>CSD18563Q5A</v>
      </c>
      <c r="B82" s="37" t="str">
        <f>IF(OR($A82=0,$A82=""),"0",IF(LOOKUP($A82,Discrete_NFET[PARTNUMBER],Discrete_NFET[RDSON25])="(NULL)","0","1"))</f>
        <v>0</v>
      </c>
      <c r="C82" s="38" t="str">
        <f>IF(OR($A82=0,$A82=""),"0",IF(LOOKUP($A82,Discrete_NFET[PARTNUMBER],Discrete_NFET[RDSON3])="(NULL)","0","1"))</f>
        <v>0</v>
      </c>
      <c r="D82" s="40" t="str">
        <f>IF(OR($A82=0,$A82=""),"0",IF(LOOKUP($A82,Discrete_NFET[PARTNUMBER],Discrete_NFET[RDSON45])="(NULL)","0","1"))</f>
        <v>1</v>
      </c>
      <c r="E82" s="45" t="str">
        <f>IF(OR($A82=0,$A82=""),"0",IF(LOOKUP($A82,Discrete_NFET[PARTNUMBER],Discrete_NFET[RDSON6])="(NULL)","0","1"))</f>
        <v>0</v>
      </c>
      <c r="F82" s="34" t="str">
        <f>IF(OR($A82=0,$A82=""),"0",IF(LOOKUP($A82,Discrete_NFET[PARTNUMBER],Discrete_NFET[RDSON8])="(NULL)","0","1"))</f>
        <v>0</v>
      </c>
      <c r="G82" s="43" t="str">
        <f>IF(OR($A82=0,$A82=""),"0",IF(LOOKUP($A82,Discrete_NFET[PARTNUMBER],Discrete_NFET[RDSON10])="(NULL)","0","1"))</f>
        <v>1</v>
      </c>
      <c r="H82" s="36" t="b">
        <f t="shared" si="41"/>
        <v>0</v>
      </c>
      <c r="I82" s="39" t="b">
        <f t="shared" si="42"/>
        <v>0</v>
      </c>
      <c r="J82" s="41" t="b">
        <f t="shared" si="43"/>
        <v>1</v>
      </c>
      <c r="K82" s="46" t="b">
        <f t="shared" si="44"/>
        <v>0</v>
      </c>
      <c r="L82" s="42" t="b">
        <f t="shared" si="45"/>
        <v>0</v>
      </c>
      <c r="M82" s="44" t="b">
        <f t="shared" si="46"/>
        <v>1</v>
      </c>
      <c r="N82" s="47" t="b">
        <f t="shared" si="47"/>
        <v>1</v>
      </c>
      <c r="O82" s="36" t="b">
        <f t="shared" si="48"/>
        <v>0</v>
      </c>
      <c r="P82" s="39" t="b">
        <f t="shared" si="49"/>
        <v>0</v>
      </c>
      <c r="Q82" s="41" t="b">
        <f t="shared" si="50"/>
        <v>1</v>
      </c>
      <c r="R82" s="46" t="b">
        <f t="shared" si="51"/>
        <v>0</v>
      </c>
      <c r="S82" s="42" t="b">
        <f t="shared" si="52"/>
        <v>0</v>
      </c>
      <c r="T82" s="44" t="b">
        <f t="shared" si="53"/>
        <v>1</v>
      </c>
      <c r="U82" s="148">
        <f>IF(T82,LOOKUP(A82,Discrete_NFET[PARTNUMBER],Discrete_NFET[RDSON10])*1000,IF(S82,LOOKUP(A82,Discrete_NFET[PARTNUMBER],Discrete_NFET[RDSON8])*1000,IF(R82,LOOKUP(A82,Discrete_NFET[PARTNUMBER],Discrete_NFET[RDSON6])*1000,IF(Q82,LOOKUP(A82,Discrete_NFET[PARTNUMBER],Discrete_NFET[RDSON45])*1000,IF(P82,LOOKUP(A82,Discrete_NFET[PARTNUMBER],Discrete_NFET[RDSON3])*1000,IF(O82,LOOKUP(A82,Discrete_NFET[PARTNUMBER],Discrete_NFET[RDSON25])*1000,""))))))</f>
        <v>6.8</v>
      </c>
      <c r="V82" s="48">
        <f>IF(AND(A82&lt;&gt;0,A82&lt;&gt;""),U82*(1+(Tj-25)*(LOOKUP(A82,Discrete_NFET[PARTNUMBER],Discrete_NFET[RDSDELTA])/((LOOKUP(A82,Discrete_NFET[PARTNUMBER],Discrete_NFET[TJMAX])-25)))),"")</f>
        <v>8.0919999999999987</v>
      </c>
      <c r="W82" s="35">
        <f>IF(AND($A82&lt;&gt;0,$A82&lt;&gt;""),LOOKUP($A82,Discrete_NFET[PARTNUMBER],Discrete_NFET[QGS]),"")</f>
        <v>3.3</v>
      </c>
      <c r="X82" s="35">
        <f>IF(AND($A82&lt;&gt;0,$A82&lt;&gt;""),LOOKUP($A82,Discrete_NFET[PARTNUMBER],Discrete_NFET[QGD]),"")</f>
        <v>2.9</v>
      </c>
      <c r="Y82" s="35">
        <f>IF(AND($A82&lt;&gt;0,$A82&lt;&gt;""),LOOKUP($A82,Discrete_NFET[PARTNUMBER],Discrete_NFET[QGTH]),"")</f>
        <v>2.2999999999999998</v>
      </c>
      <c r="Z82" s="35">
        <f t="shared" si="54"/>
        <v>3.8999999999999995</v>
      </c>
      <c r="AA82" s="35">
        <f>IF(AND($A82&lt;&gt;0,$A82&lt;&gt;""),LOOKUP($A82,Discrete_NFET[PARTNUMBER],Discrete_NFET[QOSSTYP]),"")</f>
        <v>36</v>
      </c>
      <c r="AB82" s="35">
        <f>IF(AND($A82&lt;&gt;0,$A82&lt;&gt;""),LOOKUP($A82,Discrete_NFET[PARTNUMBER],Discrete_NFET[QRR]),"")</f>
        <v>63</v>
      </c>
      <c r="AC82" s="35">
        <f>IF(AND(A82&lt;&gt;0,A82&lt;&gt;""),LOOKUP(A82,Discrete_NFET[PARTNUMBER],Discrete_NFET[VF_TYP]),"")</f>
        <v>0.8</v>
      </c>
      <c r="AD82" s="127">
        <f>IF(AND($A82&lt;&gt;0,$A82&lt;&gt;"",OR(RIGHT(Logic!B82,2)="C)",LEFT(Logic!B82,4)="CSD1")),(1+(1-DUTY))*IM_RMS_120^2*V82*m/3/Num_FETS,"")</f>
        <v>0.34051342720837169</v>
      </c>
      <c r="AE82" s="127">
        <f>IF(AND($A82&lt;&gt;0,$A82&lt;&gt;"",OR(RIGHT(Logic!B82,2)="C)",LEFT(Logic!B82,4)="CSD1")),Num_FETS*0.5*IM_RMS_120*VDC_AVG*Z82*n*MOT_ELEC_FREQ/GDR_SRC,"")</f>
        <v>1.2577399380804951E-5</v>
      </c>
      <c r="AF82" s="127">
        <f>IF(AND($A82&lt;&gt;0,$A82&lt;&gt;"",OR(RIGHT(Logic!B82,2)="C)",LEFT(Logic!B82,4)="CSD1")),Num_FETS*0.5*IM_RMS_120*VDC_AVG*Z82*n*MOT_ELEC_FREQ/GDR_SINK,"")</f>
        <v>8.5526315789473666E-6</v>
      </c>
      <c r="AG82" s="127">
        <f>IF(AND($A82&lt;&gt;0,$A82&lt;&gt;"",OR(RIGHT(Logic!B82,2)="T)",LEFT(Logic!B82,4)="CSD1")),DUTY*IM_RMS_120^2*V82*m/3/Num_FETS,"")</f>
        <v>0.30808357699805056</v>
      </c>
      <c r="AH82" s="127">
        <f>IF(AND($A82&lt;&gt;0,$A82&lt;&gt;"",OR(RIGHT(Logic!B82,2)="T)",LEFT(Logic!B82,4)="CSD1")),Num_FETS*0.5*IM_RMS_120*VDC_AVG*Z82*n*FSW*k/GDR_SRC/3,"")</f>
        <v>2.5154798761609898E-3</v>
      </c>
      <c r="AI82" s="127">
        <f>IF(AND($A82&lt;&gt;0,$A82&lt;&gt;"",OR(RIGHT(Logic!B82,2)="T)",LEFT(Logic!B82,4)="CSD1")),Num_FETS*0.5*IM_RMS_120*VDC_AVG*Z82*n*FSW*k/GDR_SINK/3,"")</f>
        <v>1.7105263157894731E-3</v>
      </c>
      <c r="AJ82" s="127">
        <f t="shared" si="38"/>
        <v>4.3200000000000001E-3</v>
      </c>
      <c r="AK82" s="127">
        <f t="shared" si="39"/>
        <v>1.2414567897146714E-2</v>
      </c>
      <c r="AL82" s="127">
        <f t="shared" si="40"/>
        <v>1.5145200000000001E-2</v>
      </c>
      <c r="AM82" s="127">
        <f t="shared" si="55"/>
        <v>0.37243703691440144</v>
      </c>
      <c r="AN82" s="127">
        <f>IF(AND($A82&lt;&gt;0,$A82&lt;&gt;"",OR(RIGHT(Logic!B82,2)="C)",LEFT(Logic!B82,4)="CSD1")),SUM(AD82:AF82)+(AJ82/3)+AK82+AL82/6+AM82/6,AN83)</f>
        <v>0.41898616462221172</v>
      </c>
      <c r="AO82" s="127">
        <f>IF(AND($A82&lt;&gt;0,$A82&lt;&gt;"",OR(RIGHT(Logic!B82,2)="T)",LEFT(Logic!B82,4)="CSD1")),SUM(AG82:AI82)+(AJ82/3)+AL82/6+AM82/6,AO81)</f>
        <v>0.37834662267573455</v>
      </c>
      <c r="AP82" s="48">
        <f t="shared" si="56"/>
        <v>0.8</v>
      </c>
      <c r="AQ82" s="35" t="str">
        <f>IF(AND(A82&lt;&gt;0,A82&lt;&gt;""),LOOKUP(A82,Discrete_NFET[PARTNUMBER],Discrete_NFET[TI_EQ_PACKAGE]),"")</f>
        <v>SON5X6</v>
      </c>
      <c r="AR82" s="49">
        <f>IF(AND(A82&lt;&gt;0,A82&lt;&gt;""),LOOKUP(A82,Discrete_NFET[PARTNUMBER],Discrete_NFET[1KPRICE]),"")</f>
        <v>0.45</v>
      </c>
      <c r="AS82" s="35" t="str">
        <f>IF(AND($A82&lt;&gt;0,$A82&lt;&gt;""),CONCATENATE(TEXT(AP82,"0.00"),"W, ",IF('User Input'!F$11="Single Discrete",A82,IF('User Input'!F$11="Dual/Power Block",LEFT(A82,FIND(")",A82)-7),A82)),", ",AQ82,", ",TEXT(AR82,"$0.00")),"Invalid Part")</f>
        <v>0.80W, CSD18563Q5A, SON5X6, $0.45</v>
      </c>
      <c r="AT82" t="s">
        <v>747</v>
      </c>
      <c r="AW82"/>
    </row>
    <row r="83" spans="1:49" ht="15" customHeight="1" x14ac:dyDescent="0.25">
      <c r="A83" s="35" t="str">
        <f>IF(OR(AND(FET_config="Dual/Power Block",LEFT(Logic!B83,4)="CSD8"),AND(FET_config="Single Discrete",LEFT(Logic!B83,4)="CSD1")),Logic!B83,"")</f>
        <v>CSD19501KCS</v>
      </c>
      <c r="B83" s="37" t="str">
        <f>IF(OR($A83=0,$A83=""),"0",IF(LOOKUP($A83,Discrete_NFET[PARTNUMBER],Discrete_NFET[RDSON25])="(NULL)","0","1"))</f>
        <v>0</v>
      </c>
      <c r="C83" s="38" t="str">
        <f>IF(OR($A83=0,$A83=""),"0",IF(LOOKUP($A83,Discrete_NFET[PARTNUMBER],Discrete_NFET[RDSON3])="(NULL)","0","1"))</f>
        <v>0</v>
      </c>
      <c r="D83" s="40" t="str">
        <f>IF(OR($A83=0,$A83=""),"0",IF(LOOKUP($A83,Discrete_NFET[PARTNUMBER],Discrete_NFET[RDSON45])="(NULL)","0","1"))</f>
        <v>0</v>
      </c>
      <c r="E83" s="45" t="str">
        <f>IF(OR($A83=0,$A83=""),"0",IF(LOOKUP($A83,Discrete_NFET[PARTNUMBER],Discrete_NFET[RDSON6])="(NULL)","0","1"))</f>
        <v>1</v>
      </c>
      <c r="F83" s="34" t="str">
        <f>IF(OR($A83=0,$A83=""),"0",IF(LOOKUP($A83,Discrete_NFET[PARTNUMBER],Discrete_NFET[RDSON8])="(NULL)","0","1"))</f>
        <v>0</v>
      </c>
      <c r="G83" s="43" t="str">
        <f>IF(OR($A83=0,$A83=""),"0",IF(LOOKUP($A83,Discrete_NFET[PARTNUMBER],Discrete_NFET[RDSON10])="(NULL)","0","1"))</f>
        <v>1</v>
      </c>
      <c r="H83" s="36" t="b">
        <f t="shared" si="41"/>
        <v>0</v>
      </c>
      <c r="I83" s="39" t="b">
        <f t="shared" si="42"/>
        <v>0</v>
      </c>
      <c r="J83" s="41" t="b">
        <f t="shared" si="43"/>
        <v>0</v>
      </c>
      <c r="K83" s="46" t="b">
        <f t="shared" si="44"/>
        <v>1</v>
      </c>
      <c r="L83" s="42" t="b">
        <f t="shared" si="45"/>
        <v>0</v>
      </c>
      <c r="M83" s="44" t="b">
        <f t="shared" si="46"/>
        <v>1</v>
      </c>
      <c r="N83" s="47" t="b">
        <f t="shared" si="47"/>
        <v>1</v>
      </c>
      <c r="O83" s="36" t="b">
        <f t="shared" si="48"/>
        <v>0</v>
      </c>
      <c r="P83" s="39" t="b">
        <f t="shared" si="49"/>
        <v>0</v>
      </c>
      <c r="Q83" s="41" t="b">
        <f t="shared" si="50"/>
        <v>0</v>
      </c>
      <c r="R83" s="46" t="b">
        <f t="shared" si="51"/>
        <v>1</v>
      </c>
      <c r="S83" s="42" t="b">
        <f t="shared" si="52"/>
        <v>0</v>
      </c>
      <c r="T83" s="44" t="b">
        <f t="shared" si="53"/>
        <v>1</v>
      </c>
      <c r="U83" s="148">
        <f>IF(T83,LOOKUP(A83,Discrete_NFET[PARTNUMBER],Discrete_NFET[RDSON10])*1000,IF(S83,LOOKUP(A83,Discrete_NFET[PARTNUMBER],Discrete_NFET[RDSON8])*1000,IF(R83,LOOKUP(A83,Discrete_NFET[PARTNUMBER],Discrete_NFET[RDSON6])*1000,IF(Q83,LOOKUP(A83,Discrete_NFET[PARTNUMBER],Discrete_NFET[RDSON45])*1000,IF(P83,LOOKUP(A83,Discrete_NFET[PARTNUMBER],Discrete_NFET[RDSON3])*1000,IF(O83,LOOKUP(A83,Discrete_NFET[PARTNUMBER],Discrete_NFET[RDSON25])*1000,""))))))</f>
        <v>6.6</v>
      </c>
      <c r="V83" s="48">
        <f>IF(AND(A83&lt;&gt;0,A83&lt;&gt;""),U83*(1+(Tj-25)*(LOOKUP(A83,Discrete_NFET[PARTNUMBER],Discrete_NFET[RDSDELTA])/((LOOKUP(A83,Discrete_NFET[PARTNUMBER],Discrete_NFET[TJMAX])-25)))),"")</f>
        <v>7.6340000000000003</v>
      </c>
      <c r="W83" s="35">
        <f>IF(AND($A83&lt;&gt;0,$A83&lt;&gt;""),LOOKUP($A83,Discrete_NFET[PARTNUMBER],Discrete_NFET[QGS]),"")</f>
        <v>12.4</v>
      </c>
      <c r="X83" s="35">
        <f>IF(AND($A83&lt;&gt;0,$A83&lt;&gt;""),LOOKUP($A83,Discrete_NFET[PARTNUMBER],Discrete_NFET[QGD]),"")</f>
        <v>5.8</v>
      </c>
      <c r="Y83" s="35">
        <f>IF(AND($A83&lt;&gt;0,$A83&lt;&gt;""),LOOKUP($A83,Discrete_NFET[PARTNUMBER],Discrete_NFET[QGTH]),"")</f>
        <v>7.5</v>
      </c>
      <c r="Z83" s="35">
        <f t="shared" si="54"/>
        <v>10.7</v>
      </c>
      <c r="AA83" s="35">
        <f>IF(AND($A83&lt;&gt;0,$A83&lt;&gt;""),LOOKUP($A83,Discrete_NFET[PARTNUMBER],Discrete_NFET[QOSSTYP]),"")</f>
        <v>98</v>
      </c>
      <c r="AB83" s="35">
        <f>IF(AND($A83&lt;&gt;0,$A83&lt;&gt;""),LOOKUP($A83,Discrete_NFET[PARTNUMBER],Discrete_NFET[QRR]),"")</f>
        <v>230</v>
      </c>
      <c r="AC83" s="35">
        <f>IF(AND(A83&lt;&gt;0,A83&lt;&gt;""),LOOKUP(A83,Discrete_NFET[PARTNUMBER],Discrete_NFET[VF_TYP]),"")</f>
        <v>0.9</v>
      </c>
      <c r="AD83" s="127">
        <f>IF(AND($A83&lt;&gt;0,$A83&lt;&gt;"",OR(RIGHT(Logic!B83,2)="C)",LEFT(Logic!B83,4)="CSD1")),(1+(1-DUTY))*IM_RMS_120^2*V83*m/3/Num_FETS,"")</f>
        <v>0.32124067020621727</v>
      </c>
      <c r="AE83" s="127">
        <f>IF(AND($A83&lt;&gt;0,$A83&lt;&gt;"",OR(RIGHT(Logic!B83,2)="C)",LEFT(Logic!B83,4)="CSD1")),Num_FETS*0.5*IM_RMS_120*VDC_AVG*Z83*n*MOT_ELEC_FREQ/GDR_SRC,"")</f>
        <v>3.4507223942208453E-5</v>
      </c>
      <c r="AF83" s="127">
        <f>IF(AND($A83&lt;&gt;0,$A83&lt;&gt;"",OR(RIGHT(Logic!B83,2)="C)",LEFT(Logic!B83,4)="CSD1")),Num_FETS*0.5*IM_RMS_120*VDC_AVG*Z83*n*MOT_ELEC_FREQ/GDR_SINK,"")</f>
        <v>2.3464912280701751E-5</v>
      </c>
      <c r="AG83" s="127">
        <f>IF(AND($A83&lt;&gt;0,$A83&lt;&gt;"",OR(RIGHT(Logic!B83,2)="T)",LEFT(Logic!B83,4)="CSD1")),DUTY*IM_RMS_120^2*V83*m/3/Num_FETS,"")</f>
        <v>0.29064632066276802</v>
      </c>
      <c r="AH83" s="127">
        <f>IF(AND($A83&lt;&gt;0,$A83&lt;&gt;"",OR(RIGHT(Logic!B83,2)="T)",LEFT(Logic!B83,4)="CSD1")),Num_FETS*0.5*IM_RMS_120*VDC_AVG*Z83*n*FSW*k/GDR_SRC/3,"")</f>
        <v>6.9014447884416909E-3</v>
      </c>
      <c r="AI83" s="127">
        <f>IF(AND($A83&lt;&gt;0,$A83&lt;&gt;"",OR(RIGHT(Logic!B83,2)="T)",LEFT(Logic!B83,4)="CSD1")),Num_FETS*0.5*IM_RMS_120*VDC_AVG*Z83*n*FSW*k/GDR_SINK/3,"")</f>
        <v>4.6929824561403504E-3</v>
      </c>
      <c r="AJ83" s="127">
        <f t="shared" si="38"/>
        <v>1.1760000000000001E-2</v>
      </c>
      <c r="AK83" s="127">
        <f t="shared" si="39"/>
        <v>1.3966388884290052E-2</v>
      </c>
      <c r="AL83" s="127">
        <f t="shared" si="40"/>
        <v>5.5292000000000001E-2</v>
      </c>
      <c r="AM83" s="127">
        <f t="shared" si="55"/>
        <v>0.41899166652870157</v>
      </c>
      <c r="AN83" s="127">
        <f>IF(AND($A83&lt;&gt;0,$A83&lt;&gt;"",OR(RIGHT(Logic!B83,2)="C)",LEFT(Logic!B83,4)="CSD1")),SUM(AD83:AF83)+(AJ83/3)+AK83+AL83/6+AM83/6,AN84)</f>
        <v>0.41823230898151381</v>
      </c>
      <c r="AO83" s="127">
        <f>IF(AND($A83&lt;&gt;0,$A83&lt;&gt;"",OR(RIGHT(Logic!B83,2)="T)",LEFT(Logic!B83,4)="CSD1")),SUM(AG83:AI83)+(AJ83/3)+AL83/6+AM83/6,AO82)</f>
        <v>0.38520802566213364</v>
      </c>
      <c r="AP83" s="48">
        <f t="shared" si="56"/>
        <v>0.8</v>
      </c>
      <c r="AQ83" s="35" t="str">
        <f>IF(AND(A83&lt;&gt;0,A83&lt;&gt;""),LOOKUP(A83,Discrete_NFET[PARTNUMBER],Discrete_NFET[TI_EQ_PACKAGE]),"")</f>
        <v>TO-220</v>
      </c>
      <c r="AR83" s="49">
        <f>IF(AND(A83&lt;&gt;0,A83&lt;&gt;""),LOOKUP(A83,Discrete_NFET[PARTNUMBER],Discrete_NFET[1KPRICE]),"")</f>
        <v>0.69</v>
      </c>
      <c r="AS83" s="35" t="str">
        <f>IF(AND($A83&lt;&gt;0,$A83&lt;&gt;""),CONCATENATE(TEXT(AP83,"0.00"),"W, ",IF('User Input'!F$11="Single Discrete",A83,IF('User Input'!F$11="Dual/Power Block",LEFT(A83,FIND(")",A83)-7),A83)),", ",AQ83,", ",TEXT(AR83,"$0.00")),"Invalid Part")</f>
        <v>0.80W, CSD19501KCS, TO-220, $0.69</v>
      </c>
      <c r="AT83" t="s">
        <v>723</v>
      </c>
      <c r="AW83"/>
    </row>
    <row r="84" spans="1:49" ht="15" customHeight="1" x14ac:dyDescent="0.25">
      <c r="A84" s="35" t="str">
        <f>IF(OR(AND(FET_config="Dual/Power Block",LEFT(Logic!B84,4)="CSD8"),AND(FET_config="Single Discrete",LEFT(Logic!B84,4)="CSD1")),Logic!B84,"")</f>
        <v>CSD19502Q5B</v>
      </c>
      <c r="B84" s="37" t="str">
        <f>IF(OR($A84=0,$A84=""),"0",IF(LOOKUP($A84,Discrete_NFET[PARTNUMBER],Discrete_NFET[RDSON25])="(NULL)","0","1"))</f>
        <v>0</v>
      </c>
      <c r="C84" s="38" t="str">
        <f>IF(OR($A84=0,$A84=""),"0",IF(LOOKUP($A84,Discrete_NFET[PARTNUMBER],Discrete_NFET[RDSON3])="(NULL)","0","1"))</f>
        <v>0</v>
      </c>
      <c r="D84" s="40" t="str">
        <f>IF(OR($A84=0,$A84=""),"0",IF(LOOKUP($A84,Discrete_NFET[PARTNUMBER],Discrete_NFET[RDSON45])="(NULL)","0","1"))</f>
        <v>0</v>
      </c>
      <c r="E84" s="45" t="str">
        <f>IF(OR($A84=0,$A84=""),"0",IF(LOOKUP($A84,Discrete_NFET[PARTNUMBER],Discrete_NFET[RDSON6])="(NULL)","0","1"))</f>
        <v>1</v>
      </c>
      <c r="F84" s="34" t="str">
        <f>IF(OR($A84=0,$A84=""),"0",IF(LOOKUP($A84,Discrete_NFET[PARTNUMBER],Discrete_NFET[RDSON8])="(NULL)","0","1"))</f>
        <v>0</v>
      </c>
      <c r="G84" s="43" t="str">
        <f>IF(OR($A84=0,$A84=""),"0",IF(LOOKUP($A84,Discrete_NFET[PARTNUMBER],Discrete_NFET[RDSON10])="(NULL)","0","1"))</f>
        <v>1</v>
      </c>
      <c r="H84" s="36" t="b">
        <f t="shared" si="41"/>
        <v>0</v>
      </c>
      <c r="I84" s="39" t="b">
        <f t="shared" si="42"/>
        <v>0</v>
      </c>
      <c r="J84" s="41" t="b">
        <f t="shared" si="43"/>
        <v>0</v>
      </c>
      <c r="K84" s="46" t="b">
        <f t="shared" si="44"/>
        <v>1</v>
      </c>
      <c r="L84" s="42" t="b">
        <f t="shared" si="45"/>
        <v>0</v>
      </c>
      <c r="M84" s="44" t="b">
        <f t="shared" si="46"/>
        <v>1</v>
      </c>
      <c r="N84" s="47" t="b">
        <f t="shared" si="47"/>
        <v>1</v>
      </c>
      <c r="O84" s="36" t="b">
        <f t="shared" si="48"/>
        <v>0</v>
      </c>
      <c r="P84" s="39" t="b">
        <f t="shared" si="49"/>
        <v>0</v>
      </c>
      <c r="Q84" s="41" t="b">
        <f t="shared" si="50"/>
        <v>0</v>
      </c>
      <c r="R84" s="46" t="b">
        <f t="shared" si="51"/>
        <v>1</v>
      </c>
      <c r="S84" s="42" t="b">
        <f t="shared" si="52"/>
        <v>0</v>
      </c>
      <c r="T84" s="44" t="b">
        <f t="shared" si="53"/>
        <v>1</v>
      </c>
      <c r="U84" s="148">
        <f>IF(T84,LOOKUP(A84,Discrete_NFET[PARTNUMBER],Discrete_NFET[RDSON10])*1000,IF(S84,LOOKUP(A84,Discrete_NFET[PARTNUMBER],Discrete_NFET[RDSON8])*1000,IF(R84,LOOKUP(A84,Discrete_NFET[PARTNUMBER],Discrete_NFET[RDSON6])*1000,IF(Q84,LOOKUP(A84,Discrete_NFET[PARTNUMBER],Discrete_NFET[RDSON45])*1000,IF(P84,LOOKUP(A84,Discrete_NFET[PARTNUMBER],Discrete_NFET[RDSON3])*1000,IF(O84,LOOKUP(A84,Discrete_NFET[PARTNUMBER],Discrete_NFET[RDSON25])*1000,""))))))</f>
        <v>4.1000000000000005</v>
      </c>
      <c r="V84" s="48">
        <f>IF(AND(A84&lt;&gt;0,A84&lt;&gt;""),U84*(1+(Tj-25)*(LOOKUP(A84,Discrete_NFET[PARTNUMBER],Discrete_NFET[RDSDELTA])/((LOOKUP(A84,Discrete_NFET[PARTNUMBER],Discrete_NFET[TJMAX])-25)))),"")</f>
        <v>4.8626000000000005</v>
      </c>
      <c r="W84" s="35">
        <f>IF(AND($A84&lt;&gt;0,$A84&lt;&gt;""),LOOKUP($A84,Discrete_NFET[PARTNUMBER],Discrete_NFET[QGS]),"")</f>
        <v>14</v>
      </c>
      <c r="X84" s="35">
        <f>IF(AND($A84&lt;&gt;0,$A84&lt;&gt;""),LOOKUP($A84,Discrete_NFET[PARTNUMBER],Discrete_NFET[QGD]),"")</f>
        <v>8.6</v>
      </c>
      <c r="Y84" s="35">
        <f>IF(AND($A84&lt;&gt;0,$A84&lt;&gt;""),LOOKUP($A84,Discrete_NFET[PARTNUMBER],Discrete_NFET[QGTH]),"")</f>
        <v>10</v>
      </c>
      <c r="Z84" s="35">
        <f t="shared" si="54"/>
        <v>12.600000000000001</v>
      </c>
      <c r="AA84" s="35">
        <f>IF(AND($A84&lt;&gt;0,$A84&lt;&gt;""),LOOKUP($A84,Discrete_NFET[PARTNUMBER],Discrete_NFET[QOSSTYP]),"")</f>
        <v>130</v>
      </c>
      <c r="AB84" s="35">
        <f>IF(AND($A84&lt;&gt;0,$A84&lt;&gt;""),LOOKUP($A84,Discrete_NFET[PARTNUMBER],Discrete_NFET[QRR]),"")</f>
        <v>275</v>
      </c>
      <c r="AC84" s="35">
        <f>IF(AND(A84&lt;&gt;0,A84&lt;&gt;""),LOOKUP(A84,Discrete_NFET[PARTNUMBER],Discrete_NFET[VF_TYP]),"")</f>
        <v>0.8</v>
      </c>
      <c r="AD84" s="127">
        <f>IF(AND($A84&lt;&gt;0,$A84&lt;&gt;"",OR(RIGHT(Logic!B84,2)="C)",LEFT(Logic!B84,4)="CSD1")),(1+(1-DUTY))*IM_RMS_120^2*V84*m/3/Num_FETS,"")</f>
        <v>0.20461945021545089</v>
      </c>
      <c r="AE84" s="127">
        <f>IF(AND($A84&lt;&gt;0,$A84&lt;&gt;"",OR(RIGHT(Logic!B84,2)="C)",LEFT(Logic!B84,4)="CSD1")),Num_FETS*0.5*IM_RMS_120*VDC_AVG*Z84*n*MOT_ELEC_FREQ/GDR_SRC,"")</f>
        <v>4.063467492260062E-5</v>
      </c>
      <c r="AF84" s="127">
        <f>IF(AND($A84&lt;&gt;0,$A84&lt;&gt;"",OR(RIGHT(Logic!B84,2)="C)",LEFT(Logic!B84,4)="CSD1")),Num_FETS*0.5*IM_RMS_120*VDC_AVG*Z84*n*MOT_ELEC_FREQ/GDR_SINK,"")</f>
        <v>2.7631578947368423E-5</v>
      </c>
      <c r="AG84" s="127">
        <f>IF(AND($A84&lt;&gt;0,$A84&lt;&gt;"",OR(RIGHT(Logic!B84,2)="T)",LEFT(Logic!B84,4)="CSD1")),DUTY*IM_RMS_120^2*V84*m/3/Num_FETS,"")</f>
        <v>0.18513188352826507</v>
      </c>
      <c r="AH84" s="127">
        <f>IF(AND($A84&lt;&gt;0,$A84&lt;&gt;"",OR(RIGHT(Logic!B84,2)="T)",LEFT(Logic!B84,4)="CSD1")),Num_FETS*0.5*IM_RMS_120*VDC_AVG*Z84*n*FSW*k/GDR_SRC/3,"")</f>
        <v>8.126934984520124E-3</v>
      </c>
      <c r="AI84" s="127">
        <f>IF(AND($A84&lt;&gt;0,$A84&lt;&gt;"",OR(RIGHT(Logic!B84,2)="T)",LEFT(Logic!B84,4)="CSD1")),Num_FETS*0.5*IM_RMS_120*VDC_AVG*Z84*n*FSW*k/GDR_SINK/3,"")</f>
        <v>5.5263157894736847E-3</v>
      </c>
      <c r="AJ84" s="127">
        <f t="shared" si="38"/>
        <v>1.5600000000000001E-2</v>
      </c>
      <c r="AK84" s="127">
        <f t="shared" si="39"/>
        <v>1.2414567897146714E-2</v>
      </c>
      <c r="AL84" s="127">
        <f t="shared" si="40"/>
        <v>6.6110000000000002E-2</v>
      </c>
      <c r="AM84" s="127">
        <f t="shared" si="55"/>
        <v>0.37243703691440144</v>
      </c>
      <c r="AN84" s="127">
        <f>IF(AND($A84&lt;&gt;0,$A84&lt;&gt;"",OR(RIGHT(Logic!B84,2)="C)",LEFT(Logic!B84,4)="CSD1")),SUM(AD84:AF84)+(AJ84/3)+AK84+AL84/6+AM84/6,AN85)</f>
        <v>0.29539345718553445</v>
      </c>
      <c r="AO84" s="127">
        <f>IF(AND($A84&lt;&gt;0,$A84&lt;&gt;"",OR(RIGHT(Logic!B84,2)="T)",LEFT(Logic!B84,4)="CSD1")),SUM(AG84:AI84)+(AJ84/3)+AL84/6+AM84/6,AO83)</f>
        <v>0.2770763071213258</v>
      </c>
      <c r="AP84" s="48">
        <f t="shared" si="56"/>
        <v>0.56999999999999995</v>
      </c>
      <c r="AQ84" s="35" t="str">
        <f>IF(AND(A84&lt;&gt;0,A84&lt;&gt;""),LOOKUP(A84,Discrete_NFET[PARTNUMBER],Discrete_NFET[TI_EQ_PACKAGE]),"")</f>
        <v>SON5X6</v>
      </c>
      <c r="AR84" s="49">
        <f>IF(AND(A84&lt;&gt;0,A84&lt;&gt;""),LOOKUP(A84,Discrete_NFET[PARTNUMBER],Discrete_NFET[1KPRICE]),"")</f>
        <v>0.85</v>
      </c>
      <c r="AS84" s="35" t="str">
        <f>IF(AND($A84&lt;&gt;0,$A84&lt;&gt;""),CONCATENATE(TEXT(AP84,"0.00"),"W, ",IF('User Input'!F$11="Single Discrete",A84,IF('User Input'!F$11="Dual/Power Block",LEFT(A84,FIND(")",A84)-7),A84)),", ",AQ84,", ",TEXT(AR84,"$0.00")),"Invalid Part")</f>
        <v>0.57W, CSD19502Q5B, SON5X6, $0.85</v>
      </c>
      <c r="AT84" t="s">
        <v>730</v>
      </c>
      <c r="AW84"/>
    </row>
    <row r="85" spans="1:49" ht="15" customHeight="1" x14ac:dyDescent="0.25">
      <c r="A85" s="35" t="str">
        <f>IF(OR(AND(FET_config="Dual/Power Block",LEFT(Logic!B85,4)="CSD8"),AND(FET_config="Single Discrete",LEFT(Logic!B85,4)="CSD1")),Logic!B85,"")</f>
        <v>CSD19503KCS</v>
      </c>
      <c r="B85" s="37" t="str">
        <f>IF(OR($A85=0,$A85=""),"0",IF(LOOKUP($A85,Discrete_NFET[PARTNUMBER],Discrete_NFET[RDSON25])="(NULL)","0","1"))</f>
        <v>0</v>
      </c>
      <c r="C85" s="38" t="str">
        <f>IF(OR($A85=0,$A85=""),"0",IF(LOOKUP($A85,Discrete_NFET[PARTNUMBER],Discrete_NFET[RDSON3])="(NULL)","0","1"))</f>
        <v>0</v>
      </c>
      <c r="D85" s="40" t="str">
        <f>IF(OR($A85=0,$A85=""),"0",IF(LOOKUP($A85,Discrete_NFET[PARTNUMBER],Discrete_NFET[RDSON45])="(NULL)","0","1"))</f>
        <v>0</v>
      </c>
      <c r="E85" s="45" t="str">
        <f>IF(OR($A85=0,$A85=""),"0",IF(LOOKUP($A85,Discrete_NFET[PARTNUMBER],Discrete_NFET[RDSON6])="(NULL)","0","1"))</f>
        <v>1</v>
      </c>
      <c r="F85" s="34" t="str">
        <f>IF(OR($A85=0,$A85=""),"0",IF(LOOKUP($A85,Discrete_NFET[PARTNUMBER],Discrete_NFET[RDSON8])="(NULL)","0","1"))</f>
        <v>0</v>
      </c>
      <c r="G85" s="43" t="str">
        <f>IF(OR($A85=0,$A85=""),"0",IF(LOOKUP($A85,Discrete_NFET[PARTNUMBER],Discrete_NFET[RDSON10])="(NULL)","0","1"))</f>
        <v>1</v>
      </c>
      <c r="H85" s="36" t="b">
        <f t="shared" si="41"/>
        <v>0</v>
      </c>
      <c r="I85" s="39" t="b">
        <f t="shared" si="42"/>
        <v>0</v>
      </c>
      <c r="J85" s="41" t="b">
        <f t="shared" si="43"/>
        <v>0</v>
      </c>
      <c r="K85" s="46" t="b">
        <f t="shared" si="44"/>
        <v>1</v>
      </c>
      <c r="L85" s="42" t="b">
        <f t="shared" si="45"/>
        <v>0</v>
      </c>
      <c r="M85" s="44" t="b">
        <f t="shared" si="46"/>
        <v>1</v>
      </c>
      <c r="N85" s="47" t="b">
        <f t="shared" si="47"/>
        <v>1</v>
      </c>
      <c r="O85" s="36" t="b">
        <f t="shared" si="48"/>
        <v>0</v>
      </c>
      <c r="P85" s="39" t="b">
        <f t="shared" si="49"/>
        <v>0</v>
      </c>
      <c r="Q85" s="41" t="b">
        <f t="shared" si="50"/>
        <v>0</v>
      </c>
      <c r="R85" s="46" t="b">
        <f t="shared" si="51"/>
        <v>1</v>
      </c>
      <c r="S85" s="42" t="b">
        <f t="shared" si="52"/>
        <v>0</v>
      </c>
      <c r="T85" s="44" t="b">
        <f t="shared" si="53"/>
        <v>1</v>
      </c>
      <c r="U85" s="148">
        <f>IF(T85,LOOKUP(A85,Discrete_NFET[PARTNUMBER],Discrete_NFET[RDSON10])*1000,IF(S85,LOOKUP(A85,Discrete_NFET[PARTNUMBER],Discrete_NFET[RDSON8])*1000,IF(R85,LOOKUP(A85,Discrete_NFET[PARTNUMBER],Discrete_NFET[RDSON6])*1000,IF(Q85,LOOKUP(A85,Discrete_NFET[PARTNUMBER],Discrete_NFET[RDSON45])*1000,IF(P85,LOOKUP(A85,Discrete_NFET[PARTNUMBER],Discrete_NFET[RDSON3])*1000,IF(O85,LOOKUP(A85,Discrete_NFET[PARTNUMBER],Discrete_NFET[RDSON25])*1000,""))))))</f>
        <v>9.1999999999999993</v>
      </c>
      <c r="V85" s="48">
        <f>IF(AND(A85&lt;&gt;0,A85&lt;&gt;""),U85*(1+(Tj-25)*(LOOKUP(A85,Discrete_NFET[PARTNUMBER],Discrete_NFET[RDSDELTA])/((LOOKUP(A85,Discrete_NFET[PARTNUMBER],Discrete_NFET[TJMAX])-25)))),"")</f>
        <v>10.380666666666666</v>
      </c>
      <c r="W85" s="35">
        <f>IF(AND($A85&lt;&gt;0,$A85&lt;&gt;""),LOOKUP($A85,Discrete_NFET[PARTNUMBER],Discrete_NFET[QGS]),"")</f>
        <v>9.8000000000000007</v>
      </c>
      <c r="X85" s="35">
        <f>IF(AND($A85&lt;&gt;0,$A85&lt;&gt;""),LOOKUP($A85,Discrete_NFET[PARTNUMBER],Discrete_NFET[QGD]),"")</f>
        <v>5.4</v>
      </c>
      <c r="Y85" s="35">
        <f>IF(AND($A85&lt;&gt;0,$A85&lt;&gt;""),LOOKUP($A85,Discrete_NFET[PARTNUMBER],Discrete_NFET[QGTH]),"")</f>
        <v>6.1</v>
      </c>
      <c r="Z85" s="35">
        <f t="shared" si="54"/>
        <v>9.1000000000000014</v>
      </c>
      <c r="AA85" s="35">
        <f>IF(AND($A85&lt;&gt;0,$A85&lt;&gt;""),LOOKUP($A85,Discrete_NFET[PARTNUMBER],Discrete_NFET[QOSSTYP]),"")</f>
        <v>71</v>
      </c>
      <c r="AB85" s="35">
        <f>IF(AND($A85&lt;&gt;0,$A85&lt;&gt;""),LOOKUP($A85,Discrete_NFET[PARTNUMBER],Discrete_NFET[QRR]),"")</f>
        <v>119</v>
      </c>
      <c r="AC85" s="35">
        <f>IF(AND(A85&lt;&gt;0,A85&lt;&gt;""),LOOKUP(A85,Discrete_NFET[PARTNUMBER],Discrete_NFET[VF_TYP]),"")</f>
        <v>0.9</v>
      </c>
      <c r="AD85" s="127">
        <f>IF(AND($A85&lt;&gt;0,$A85&lt;&gt;"",OR(RIGHT(Logic!B85,2)="C)",LEFT(Logic!B85,4)="CSD1")),(1+(1-DUTY))*IM_RMS_120^2*V85*m/3/Num_FETS,"")</f>
        <v>0.43682110521185996</v>
      </c>
      <c r="AE85" s="127">
        <f>IF(AND($A85&lt;&gt;0,$A85&lt;&gt;"",OR(RIGHT(Logic!B85,2)="C)",LEFT(Logic!B85,4)="CSD1")),Num_FETS*0.5*IM_RMS_120*VDC_AVG*Z85*n*MOT_ELEC_FREQ/GDR_SRC,"")</f>
        <v>2.9347265221878231E-5</v>
      </c>
      <c r="AF85" s="127">
        <f>IF(AND($A85&lt;&gt;0,$A85&lt;&gt;"",OR(RIGHT(Logic!B85,2)="C)",LEFT(Logic!B85,4)="CSD1")),Num_FETS*0.5*IM_RMS_120*VDC_AVG*Z85*n*MOT_ELEC_FREQ/GDR_SINK,"")</f>
        <v>1.9956140350877198E-5</v>
      </c>
      <c r="AG85" s="127">
        <f>IF(AND($A85&lt;&gt;0,$A85&lt;&gt;"",OR(RIGHT(Logic!B85,2)="T)",LEFT(Logic!B85,4)="CSD1")),DUTY*IM_RMS_120^2*V85*m/3/Num_FETS,"")</f>
        <v>0.3952190951916828</v>
      </c>
      <c r="AH85" s="127">
        <f>IF(AND($A85&lt;&gt;0,$A85&lt;&gt;"",OR(RIGHT(Logic!B85,2)="T)",LEFT(Logic!B85,4)="CSD1")),Num_FETS*0.5*IM_RMS_120*VDC_AVG*Z85*n*FSW*k/GDR_SRC/3,"")</f>
        <v>5.8694530443756457E-3</v>
      </c>
      <c r="AI85" s="127">
        <f>IF(AND($A85&lt;&gt;0,$A85&lt;&gt;"",OR(RIGHT(Logic!B85,2)="T)",LEFT(Logic!B85,4)="CSD1")),Num_FETS*0.5*IM_RMS_120*VDC_AVG*Z85*n*FSW*k/GDR_SINK/3,"")</f>
        <v>3.9912280701754387E-3</v>
      </c>
      <c r="AJ85" s="127">
        <f t="shared" si="38"/>
        <v>8.5199999999999998E-3</v>
      </c>
      <c r="AK85" s="127">
        <f t="shared" si="39"/>
        <v>1.3966388884290052E-2</v>
      </c>
      <c r="AL85" s="127">
        <f t="shared" si="40"/>
        <v>2.86076E-2</v>
      </c>
      <c r="AM85" s="127">
        <f t="shared" si="55"/>
        <v>0.41899166652870157</v>
      </c>
      <c r="AN85" s="127">
        <f>IF(AND($A85&lt;&gt;0,$A85&lt;&gt;"",OR(RIGHT(Logic!B85,2)="C)",LEFT(Logic!B85,4)="CSD1")),SUM(AD85:AF85)+(AJ85/3)+AK85+AL85/6+AM85/6,AN86)</f>
        <v>0.52827667525650635</v>
      </c>
      <c r="AO85" s="127">
        <f>IF(AND($A85&lt;&gt;0,$A85&lt;&gt;"",OR(RIGHT(Logic!B85,2)="T)",LEFT(Logic!B85,4)="CSD1")),SUM(AG85:AI85)+(AJ85/3)+AL85/6+AM85/6,AO84)</f>
        <v>0.48251965406101743</v>
      </c>
      <c r="AP85" s="48">
        <f t="shared" si="56"/>
        <v>1.01</v>
      </c>
      <c r="AQ85" s="35" t="str">
        <f>IF(AND(A85&lt;&gt;0,A85&lt;&gt;""),LOOKUP(A85,Discrete_NFET[PARTNUMBER],Discrete_NFET[TI_EQ_PACKAGE]),"")</f>
        <v>TO-220</v>
      </c>
      <c r="AR85" s="49">
        <f>IF(AND(A85&lt;&gt;0,A85&lt;&gt;""),LOOKUP(A85,Discrete_NFET[PARTNUMBER],Discrete_NFET[1KPRICE]),"")</f>
        <v>0.56000000000000005</v>
      </c>
      <c r="AS85" s="35" t="str">
        <f>IF(AND($A85&lt;&gt;0,$A85&lt;&gt;""),CONCATENATE(TEXT(AP85,"0.00"),"W, ",IF('User Input'!F$11="Single Discrete",A85,IF('User Input'!F$11="Dual/Power Block",LEFT(A85,FIND(")",A85)-7),A85)),", ",AQ85,", ",TEXT(AR85,"$0.00")),"Invalid Part")</f>
        <v>1.01W, CSD19503KCS, TO-220, $0.56</v>
      </c>
      <c r="AT85" t="s">
        <v>727</v>
      </c>
      <c r="AW85"/>
    </row>
    <row r="86" spans="1:49" ht="15" customHeight="1" x14ac:dyDescent="0.25">
      <c r="A86" s="35" t="str">
        <f>IF(OR(AND(FET_config="Dual/Power Block",LEFT(Logic!B86,4)="CSD8"),AND(FET_config="Single Discrete",LEFT(Logic!B86,4)="CSD1")),Logic!B86,"")</f>
        <v>CSD19505KCS</v>
      </c>
      <c r="B86" s="37" t="str">
        <f>IF(OR($A86=0,$A86=""),"0",IF(LOOKUP($A86,Discrete_NFET[PARTNUMBER],Discrete_NFET[RDSON25])="(NULL)","0","1"))</f>
        <v>0</v>
      </c>
      <c r="C86" s="38" t="str">
        <f>IF(OR($A86=0,$A86=""),"0",IF(LOOKUP($A86,Discrete_NFET[PARTNUMBER],Discrete_NFET[RDSON3])="(NULL)","0","1"))</f>
        <v>0</v>
      </c>
      <c r="D86" s="40" t="str">
        <f>IF(OR($A86=0,$A86=""),"0",IF(LOOKUP($A86,Discrete_NFET[PARTNUMBER],Discrete_NFET[RDSON45])="(NULL)","0","1"))</f>
        <v>0</v>
      </c>
      <c r="E86" s="45" t="str">
        <f>IF(OR($A86=0,$A86=""),"0",IF(LOOKUP($A86,Discrete_NFET[PARTNUMBER],Discrete_NFET[RDSON6])="(NULL)","0","1"))</f>
        <v>1</v>
      </c>
      <c r="F86" s="34" t="str">
        <f>IF(OR($A86=0,$A86=""),"0",IF(LOOKUP($A86,Discrete_NFET[PARTNUMBER],Discrete_NFET[RDSON8])="(NULL)","0","1"))</f>
        <v>0</v>
      </c>
      <c r="G86" s="43" t="str">
        <f>IF(OR($A86=0,$A86=""),"0",IF(LOOKUP($A86,Discrete_NFET[PARTNUMBER],Discrete_NFET[RDSON10])="(NULL)","0","1"))</f>
        <v>1</v>
      </c>
      <c r="H86" s="36" t="b">
        <f t="shared" si="41"/>
        <v>0</v>
      </c>
      <c r="I86" s="39" t="b">
        <f t="shared" si="42"/>
        <v>0</v>
      </c>
      <c r="J86" s="41" t="b">
        <f t="shared" si="43"/>
        <v>0</v>
      </c>
      <c r="K86" s="46" t="b">
        <f t="shared" si="44"/>
        <v>1</v>
      </c>
      <c r="L86" s="42" t="b">
        <f t="shared" si="45"/>
        <v>0</v>
      </c>
      <c r="M86" s="44" t="b">
        <f t="shared" si="46"/>
        <v>1</v>
      </c>
      <c r="N86" s="47" t="b">
        <f t="shared" si="47"/>
        <v>1</v>
      </c>
      <c r="O86" s="36" t="b">
        <f t="shared" si="48"/>
        <v>0</v>
      </c>
      <c r="P86" s="39" t="b">
        <f t="shared" si="49"/>
        <v>0</v>
      </c>
      <c r="Q86" s="41" t="b">
        <f t="shared" si="50"/>
        <v>0</v>
      </c>
      <c r="R86" s="46" t="b">
        <f t="shared" si="51"/>
        <v>1</v>
      </c>
      <c r="S86" s="42" t="b">
        <f t="shared" si="52"/>
        <v>0</v>
      </c>
      <c r="T86" s="44" t="b">
        <f t="shared" si="53"/>
        <v>1</v>
      </c>
      <c r="U86" s="148">
        <f>IF(T86,LOOKUP(A86,Discrete_NFET[PARTNUMBER],Discrete_NFET[RDSON10])*1000,IF(S86,LOOKUP(A86,Discrete_NFET[PARTNUMBER],Discrete_NFET[RDSON8])*1000,IF(R86,LOOKUP(A86,Discrete_NFET[PARTNUMBER],Discrete_NFET[RDSON6])*1000,IF(Q86,LOOKUP(A86,Discrete_NFET[PARTNUMBER],Discrete_NFET[RDSON45])*1000,IF(P86,LOOKUP(A86,Discrete_NFET[PARTNUMBER],Discrete_NFET[RDSON3])*1000,IF(O86,LOOKUP(A86,Discrete_NFET[PARTNUMBER],Discrete_NFET[RDSON25])*1000,""))))))</f>
        <v>3.1</v>
      </c>
      <c r="V86" s="48">
        <f>IF(AND(A86&lt;&gt;0,A86&lt;&gt;""),U86*(1+(Tj-25)*(LOOKUP(A86,Discrete_NFET[PARTNUMBER],Discrete_NFET[RDSDELTA])/((LOOKUP(A86,Discrete_NFET[PARTNUMBER],Discrete_NFET[TJMAX])-25)))),"")</f>
        <v>3.5753333333333335</v>
      </c>
      <c r="W86" s="35">
        <f>IF(AND($A86&lt;&gt;0,$A86&lt;&gt;""),LOOKUP($A86,Discrete_NFET[PARTNUMBER],Discrete_NFET[QGS]),"")</f>
        <v>25</v>
      </c>
      <c r="X86" s="35">
        <f>IF(AND($A86&lt;&gt;0,$A86&lt;&gt;""),LOOKUP($A86,Discrete_NFET[PARTNUMBER],Discrete_NFET[QGD]),"")</f>
        <v>11</v>
      </c>
      <c r="Y86" s="35">
        <f>IF(AND($A86&lt;&gt;0,$A86&lt;&gt;""),LOOKUP($A86,Discrete_NFET[PARTNUMBER],Discrete_NFET[QGTH]),"")</f>
        <v>15</v>
      </c>
      <c r="Z86" s="35">
        <f t="shared" si="54"/>
        <v>21</v>
      </c>
      <c r="AA86" s="35">
        <f>IF(AND($A86&lt;&gt;0,$A86&lt;&gt;""),LOOKUP($A86,Discrete_NFET[PARTNUMBER],Discrete_NFET[QOSSTYP]),"")</f>
        <v>214</v>
      </c>
      <c r="AB86" s="35">
        <f>IF(AND($A86&lt;&gt;0,$A86&lt;&gt;""),LOOKUP($A86,Discrete_NFET[PARTNUMBER],Discrete_NFET[QRR]),"")</f>
        <v>400</v>
      </c>
      <c r="AC86" s="35">
        <f>IF(AND(A86&lt;&gt;0,A86&lt;&gt;""),LOOKUP(A86,Discrete_NFET[PARTNUMBER],Discrete_NFET[VF_TYP]),"")</f>
        <v>0.9</v>
      </c>
      <c r="AD86" s="127">
        <f>IF(AND($A86&lt;&gt;0,$A86&lt;&gt;"",OR(RIGHT(Logic!B86,2)="C)",LEFT(Logic!B86,4)="CSD1")),(1+(1-DUTY))*IM_RMS_120^2*V86*m/3/Num_FETS,"")</f>
        <v>0.1504509400328306</v>
      </c>
      <c r="AE86" s="127">
        <f>IF(AND($A86&lt;&gt;0,$A86&lt;&gt;"",OR(RIGHT(Logic!B86,2)="C)",LEFT(Logic!B86,4)="CSD1")),Num_FETS*0.5*IM_RMS_120*VDC_AVG*Z86*n*MOT_ELEC_FREQ/GDR_SRC,"")</f>
        <v>6.7724458204334356E-5</v>
      </c>
      <c r="AF86" s="127">
        <f>IF(AND($A86&lt;&gt;0,$A86&lt;&gt;"",OR(RIGHT(Logic!B86,2)="C)",LEFT(Logic!B86,4)="CSD1")),Num_FETS*0.5*IM_RMS_120*VDC_AVG*Z86*n*MOT_ELEC_FREQ/GDR_SINK,"")</f>
        <v>4.6052631578947363E-5</v>
      </c>
      <c r="AG86" s="127">
        <f>IF(AND($A86&lt;&gt;0,$A86&lt;&gt;"",OR(RIGHT(Logic!B86,2)="T)",LEFT(Logic!B86,4)="CSD1")),DUTY*IM_RMS_120^2*V86*m/3/Num_FETS,"")</f>
        <v>0.13612227907732291</v>
      </c>
      <c r="AH86" s="127">
        <f>IF(AND($A86&lt;&gt;0,$A86&lt;&gt;"",OR(RIGHT(Logic!B86,2)="T)",LEFT(Logic!B86,4)="CSD1")),Num_FETS*0.5*IM_RMS_120*VDC_AVG*Z86*n*FSW*k/GDR_SRC/3,"")</f>
        <v>1.354489164086687E-2</v>
      </c>
      <c r="AI86" s="127">
        <f>IF(AND($A86&lt;&gt;0,$A86&lt;&gt;"",OR(RIGHT(Logic!B86,2)="T)",LEFT(Logic!B86,4)="CSD1")),Num_FETS*0.5*IM_RMS_120*VDC_AVG*Z86*n*FSW*k/GDR_SINK/3,"")</f>
        <v>9.2105263157894728E-3</v>
      </c>
      <c r="AJ86" s="127">
        <f t="shared" si="38"/>
        <v>2.5680000000000001E-2</v>
      </c>
      <c r="AK86" s="127">
        <f t="shared" si="39"/>
        <v>1.3966388884290052E-2</v>
      </c>
      <c r="AL86" s="127">
        <f t="shared" si="40"/>
        <v>9.6160000000000009E-2</v>
      </c>
      <c r="AM86" s="127">
        <f t="shared" si="55"/>
        <v>0.41899166652870157</v>
      </c>
      <c r="AN86" s="127">
        <f>IF(AND($A86&lt;&gt;0,$A86&lt;&gt;"",OR(RIGHT(Logic!B86,2)="C)",LEFT(Logic!B86,4)="CSD1")),SUM(AD86:AF86)+(AJ86/3)+AK86+AL86/6+AM86/6,AN87)</f>
        <v>0.25894971709502085</v>
      </c>
      <c r="AO86" s="127">
        <f>IF(AND($A86&lt;&gt;0,$A86&lt;&gt;"",OR(RIGHT(Logic!B86,2)="T)",LEFT(Logic!B86,4)="CSD1")),SUM(AG86:AI86)+(AJ86/3)+AL86/6+AM86/6,AO85)</f>
        <v>0.25329630812209619</v>
      </c>
      <c r="AP86" s="48">
        <f t="shared" si="56"/>
        <v>0.51</v>
      </c>
      <c r="AQ86" s="35" t="str">
        <f>IF(AND(A86&lt;&gt;0,A86&lt;&gt;""),LOOKUP(A86,Discrete_NFET[PARTNUMBER],Discrete_NFET[TI_EQ_PACKAGE]),"")</f>
        <v>TO-220</v>
      </c>
      <c r="AR86" s="49">
        <f>IF(AND(A86&lt;&gt;0,A86&lt;&gt;""),LOOKUP(A86,Discrete_NFET[PARTNUMBER],Discrete_NFET[1KPRICE]),"")</f>
        <v>1.21</v>
      </c>
      <c r="AS86" s="35" t="str">
        <f>IF(AND($A86&lt;&gt;0,$A86&lt;&gt;""),CONCATENATE(TEXT(AP86,"0.00"),"W, ",IF('User Input'!F$11="Single Discrete",A86,IF('User Input'!F$11="Dual/Power Block",LEFT(A86,FIND(")",A86)-7),A86)),", ",AQ86,", ",TEXT(AR86,"$0.00")),"Invalid Part")</f>
        <v>0.51W, CSD19505KCS, TO-220, $1.21</v>
      </c>
      <c r="AT86" t="s">
        <v>785</v>
      </c>
      <c r="AW86"/>
    </row>
    <row r="87" spans="1:49" ht="15" customHeight="1" x14ac:dyDescent="0.25">
      <c r="A87" s="35" t="str">
        <f>IF(OR(AND(FET_config="Dual/Power Block",LEFT(Logic!B87,4)="CSD8"),AND(FET_config="Single Discrete",LEFT(Logic!B87,4)="CSD1")),Logic!B87,"")</f>
        <v>CSD19505KTT</v>
      </c>
      <c r="B87" s="37" t="str">
        <f>IF(OR($A87=0,$A87=""),"0",IF(LOOKUP($A87,Discrete_NFET[PARTNUMBER],Discrete_NFET[RDSON25])="(NULL)","0","1"))</f>
        <v>0</v>
      </c>
      <c r="C87" s="38" t="str">
        <f>IF(OR($A87=0,$A87=""),"0",IF(LOOKUP($A87,Discrete_NFET[PARTNUMBER],Discrete_NFET[RDSON3])="(NULL)","0","1"))</f>
        <v>0</v>
      </c>
      <c r="D87" s="40" t="str">
        <f>IF(OR($A87=0,$A87=""),"0",IF(LOOKUP($A87,Discrete_NFET[PARTNUMBER],Discrete_NFET[RDSON45])="(NULL)","0","1"))</f>
        <v>0</v>
      </c>
      <c r="E87" s="45" t="str">
        <f>IF(OR($A87=0,$A87=""),"0",IF(LOOKUP($A87,Discrete_NFET[PARTNUMBER],Discrete_NFET[RDSON6])="(NULL)","0","1"))</f>
        <v>1</v>
      </c>
      <c r="F87" s="34" t="str">
        <f>IF(OR($A87=0,$A87=""),"0",IF(LOOKUP($A87,Discrete_NFET[PARTNUMBER],Discrete_NFET[RDSON8])="(NULL)","0","1"))</f>
        <v>0</v>
      </c>
      <c r="G87" s="43" t="str">
        <f>IF(OR($A87=0,$A87=""),"0",IF(LOOKUP($A87,Discrete_NFET[PARTNUMBER],Discrete_NFET[RDSON10])="(NULL)","0","1"))</f>
        <v>1</v>
      </c>
      <c r="H87" s="36" t="b">
        <f t="shared" si="41"/>
        <v>0</v>
      </c>
      <c r="I87" s="39" t="b">
        <f t="shared" si="42"/>
        <v>0</v>
      </c>
      <c r="J87" s="41" t="b">
        <f t="shared" si="43"/>
        <v>0</v>
      </c>
      <c r="K87" s="46" t="b">
        <f t="shared" si="44"/>
        <v>1</v>
      </c>
      <c r="L87" s="42" t="b">
        <f t="shared" si="45"/>
        <v>0</v>
      </c>
      <c r="M87" s="44" t="b">
        <f t="shared" si="46"/>
        <v>1</v>
      </c>
      <c r="N87" s="47" t="b">
        <f t="shared" si="47"/>
        <v>1</v>
      </c>
      <c r="O87" s="36" t="b">
        <f t="shared" si="48"/>
        <v>0</v>
      </c>
      <c r="P87" s="39" t="b">
        <f t="shared" si="49"/>
        <v>0</v>
      </c>
      <c r="Q87" s="41" t="b">
        <f t="shared" si="50"/>
        <v>0</v>
      </c>
      <c r="R87" s="46" t="b">
        <f t="shared" si="51"/>
        <v>1</v>
      </c>
      <c r="S87" s="42" t="b">
        <f t="shared" si="52"/>
        <v>0</v>
      </c>
      <c r="T87" s="44" t="b">
        <f t="shared" si="53"/>
        <v>1</v>
      </c>
      <c r="U87" s="148">
        <f>IF(T87,LOOKUP(A87,Discrete_NFET[PARTNUMBER],Discrete_NFET[RDSON10])*1000,IF(S87,LOOKUP(A87,Discrete_NFET[PARTNUMBER],Discrete_NFET[RDSON8])*1000,IF(R87,LOOKUP(A87,Discrete_NFET[PARTNUMBER],Discrete_NFET[RDSON6])*1000,IF(Q87,LOOKUP(A87,Discrete_NFET[PARTNUMBER],Discrete_NFET[RDSON45])*1000,IF(P87,LOOKUP(A87,Discrete_NFET[PARTNUMBER],Discrete_NFET[RDSON3])*1000,IF(O87,LOOKUP(A87,Discrete_NFET[PARTNUMBER],Discrete_NFET[RDSON25])*1000,""))))))</f>
        <v>3.1</v>
      </c>
      <c r="V87" s="48">
        <f>IF(AND(A87&lt;&gt;0,A87&lt;&gt;""),U87*(1+(Tj-25)*(LOOKUP(A87,Discrete_NFET[PARTNUMBER],Discrete_NFET[RDSDELTA])/((LOOKUP(A87,Discrete_NFET[PARTNUMBER],Discrete_NFET[TJMAX])-25)))),"")</f>
        <v>3.5753333333333335</v>
      </c>
      <c r="W87" s="35">
        <f>IF(AND($A87&lt;&gt;0,$A87&lt;&gt;""),LOOKUP($A87,Discrete_NFET[PARTNUMBER],Discrete_NFET[QGS]),"")</f>
        <v>25</v>
      </c>
      <c r="X87" s="35">
        <f>IF(AND($A87&lt;&gt;0,$A87&lt;&gt;""),LOOKUP($A87,Discrete_NFET[PARTNUMBER],Discrete_NFET[QGD]),"")</f>
        <v>11</v>
      </c>
      <c r="Y87" s="35">
        <f>IF(AND($A87&lt;&gt;0,$A87&lt;&gt;""),LOOKUP($A87,Discrete_NFET[PARTNUMBER],Discrete_NFET[QGTH]),"")</f>
        <v>15</v>
      </c>
      <c r="Z87" s="35">
        <f t="shared" si="54"/>
        <v>21</v>
      </c>
      <c r="AA87" s="35">
        <f>IF(AND($A87&lt;&gt;0,$A87&lt;&gt;""),LOOKUP($A87,Discrete_NFET[PARTNUMBER],Discrete_NFET[QOSSTYP]),"")</f>
        <v>214</v>
      </c>
      <c r="AB87" s="35">
        <f>IF(AND($A87&lt;&gt;0,$A87&lt;&gt;""),LOOKUP($A87,Discrete_NFET[PARTNUMBER],Discrete_NFET[QRR]),"")</f>
        <v>400</v>
      </c>
      <c r="AC87" s="35">
        <f>IF(AND(A87&lt;&gt;0,A87&lt;&gt;""),LOOKUP(A87,Discrete_NFET[PARTNUMBER],Discrete_NFET[VF_TYP]),"")</f>
        <v>0.9</v>
      </c>
      <c r="AD87" s="127">
        <f>IF(AND($A87&lt;&gt;0,$A87&lt;&gt;"",OR(RIGHT(Logic!B87,2)="C)",LEFT(Logic!B87,4)="CSD1")),(1+(1-DUTY))*IM_RMS_120^2*V87*m/3/Num_FETS,"")</f>
        <v>0.1504509400328306</v>
      </c>
      <c r="AE87" s="127">
        <f>IF(AND($A87&lt;&gt;0,$A87&lt;&gt;"",OR(RIGHT(Logic!B87,2)="C)",LEFT(Logic!B87,4)="CSD1")),Num_FETS*0.5*IM_RMS_120*VDC_AVG*Z87*n*MOT_ELEC_FREQ/GDR_SRC,"")</f>
        <v>6.7724458204334356E-5</v>
      </c>
      <c r="AF87" s="127">
        <f>IF(AND($A87&lt;&gt;0,$A87&lt;&gt;"",OR(RIGHT(Logic!B87,2)="C)",LEFT(Logic!B87,4)="CSD1")),Num_FETS*0.5*IM_RMS_120*VDC_AVG*Z87*n*MOT_ELEC_FREQ/GDR_SINK,"")</f>
        <v>4.6052631578947363E-5</v>
      </c>
      <c r="AG87" s="127">
        <f>IF(AND($A87&lt;&gt;0,$A87&lt;&gt;"",OR(RIGHT(Logic!B87,2)="T)",LEFT(Logic!B87,4)="CSD1")),DUTY*IM_RMS_120^2*V87*m/3/Num_FETS,"")</f>
        <v>0.13612227907732291</v>
      </c>
      <c r="AH87" s="127">
        <f>IF(AND($A87&lt;&gt;0,$A87&lt;&gt;"",OR(RIGHT(Logic!B87,2)="T)",LEFT(Logic!B87,4)="CSD1")),Num_FETS*0.5*IM_RMS_120*VDC_AVG*Z87*n*FSW*k/GDR_SRC/3,"")</f>
        <v>1.354489164086687E-2</v>
      </c>
      <c r="AI87" s="127">
        <f>IF(AND($A87&lt;&gt;0,$A87&lt;&gt;"",OR(RIGHT(Logic!B87,2)="T)",LEFT(Logic!B87,4)="CSD1")),Num_FETS*0.5*IM_RMS_120*VDC_AVG*Z87*n*FSW*k/GDR_SINK/3,"")</f>
        <v>9.2105263157894728E-3</v>
      </c>
      <c r="AJ87" s="127">
        <f t="shared" si="38"/>
        <v>2.5680000000000001E-2</v>
      </c>
      <c r="AK87" s="127">
        <f t="shared" si="39"/>
        <v>1.3966388884290052E-2</v>
      </c>
      <c r="AL87" s="127">
        <f t="shared" si="40"/>
        <v>9.6160000000000009E-2</v>
      </c>
      <c r="AM87" s="127">
        <f t="shared" si="55"/>
        <v>0.41899166652870157</v>
      </c>
      <c r="AN87" s="127">
        <f>IF(AND($A87&lt;&gt;0,$A87&lt;&gt;"",OR(RIGHT(Logic!B87,2)="C)",LEFT(Logic!B87,4)="CSD1")),SUM(AD87:AF87)+(AJ87/3)+AK87+AL87/6+AM87/6,AN88)</f>
        <v>0.25894971709502085</v>
      </c>
      <c r="AO87" s="127">
        <f>IF(AND($A87&lt;&gt;0,$A87&lt;&gt;"",OR(RIGHT(Logic!B87,2)="T)",LEFT(Logic!B87,4)="CSD1")),SUM(AG87:AI87)+(AJ87/3)+AL87/6+AM87/6,AO86)</f>
        <v>0.25329630812209619</v>
      </c>
      <c r="AP87" s="48">
        <f t="shared" si="56"/>
        <v>0.51</v>
      </c>
      <c r="AQ87" s="35" t="str">
        <f>IF(AND(A87&lt;&gt;0,A87&lt;&gt;""),LOOKUP(A87,Discrete_NFET[PARTNUMBER],Discrete_NFET[TI_EQ_PACKAGE]),"")</f>
        <v>DDPAK</v>
      </c>
      <c r="AR87" s="49">
        <f>IF(AND(A87&lt;&gt;0,A87&lt;&gt;""),LOOKUP(A87,Discrete_NFET[PARTNUMBER],Discrete_NFET[1KPRICE]),"")</f>
        <v>1.25</v>
      </c>
      <c r="AS87" s="35" t="str">
        <f>IF(AND($A87&lt;&gt;0,$A87&lt;&gt;""),CONCATENATE(TEXT(AP87,"0.00"),"W, ",IF('User Input'!F$11="Single Discrete",A87,IF('User Input'!F$11="Dual/Power Block",LEFT(A87,FIND(")",A87)-7),A87)),", ",AQ87,", ",TEXT(AR87,"$0.00")),"Invalid Part")</f>
        <v>0.51W, CSD19505KTT, DDPAK, $1.25</v>
      </c>
      <c r="AT87" t="s">
        <v>721</v>
      </c>
      <c r="AW87"/>
    </row>
    <row r="88" spans="1:49" ht="15" customHeight="1" x14ac:dyDescent="0.25">
      <c r="A88" s="35" t="str">
        <f>IF(OR(AND(FET_config="Dual/Power Block",LEFT(Logic!B88,4)="CSD8"),AND(FET_config="Single Discrete",LEFT(Logic!B88,4)="CSD1")),Logic!B88,"")</f>
        <v>CSD19506KCS</v>
      </c>
      <c r="B88" s="37" t="str">
        <f>IF(OR($A88=0,$A88=""),"0",IF(LOOKUP($A88,Discrete_NFET[PARTNUMBER],Discrete_NFET[RDSON25])="(NULL)","0","1"))</f>
        <v>0</v>
      </c>
      <c r="C88" s="38" t="str">
        <f>IF(OR($A88=0,$A88=""),"0",IF(LOOKUP($A88,Discrete_NFET[PARTNUMBER],Discrete_NFET[RDSON3])="(NULL)","0","1"))</f>
        <v>0</v>
      </c>
      <c r="D88" s="40" t="str">
        <f>IF(OR($A88=0,$A88=""),"0",IF(LOOKUP($A88,Discrete_NFET[PARTNUMBER],Discrete_NFET[RDSON45])="(NULL)","0","1"))</f>
        <v>0</v>
      </c>
      <c r="E88" s="45" t="str">
        <f>IF(OR($A88=0,$A88=""),"0",IF(LOOKUP($A88,Discrete_NFET[PARTNUMBER],Discrete_NFET[RDSON6])="(NULL)","0","1"))</f>
        <v>1</v>
      </c>
      <c r="F88" s="34" t="str">
        <f>IF(OR($A88=0,$A88=""),"0",IF(LOOKUP($A88,Discrete_NFET[PARTNUMBER],Discrete_NFET[RDSON8])="(NULL)","0","1"))</f>
        <v>0</v>
      </c>
      <c r="G88" s="43" t="str">
        <f>IF(OR($A88=0,$A88=""),"0",IF(LOOKUP($A88,Discrete_NFET[PARTNUMBER],Discrete_NFET[RDSON10])="(NULL)","0","1"))</f>
        <v>1</v>
      </c>
      <c r="H88" s="36" t="b">
        <f t="shared" si="41"/>
        <v>0</v>
      </c>
      <c r="I88" s="39" t="b">
        <f t="shared" si="42"/>
        <v>0</v>
      </c>
      <c r="J88" s="41" t="b">
        <f t="shared" si="43"/>
        <v>0</v>
      </c>
      <c r="K88" s="46" t="b">
        <f t="shared" si="44"/>
        <v>1</v>
      </c>
      <c r="L88" s="42" t="b">
        <f t="shared" si="45"/>
        <v>0</v>
      </c>
      <c r="M88" s="44" t="b">
        <f t="shared" si="46"/>
        <v>1</v>
      </c>
      <c r="N88" s="47" t="b">
        <f t="shared" si="47"/>
        <v>1</v>
      </c>
      <c r="O88" s="36" t="b">
        <f t="shared" si="48"/>
        <v>0</v>
      </c>
      <c r="P88" s="39" t="b">
        <f t="shared" si="49"/>
        <v>0</v>
      </c>
      <c r="Q88" s="41" t="b">
        <f t="shared" si="50"/>
        <v>0</v>
      </c>
      <c r="R88" s="46" t="b">
        <f t="shared" si="51"/>
        <v>1</v>
      </c>
      <c r="S88" s="42" t="b">
        <f t="shared" si="52"/>
        <v>0</v>
      </c>
      <c r="T88" s="44" t="b">
        <f t="shared" si="53"/>
        <v>1</v>
      </c>
      <c r="U88" s="148">
        <f>IF(T88,LOOKUP(A88,Discrete_NFET[PARTNUMBER],Discrete_NFET[RDSON10])*1000,IF(S88,LOOKUP(A88,Discrete_NFET[PARTNUMBER],Discrete_NFET[RDSON8])*1000,IF(R88,LOOKUP(A88,Discrete_NFET[PARTNUMBER],Discrete_NFET[RDSON6])*1000,IF(Q88,LOOKUP(A88,Discrete_NFET[PARTNUMBER],Discrete_NFET[RDSON45])*1000,IF(P88,LOOKUP(A88,Discrete_NFET[PARTNUMBER],Discrete_NFET[RDSON3])*1000,IF(O88,LOOKUP(A88,Discrete_NFET[PARTNUMBER],Discrete_NFET[RDSON25])*1000,""))))))</f>
        <v>2.2999999999999998</v>
      </c>
      <c r="V88" s="48">
        <f>IF(AND(A88&lt;&gt;0,A88&lt;&gt;""),U88*(1+(Tj-25)*(LOOKUP(A88,Discrete_NFET[PARTNUMBER],Discrete_NFET[RDSDELTA])/((LOOKUP(A88,Discrete_NFET[PARTNUMBER],Discrete_NFET[TJMAX])-25)))),"")</f>
        <v>2.6143333333333332</v>
      </c>
      <c r="W88" s="35">
        <f>IF(AND($A88&lt;&gt;0,$A88&lt;&gt;""),LOOKUP($A88,Discrete_NFET[PARTNUMBER],Discrete_NFET[QGS]),"")</f>
        <v>37</v>
      </c>
      <c r="X88" s="35">
        <f>IF(AND($A88&lt;&gt;0,$A88&lt;&gt;""),LOOKUP($A88,Discrete_NFET[PARTNUMBER],Discrete_NFET[QGD]),"")</f>
        <v>20</v>
      </c>
      <c r="Y88" s="35">
        <f>IF(AND($A88&lt;&gt;0,$A88&lt;&gt;""),LOOKUP($A88,Discrete_NFET[PARTNUMBER],Discrete_NFET[QGTH]),"")</f>
        <v>25</v>
      </c>
      <c r="Z88" s="35">
        <f t="shared" si="54"/>
        <v>32</v>
      </c>
      <c r="AA88" s="35">
        <f>IF(AND($A88&lt;&gt;0,$A88&lt;&gt;""),LOOKUP($A88,Discrete_NFET[PARTNUMBER],Discrete_NFET[QOSSTYP]),"")</f>
        <v>345</v>
      </c>
      <c r="AB88" s="35">
        <f>IF(AND($A88&lt;&gt;0,$A88&lt;&gt;""),LOOKUP($A88,Discrete_NFET[PARTNUMBER],Discrete_NFET[QRR]),"")</f>
        <v>525</v>
      </c>
      <c r="AC88" s="35">
        <f>IF(AND(A88&lt;&gt;0,A88&lt;&gt;""),LOOKUP(A88,Discrete_NFET[PARTNUMBER],Discrete_NFET[VF_TYP]),"")</f>
        <v>0.9</v>
      </c>
      <c r="AD88" s="127">
        <f>IF(AND($A88&lt;&gt;0,$A88&lt;&gt;"",OR(RIGHT(Logic!B88,2)="C)",LEFT(Logic!B88,4)="CSD1")),(1+(1-DUTY))*IM_RMS_120^2*V88*m/3/Num_FETS,"")</f>
        <v>0.11001181453267671</v>
      </c>
      <c r="AE88" s="127">
        <f>IF(AND($A88&lt;&gt;0,$A88&lt;&gt;"",OR(RIGHT(Logic!B88,2)="C)",LEFT(Logic!B88,4)="CSD1")),Num_FETS*0.5*IM_RMS_120*VDC_AVG*Z88*n*MOT_ELEC_FREQ/GDR_SRC,"")</f>
        <v>1.0319917440660473E-4</v>
      </c>
      <c r="AF88" s="127">
        <f>IF(AND($A88&lt;&gt;0,$A88&lt;&gt;"",OR(RIGHT(Logic!B88,2)="C)",LEFT(Logic!B88,4)="CSD1")),Num_FETS*0.5*IM_RMS_120*VDC_AVG*Z88*n*MOT_ELEC_FREQ/GDR_SINK,"")</f>
        <v>7.0175438596491223E-5</v>
      </c>
      <c r="AG88" s="127">
        <f>IF(AND($A88&lt;&gt;0,$A88&lt;&gt;"",OR(RIGHT(Logic!B88,2)="T)",LEFT(Logic!B88,4)="CSD1")),DUTY*IM_RMS_120^2*V88*m/3/Num_FETS,"")</f>
        <v>9.953449886289796E-2</v>
      </c>
      <c r="AH88" s="127">
        <f>IF(AND($A88&lt;&gt;0,$A88&lt;&gt;"",OR(RIGHT(Logic!B88,2)="T)",LEFT(Logic!B88,4)="CSD1")),Num_FETS*0.5*IM_RMS_120*VDC_AVG*Z88*n*FSW*k/GDR_SRC/3,"")</f>
        <v>2.0639834881320946E-2</v>
      </c>
      <c r="AI88" s="127">
        <f>IF(AND($A88&lt;&gt;0,$A88&lt;&gt;"",OR(RIGHT(Logic!B88,2)="T)",LEFT(Logic!B88,4)="CSD1")),Num_FETS*0.5*IM_RMS_120*VDC_AVG*Z88*n*FSW*k/GDR_SINK/3,"")</f>
        <v>1.4035087719298242E-2</v>
      </c>
      <c r="AJ88" s="127">
        <f t="shared" si="38"/>
        <v>4.1399999999999999E-2</v>
      </c>
      <c r="AK88" s="127">
        <f t="shared" si="39"/>
        <v>1.3966388884290052E-2</v>
      </c>
      <c r="AL88" s="127">
        <f t="shared" si="40"/>
        <v>0.12620999999999999</v>
      </c>
      <c r="AM88" s="127">
        <f t="shared" si="55"/>
        <v>0.41899166652870157</v>
      </c>
      <c r="AN88" s="127">
        <f>IF(AND($A88&lt;&gt;0,$A88&lt;&gt;"",OR(RIGHT(Logic!B88,2)="C)",LEFT(Logic!B88,4)="CSD1")),SUM(AD88:AF88)+(AJ88/3)+AK88+AL88/6+AM88/6,AN89)</f>
        <v>0.22881852245142009</v>
      </c>
      <c r="AO88" s="127">
        <f>IF(AND($A88&lt;&gt;0,$A88&lt;&gt;"",OR(RIGHT(Logic!B88,2)="T)",LEFT(Logic!B88,4)="CSD1")),SUM(AG88:AI88)+(AJ88/3)+AL88/6+AM88/6,AO87)</f>
        <v>0.23887636588496741</v>
      </c>
      <c r="AP88" s="48">
        <f t="shared" si="56"/>
        <v>0.47</v>
      </c>
      <c r="AQ88" s="35" t="str">
        <f>IF(AND(A88&lt;&gt;0,A88&lt;&gt;""),LOOKUP(A88,Discrete_NFET[PARTNUMBER],Discrete_NFET[TI_EQ_PACKAGE]),"")</f>
        <v>TO-220</v>
      </c>
      <c r="AR88" s="49">
        <f>IF(AND(A88&lt;&gt;0,A88&lt;&gt;""),LOOKUP(A88,Discrete_NFET[PARTNUMBER],Discrete_NFET[1KPRICE]),"")</f>
        <v>1.83</v>
      </c>
      <c r="AS88" s="35" t="str">
        <f>IF(AND($A88&lt;&gt;0,$A88&lt;&gt;""),CONCATENATE(TEXT(AP88,"0.00"),"W, ",IF('User Input'!F$11="Single Discrete",A88,IF('User Input'!F$11="Dual/Power Block",LEFT(A88,FIND(")",A88)-7),A88)),", ",AQ88,", ",TEXT(AR88,"$0.00")),"Invalid Part")</f>
        <v>0.47W, CSD19506KCS, TO-220, $1.83</v>
      </c>
      <c r="AT88" t="s">
        <v>781</v>
      </c>
      <c r="AW88"/>
    </row>
    <row r="89" spans="1:49" ht="15" customHeight="1" x14ac:dyDescent="0.25">
      <c r="A89" s="35" t="str">
        <f>IF(OR(AND(FET_config="Dual/Power Block",LEFT(Logic!B89,4)="CSD8"),AND(FET_config="Single Discrete",LEFT(Logic!B89,4)="CSD1")),Logic!B89,"")</f>
        <v>CSD19506KTT</v>
      </c>
      <c r="B89" s="37" t="str">
        <f>IF(OR($A89=0,$A89=""),"0",IF(LOOKUP($A89,Discrete_NFET[PARTNUMBER],Discrete_NFET[RDSON25])="(NULL)","0","1"))</f>
        <v>0</v>
      </c>
      <c r="C89" s="38" t="str">
        <f>IF(OR($A89=0,$A89=""),"0",IF(LOOKUP($A89,Discrete_NFET[PARTNUMBER],Discrete_NFET[RDSON3])="(NULL)","0","1"))</f>
        <v>0</v>
      </c>
      <c r="D89" s="40" t="str">
        <f>IF(OR($A89=0,$A89=""),"0",IF(LOOKUP($A89,Discrete_NFET[PARTNUMBER],Discrete_NFET[RDSON45])="(NULL)","0","1"))</f>
        <v>0</v>
      </c>
      <c r="E89" s="45" t="str">
        <f>IF(OR($A89=0,$A89=""),"0",IF(LOOKUP($A89,Discrete_NFET[PARTNUMBER],Discrete_NFET[RDSON6])="(NULL)","0","1"))</f>
        <v>1</v>
      </c>
      <c r="F89" s="34" t="str">
        <f>IF(OR($A89=0,$A89=""),"0",IF(LOOKUP($A89,Discrete_NFET[PARTNUMBER],Discrete_NFET[RDSON8])="(NULL)","0","1"))</f>
        <v>0</v>
      </c>
      <c r="G89" s="43" t="str">
        <f>IF(OR($A89=0,$A89=""),"0",IF(LOOKUP($A89,Discrete_NFET[PARTNUMBER],Discrete_NFET[RDSON10])="(NULL)","0","1"))</f>
        <v>1</v>
      </c>
      <c r="H89" s="36" t="b">
        <f t="shared" si="41"/>
        <v>0</v>
      </c>
      <c r="I89" s="39" t="b">
        <f t="shared" si="42"/>
        <v>0</v>
      </c>
      <c r="J89" s="41" t="b">
        <f t="shared" si="43"/>
        <v>0</v>
      </c>
      <c r="K89" s="46" t="b">
        <f t="shared" si="44"/>
        <v>1</v>
      </c>
      <c r="L89" s="42" t="b">
        <f t="shared" si="45"/>
        <v>0</v>
      </c>
      <c r="M89" s="44" t="b">
        <f t="shared" si="46"/>
        <v>1</v>
      </c>
      <c r="N89" s="47" t="b">
        <f t="shared" si="47"/>
        <v>1</v>
      </c>
      <c r="O89" s="36" t="b">
        <f t="shared" si="48"/>
        <v>0</v>
      </c>
      <c r="P89" s="39" t="b">
        <f t="shared" si="49"/>
        <v>0</v>
      </c>
      <c r="Q89" s="41" t="b">
        <f t="shared" si="50"/>
        <v>0</v>
      </c>
      <c r="R89" s="46" t="b">
        <f t="shared" si="51"/>
        <v>1</v>
      </c>
      <c r="S89" s="42" t="b">
        <f t="shared" si="52"/>
        <v>0</v>
      </c>
      <c r="T89" s="44" t="b">
        <f t="shared" si="53"/>
        <v>1</v>
      </c>
      <c r="U89" s="148">
        <f>IF(T89,LOOKUP(A89,Discrete_NFET[PARTNUMBER],Discrete_NFET[RDSON10])*1000,IF(S89,LOOKUP(A89,Discrete_NFET[PARTNUMBER],Discrete_NFET[RDSON8])*1000,IF(R89,LOOKUP(A89,Discrete_NFET[PARTNUMBER],Discrete_NFET[RDSON6])*1000,IF(Q89,LOOKUP(A89,Discrete_NFET[PARTNUMBER],Discrete_NFET[RDSON45])*1000,IF(P89,LOOKUP(A89,Discrete_NFET[PARTNUMBER],Discrete_NFET[RDSON3])*1000,IF(O89,LOOKUP(A89,Discrete_NFET[PARTNUMBER],Discrete_NFET[RDSON25])*1000,""))))))</f>
        <v>2.2999999999999998</v>
      </c>
      <c r="V89" s="48">
        <f>IF(AND(A89&lt;&gt;0,A89&lt;&gt;""),U89*(1+(Tj-25)*(LOOKUP(A89,Discrete_NFET[PARTNUMBER],Discrete_NFET[RDSDELTA])/((LOOKUP(A89,Discrete_NFET[PARTNUMBER],Discrete_NFET[TJMAX])-25)))),"")</f>
        <v>2.6143333333333332</v>
      </c>
      <c r="W89" s="35">
        <f>IF(AND($A89&lt;&gt;0,$A89&lt;&gt;""),LOOKUP($A89,Discrete_NFET[PARTNUMBER],Discrete_NFET[QGS]),"")</f>
        <v>37</v>
      </c>
      <c r="X89" s="35">
        <f>IF(AND($A89&lt;&gt;0,$A89&lt;&gt;""),LOOKUP($A89,Discrete_NFET[PARTNUMBER],Discrete_NFET[QGD]),"")</f>
        <v>20</v>
      </c>
      <c r="Y89" s="35">
        <f>IF(AND($A89&lt;&gt;0,$A89&lt;&gt;""),LOOKUP($A89,Discrete_NFET[PARTNUMBER],Discrete_NFET[QGTH]),"")</f>
        <v>25</v>
      </c>
      <c r="Z89" s="35">
        <f t="shared" si="54"/>
        <v>32</v>
      </c>
      <c r="AA89" s="35">
        <f>IF(AND($A89&lt;&gt;0,$A89&lt;&gt;""),LOOKUP($A89,Discrete_NFET[PARTNUMBER],Discrete_NFET[QOSSTYP]),"")</f>
        <v>345</v>
      </c>
      <c r="AB89" s="35">
        <f>IF(AND($A89&lt;&gt;0,$A89&lt;&gt;""),LOOKUP($A89,Discrete_NFET[PARTNUMBER],Discrete_NFET[QRR]),"")</f>
        <v>525</v>
      </c>
      <c r="AC89" s="35">
        <f>IF(AND(A89&lt;&gt;0,A89&lt;&gt;""),LOOKUP(A89,Discrete_NFET[PARTNUMBER],Discrete_NFET[VF_TYP]),"")</f>
        <v>0.9</v>
      </c>
      <c r="AD89" s="127">
        <f>IF(AND($A89&lt;&gt;0,$A89&lt;&gt;"",OR(RIGHT(Logic!B89,2)="C)",LEFT(Logic!B89,4)="CSD1")),(1+(1-DUTY))*IM_RMS_120^2*V89*m/3/Num_FETS,"")</f>
        <v>0.11001181453267671</v>
      </c>
      <c r="AE89" s="127">
        <f>IF(AND($A89&lt;&gt;0,$A89&lt;&gt;"",OR(RIGHT(Logic!B89,2)="C)",LEFT(Logic!B89,4)="CSD1")),Num_FETS*0.5*IM_RMS_120*VDC_AVG*Z89*n*MOT_ELEC_FREQ/GDR_SRC,"")</f>
        <v>1.0319917440660473E-4</v>
      </c>
      <c r="AF89" s="127">
        <f>IF(AND($A89&lt;&gt;0,$A89&lt;&gt;"",OR(RIGHT(Logic!B89,2)="C)",LEFT(Logic!B89,4)="CSD1")),Num_FETS*0.5*IM_RMS_120*VDC_AVG*Z89*n*MOT_ELEC_FREQ/GDR_SINK,"")</f>
        <v>7.0175438596491223E-5</v>
      </c>
      <c r="AG89" s="127">
        <f>IF(AND($A89&lt;&gt;0,$A89&lt;&gt;"",OR(RIGHT(Logic!B89,2)="T)",LEFT(Logic!B89,4)="CSD1")),DUTY*IM_RMS_120^2*V89*m/3/Num_FETS,"")</f>
        <v>9.953449886289796E-2</v>
      </c>
      <c r="AH89" s="127">
        <f>IF(AND($A89&lt;&gt;0,$A89&lt;&gt;"",OR(RIGHT(Logic!B89,2)="T)",LEFT(Logic!B89,4)="CSD1")),Num_FETS*0.5*IM_RMS_120*VDC_AVG*Z89*n*FSW*k/GDR_SRC/3,"")</f>
        <v>2.0639834881320946E-2</v>
      </c>
      <c r="AI89" s="127">
        <f>IF(AND($A89&lt;&gt;0,$A89&lt;&gt;"",OR(RIGHT(Logic!B89,2)="T)",LEFT(Logic!B89,4)="CSD1")),Num_FETS*0.5*IM_RMS_120*VDC_AVG*Z89*n*FSW*k/GDR_SINK/3,"")</f>
        <v>1.4035087719298242E-2</v>
      </c>
      <c r="AJ89" s="127">
        <f t="shared" si="38"/>
        <v>4.1399999999999999E-2</v>
      </c>
      <c r="AK89" s="127">
        <f t="shared" si="39"/>
        <v>1.3966388884290052E-2</v>
      </c>
      <c r="AL89" s="127">
        <f t="shared" si="40"/>
        <v>0.12620999999999999</v>
      </c>
      <c r="AM89" s="127">
        <f t="shared" si="55"/>
        <v>0.41899166652870157</v>
      </c>
      <c r="AN89" s="127">
        <f>IF(AND($A89&lt;&gt;0,$A89&lt;&gt;"",OR(RIGHT(Logic!B89,2)="C)",LEFT(Logic!B89,4)="CSD1")),SUM(AD89:AF89)+(AJ89/3)+AK89+AL89/6+AM89/6,AN90)</f>
        <v>0.22881852245142009</v>
      </c>
      <c r="AO89" s="127">
        <f>IF(AND($A89&lt;&gt;0,$A89&lt;&gt;"",OR(RIGHT(Logic!B89,2)="T)",LEFT(Logic!B89,4)="CSD1")),SUM(AG89:AI89)+(AJ89/3)+AL89/6+AM89/6,AO88)</f>
        <v>0.23887636588496741</v>
      </c>
      <c r="AP89" s="48">
        <f t="shared" si="56"/>
        <v>0.47</v>
      </c>
      <c r="AQ89" s="35" t="str">
        <f>IF(AND(A89&lt;&gt;0,A89&lt;&gt;""),LOOKUP(A89,Discrete_NFET[PARTNUMBER],Discrete_NFET[TI_EQ_PACKAGE]),"")</f>
        <v>DDPAK</v>
      </c>
      <c r="AR89" s="49">
        <f>IF(AND(A89&lt;&gt;0,A89&lt;&gt;""),LOOKUP(A89,Discrete_NFET[PARTNUMBER],Discrete_NFET[1KPRICE]),"")</f>
        <v>1.88</v>
      </c>
      <c r="AS89" s="35" t="str">
        <f>IF(AND($A89&lt;&gt;0,$A89&lt;&gt;""),CONCATENATE(TEXT(AP89,"0.00"),"W, ",IF('User Input'!F$11="Single Discrete",A89,IF('User Input'!F$11="Dual/Power Block",LEFT(A89,FIND(")",A89)-7),A89)),", ",AQ89,", ",TEXT(AR89,"$0.00")),"Invalid Part")</f>
        <v>0.47W, CSD19506KTT, DDPAK, $1.88</v>
      </c>
      <c r="AT89" t="s">
        <v>780</v>
      </c>
      <c r="AW89"/>
    </row>
    <row r="90" spans="1:49" ht="15" customHeight="1" x14ac:dyDescent="0.25">
      <c r="A90" s="35" t="str">
        <f>IF(OR(AND(FET_config="Dual/Power Block",LEFT(Logic!B90,4)="CSD8"),AND(FET_config="Single Discrete",LEFT(Logic!B90,4)="CSD1")),Logic!B90,"")</f>
        <v/>
      </c>
      <c r="B90" s="37" t="str">
        <f>IF(OR($A90=0,$A90=""),"0",IF(LOOKUP($A90,Discrete_NFET[PARTNUMBER],Discrete_NFET[RDSON25])="(NULL)","0","1"))</f>
        <v>0</v>
      </c>
      <c r="C90" s="38" t="str">
        <f>IF(OR($A90=0,$A90=""),"0",IF(LOOKUP($A90,Discrete_NFET[PARTNUMBER],Discrete_NFET[RDSON3])="(NULL)","0","1"))</f>
        <v>0</v>
      </c>
      <c r="D90" s="40" t="str">
        <f>IF(OR($A90=0,$A90=""),"0",IF(LOOKUP($A90,Discrete_NFET[PARTNUMBER],Discrete_NFET[RDSON45])="(NULL)","0","1"))</f>
        <v>0</v>
      </c>
      <c r="E90" s="45" t="str">
        <f>IF(OR($A90=0,$A90=""),"0",IF(LOOKUP($A90,Discrete_NFET[PARTNUMBER],Discrete_NFET[RDSON6])="(NULL)","0","1"))</f>
        <v>0</v>
      </c>
      <c r="F90" s="34" t="str">
        <f>IF(OR($A90=0,$A90=""),"0",IF(LOOKUP($A90,Discrete_NFET[PARTNUMBER],Discrete_NFET[RDSON8])="(NULL)","0","1"))</f>
        <v>0</v>
      </c>
      <c r="G90" s="43" t="str">
        <f>IF(OR($A90=0,$A90=""),"0",IF(LOOKUP($A90,Discrete_NFET[PARTNUMBER],Discrete_NFET[RDSON10])="(NULL)","0","1"))</f>
        <v>0</v>
      </c>
      <c r="H90" s="36" t="b">
        <f t="shared" si="41"/>
        <v>0</v>
      </c>
      <c r="I90" s="39" t="b">
        <f t="shared" si="42"/>
        <v>0</v>
      </c>
      <c r="J90" s="41" t="b">
        <f t="shared" si="43"/>
        <v>0</v>
      </c>
      <c r="K90" s="46" t="b">
        <f t="shared" si="44"/>
        <v>0</v>
      </c>
      <c r="L90" s="42" t="b">
        <f t="shared" si="45"/>
        <v>0</v>
      </c>
      <c r="M90" s="44" t="b">
        <f t="shared" si="46"/>
        <v>0</v>
      </c>
      <c r="N90" s="47" t="b">
        <f t="shared" si="47"/>
        <v>0</v>
      </c>
      <c r="O90" s="36" t="b">
        <f t="shared" si="48"/>
        <v>0</v>
      </c>
      <c r="P90" s="39" t="b">
        <f t="shared" si="49"/>
        <v>0</v>
      </c>
      <c r="Q90" s="41" t="b">
        <f t="shared" si="50"/>
        <v>0</v>
      </c>
      <c r="R90" s="46" t="b">
        <f t="shared" si="51"/>
        <v>0</v>
      </c>
      <c r="S90" s="42" t="b">
        <f t="shared" si="52"/>
        <v>0</v>
      </c>
      <c r="T90" s="44" t="b">
        <f t="shared" si="53"/>
        <v>0</v>
      </c>
      <c r="U90" s="148" t="str">
        <f>IF(T90,LOOKUP(A90,Discrete_NFET[PARTNUMBER],Discrete_NFET[RDSON10])*1000,IF(S90,LOOKUP(A90,Discrete_NFET[PARTNUMBER],Discrete_NFET[RDSON8])*1000,IF(R90,LOOKUP(A90,Discrete_NFET[PARTNUMBER],Discrete_NFET[RDSON6])*1000,IF(Q90,LOOKUP(A90,Discrete_NFET[PARTNUMBER],Discrete_NFET[RDSON45])*1000,IF(P90,LOOKUP(A90,Discrete_NFET[PARTNUMBER],Discrete_NFET[RDSON3])*1000,IF(O90,LOOKUP(A90,Discrete_NFET[PARTNUMBER],Discrete_NFET[RDSON25])*1000,""))))))</f>
        <v/>
      </c>
      <c r="V90" s="48" t="str">
        <f>IF(AND(A90&lt;&gt;0,A90&lt;&gt;""),U90*(1+(Tj-25)*(LOOKUP(A90,Discrete_NFET[PARTNUMBER],Discrete_NFET[RDSDELTA])/((LOOKUP(A90,Discrete_NFET[PARTNUMBER],Discrete_NFET[TJMAX])-25)))),"")</f>
        <v/>
      </c>
      <c r="W90" s="35" t="str">
        <f>IF(AND($A90&lt;&gt;0,$A90&lt;&gt;""),LOOKUP($A90,Discrete_NFET[PARTNUMBER],Discrete_NFET[QGS]),"")</f>
        <v/>
      </c>
      <c r="X90" s="35" t="str">
        <f>IF(AND($A90&lt;&gt;0,$A90&lt;&gt;""),LOOKUP($A90,Discrete_NFET[PARTNUMBER],Discrete_NFET[QGD]),"")</f>
        <v/>
      </c>
      <c r="Y90" s="35" t="str">
        <f>IF(AND($A90&lt;&gt;0,$A90&lt;&gt;""),LOOKUP($A90,Discrete_NFET[PARTNUMBER],Discrete_NFET[QGTH]),"")</f>
        <v/>
      </c>
      <c r="Z90" s="35" t="str">
        <f t="shared" si="54"/>
        <v/>
      </c>
      <c r="AA90" s="35" t="str">
        <f>IF(AND($A90&lt;&gt;0,$A90&lt;&gt;""),LOOKUP($A90,Discrete_NFET[PARTNUMBER],Discrete_NFET[QOSSTYP]),"")</f>
        <v/>
      </c>
      <c r="AB90" s="35" t="str">
        <f>IF(AND($A90&lt;&gt;0,$A90&lt;&gt;""),LOOKUP($A90,Discrete_NFET[PARTNUMBER],Discrete_NFET[QRR]),"")</f>
        <v/>
      </c>
      <c r="AC90" s="35" t="str">
        <f>IF(AND(A90&lt;&gt;0,A90&lt;&gt;""),LOOKUP(A90,Discrete_NFET[PARTNUMBER],Discrete_NFET[VF_TYP]),"")</f>
        <v/>
      </c>
      <c r="AD90" s="127" t="str">
        <f>IF(AND($A90&lt;&gt;0,$A90&lt;&gt;"",OR(RIGHT(Logic!B90,2)="C)",LEFT(Logic!B90,4)="CSD1")),(1+(1-DUTY))*IM_RMS_120^2*V90*m/3/Num_FETS,"")</f>
        <v/>
      </c>
      <c r="AE90" s="127" t="str">
        <f>IF(AND($A90&lt;&gt;0,$A90&lt;&gt;"",OR(RIGHT(Logic!B90,2)="C)",LEFT(Logic!B90,4)="CSD1")),Num_FETS*0.5*IM_RMS_120*VDC_AVG*Z90*n*MOT_ELEC_FREQ/GDR_SRC,"")</f>
        <v/>
      </c>
      <c r="AF90" s="127" t="str">
        <f>IF(AND($A90&lt;&gt;0,$A90&lt;&gt;"",OR(RIGHT(Logic!B90,2)="C)",LEFT(Logic!B90,4)="CSD1")),Num_FETS*0.5*IM_RMS_120*VDC_AVG*Z90*n*MOT_ELEC_FREQ/GDR_SINK,"")</f>
        <v/>
      </c>
      <c r="AG90" s="127" t="str">
        <f>IF(AND($A90&lt;&gt;0,$A90&lt;&gt;"",OR(RIGHT(Logic!B90,2)="T)",LEFT(Logic!B90,4)="CSD1")),DUTY*IM_RMS_120^2*V90*m/3/Num_FETS,"")</f>
        <v/>
      </c>
      <c r="AH90" s="127" t="str">
        <f>IF(AND($A90&lt;&gt;0,$A90&lt;&gt;"",OR(RIGHT(Logic!B90,2)="T)",LEFT(Logic!B90,4)="CSD1")),Num_FETS*0.5*IM_RMS_120*VDC_AVG*Z90*n*FSW*k/GDR_SRC/3,"")</f>
        <v/>
      </c>
      <c r="AI90" s="127" t="str">
        <f>IF(AND($A90&lt;&gt;0,$A90&lt;&gt;"",OR(RIGHT(Logic!B90,2)="T)",LEFT(Logic!B90,4)="CSD1")),Num_FETS*0.5*IM_RMS_120*VDC_AVG*Z90*n*FSW*k/GDR_SINK/3,"")</f>
        <v/>
      </c>
      <c r="AJ90" s="127" t="str">
        <f t="shared" si="38"/>
        <v/>
      </c>
      <c r="AK90" s="127" t="str">
        <f t="shared" si="39"/>
        <v/>
      </c>
      <c r="AL90" s="127" t="str">
        <f t="shared" si="40"/>
        <v/>
      </c>
      <c r="AM90" s="127" t="str">
        <f t="shared" si="55"/>
        <v/>
      </c>
      <c r="AN90" s="127">
        <f>IF(AND($A90&lt;&gt;0,$A90&lt;&gt;"",OR(RIGHT(Logic!B90,2)="C)",LEFT(Logic!B90,4)="CSD1")),SUM(AD90:AF90)+(AJ90/3)+AK90+AL90/6+AM90/6,AN91)</f>
        <v>0</v>
      </c>
      <c r="AO90" s="127">
        <f>IF(AND($A90&lt;&gt;0,$A90&lt;&gt;"",OR(RIGHT(Logic!B90,2)="T)",LEFT(Logic!B90,4)="CSD1")),SUM(AG90:AI90)+(AJ90/3)+AL90/6+AM90/6,AO89)</f>
        <v>0.23887636588496741</v>
      </c>
      <c r="AP90" s="48" t="str">
        <f t="shared" si="56"/>
        <v/>
      </c>
      <c r="AQ90" s="35" t="str">
        <f>IF(AND(A90&lt;&gt;0,A90&lt;&gt;""),LOOKUP(A90,Discrete_NFET[PARTNUMBER],Discrete_NFET[TI_EQ_PACKAGE]),"")</f>
        <v/>
      </c>
      <c r="AR90" s="49" t="str">
        <f>IF(AND(A90&lt;&gt;0,A90&lt;&gt;""),LOOKUP(A90,Discrete_NFET[PARTNUMBER],Discrete_NFET[1KPRICE]),"")</f>
        <v/>
      </c>
      <c r="AS90" s="35" t="str">
        <f>IF(AND($A90&lt;&gt;0,$A90&lt;&gt;""),CONCATENATE(TEXT(AP90,"0.00"),"W, ",IF('User Input'!F$11="Single Discrete",A90,IF('User Input'!F$11="Dual/Power Block",LEFT(A90,FIND(")",A90)-7),A90)),", ",AQ90,", ",TEXT(AR90,"$0.00")),"Invalid Part")</f>
        <v>Invalid Part</v>
      </c>
      <c r="AT90"/>
      <c r="AW90"/>
    </row>
    <row r="91" spans="1:49" ht="15" customHeight="1" x14ac:dyDescent="0.25">
      <c r="A91" s="35" t="str">
        <f>IF(OR(AND(FET_config="Dual/Power Block",LEFT(Logic!B91,4)="CSD8"),AND(FET_config="Single Discrete",LEFT(Logic!B91,4)="CSD1")),Logic!B91,"")</f>
        <v/>
      </c>
      <c r="B91" s="37" t="str">
        <f>IF(OR($A91=0,$A91=""),"0",IF(LOOKUP($A91,Discrete_NFET[PARTNUMBER],Discrete_NFET[RDSON25])="(NULL)","0","1"))</f>
        <v>0</v>
      </c>
      <c r="C91" s="38" t="str">
        <f>IF(OR($A91=0,$A91=""),"0",IF(LOOKUP($A91,Discrete_NFET[PARTNUMBER],Discrete_NFET[RDSON3])="(NULL)","0","1"))</f>
        <v>0</v>
      </c>
      <c r="D91" s="40" t="str">
        <f>IF(OR($A91=0,$A91=""),"0",IF(LOOKUP($A91,Discrete_NFET[PARTNUMBER],Discrete_NFET[RDSON45])="(NULL)","0","1"))</f>
        <v>0</v>
      </c>
      <c r="E91" s="45" t="str">
        <f>IF(OR($A91=0,$A91=""),"0",IF(LOOKUP($A91,Discrete_NFET[PARTNUMBER],Discrete_NFET[RDSON6])="(NULL)","0","1"))</f>
        <v>0</v>
      </c>
      <c r="F91" s="34" t="str">
        <f>IF(OR($A91=0,$A91=""),"0",IF(LOOKUP($A91,Discrete_NFET[PARTNUMBER],Discrete_NFET[RDSON8])="(NULL)","0","1"))</f>
        <v>0</v>
      </c>
      <c r="G91" s="43" t="str">
        <f>IF(OR($A91=0,$A91=""),"0",IF(LOOKUP($A91,Discrete_NFET[PARTNUMBER],Discrete_NFET[RDSON10])="(NULL)","0","1"))</f>
        <v>0</v>
      </c>
      <c r="H91" s="36" t="b">
        <f t="shared" si="41"/>
        <v>0</v>
      </c>
      <c r="I91" s="39" t="b">
        <f t="shared" si="42"/>
        <v>0</v>
      </c>
      <c r="J91" s="41" t="b">
        <f t="shared" si="43"/>
        <v>0</v>
      </c>
      <c r="K91" s="46" t="b">
        <f t="shared" si="44"/>
        <v>0</v>
      </c>
      <c r="L91" s="42" t="b">
        <f t="shared" si="45"/>
        <v>0</v>
      </c>
      <c r="M91" s="44" t="b">
        <f t="shared" si="46"/>
        <v>0</v>
      </c>
      <c r="N91" s="47" t="b">
        <f t="shared" si="47"/>
        <v>0</v>
      </c>
      <c r="O91" s="36" t="b">
        <f t="shared" si="48"/>
        <v>0</v>
      </c>
      <c r="P91" s="39" t="b">
        <f t="shared" si="49"/>
        <v>0</v>
      </c>
      <c r="Q91" s="41" t="b">
        <f t="shared" si="50"/>
        <v>0</v>
      </c>
      <c r="R91" s="46" t="b">
        <f t="shared" si="51"/>
        <v>0</v>
      </c>
      <c r="S91" s="42" t="b">
        <f t="shared" si="52"/>
        <v>0</v>
      </c>
      <c r="T91" s="44" t="b">
        <f t="shared" si="53"/>
        <v>0</v>
      </c>
      <c r="U91" s="148" t="str">
        <f>IF(T91,LOOKUP(A91,Discrete_NFET[PARTNUMBER],Discrete_NFET[RDSON10])*1000,IF(S91,LOOKUP(A91,Discrete_NFET[PARTNUMBER],Discrete_NFET[RDSON8])*1000,IF(R91,LOOKUP(A91,Discrete_NFET[PARTNUMBER],Discrete_NFET[RDSON6])*1000,IF(Q91,LOOKUP(A91,Discrete_NFET[PARTNUMBER],Discrete_NFET[RDSON45])*1000,IF(P91,LOOKUP(A91,Discrete_NFET[PARTNUMBER],Discrete_NFET[RDSON3])*1000,IF(O91,LOOKUP(A91,Discrete_NFET[PARTNUMBER],Discrete_NFET[RDSON25])*1000,""))))))</f>
        <v/>
      </c>
      <c r="V91" s="48" t="str">
        <f>IF(AND(A91&lt;&gt;0,A91&lt;&gt;""),U91*(1+(Tj-25)*(LOOKUP(A91,Discrete_NFET[PARTNUMBER],Discrete_NFET[RDSDELTA])/((LOOKUP(A91,Discrete_NFET[PARTNUMBER],Discrete_NFET[TJMAX])-25)))),"")</f>
        <v/>
      </c>
      <c r="W91" s="35" t="str">
        <f>IF(AND($A91&lt;&gt;0,$A91&lt;&gt;""),LOOKUP($A91,Discrete_NFET[PARTNUMBER],Discrete_NFET[QGS]),"")</f>
        <v/>
      </c>
      <c r="X91" s="35" t="str">
        <f>IF(AND($A91&lt;&gt;0,$A91&lt;&gt;""),LOOKUP($A91,Discrete_NFET[PARTNUMBER],Discrete_NFET[QGD]),"")</f>
        <v/>
      </c>
      <c r="Y91" s="35" t="str">
        <f>IF(AND($A91&lt;&gt;0,$A91&lt;&gt;""),LOOKUP($A91,Discrete_NFET[PARTNUMBER],Discrete_NFET[QGTH]),"")</f>
        <v/>
      </c>
      <c r="Z91" s="35" t="str">
        <f t="shared" si="54"/>
        <v/>
      </c>
      <c r="AA91" s="35" t="str">
        <f>IF(AND($A91&lt;&gt;0,$A91&lt;&gt;""),LOOKUP($A91,Discrete_NFET[PARTNUMBER],Discrete_NFET[QOSSTYP]),"")</f>
        <v/>
      </c>
      <c r="AB91" s="35" t="str">
        <f>IF(AND($A91&lt;&gt;0,$A91&lt;&gt;""),LOOKUP($A91,Discrete_NFET[PARTNUMBER],Discrete_NFET[QRR]),"")</f>
        <v/>
      </c>
      <c r="AC91" s="35" t="str">
        <f>IF(AND(A91&lt;&gt;0,A91&lt;&gt;""),LOOKUP(A91,Discrete_NFET[PARTNUMBER],Discrete_NFET[VF_TYP]),"")</f>
        <v/>
      </c>
      <c r="AD91" s="127" t="str">
        <f>IF(AND($A91&lt;&gt;0,$A91&lt;&gt;"",OR(RIGHT(Logic!B91,2)="C)",LEFT(Logic!B91,4)="CSD1")),(1+(1-DUTY))*IM_RMS_120^2*V91*m/3/Num_FETS,"")</f>
        <v/>
      </c>
      <c r="AE91" s="127" t="str">
        <f>IF(AND($A91&lt;&gt;0,$A91&lt;&gt;"",OR(RIGHT(Logic!B91,2)="C)",LEFT(Logic!B91,4)="CSD1")),Num_FETS*0.5*IM_RMS_120*VDC_AVG*Z91*n*MOT_ELEC_FREQ/GDR_SRC,"")</f>
        <v/>
      </c>
      <c r="AF91" s="127" t="str">
        <f>IF(AND($A91&lt;&gt;0,$A91&lt;&gt;"",OR(RIGHT(Logic!B91,2)="C)",LEFT(Logic!B91,4)="CSD1")),Num_FETS*0.5*IM_RMS_120*VDC_AVG*Z91*n*MOT_ELEC_FREQ/GDR_SINK,"")</f>
        <v/>
      </c>
      <c r="AG91" s="127" t="str">
        <f>IF(AND($A91&lt;&gt;0,$A91&lt;&gt;"",OR(RIGHT(Logic!B91,2)="T)",LEFT(Logic!B91,4)="CSD1")),DUTY*IM_RMS_120^2*V91*m/3/Num_FETS,"")</f>
        <v/>
      </c>
      <c r="AH91" s="127" t="str">
        <f>IF(AND($A91&lt;&gt;0,$A91&lt;&gt;"",OR(RIGHT(Logic!B91,2)="T)",LEFT(Logic!B91,4)="CSD1")),Num_FETS*0.5*IM_RMS_120*VDC_AVG*Z91*n*FSW*k/GDR_SRC/3,"")</f>
        <v/>
      </c>
      <c r="AI91" s="127" t="str">
        <f>IF(AND($A91&lt;&gt;0,$A91&lt;&gt;"",OR(RIGHT(Logic!B91,2)="T)",LEFT(Logic!B91,4)="CSD1")),Num_FETS*0.5*IM_RMS_120*VDC_AVG*Z91*n*FSW*k/GDR_SINK/3,"")</f>
        <v/>
      </c>
      <c r="AJ91" s="127" t="str">
        <f t="shared" si="38"/>
        <v/>
      </c>
      <c r="AK91" s="127" t="str">
        <f t="shared" si="39"/>
        <v/>
      </c>
      <c r="AL91" s="127" t="str">
        <f t="shared" si="40"/>
        <v/>
      </c>
      <c r="AM91" s="127" t="str">
        <f t="shared" si="55"/>
        <v/>
      </c>
      <c r="AN91" s="127">
        <f>IF(AND($A91&lt;&gt;0,$A91&lt;&gt;"",OR(RIGHT(Logic!B91,2)="C)",LEFT(Logic!B91,4)="CSD1")),SUM(AD91:AF91)+(AJ91/3)+AK91+AL91/6+AM91/6,AN92)</f>
        <v>0</v>
      </c>
      <c r="AO91" s="127">
        <f>IF(AND($A91&lt;&gt;0,$A91&lt;&gt;"",OR(RIGHT(Logic!B91,2)="T)",LEFT(Logic!B91,4)="CSD1")),SUM(AG91:AI91)+(AJ91/3)+AL91/6+AM91/6,AO90)</f>
        <v>0.23887636588496741</v>
      </c>
      <c r="AP91" s="48" t="str">
        <f t="shared" si="56"/>
        <v/>
      </c>
      <c r="AQ91" s="35" t="str">
        <f>IF(AND(A91&lt;&gt;0,A91&lt;&gt;""),LOOKUP(A91,Discrete_NFET[PARTNUMBER],Discrete_NFET[TI_EQ_PACKAGE]),"")</f>
        <v/>
      </c>
      <c r="AR91" s="49" t="str">
        <f>IF(AND(A91&lt;&gt;0,A91&lt;&gt;""),LOOKUP(A91,Discrete_NFET[PARTNUMBER],Discrete_NFET[1KPRICE]),"")</f>
        <v/>
      </c>
      <c r="AS91" s="35" t="str">
        <f>IF(AND($A91&lt;&gt;0,$A91&lt;&gt;""),CONCATENATE(TEXT(AP91,"0.00"),"W, ",IF('User Input'!F$11="Single Discrete",A91,IF('User Input'!F$11="Dual/Power Block",LEFT(A91,FIND(")",A91)-7),A91)),", ",AQ91,", ",TEXT(AR91,"$0.00")),"Invalid Part")</f>
        <v>Invalid Part</v>
      </c>
      <c r="AT91"/>
      <c r="AW91"/>
    </row>
    <row r="92" spans="1:49" ht="15" customHeight="1" x14ac:dyDescent="0.25">
      <c r="A92" s="35" t="str">
        <f>IF(OR(AND(FET_config="Dual/Power Block",LEFT(Logic!B92,4)="CSD8"),AND(FET_config="Single Discrete",LEFT(Logic!B92,4)="CSD1")),Logic!B92,"")</f>
        <v/>
      </c>
      <c r="B92" s="37" t="str">
        <f>IF(OR($A92=0,$A92=""),"0",IF(LOOKUP($A92,Discrete_NFET[PARTNUMBER],Discrete_NFET[RDSON25])="(NULL)","0","1"))</f>
        <v>0</v>
      </c>
      <c r="C92" s="38" t="str">
        <f>IF(OR($A92=0,$A92=""),"0",IF(LOOKUP($A92,Discrete_NFET[PARTNUMBER],Discrete_NFET[RDSON3])="(NULL)","0","1"))</f>
        <v>0</v>
      </c>
      <c r="D92" s="40" t="str">
        <f>IF(OR($A92=0,$A92=""),"0",IF(LOOKUP($A92,Discrete_NFET[PARTNUMBER],Discrete_NFET[RDSON45])="(NULL)","0","1"))</f>
        <v>0</v>
      </c>
      <c r="E92" s="45" t="str">
        <f>IF(OR($A92=0,$A92=""),"0",IF(LOOKUP($A92,Discrete_NFET[PARTNUMBER],Discrete_NFET[RDSON6])="(NULL)","0","1"))</f>
        <v>0</v>
      </c>
      <c r="F92" s="34" t="str">
        <f>IF(OR($A92=0,$A92=""),"0",IF(LOOKUP($A92,Discrete_NFET[PARTNUMBER],Discrete_NFET[RDSON8])="(NULL)","0","1"))</f>
        <v>0</v>
      </c>
      <c r="G92" s="43" t="str">
        <f>IF(OR($A92=0,$A92=""),"0",IF(LOOKUP($A92,Discrete_NFET[PARTNUMBER],Discrete_NFET[RDSON10])="(NULL)","0","1"))</f>
        <v>0</v>
      </c>
      <c r="H92" s="36" t="b">
        <f t="shared" si="41"/>
        <v>0</v>
      </c>
      <c r="I92" s="39" t="b">
        <f t="shared" si="42"/>
        <v>0</v>
      </c>
      <c r="J92" s="41" t="b">
        <f t="shared" si="43"/>
        <v>0</v>
      </c>
      <c r="K92" s="46" t="b">
        <f t="shared" si="44"/>
        <v>0</v>
      </c>
      <c r="L92" s="42" t="b">
        <f t="shared" si="45"/>
        <v>0</v>
      </c>
      <c r="M92" s="44" t="b">
        <f t="shared" si="46"/>
        <v>0</v>
      </c>
      <c r="N92" s="47" t="b">
        <f t="shared" si="47"/>
        <v>0</v>
      </c>
      <c r="O92" s="36" t="b">
        <f t="shared" si="48"/>
        <v>0</v>
      </c>
      <c r="P92" s="39" t="b">
        <f t="shared" si="49"/>
        <v>0</v>
      </c>
      <c r="Q92" s="41" t="b">
        <f t="shared" si="50"/>
        <v>0</v>
      </c>
      <c r="R92" s="46" t="b">
        <f t="shared" si="51"/>
        <v>0</v>
      </c>
      <c r="S92" s="42" t="b">
        <f t="shared" si="52"/>
        <v>0</v>
      </c>
      <c r="T92" s="44" t="b">
        <f t="shared" si="53"/>
        <v>0</v>
      </c>
      <c r="U92" s="148" t="str">
        <f>IF(T92,LOOKUP(A92,Discrete_NFET[PARTNUMBER],Discrete_NFET[RDSON10])*1000,IF(S92,LOOKUP(A92,Discrete_NFET[PARTNUMBER],Discrete_NFET[RDSON8])*1000,IF(R92,LOOKUP(A92,Discrete_NFET[PARTNUMBER],Discrete_NFET[RDSON6])*1000,IF(Q92,LOOKUP(A92,Discrete_NFET[PARTNUMBER],Discrete_NFET[RDSON45])*1000,IF(P92,LOOKUP(A92,Discrete_NFET[PARTNUMBER],Discrete_NFET[RDSON3])*1000,IF(O92,LOOKUP(A92,Discrete_NFET[PARTNUMBER],Discrete_NFET[RDSON25])*1000,""))))))</f>
        <v/>
      </c>
      <c r="V92" s="48" t="str">
        <f>IF(AND(A92&lt;&gt;0,A92&lt;&gt;""),U92*(1+(Tj-25)*(LOOKUP(A92,Discrete_NFET[PARTNUMBER],Discrete_NFET[RDSDELTA])/((LOOKUP(A92,Discrete_NFET[PARTNUMBER],Discrete_NFET[TJMAX])-25)))),"")</f>
        <v/>
      </c>
      <c r="W92" s="35" t="str">
        <f>IF(AND($A92&lt;&gt;0,$A92&lt;&gt;""),LOOKUP($A92,Discrete_NFET[PARTNUMBER],Discrete_NFET[QGS]),"")</f>
        <v/>
      </c>
      <c r="X92" s="35" t="str">
        <f>IF(AND($A92&lt;&gt;0,$A92&lt;&gt;""),LOOKUP($A92,Discrete_NFET[PARTNUMBER],Discrete_NFET[QGD]),"")</f>
        <v/>
      </c>
      <c r="Y92" s="35" t="str">
        <f>IF(AND($A92&lt;&gt;0,$A92&lt;&gt;""),LOOKUP($A92,Discrete_NFET[PARTNUMBER],Discrete_NFET[QGTH]),"")</f>
        <v/>
      </c>
      <c r="Z92" s="35" t="str">
        <f t="shared" si="54"/>
        <v/>
      </c>
      <c r="AA92" s="35" t="str">
        <f>IF(AND($A92&lt;&gt;0,$A92&lt;&gt;""),LOOKUP($A92,Discrete_NFET[PARTNUMBER],Discrete_NFET[QOSSTYP]),"")</f>
        <v/>
      </c>
      <c r="AB92" s="35" t="str">
        <f>IF(AND($A92&lt;&gt;0,$A92&lt;&gt;""),LOOKUP($A92,Discrete_NFET[PARTNUMBER],Discrete_NFET[QRR]),"")</f>
        <v/>
      </c>
      <c r="AC92" s="35" t="str">
        <f>IF(AND(A92&lt;&gt;0,A92&lt;&gt;""),LOOKUP(A92,Discrete_NFET[PARTNUMBER],Discrete_NFET[VF_TYP]),"")</f>
        <v/>
      </c>
      <c r="AD92" s="127" t="str">
        <f>IF(AND($A92&lt;&gt;0,$A92&lt;&gt;"",OR(RIGHT(Logic!B92,2)="C)",LEFT(Logic!B92,4)="CSD1")),(1+(1-DUTY))*IM_RMS_120^2*V92*m/3/Num_FETS,"")</f>
        <v/>
      </c>
      <c r="AE92" s="127" t="str">
        <f>IF(AND($A92&lt;&gt;0,$A92&lt;&gt;"",OR(RIGHT(Logic!B92,2)="C)",LEFT(Logic!B92,4)="CSD1")),Num_FETS*0.5*IM_RMS_120*VDC_AVG*Z92*n*MOT_ELEC_FREQ/GDR_SRC,"")</f>
        <v/>
      </c>
      <c r="AF92" s="127" t="str">
        <f>IF(AND($A92&lt;&gt;0,$A92&lt;&gt;"",OR(RIGHT(Logic!B92,2)="C)",LEFT(Logic!B92,4)="CSD1")),Num_FETS*0.5*IM_RMS_120*VDC_AVG*Z92*n*MOT_ELEC_FREQ/GDR_SINK,"")</f>
        <v/>
      </c>
      <c r="AG92" s="127" t="str">
        <f>IF(AND($A92&lt;&gt;0,$A92&lt;&gt;"",OR(RIGHT(Logic!B92,2)="T)",LEFT(Logic!B92,4)="CSD1")),DUTY*IM_RMS_120^2*V92*m/3/Num_FETS,"")</f>
        <v/>
      </c>
      <c r="AH92" s="127" t="str">
        <f>IF(AND($A92&lt;&gt;0,$A92&lt;&gt;"",OR(RIGHT(Logic!B92,2)="T)",LEFT(Logic!B92,4)="CSD1")),Num_FETS*0.5*IM_RMS_120*VDC_AVG*Z92*n*FSW*k/GDR_SRC/3,"")</f>
        <v/>
      </c>
      <c r="AI92" s="127" t="str">
        <f>IF(AND($A92&lt;&gt;0,$A92&lt;&gt;"",OR(RIGHT(Logic!B92,2)="T)",LEFT(Logic!B92,4)="CSD1")),Num_FETS*0.5*IM_RMS_120*VDC_AVG*Z92*n*FSW*k/GDR_SINK/3,"")</f>
        <v/>
      </c>
      <c r="AJ92" s="127" t="str">
        <f t="shared" si="38"/>
        <v/>
      </c>
      <c r="AK92" s="127" t="str">
        <f t="shared" si="39"/>
        <v/>
      </c>
      <c r="AL92" s="127" t="str">
        <f t="shared" si="40"/>
        <v/>
      </c>
      <c r="AM92" s="127" t="str">
        <f t="shared" si="55"/>
        <v/>
      </c>
      <c r="AN92" s="127">
        <f>IF(AND($A92&lt;&gt;0,$A92&lt;&gt;"",OR(RIGHT(Logic!B92,2)="C)",LEFT(Logic!B92,4)="CSD1")),SUM(AD92:AF92)+(AJ92/3)+AK92+AL92/6+AM92/6,AN93)</f>
        <v>0</v>
      </c>
      <c r="AO92" s="127">
        <f>IF(AND($A92&lt;&gt;0,$A92&lt;&gt;"",OR(RIGHT(Logic!B92,2)="T)",LEFT(Logic!B92,4)="CSD1")),SUM(AG92:AI92)+(AJ92/3)+AL92/6+AM92/6,AO91)</f>
        <v>0.23887636588496741</v>
      </c>
      <c r="AP92" s="48" t="str">
        <f t="shared" si="56"/>
        <v/>
      </c>
      <c r="AQ92" s="35" t="str">
        <f>IF(AND(A92&lt;&gt;0,A92&lt;&gt;""),LOOKUP(A92,Discrete_NFET[PARTNUMBER],Discrete_NFET[TI_EQ_PACKAGE]),"")</f>
        <v/>
      </c>
      <c r="AR92" s="49" t="str">
        <f>IF(AND(A92&lt;&gt;0,A92&lt;&gt;""),LOOKUP(A92,Discrete_NFET[PARTNUMBER],Discrete_NFET[1KPRICE]),"")</f>
        <v/>
      </c>
      <c r="AS92" s="35" t="str">
        <f>IF(AND($A92&lt;&gt;0,$A92&lt;&gt;""),CONCATENATE(TEXT(AP92,"0.00"),"W, ",IF('User Input'!F$11="Single Discrete",A92,IF('User Input'!F$11="Dual/Power Block",LEFT(A92,FIND(")",A92)-7),A92)),", ",AQ92,", ",TEXT(AR92,"$0.00")),"Invalid Part")</f>
        <v>Invalid Part</v>
      </c>
      <c r="AT92"/>
      <c r="AW92"/>
    </row>
    <row r="93" spans="1:49" ht="15" customHeight="1" x14ac:dyDescent="0.25">
      <c r="A93" s="35" t="str">
        <f>IF(OR(AND(FET_config="Dual/Power Block",LEFT(Logic!B93,4)="CSD8"),AND(FET_config="Single Discrete",LEFT(Logic!B93,4)="CSD1")),Logic!B93,"")</f>
        <v/>
      </c>
      <c r="B93" s="37" t="str">
        <f>IF(OR($A93=0,$A93=""),"0",IF(LOOKUP($A93,Discrete_NFET[PARTNUMBER],Discrete_NFET[RDSON25])="(NULL)","0","1"))</f>
        <v>0</v>
      </c>
      <c r="C93" s="38" t="str">
        <f>IF(OR($A93=0,$A93=""),"0",IF(LOOKUP($A93,Discrete_NFET[PARTNUMBER],Discrete_NFET[RDSON3])="(NULL)","0","1"))</f>
        <v>0</v>
      </c>
      <c r="D93" s="40" t="str">
        <f>IF(OR($A93=0,$A93=""),"0",IF(LOOKUP($A93,Discrete_NFET[PARTNUMBER],Discrete_NFET[RDSON45])="(NULL)","0","1"))</f>
        <v>0</v>
      </c>
      <c r="E93" s="45" t="str">
        <f>IF(OR($A93=0,$A93=""),"0",IF(LOOKUP($A93,Discrete_NFET[PARTNUMBER],Discrete_NFET[RDSON6])="(NULL)","0","1"))</f>
        <v>0</v>
      </c>
      <c r="F93" s="34" t="str">
        <f>IF(OR($A93=0,$A93=""),"0",IF(LOOKUP($A93,Discrete_NFET[PARTNUMBER],Discrete_NFET[RDSON8])="(NULL)","0","1"))</f>
        <v>0</v>
      </c>
      <c r="G93" s="43" t="str">
        <f>IF(OR($A93=0,$A93=""),"0",IF(LOOKUP($A93,Discrete_NFET[PARTNUMBER],Discrete_NFET[RDSON10])="(NULL)","0","1"))</f>
        <v>0</v>
      </c>
      <c r="H93" s="36" t="b">
        <f t="shared" si="41"/>
        <v>0</v>
      </c>
      <c r="I93" s="39" t="b">
        <f t="shared" si="42"/>
        <v>0</v>
      </c>
      <c r="J93" s="41" t="b">
        <f t="shared" si="43"/>
        <v>0</v>
      </c>
      <c r="K93" s="46" t="b">
        <f t="shared" si="44"/>
        <v>0</v>
      </c>
      <c r="L93" s="42" t="b">
        <f t="shared" si="45"/>
        <v>0</v>
      </c>
      <c r="M93" s="44" t="b">
        <f t="shared" si="46"/>
        <v>0</v>
      </c>
      <c r="N93" s="47" t="b">
        <f t="shared" si="47"/>
        <v>0</v>
      </c>
      <c r="O93" s="36" t="b">
        <f t="shared" si="48"/>
        <v>0</v>
      </c>
      <c r="P93" s="39" t="b">
        <f t="shared" si="49"/>
        <v>0</v>
      </c>
      <c r="Q93" s="41" t="b">
        <f t="shared" si="50"/>
        <v>0</v>
      </c>
      <c r="R93" s="46" t="b">
        <f t="shared" si="51"/>
        <v>0</v>
      </c>
      <c r="S93" s="42" t="b">
        <f t="shared" si="52"/>
        <v>0</v>
      </c>
      <c r="T93" s="44" t="b">
        <f t="shared" si="53"/>
        <v>0</v>
      </c>
      <c r="U93" s="148" t="str">
        <f>IF(T93,LOOKUP(A93,Discrete_NFET[PARTNUMBER],Discrete_NFET[RDSON10])*1000,IF(S93,LOOKUP(A93,Discrete_NFET[PARTNUMBER],Discrete_NFET[RDSON8])*1000,IF(R93,LOOKUP(A93,Discrete_NFET[PARTNUMBER],Discrete_NFET[RDSON6])*1000,IF(Q93,LOOKUP(A93,Discrete_NFET[PARTNUMBER],Discrete_NFET[RDSON45])*1000,IF(P93,LOOKUP(A93,Discrete_NFET[PARTNUMBER],Discrete_NFET[RDSON3])*1000,IF(O93,LOOKUP(A93,Discrete_NFET[PARTNUMBER],Discrete_NFET[RDSON25])*1000,""))))))</f>
        <v/>
      </c>
      <c r="V93" s="48" t="str">
        <f>IF(AND(A93&lt;&gt;0,A93&lt;&gt;""),U93*(1+(Tj-25)*(LOOKUP(A93,Discrete_NFET[PARTNUMBER],Discrete_NFET[RDSDELTA])/((LOOKUP(A93,Discrete_NFET[PARTNUMBER],Discrete_NFET[TJMAX])-25)))),"")</f>
        <v/>
      </c>
      <c r="W93" s="35" t="str">
        <f>IF(AND($A93&lt;&gt;0,$A93&lt;&gt;""),LOOKUP($A93,Discrete_NFET[PARTNUMBER],Discrete_NFET[QGS]),"")</f>
        <v/>
      </c>
      <c r="X93" s="35" t="str">
        <f>IF(AND($A93&lt;&gt;0,$A93&lt;&gt;""),LOOKUP($A93,Discrete_NFET[PARTNUMBER],Discrete_NFET[QGD]),"")</f>
        <v/>
      </c>
      <c r="Y93" s="35" t="str">
        <f>IF(AND($A93&lt;&gt;0,$A93&lt;&gt;""),LOOKUP($A93,Discrete_NFET[PARTNUMBER],Discrete_NFET[QGTH]),"")</f>
        <v/>
      </c>
      <c r="Z93" s="35" t="str">
        <f t="shared" si="54"/>
        <v/>
      </c>
      <c r="AA93" s="35" t="str">
        <f>IF(AND($A93&lt;&gt;0,$A93&lt;&gt;""),LOOKUP($A93,Discrete_NFET[PARTNUMBER],Discrete_NFET[QOSSTYP]),"")</f>
        <v/>
      </c>
      <c r="AB93" s="35" t="str">
        <f>IF(AND($A93&lt;&gt;0,$A93&lt;&gt;""),LOOKUP($A93,Discrete_NFET[PARTNUMBER],Discrete_NFET[QRR]),"")</f>
        <v/>
      </c>
      <c r="AC93" s="35" t="str">
        <f>IF(AND(A93&lt;&gt;0,A93&lt;&gt;""),LOOKUP(A93,Discrete_NFET[PARTNUMBER],Discrete_NFET[VF_TYP]),"")</f>
        <v/>
      </c>
      <c r="AD93" s="127" t="str">
        <f>IF(AND($A93&lt;&gt;0,$A93&lt;&gt;"",OR(RIGHT(Logic!B93,2)="C)",LEFT(Logic!B93,4)="CSD1")),(1+(1-DUTY))*IM_RMS_120^2*V93*m/3/Num_FETS,"")</f>
        <v/>
      </c>
      <c r="AE93" s="127" t="str">
        <f>IF(AND($A93&lt;&gt;0,$A93&lt;&gt;"",OR(RIGHT(Logic!B93,2)="C)",LEFT(Logic!B93,4)="CSD1")),Num_FETS*0.5*IM_RMS_120*VDC_AVG*Z93*n*MOT_ELEC_FREQ/GDR_SRC,"")</f>
        <v/>
      </c>
      <c r="AF93" s="127" t="str">
        <f>IF(AND($A93&lt;&gt;0,$A93&lt;&gt;"",OR(RIGHT(Logic!B93,2)="C)",LEFT(Logic!B93,4)="CSD1")),Num_FETS*0.5*IM_RMS_120*VDC_AVG*Z93*n*MOT_ELEC_FREQ/GDR_SINK,"")</f>
        <v/>
      </c>
      <c r="AG93" s="127" t="str">
        <f>IF(AND($A93&lt;&gt;0,$A93&lt;&gt;"",OR(RIGHT(Logic!B93,2)="T)",LEFT(Logic!B93,4)="CSD1")),DUTY*IM_RMS_120^2*V93*m/3/Num_FETS,"")</f>
        <v/>
      </c>
      <c r="AH93" s="127" t="str">
        <f>IF(AND($A93&lt;&gt;0,$A93&lt;&gt;"",OR(RIGHT(Logic!B93,2)="T)",LEFT(Logic!B93,4)="CSD1")),Num_FETS*0.5*IM_RMS_120*VDC_AVG*Z93*n*FSW*k/GDR_SRC/3,"")</f>
        <v/>
      </c>
      <c r="AI93" s="127" t="str">
        <f>IF(AND($A93&lt;&gt;0,$A93&lt;&gt;"",OR(RIGHT(Logic!B93,2)="T)",LEFT(Logic!B93,4)="CSD1")),Num_FETS*0.5*IM_RMS_120*VDC_AVG*Z93*n*FSW*k/GDR_SINK/3,"")</f>
        <v/>
      </c>
      <c r="AJ93" s="127" t="str">
        <f t="shared" si="38"/>
        <v/>
      </c>
      <c r="AK93" s="127" t="str">
        <f t="shared" si="39"/>
        <v/>
      </c>
      <c r="AL93" s="127" t="str">
        <f t="shared" si="40"/>
        <v/>
      </c>
      <c r="AM93" s="127" t="str">
        <f t="shared" si="55"/>
        <v/>
      </c>
      <c r="AN93" s="127">
        <f>IF(AND($A93&lt;&gt;0,$A93&lt;&gt;"",OR(RIGHT(Logic!B93,2)="C)",LEFT(Logic!B93,4)="CSD1")),SUM(AD93:AF93)+(AJ93/3)+AK93+AL93/6+AM93/6,AN94)</f>
        <v>0</v>
      </c>
      <c r="AO93" s="127">
        <f>IF(AND($A93&lt;&gt;0,$A93&lt;&gt;"",OR(RIGHT(Logic!B93,2)="T)",LEFT(Logic!B93,4)="CSD1")),SUM(AG93:AI93)+(AJ93/3)+AL93/6+AM93/6,AO92)</f>
        <v>0.23887636588496741</v>
      </c>
      <c r="AP93" s="48" t="str">
        <f t="shared" si="56"/>
        <v/>
      </c>
      <c r="AQ93" s="35" t="str">
        <f>IF(AND(A93&lt;&gt;0,A93&lt;&gt;""),LOOKUP(A93,Discrete_NFET[PARTNUMBER],Discrete_NFET[TI_EQ_PACKAGE]),"")</f>
        <v/>
      </c>
      <c r="AR93" s="49" t="str">
        <f>IF(AND(A93&lt;&gt;0,A93&lt;&gt;""),LOOKUP(A93,Discrete_NFET[PARTNUMBER],Discrete_NFET[1KPRICE]),"")</f>
        <v/>
      </c>
      <c r="AS93" s="35" t="str">
        <f>IF(AND($A93&lt;&gt;0,$A93&lt;&gt;""),CONCATENATE(TEXT(AP93,"0.00"),"W, ",IF('User Input'!F$11="Single Discrete",A93,IF('User Input'!F$11="Dual/Power Block",LEFT(A93,FIND(")",A93)-7),A93)),", ",AQ93,", ",TEXT(AR93,"$0.00")),"Invalid Part")</f>
        <v>Invalid Part</v>
      </c>
      <c r="AT93"/>
      <c r="AW93"/>
    </row>
    <row r="94" spans="1:49" ht="15" customHeight="1" x14ac:dyDescent="0.25">
      <c r="A94" s="35" t="str">
        <f>IF(OR(AND(FET_config="Dual/Power Block",LEFT(Logic!B94,4)="CSD8"),AND(FET_config="Single Discrete",LEFT(Logic!B94,4)="CSD1")),Logic!B94,"")</f>
        <v/>
      </c>
      <c r="B94" s="37" t="str">
        <f>IF(OR($A94=0,$A94=""),"0",IF(LOOKUP($A94,Discrete_NFET[PARTNUMBER],Discrete_NFET[RDSON25])="(NULL)","0","1"))</f>
        <v>0</v>
      </c>
      <c r="C94" s="38" t="str">
        <f>IF(OR($A94=0,$A94=""),"0",IF(LOOKUP($A94,Discrete_NFET[PARTNUMBER],Discrete_NFET[RDSON3])="(NULL)","0","1"))</f>
        <v>0</v>
      </c>
      <c r="D94" s="40" t="str">
        <f>IF(OR($A94=0,$A94=""),"0",IF(LOOKUP($A94,Discrete_NFET[PARTNUMBER],Discrete_NFET[RDSON45])="(NULL)","0","1"))</f>
        <v>0</v>
      </c>
      <c r="E94" s="45" t="str">
        <f>IF(OR($A94=0,$A94=""),"0",IF(LOOKUP($A94,Discrete_NFET[PARTNUMBER],Discrete_NFET[RDSON6])="(NULL)","0","1"))</f>
        <v>0</v>
      </c>
      <c r="F94" s="34" t="str">
        <f>IF(OR($A94=0,$A94=""),"0",IF(LOOKUP($A94,Discrete_NFET[PARTNUMBER],Discrete_NFET[RDSON8])="(NULL)","0","1"))</f>
        <v>0</v>
      </c>
      <c r="G94" s="43" t="str">
        <f>IF(OR($A94=0,$A94=""),"0",IF(LOOKUP($A94,Discrete_NFET[PARTNUMBER],Discrete_NFET[RDSON10])="(NULL)","0","1"))</f>
        <v>0</v>
      </c>
      <c r="H94" s="36" t="b">
        <f t="shared" si="41"/>
        <v>0</v>
      </c>
      <c r="I94" s="39" t="b">
        <f t="shared" si="42"/>
        <v>0</v>
      </c>
      <c r="J94" s="41" t="b">
        <f t="shared" si="43"/>
        <v>0</v>
      </c>
      <c r="K94" s="46" t="b">
        <f t="shared" si="44"/>
        <v>0</v>
      </c>
      <c r="L94" s="42" t="b">
        <f t="shared" si="45"/>
        <v>0</v>
      </c>
      <c r="M94" s="44" t="b">
        <f t="shared" si="46"/>
        <v>0</v>
      </c>
      <c r="N94" s="47" t="b">
        <f t="shared" si="47"/>
        <v>0</v>
      </c>
      <c r="O94" s="36" t="b">
        <f t="shared" si="48"/>
        <v>0</v>
      </c>
      <c r="P94" s="39" t="b">
        <f t="shared" si="49"/>
        <v>0</v>
      </c>
      <c r="Q94" s="41" t="b">
        <f t="shared" si="50"/>
        <v>0</v>
      </c>
      <c r="R94" s="46" t="b">
        <f t="shared" si="51"/>
        <v>0</v>
      </c>
      <c r="S94" s="42" t="b">
        <f t="shared" si="52"/>
        <v>0</v>
      </c>
      <c r="T94" s="44" t="b">
        <f t="shared" si="53"/>
        <v>0</v>
      </c>
      <c r="U94" s="148" t="str">
        <f>IF(T94,LOOKUP(A94,Discrete_NFET[PARTNUMBER],Discrete_NFET[RDSON10])*1000,IF(S94,LOOKUP(A94,Discrete_NFET[PARTNUMBER],Discrete_NFET[RDSON8])*1000,IF(R94,LOOKUP(A94,Discrete_NFET[PARTNUMBER],Discrete_NFET[RDSON6])*1000,IF(Q94,LOOKUP(A94,Discrete_NFET[PARTNUMBER],Discrete_NFET[RDSON45])*1000,IF(P94,LOOKUP(A94,Discrete_NFET[PARTNUMBER],Discrete_NFET[RDSON3])*1000,IF(O94,LOOKUP(A94,Discrete_NFET[PARTNUMBER],Discrete_NFET[RDSON25])*1000,""))))))</f>
        <v/>
      </c>
      <c r="V94" s="48" t="str">
        <f>IF(AND(A94&lt;&gt;0,A94&lt;&gt;""),U94*(1+(Tj-25)*(LOOKUP(A94,Discrete_NFET[PARTNUMBER],Discrete_NFET[RDSDELTA])/((LOOKUP(A94,Discrete_NFET[PARTNUMBER],Discrete_NFET[TJMAX])-25)))),"")</f>
        <v/>
      </c>
      <c r="W94" s="35" t="str">
        <f>IF(AND($A94&lt;&gt;0,$A94&lt;&gt;""),LOOKUP($A94,Discrete_NFET[PARTNUMBER],Discrete_NFET[QGS]),"")</f>
        <v/>
      </c>
      <c r="X94" s="35" t="str">
        <f>IF(AND($A94&lt;&gt;0,$A94&lt;&gt;""),LOOKUP($A94,Discrete_NFET[PARTNUMBER],Discrete_NFET[QGD]),"")</f>
        <v/>
      </c>
      <c r="Y94" s="35" t="str">
        <f>IF(AND($A94&lt;&gt;0,$A94&lt;&gt;""),LOOKUP($A94,Discrete_NFET[PARTNUMBER],Discrete_NFET[QGTH]),"")</f>
        <v/>
      </c>
      <c r="Z94" s="35" t="str">
        <f t="shared" si="54"/>
        <v/>
      </c>
      <c r="AA94" s="35" t="str">
        <f>IF(AND($A94&lt;&gt;0,$A94&lt;&gt;""),LOOKUP($A94,Discrete_NFET[PARTNUMBER],Discrete_NFET[QOSSTYP]),"")</f>
        <v/>
      </c>
      <c r="AB94" s="35" t="str">
        <f>IF(AND($A94&lt;&gt;0,$A94&lt;&gt;""),LOOKUP($A94,Discrete_NFET[PARTNUMBER],Discrete_NFET[QRR]),"")</f>
        <v/>
      </c>
      <c r="AC94" s="35" t="str">
        <f>IF(AND(A94&lt;&gt;0,A94&lt;&gt;""),LOOKUP(A94,Discrete_NFET[PARTNUMBER],Discrete_NFET[VF_TYP]),"")</f>
        <v/>
      </c>
      <c r="AD94" s="127" t="str">
        <f>IF(AND($A94&lt;&gt;0,$A94&lt;&gt;"",OR(RIGHT(Logic!B94,2)="C)",LEFT(Logic!B94,4)="CSD1")),(1+(1-DUTY))*IM_RMS_120^2*V94*m/3/Num_FETS,"")</f>
        <v/>
      </c>
      <c r="AE94" s="127" t="str">
        <f>IF(AND($A94&lt;&gt;0,$A94&lt;&gt;"",OR(RIGHT(Logic!B94,2)="C)",LEFT(Logic!B94,4)="CSD1")),Num_FETS*0.5*IM_RMS_120*VDC_AVG*Z94*n*MOT_ELEC_FREQ/GDR_SRC,"")</f>
        <v/>
      </c>
      <c r="AF94" s="127" t="str">
        <f>IF(AND($A94&lt;&gt;0,$A94&lt;&gt;"",OR(RIGHT(Logic!B94,2)="C)",LEFT(Logic!B94,4)="CSD1")),Num_FETS*0.5*IM_RMS_120*VDC_AVG*Z94*n*MOT_ELEC_FREQ/GDR_SINK,"")</f>
        <v/>
      </c>
      <c r="AG94" s="127" t="str">
        <f>IF(AND($A94&lt;&gt;0,$A94&lt;&gt;"",OR(RIGHT(Logic!B94,2)="T)",LEFT(Logic!B94,4)="CSD1")),DUTY*IM_RMS_120^2*V94*m/3/Num_FETS,"")</f>
        <v/>
      </c>
      <c r="AH94" s="127" t="str">
        <f>IF(AND($A94&lt;&gt;0,$A94&lt;&gt;"",OR(RIGHT(Logic!B94,2)="T)",LEFT(Logic!B94,4)="CSD1")),Num_FETS*0.5*IM_RMS_120*VDC_AVG*Z94*n*FSW*k/GDR_SRC/3,"")</f>
        <v/>
      </c>
      <c r="AI94" s="127" t="str">
        <f>IF(AND($A94&lt;&gt;0,$A94&lt;&gt;"",OR(RIGHT(Logic!B94,2)="T)",LEFT(Logic!B94,4)="CSD1")),Num_FETS*0.5*IM_RMS_120*VDC_AVG*Z94*n*FSW*k/GDR_SINK/3,"")</f>
        <v/>
      </c>
      <c r="AJ94" s="127" t="str">
        <f t="shared" si="38"/>
        <v/>
      </c>
      <c r="AK94" s="127" t="str">
        <f t="shared" si="39"/>
        <v/>
      </c>
      <c r="AL94" s="127" t="str">
        <f t="shared" si="40"/>
        <v/>
      </c>
      <c r="AM94" s="127" t="str">
        <f t="shared" si="55"/>
        <v/>
      </c>
      <c r="AN94" s="127">
        <f>IF(AND($A94&lt;&gt;0,$A94&lt;&gt;"",OR(RIGHT(Logic!B94,2)="C)",LEFT(Logic!B94,4)="CSD1")),SUM(AD94:AF94)+(AJ94/3)+AK94+AL94/6+AM94/6,AN95)</f>
        <v>0</v>
      </c>
      <c r="AO94" s="127">
        <f>IF(AND($A94&lt;&gt;0,$A94&lt;&gt;"",OR(RIGHT(Logic!B94,2)="T)",LEFT(Logic!B94,4)="CSD1")),SUM(AG94:AI94)+(AJ94/3)+AL94/6+AM94/6,AO93)</f>
        <v>0.23887636588496741</v>
      </c>
      <c r="AP94" s="48" t="str">
        <f t="shared" si="56"/>
        <v/>
      </c>
      <c r="AQ94" s="35" t="str">
        <f>IF(AND(A94&lt;&gt;0,A94&lt;&gt;""),LOOKUP(A94,Discrete_NFET[PARTNUMBER],Discrete_NFET[TI_EQ_PACKAGE]),"")</f>
        <v/>
      </c>
      <c r="AR94" s="49" t="str">
        <f>IF(AND(A94&lt;&gt;0,A94&lt;&gt;""),LOOKUP(A94,Discrete_NFET[PARTNUMBER],Discrete_NFET[1KPRICE]),"")</f>
        <v/>
      </c>
      <c r="AS94" s="35" t="str">
        <f>IF(AND($A94&lt;&gt;0,$A94&lt;&gt;""),CONCATENATE(TEXT(AP94,"0.00"),"W, ",IF('User Input'!F$11="Single Discrete",A94,IF('User Input'!F$11="Dual/Power Block",LEFT(A94,FIND(")",A94)-7),A94)),", ",AQ94,", ",TEXT(AR94,"$0.00")),"Invalid Part")</f>
        <v>Invalid Part</v>
      </c>
      <c r="AT94"/>
      <c r="AW94"/>
    </row>
    <row r="95" spans="1:49" ht="15" customHeight="1" x14ac:dyDescent="0.25">
      <c r="A95" s="35" t="str">
        <f>IF(OR(AND(FET_config="Dual/Power Block",LEFT(Logic!B95,4)="CSD8"),AND(FET_config="Single Discrete",LEFT(Logic!B95,4)="CSD1")),Logic!B95,"")</f>
        <v/>
      </c>
      <c r="B95" s="37" t="str">
        <f>IF(OR($A95=0,$A95=""),"0",IF(LOOKUP($A95,Discrete_NFET[PARTNUMBER],Discrete_NFET[RDSON25])="(NULL)","0","1"))</f>
        <v>0</v>
      </c>
      <c r="C95" s="38" t="str">
        <f>IF(OR($A95=0,$A95=""),"0",IF(LOOKUP($A95,Discrete_NFET[PARTNUMBER],Discrete_NFET[RDSON3])="(NULL)","0","1"))</f>
        <v>0</v>
      </c>
      <c r="D95" s="40" t="str">
        <f>IF(OR($A95=0,$A95=""),"0",IF(LOOKUP($A95,Discrete_NFET[PARTNUMBER],Discrete_NFET[RDSON45])="(NULL)","0","1"))</f>
        <v>0</v>
      </c>
      <c r="E95" s="45" t="str">
        <f>IF(OR($A95=0,$A95=""),"0",IF(LOOKUP($A95,Discrete_NFET[PARTNUMBER],Discrete_NFET[RDSON6])="(NULL)","0","1"))</f>
        <v>0</v>
      </c>
      <c r="F95" s="34" t="str">
        <f>IF(OR($A95=0,$A95=""),"0",IF(LOOKUP($A95,Discrete_NFET[PARTNUMBER],Discrete_NFET[RDSON8])="(NULL)","0","1"))</f>
        <v>0</v>
      </c>
      <c r="G95" s="43" t="str">
        <f>IF(OR($A95=0,$A95=""),"0",IF(LOOKUP($A95,Discrete_NFET[PARTNUMBER],Discrete_NFET[RDSON10])="(NULL)","0","1"))</f>
        <v>0</v>
      </c>
      <c r="H95" s="36" t="b">
        <f t="shared" si="41"/>
        <v>0</v>
      </c>
      <c r="I95" s="39" t="b">
        <f t="shared" si="42"/>
        <v>0</v>
      </c>
      <c r="J95" s="41" t="b">
        <f t="shared" si="43"/>
        <v>0</v>
      </c>
      <c r="K95" s="46" t="b">
        <f t="shared" si="44"/>
        <v>0</v>
      </c>
      <c r="L95" s="42" t="b">
        <f t="shared" si="45"/>
        <v>0</v>
      </c>
      <c r="M95" s="44" t="b">
        <f t="shared" si="46"/>
        <v>0</v>
      </c>
      <c r="N95" s="47" t="b">
        <f t="shared" si="47"/>
        <v>0</v>
      </c>
      <c r="O95" s="36" t="b">
        <f t="shared" si="48"/>
        <v>0</v>
      </c>
      <c r="P95" s="39" t="b">
        <f t="shared" si="49"/>
        <v>0</v>
      </c>
      <c r="Q95" s="41" t="b">
        <f t="shared" si="50"/>
        <v>0</v>
      </c>
      <c r="R95" s="46" t="b">
        <f t="shared" si="51"/>
        <v>0</v>
      </c>
      <c r="S95" s="42" t="b">
        <f t="shared" si="52"/>
        <v>0</v>
      </c>
      <c r="T95" s="44" t="b">
        <f t="shared" si="53"/>
        <v>0</v>
      </c>
      <c r="U95" s="148" t="str">
        <f>IF(T95,LOOKUP(A95,Discrete_NFET[PARTNUMBER],Discrete_NFET[RDSON10])*1000,IF(S95,LOOKUP(A95,Discrete_NFET[PARTNUMBER],Discrete_NFET[RDSON8])*1000,IF(R95,LOOKUP(A95,Discrete_NFET[PARTNUMBER],Discrete_NFET[RDSON6])*1000,IF(Q95,LOOKUP(A95,Discrete_NFET[PARTNUMBER],Discrete_NFET[RDSON45])*1000,IF(P95,LOOKUP(A95,Discrete_NFET[PARTNUMBER],Discrete_NFET[RDSON3])*1000,IF(O95,LOOKUP(A95,Discrete_NFET[PARTNUMBER],Discrete_NFET[RDSON25])*1000,""))))))</f>
        <v/>
      </c>
      <c r="V95" s="48" t="str">
        <f>IF(AND(A95&lt;&gt;0,A95&lt;&gt;""),U95*(1+(Tj-25)*(LOOKUP(A95,Discrete_NFET[PARTNUMBER],Discrete_NFET[RDSDELTA])/((LOOKUP(A95,Discrete_NFET[PARTNUMBER],Discrete_NFET[TJMAX])-25)))),"")</f>
        <v/>
      </c>
      <c r="W95" s="35" t="str">
        <f>IF(AND($A95&lt;&gt;0,$A95&lt;&gt;""),LOOKUP($A95,Discrete_NFET[PARTNUMBER],Discrete_NFET[QGS]),"")</f>
        <v/>
      </c>
      <c r="X95" s="35" t="str">
        <f>IF(AND($A95&lt;&gt;0,$A95&lt;&gt;""),LOOKUP($A95,Discrete_NFET[PARTNUMBER],Discrete_NFET[QGD]),"")</f>
        <v/>
      </c>
      <c r="Y95" s="35" t="str">
        <f>IF(AND($A95&lt;&gt;0,$A95&lt;&gt;""),LOOKUP($A95,Discrete_NFET[PARTNUMBER],Discrete_NFET[QGTH]),"")</f>
        <v/>
      </c>
      <c r="Z95" s="35" t="str">
        <f t="shared" si="54"/>
        <v/>
      </c>
      <c r="AA95" s="35" t="str">
        <f>IF(AND($A95&lt;&gt;0,$A95&lt;&gt;""),LOOKUP($A95,Discrete_NFET[PARTNUMBER],Discrete_NFET[QOSSTYP]),"")</f>
        <v/>
      </c>
      <c r="AB95" s="35" t="str">
        <f>IF(AND($A95&lt;&gt;0,$A95&lt;&gt;""),LOOKUP($A95,Discrete_NFET[PARTNUMBER],Discrete_NFET[QRR]),"")</f>
        <v/>
      </c>
      <c r="AC95" s="35" t="str">
        <f>IF(AND(A95&lt;&gt;0,A95&lt;&gt;""),LOOKUP(A95,Discrete_NFET[PARTNUMBER],Discrete_NFET[VF_TYP]),"")</f>
        <v/>
      </c>
      <c r="AD95" s="127" t="str">
        <f>IF(AND($A95&lt;&gt;0,$A95&lt;&gt;"",OR(RIGHT(Logic!B95,2)="C)",LEFT(Logic!B95,4)="CSD1")),(1+(1-DUTY))*IM_RMS_120^2*V95*m/3/Num_FETS,"")</f>
        <v/>
      </c>
      <c r="AE95" s="127" t="str">
        <f>IF(AND($A95&lt;&gt;0,$A95&lt;&gt;"",OR(RIGHT(Logic!B95,2)="C)",LEFT(Logic!B95,4)="CSD1")),Num_FETS*0.5*IM_RMS_120*VDC_AVG*Z95*n*MOT_ELEC_FREQ/GDR_SRC,"")</f>
        <v/>
      </c>
      <c r="AF95" s="127" t="str">
        <f>IF(AND($A95&lt;&gt;0,$A95&lt;&gt;"",OR(RIGHT(Logic!B95,2)="C)",LEFT(Logic!B95,4)="CSD1")),Num_FETS*0.5*IM_RMS_120*VDC_AVG*Z95*n*MOT_ELEC_FREQ/GDR_SINK,"")</f>
        <v/>
      </c>
      <c r="AG95" s="127" t="str">
        <f>IF(AND($A95&lt;&gt;0,$A95&lt;&gt;"",OR(RIGHT(Logic!B95,2)="T)",LEFT(Logic!B95,4)="CSD1")),DUTY*IM_RMS_120^2*V95*m/3/Num_FETS,"")</f>
        <v/>
      </c>
      <c r="AH95" s="127" t="str">
        <f>IF(AND($A95&lt;&gt;0,$A95&lt;&gt;"",OR(RIGHT(Logic!B95,2)="T)",LEFT(Logic!B95,4)="CSD1")),Num_FETS*0.5*IM_RMS_120*VDC_AVG*Z95*n*FSW*k/GDR_SRC/3,"")</f>
        <v/>
      </c>
      <c r="AI95" s="127" t="str">
        <f>IF(AND($A95&lt;&gt;0,$A95&lt;&gt;"",OR(RIGHT(Logic!B95,2)="T)",LEFT(Logic!B95,4)="CSD1")),Num_FETS*0.5*IM_RMS_120*VDC_AVG*Z95*n*FSW*k/GDR_SINK/3,"")</f>
        <v/>
      </c>
      <c r="AJ95" s="127" t="str">
        <f t="shared" si="38"/>
        <v/>
      </c>
      <c r="AK95" s="127" t="str">
        <f t="shared" si="39"/>
        <v/>
      </c>
      <c r="AL95" s="127" t="str">
        <f t="shared" si="40"/>
        <v/>
      </c>
      <c r="AM95" s="127" t="str">
        <f t="shared" si="55"/>
        <v/>
      </c>
      <c r="AN95" s="127">
        <f>IF(AND($A95&lt;&gt;0,$A95&lt;&gt;"",OR(RIGHT(Logic!B95,2)="C)",LEFT(Logic!B95,4)="CSD1")),SUM(AD95:AF95)+(AJ95/3)+AK95+AL95/6+AM95/6,AN96)</f>
        <v>0</v>
      </c>
      <c r="AO95" s="127">
        <f>IF(AND($A95&lt;&gt;0,$A95&lt;&gt;"",OR(RIGHT(Logic!B95,2)="T)",LEFT(Logic!B95,4)="CSD1")),SUM(AG95:AI95)+(AJ95/3)+AL95/6+AM95/6,AO94)</f>
        <v>0.23887636588496741</v>
      </c>
      <c r="AP95" s="48" t="str">
        <f t="shared" si="56"/>
        <v/>
      </c>
      <c r="AQ95" s="35" t="str">
        <f>IF(AND(A95&lt;&gt;0,A95&lt;&gt;""),LOOKUP(A95,Discrete_NFET[PARTNUMBER],Discrete_NFET[TI_EQ_PACKAGE]),"")</f>
        <v/>
      </c>
      <c r="AR95" s="49" t="str">
        <f>IF(AND(A95&lt;&gt;0,A95&lt;&gt;""),LOOKUP(A95,Discrete_NFET[PARTNUMBER],Discrete_NFET[1KPRICE]),"")</f>
        <v/>
      </c>
      <c r="AS95" s="35" t="str">
        <f>IF(AND($A95&lt;&gt;0,$A95&lt;&gt;""),CONCATENATE(TEXT(AP95,"0.00"),"W, ",IF('User Input'!F$11="Single Discrete",A95,IF('User Input'!F$11="Dual/Power Block",LEFT(A95,FIND(")",A95)-7),A95)),", ",AQ95,", ",TEXT(AR95,"$0.00")),"Invalid Part")</f>
        <v>Invalid Part</v>
      </c>
      <c r="AT95"/>
      <c r="AW95"/>
    </row>
    <row r="96" spans="1:49" ht="15" customHeight="1" x14ac:dyDescent="0.25">
      <c r="A96" s="35" t="str">
        <f>IF(OR(AND(FET_config="Dual/Power Block",LEFT(Logic!B96,4)="CSD8"),AND(FET_config="Single Discrete",LEFT(Logic!B96,4)="CSD1")),Logic!B96,"")</f>
        <v/>
      </c>
      <c r="B96" s="37" t="str">
        <f>IF(OR($A96=0,$A96=""),"0",IF(LOOKUP($A96,Discrete_NFET[PARTNUMBER],Discrete_NFET[RDSON25])="(NULL)","0","1"))</f>
        <v>0</v>
      </c>
      <c r="C96" s="38" t="str">
        <f>IF(OR($A96=0,$A96=""),"0",IF(LOOKUP($A96,Discrete_NFET[PARTNUMBER],Discrete_NFET[RDSON3])="(NULL)","0","1"))</f>
        <v>0</v>
      </c>
      <c r="D96" s="40" t="str">
        <f>IF(OR($A96=0,$A96=""),"0",IF(LOOKUP($A96,Discrete_NFET[PARTNUMBER],Discrete_NFET[RDSON45])="(NULL)","0","1"))</f>
        <v>0</v>
      </c>
      <c r="E96" s="45" t="str">
        <f>IF(OR($A96=0,$A96=""),"0",IF(LOOKUP($A96,Discrete_NFET[PARTNUMBER],Discrete_NFET[RDSON6])="(NULL)","0","1"))</f>
        <v>0</v>
      </c>
      <c r="F96" s="34" t="str">
        <f>IF(OR($A96=0,$A96=""),"0",IF(LOOKUP($A96,Discrete_NFET[PARTNUMBER],Discrete_NFET[RDSON8])="(NULL)","0","1"))</f>
        <v>0</v>
      </c>
      <c r="G96" s="43" t="str">
        <f>IF(OR($A96=0,$A96=""),"0",IF(LOOKUP($A96,Discrete_NFET[PARTNUMBER],Discrete_NFET[RDSON10])="(NULL)","0","1"))</f>
        <v>0</v>
      </c>
      <c r="H96" s="36" t="b">
        <f t="shared" si="41"/>
        <v>0</v>
      </c>
      <c r="I96" s="39" t="b">
        <f t="shared" si="42"/>
        <v>0</v>
      </c>
      <c r="J96" s="41" t="b">
        <f t="shared" si="43"/>
        <v>0</v>
      </c>
      <c r="K96" s="46" t="b">
        <f t="shared" si="44"/>
        <v>0</v>
      </c>
      <c r="L96" s="42" t="b">
        <f t="shared" si="45"/>
        <v>0</v>
      </c>
      <c r="M96" s="44" t="b">
        <f t="shared" si="46"/>
        <v>0</v>
      </c>
      <c r="N96" s="47" t="b">
        <f t="shared" si="47"/>
        <v>0</v>
      </c>
      <c r="O96" s="36" t="b">
        <f t="shared" si="48"/>
        <v>0</v>
      </c>
      <c r="P96" s="39" t="b">
        <f t="shared" si="49"/>
        <v>0</v>
      </c>
      <c r="Q96" s="41" t="b">
        <f t="shared" si="50"/>
        <v>0</v>
      </c>
      <c r="R96" s="46" t="b">
        <f t="shared" si="51"/>
        <v>0</v>
      </c>
      <c r="S96" s="42" t="b">
        <f t="shared" si="52"/>
        <v>0</v>
      </c>
      <c r="T96" s="44" t="b">
        <f t="shared" si="53"/>
        <v>0</v>
      </c>
      <c r="U96" s="148" t="str">
        <f>IF(T96,LOOKUP(A96,Discrete_NFET[PARTNUMBER],Discrete_NFET[RDSON10])*1000,IF(S96,LOOKUP(A96,Discrete_NFET[PARTNUMBER],Discrete_NFET[RDSON8])*1000,IF(R96,LOOKUP(A96,Discrete_NFET[PARTNUMBER],Discrete_NFET[RDSON6])*1000,IF(Q96,LOOKUP(A96,Discrete_NFET[PARTNUMBER],Discrete_NFET[RDSON45])*1000,IF(P96,LOOKUP(A96,Discrete_NFET[PARTNUMBER],Discrete_NFET[RDSON3])*1000,IF(O96,LOOKUP(A96,Discrete_NFET[PARTNUMBER],Discrete_NFET[RDSON25])*1000,""))))))</f>
        <v/>
      </c>
      <c r="V96" s="48" t="str">
        <f>IF(AND(A96&lt;&gt;0,A96&lt;&gt;""),U96*(1+(Tj-25)*(LOOKUP(A96,Discrete_NFET[PARTNUMBER],Discrete_NFET[RDSDELTA])/((LOOKUP(A96,Discrete_NFET[PARTNUMBER],Discrete_NFET[TJMAX])-25)))),"")</f>
        <v/>
      </c>
      <c r="W96" s="35" t="str">
        <f>IF(AND($A96&lt;&gt;0,$A96&lt;&gt;""),LOOKUP($A96,Discrete_NFET[PARTNUMBER],Discrete_NFET[QGS]),"")</f>
        <v/>
      </c>
      <c r="X96" s="35" t="str">
        <f>IF(AND($A96&lt;&gt;0,$A96&lt;&gt;""),LOOKUP($A96,Discrete_NFET[PARTNUMBER],Discrete_NFET[QGD]),"")</f>
        <v/>
      </c>
      <c r="Y96" s="35" t="str">
        <f>IF(AND($A96&lt;&gt;0,$A96&lt;&gt;""),LOOKUP($A96,Discrete_NFET[PARTNUMBER],Discrete_NFET[QGTH]),"")</f>
        <v/>
      </c>
      <c r="Z96" s="35" t="str">
        <f t="shared" si="54"/>
        <v/>
      </c>
      <c r="AA96" s="35" t="str">
        <f>IF(AND($A96&lt;&gt;0,$A96&lt;&gt;""),LOOKUP($A96,Discrete_NFET[PARTNUMBER],Discrete_NFET[QOSSTYP]),"")</f>
        <v/>
      </c>
      <c r="AB96" s="35" t="str">
        <f>IF(AND($A96&lt;&gt;0,$A96&lt;&gt;""),LOOKUP($A96,Discrete_NFET[PARTNUMBER],Discrete_NFET[QRR]),"")</f>
        <v/>
      </c>
      <c r="AC96" s="35" t="str">
        <f>IF(AND(A96&lt;&gt;0,A96&lt;&gt;""),LOOKUP(A96,Discrete_NFET[PARTNUMBER],Discrete_NFET[VF_TYP]),"")</f>
        <v/>
      </c>
      <c r="AD96" s="127" t="str">
        <f>IF(AND($A96&lt;&gt;0,$A96&lt;&gt;"",OR(RIGHT(Logic!B96,2)="C)",LEFT(Logic!B96,4)="CSD1")),(1+(1-DUTY))*IM_RMS_120^2*V96*m/3/Num_FETS,"")</f>
        <v/>
      </c>
      <c r="AE96" s="127" t="str">
        <f>IF(AND($A96&lt;&gt;0,$A96&lt;&gt;"",OR(RIGHT(Logic!B96,2)="C)",LEFT(Logic!B96,4)="CSD1")),Num_FETS*0.5*IM_RMS_120*VDC_AVG*Z96*n*MOT_ELEC_FREQ/GDR_SRC,"")</f>
        <v/>
      </c>
      <c r="AF96" s="127" t="str">
        <f>IF(AND($A96&lt;&gt;0,$A96&lt;&gt;"",OR(RIGHT(Logic!B96,2)="C)",LEFT(Logic!B96,4)="CSD1")),Num_FETS*0.5*IM_RMS_120*VDC_AVG*Z96*n*MOT_ELEC_FREQ/GDR_SINK,"")</f>
        <v/>
      </c>
      <c r="AG96" s="127" t="str">
        <f>IF(AND($A96&lt;&gt;0,$A96&lt;&gt;"",OR(RIGHT(Logic!B96,2)="T)",LEFT(Logic!B96,4)="CSD1")),DUTY*IM_RMS_120^2*V96*m/3/Num_FETS,"")</f>
        <v/>
      </c>
      <c r="AH96" s="127" t="str">
        <f>IF(AND($A96&lt;&gt;0,$A96&lt;&gt;"",OR(RIGHT(Logic!B96,2)="T)",LEFT(Logic!B96,4)="CSD1")),Num_FETS*0.5*IM_RMS_120*VDC_AVG*Z96*n*FSW*k/GDR_SRC/3,"")</f>
        <v/>
      </c>
      <c r="AI96" s="127" t="str">
        <f>IF(AND($A96&lt;&gt;0,$A96&lt;&gt;"",OR(RIGHT(Logic!B96,2)="T)",LEFT(Logic!B96,4)="CSD1")),Num_FETS*0.5*IM_RMS_120*VDC_AVG*Z96*n*FSW*k/GDR_SINK/3,"")</f>
        <v/>
      </c>
      <c r="AJ96" s="127" t="str">
        <f t="shared" si="38"/>
        <v/>
      </c>
      <c r="AK96" s="127" t="str">
        <f t="shared" si="39"/>
        <v/>
      </c>
      <c r="AL96" s="127" t="str">
        <f t="shared" si="40"/>
        <v/>
      </c>
      <c r="AM96" s="127" t="str">
        <f t="shared" si="55"/>
        <v/>
      </c>
      <c r="AN96" s="127">
        <f>IF(AND($A96&lt;&gt;0,$A96&lt;&gt;"",OR(RIGHT(Logic!B96,2)="C)",LEFT(Logic!B96,4)="CSD1")),SUM(AD96:AF96)+(AJ96/3)+AK96+AL96/6+AM96/6,AN97)</f>
        <v>0</v>
      </c>
      <c r="AO96" s="127">
        <f>IF(AND($A96&lt;&gt;0,$A96&lt;&gt;"",OR(RIGHT(Logic!B96,2)="T)",LEFT(Logic!B96,4)="CSD1")),SUM(AG96:AI96)+(AJ96/3)+AL96/6+AM96/6,AO95)</f>
        <v>0.23887636588496741</v>
      </c>
      <c r="AP96" s="48" t="str">
        <f t="shared" si="56"/>
        <v/>
      </c>
      <c r="AQ96" s="35" t="str">
        <f>IF(AND(A96&lt;&gt;0,A96&lt;&gt;""),LOOKUP(A96,Discrete_NFET[PARTNUMBER],Discrete_NFET[TI_EQ_PACKAGE]),"")</f>
        <v/>
      </c>
      <c r="AR96" s="49" t="str">
        <f>IF(AND(A96&lt;&gt;0,A96&lt;&gt;""),LOOKUP(A96,Discrete_NFET[PARTNUMBER],Discrete_NFET[1KPRICE]),"")</f>
        <v/>
      </c>
      <c r="AS96" s="35" t="str">
        <f>IF(AND($A96&lt;&gt;0,$A96&lt;&gt;""),CONCATENATE(TEXT(AP96,"0.00"),"W, ",IF('User Input'!F$11="Single Discrete",A96,IF('User Input'!F$11="Dual/Power Block",LEFT(A96,FIND(")",A96)-7),A96)),", ",AQ96,", ",TEXT(AR96,"$0.00")),"Invalid Part")</f>
        <v>Invalid Part</v>
      </c>
      <c r="AT96"/>
      <c r="AW96"/>
    </row>
    <row r="97" spans="1:49" ht="15" customHeight="1" x14ac:dyDescent="0.25">
      <c r="A97" s="35" t="str">
        <f>IF(OR(AND(FET_config="Dual/Power Block",LEFT(Logic!B97,4)="CSD8"),AND(FET_config="Single Discrete",LEFT(Logic!B97,4)="CSD1")),Logic!B97,"")</f>
        <v/>
      </c>
      <c r="B97" s="37" t="str">
        <f>IF(OR($A97=0,$A97=""),"0",IF(LOOKUP($A97,Discrete_NFET[PARTNUMBER],Discrete_NFET[RDSON25])="(NULL)","0","1"))</f>
        <v>0</v>
      </c>
      <c r="C97" s="38" t="str">
        <f>IF(OR($A97=0,$A97=""),"0",IF(LOOKUP($A97,Discrete_NFET[PARTNUMBER],Discrete_NFET[RDSON3])="(NULL)","0","1"))</f>
        <v>0</v>
      </c>
      <c r="D97" s="40" t="str">
        <f>IF(OR($A97=0,$A97=""),"0",IF(LOOKUP($A97,Discrete_NFET[PARTNUMBER],Discrete_NFET[RDSON45])="(NULL)","0","1"))</f>
        <v>0</v>
      </c>
      <c r="E97" s="45" t="str">
        <f>IF(OR($A97=0,$A97=""),"0",IF(LOOKUP($A97,Discrete_NFET[PARTNUMBER],Discrete_NFET[RDSON6])="(NULL)","0","1"))</f>
        <v>0</v>
      </c>
      <c r="F97" s="34" t="str">
        <f>IF(OR($A97=0,$A97=""),"0",IF(LOOKUP($A97,Discrete_NFET[PARTNUMBER],Discrete_NFET[RDSON8])="(NULL)","0","1"))</f>
        <v>0</v>
      </c>
      <c r="G97" s="43" t="str">
        <f>IF(OR($A97=0,$A97=""),"0",IF(LOOKUP($A97,Discrete_NFET[PARTNUMBER],Discrete_NFET[RDSON10])="(NULL)","0","1"))</f>
        <v>0</v>
      </c>
      <c r="H97" s="36" t="b">
        <f t="shared" si="41"/>
        <v>0</v>
      </c>
      <c r="I97" s="39" t="b">
        <f t="shared" si="42"/>
        <v>0</v>
      </c>
      <c r="J97" s="41" t="b">
        <f t="shared" si="43"/>
        <v>0</v>
      </c>
      <c r="K97" s="46" t="b">
        <f t="shared" si="44"/>
        <v>0</v>
      </c>
      <c r="L97" s="42" t="b">
        <f t="shared" si="45"/>
        <v>0</v>
      </c>
      <c r="M97" s="44" t="b">
        <f t="shared" si="46"/>
        <v>0</v>
      </c>
      <c r="N97" s="47" t="b">
        <f t="shared" si="47"/>
        <v>0</v>
      </c>
      <c r="O97" s="36" t="b">
        <f t="shared" si="48"/>
        <v>0</v>
      </c>
      <c r="P97" s="39" t="b">
        <f t="shared" si="49"/>
        <v>0</v>
      </c>
      <c r="Q97" s="41" t="b">
        <f t="shared" si="50"/>
        <v>0</v>
      </c>
      <c r="R97" s="46" t="b">
        <f t="shared" si="51"/>
        <v>0</v>
      </c>
      <c r="S97" s="42" t="b">
        <f t="shared" si="52"/>
        <v>0</v>
      </c>
      <c r="T97" s="44" t="b">
        <f t="shared" si="53"/>
        <v>0</v>
      </c>
      <c r="U97" s="148" t="str">
        <f>IF(T97,LOOKUP(A97,Discrete_NFET[PARTNUMBER],Discrete_NFET[RDSON10])*1000,IF(S97,LOOKUP(A97,Discrete_NFET[PARTNUMBER],Discrete_NFET[RDSON8])*1000,IF(R97,LOOKUP(A97,Discrete_NFET[PARTNUMBER],Discrete_NFET[RDSON6])*1000,IF(Q97,LOOKUP(A97,Discrete_NFET[PARTNUMBER],Discrete_NFET[RDSON45])*1000,IF(P97,LOOKUP(A97,Discrete_NFET[PARTNUMBER],Discrete_NFET[RDSON3])*1000,IF(O97,LOOKUP(A97,Discrete_NFET[PARTNUMBER],Discrete_NFET[RDSON25])*1000,""))))))</f>
        <v/>
      </c>
      <c r="V97" s="48" t="str">
        <f>IF(AND(A97&lt;&gt;0,A97&lt;&gt;""),U97*(1+(Tj-25)*(LOOKUP(A97,Discrete_NFET[PARTNUMBER],Discrete_NFET[RDSDELTA])/((LOOKUP(A97,Discrete_NFET[PARTNUMBER],Discrete_NFET[TJMAX])-25)))),"")</f>
        <v/>
      </c>
      <c r="W97" s="35" t="str">
        <f>IF(AND($A97&lt;&gt;0,$A97&lt;&gt;""),LOOKUP($A97,Discrete_NFET[PARTNUMBER],Discrete_NFET[QGS]),"")</f>
        <v/>
      </c>
      <c r="X97" s="35" t="str">
        <f>IF(AND($A97&lt;&gt;0,$A97&lt;&gt;""),LOOKUP($A97,Discrete_NFET[PARTNUMBER],Discrete_NFET[QGD]),"")</f>
        <v/>
      </c>
      <c r="Y97" s="35" t="str">
        <f>IF(AND($A97&lt;&gt;0,$A97&lt;&gt;""),LOOKUP($A97,Discrete_NFET[PARTNUMBER],Discrete_NFET[QGTH]),"")</f>
        <v/>
      </c>
      <c r="Z97" s="35" t="str">
        <f t="shared" si="54"/>
        <v/>
      </c>
      <c r="AA97" s="35" t="str">
        <f>IF(AND($A97&lt;&gt;0,$A97&lt;&gt;""),LOOKUP($A97,Discrete_NFET[PARTNUMBER],Discrete_NFET[QOSSTYP]),"")</f>
        <v/>
      </c>
      <c r="AB97" s="35" t="str">
        <f>IF(AND($A97&lt;&gt;0,$A97&lt;&gt;""),LOOKUP($A97,Discrete_NFET[PARTNUMBER],Discrete_NFET[QRR]),"")</f>
        <v/>
      </c>
      <c r="AC97" s="35" t="str">
        <f>IF(AND(A97&lt;&gt;0,A97&lt;&gt;""),LOOKUP(A97,Discrete_NFET[PARTNUMBER],Discrete_NFET[VF_TYP]),"")</f>
        <v/>
      </c>
      <c r="AD97" s="127" t="str">
        <f>IF(AND($A97&lt;&gt;0,$A97&lt;&gt;"",OR(RIGHT(Logic!B97,2)="C)",LEFT(Logic!B97,4)="CSD1")),(1+(1-DUTY))*IM_RMS_120^2*V97*m/3/Num_FETS,"")</f>
        <v/>
      </c>
      <c r="AE97" s="127" t="str">
        <f>IF(AND($A97&lt;&gt;0,$A97&lt;&gt;"",OR(RIGHT(Logic!B97,2)="C)",LEFT(Logic!B97,4)="CSD1")),Num_FETS*0.5*IM_RMS_120*VDC_AVG*Z97*n*MOT_ELEC_FREQ/GDR_SRC,"")</f>
        <v/>
      </c>
      <c r="AF97" s="127" t="str">
        <f>IF(AND($A97&lt;&gt;0,$A97&lt;&gt;"",OR(RIGHT(Logic!B97,2)="C)",LEFT(Logic!B97,4)="CSD1")),Num_FETS*0.5*IM_RMS_120*VDC_AVG*Z97*n*MOT_ELEC_FREQ/GDR_SINK,"")</f>
        <v/>
      </c>
      <c r="AG97" s="127" t="str">
        <f>IF(AND($A97&lt;&gt;0,$A97&lt;&gt;"",OR(RIGHT(Logic!B97,2)="T)",LEFT(Logic!B97,4)="CSD1")),DUTY*IM_RMS_120^2*V97*m/3/Num_FETS,"")</f>
        <v/>
      </c>
      <c r="AH97" s="127" t="str">
        <f>IF(AND($A97&lt;&gt;0,$A97&lt;&gt;"",OR(RIGHT(Logic!B97,2)="T)",LEFT(Logic!B97,4)="CSD1")),Num_FETS*0.5*IM_RMS_120*VDC_AVG*Z97*n*FSW*k/GDR_SRC/3,"")</f>
        <v/>
      </c>
      <c r="AI97" s="127" t="str">
        <f>IF(AND($A97&lt;&gt;0,$A97&lt;&gt;"",OR(RIGHT(Logic!B97,2)="T)",LEFT(Logic!B97,4)="CSD1")),Num_FETS*0.5*IM_RMS_120*VDC_AVG*Z97*n*FSW*k/GDR_SINK/3,"")</f>
        <v/>
      </c>
      <c r="AJ97" s="127" t="str">
        <f t="shared" si="38"/>
        <v/>
      </c>
      <c r="AK97" s="127" t="str">
        <f t="shared" si="39"/>
        <v/>
      </c>
      <c r="AL97" s="127" t="str">
        <f t="shared" si="40"/>
        <v/>
      </c>
      <c r="AM97" s="127" t="str">
        <f t="shared" si="55"/>
        <v/>
      </c>
      <c r="AN97" s="127">
        <f>IF(AND($A97&lt;&gt;0,$A97&lt;&gt;"",OR(RIGHT(Logic!B97,2)="C)",LEFT(Logic!B97,4)="CSD1")),SUM(AD97:AF97)+(AJ97/3)+AK97+AL97/6+AM97/6,AN98)</f>
        <v>0</v>
      </c>
      <c r="AO97" s="127">
        <f>IF(AND($A97&lt;&gt;0,$A97&lt;&gt;"",OR(RIGHT(Logic!B97,2)="T)",LEFT(Logic!B97,4)="CSD1")),SUM(AG97:AI97)+(AJ97/3)+AL97/6+AM97/6,AO96)</f>
        <v>0.23887636588496741</v>
      </c>
      <c r="AP97" s="48" t="str">
        <f t="shared" si="56"/>
        <v/>
      </c>
      <c r="AQ97" s="35" t="str">
        <f>IF(AND(A97&lt;&gt;0,A97&lt;&gt;""),LOOKUP(A97,Discrete_NFET[PARTNUMBER],Discrete_NFET[TI_EQ_PACKAGE]),"")</f>
        <v/>
      </c>
      <c r="AR97" s="49" t="str">
        <f>IF(AND(A97&lt;&gt;0,A97&lt;&gt;""),LOOKUP(A97,Discrete_NFET[PARTNUMBER],Discrete_NFET[1KPRICE]),"")</f>
        <v/>
      </c>
      <c r="AS97" s="35" t="str">
        <f>IF(AND($A97&lt;&gt;0,$A97&lt;&gt;""),CONCATENATE(TEXT(AP97,"0.00"),"W, ",IF('User Input'!F$11="Single Discrete",A97,IF('User Input'!F$11="Dual/Power Block",LEFT(A97,FIND(")",A97)-7),A97)),", ",AQ97,", ",TEXT(AR97,"$0.00")),"Invalid Part")</f>
        <v>Invalid Part</v>
      </c>
      <c r="AT97"/>
      <c r="AW97"/>
    </row>
    <row r="98" spans="1:49" ht="15" customHeight="1" x14ac:dyDescent="0.25">
      <c r="A98" s="35" t="str">
        <f>IF(OR(AND(FET_config="Dual/Power Block",LEFT(Logic!B98,4)="CSD8"),AND(FET_config="Single Discrete",LEFT(Logic!B98,4)="CSD1")),Logic!B98,"")</f>
        <v/>
      </c>
      <c r="B98" s="37" t="str">
        <f>IF(OR($A98=0,$A98=""),"0",IF(LOOKUP($A98,Discrete_NFET[PARTNUMBER],Discrete_NFET[RDSON25])="(NULL)","0","1"))</f>
        <v>0</v>
      </c>
      <c r="C98" s="38" t="str">
        <f>IF(OR($A98=0,$A98=""),"0",IF(LOOKUP($A98,Discrete_NFET[PARTNUMBER],Discrete_NFET[RDSON3])="(NULL)","0","1"))</f>
        <v>0</v>
      </c>
      <c r="D98" s="40" t="str">
        <f>IF(OR($A98=0,$A98=""),"0",IF(LOOKUP($A98,Discrete_NFET[PARTNUMBER],Discrete_NFET[RDSON45])="(NULL)","0","1"))</f>
        <v>0</v>
      </c>
      <c r="E98" s="45" t="str">
        <f>IF(OR($A98=0,$A98=""),"0",IF(LOOKUP($A98,Discrete_NFET[PARTNUMBER],Discrete_NFET[RDSON6])="(NULL)","0","1"))</f>
        <v>0</v>
      </c>
      <c r="F98" s="34" t="str">
        <f>IF(OR($A98=0,$A98=""),"0",IF(LOOKUP($A98,Discrete_NFET[PARTNUMBER],Discrete_NFET[RDSON8])="(NULL)","0","1"))</f>
        <v>0</v>
      </c>
      <c r="G98" s="43" t="str">
        <f>IF(OR($A98=0,$A98=""),"0",IF(LOOKUP($A98,Discrete_NFET[PARTNUMBER],Discrete_NFET[RDSON10])="(NULL)","0","1"))</f>
        <v>0</v>
      </c>
      <c r="H98" s="36" t="b">
        <f t="shared" si="41"/>
        <v>0</v>
      </c>
      <c r="I98" s="39" t="b">
        <f t="shared" si="42"/>
        <v>0</v>
      </c>
      <c r="J98" s="41" t="b">
        <f t="shared" si="43"/>
        <v>0</v>
      </c>
      <c r="K98" s="46" t="b">
        <f t="shared" si="44"/>
        <v>0</v>
      </c>
      <c r="L98" s="42" t="b">
        <f t="shared" si="45"/>
        <v>0</v>
      </c>
      <c r="M98" s="44" t="b">
        <f t="shared" si="46"/>
        <v>0</v>
      </c>
      <c r="N98" s="47" t="b">
        <f t="shared" si="47"/>
        <v>0</v>
      </c>
      <c r="O98" s="36" t="b">
        <f t="shared" si="48"/>
        <v>0</v>
      </c>
      <c r="P98" s="39" t="b">
        <f t="shared" si="49"/>
        <v>0</v>
      </c>
      <c r="Q98" s="41" t="b">
        <f t="shared" si="50"/>
        <v>0</v>
      </c>
      <c r="R98" s="46" t="b">
        <f t="shared" si="51"/>
        <v>0</v>
      </c>
      <c r="S98" s="42" t="b">
        <f t="shared" si="52"/>
        <v>0</v>
      </c>
      <c r="T98" s="44" t="b">
        <f t="shared" si="53"/>
        <v>0</v>
      </c>
      <c r="U98" s="148" t="str">
        <f>IF(T98,LOOKUP(A98,Discrete_NFET[PARTNUMBER],Discrete_NFET[RDSON10])*1000,IF(S98,LOOKUP(A98,Discrete_NFET[PARTNUMBER],Discrete_NFET[RDSON8])*1000,IF(R98,LOOKUP(A98,Discrete_NFET[PARTNUMBER],Discrete_NFET[RDSON6])*1000,IF(Q98,LOOKUP(A98,Discrete_NFET[PARTNUMBER],Discrete_NFET[RDSON45])*1000,IF(P98,LOOKUP(A98,Discrete_NFET[PARTNUMBER],Discrete_NFET[RDSON3])*1000,IF(O98,LOOKUP(A98,Discrete_NFET[PARTNUMBER],Discrete_NFET[RDSON25])*1000,""))))))</f>
        <v/>
      </c>
      <c r="V98" s="48" t="str">
        <f>IF(AND(A98&lt;&gt;0,A98&lt;&gt;""),U98*(1+(Tj-25)*(LOOKUP(A98,Discrete_NFET[PARTNUMBER],Discrete_NFET[RDSDELTA])/((LOOKUP(A98,Discrete_NFET[PARTNUMBER],Discrete_NFET[TJMAX])-25)))),"")</f>
        <v/>
      </c>
      <c r="W98" s="35" t="str">
        <f>IF(AND($A98&lt;&gt;0,$A98&lt;&gt;""),LOOKUP($A98,Discrete_NFET[PARTNUMBER],Discrete_NFET[QGS]),"")</f>
        <v/>
      </c>
      <c r="X98" s="35" t="str">
        <f>IF(AND($A98&lt;&gt;0,$A98&lt;&gt;""),LOOKUP($A98,Discrete_NFET[PARTNUMBER],Discrete_NFET[QGD]),"")</f>
        <v/>
      </c>
      <c r="Y98" s="35" t="str">
        <f>IF(AND($A98&lt;&gt;0,$A98&lt;&gt;""),LOOKUP($A98,Discrete_NFET[PARTNUMBER],Discrete_NFET[QGTH]),"")</f>
        <v/>
      </c>
      <c r="Z98" s="35" t="str">
        <f t="shared" si="54"/>
        <v/>
      </c>
      <c r="AA98" s="35" t="str">
        <f>IF(AND($A98&lt;&gt;0,$A98&lt;&gt;""),LOOKUP($A98,Discrete_NFET[PARTNUMBER],Discrete_NFET[QOSSTYP]),"")</f>
        <v/>
      </c>
      <c r="AB98" s="35" t="str">
        <f>IF(AND($A98&lt;&gt;0,$A98&lt;&gt;""),LOOKUP($A98,Discrete_NFET[PARTNUMBER],Discrete_NFET[QRR]),"")</f>
        <v/>
      </c>
      <c r="AC98" s="35" t="str">
        <f>IF(AND(A98&lt;&gt;0,A98&lt;&gt;""),LOOKUP(A98,Discrete_NFET[PARTNUMBER],Discrete_NFET[VF_TYP]),"")</f>
        <v/>
      </c>
      <c r="AD98" s="127" t="str">
        <f>IF(AND($A98&lt;&gt;0,$A98&lt;&gt;"",OR(RIGHT(Logic!B98,2)="C)",LEFT(Logic!B98,4)="CSD1")),(1+(1-DUTY))*IM_RMS_120^2*V98*m/3/Num_FETS,"")</f>
        <v/>
      </c>
      <c r="AE98" s="127" t="str">
        <f>IF(AND($A98&lt;&gt;0,$A98&lt;&gt;"",OR(RIGHT(Logic!B98,2)="C)",LEFT(Logic!B98,4)="CSD1")),Num_FETS*0.5*IM_RMS_120*VDC_AVG*Z98*n*MOT_ELEC_FREQ/GDR_SRC,"")</f>
        <v/>
      </c>
      <c r="AF98" s="127" t="str">
        <f>IF(AND($A98&lt;&gt;0,$A98&lt;&gt;"",OR(RIGHT(Logic!B98,2)="C)",LEFT(Logic!B98,4)="CSD1")),Num_FETS*0.5*IM_RMS_120*VDC_AVG*Z98*n*MOT_ELEC_FREQ/GDR_SINK,"")</f>
        <v/>
      </c>
      <c r="AG98" s="127" t="str">
        <f>IF(AND($A98&lt;&gt;0,$A98&lt;&gt;"",OR(RIGHT(Logic!B98,2)="T)",LEFT(Logic!B98,4)="CSD1")),DUTY*IM_RMS_120^2*V98*m/3/Num_FETS,"")</f>
        <v/>
      </c>
      <c r="AH98" s="127" t="str">
        <f>IF(AND($A98&lt;&gt;0,$A98&lt;&gt;"",OR(RIGHT(Logic!B98,2)="T)",LEFT(Logic!B98,4)="CSD1")),Num_FETS*0.5*IM_RMS_120*VDC_AVG*Z98*n*FSW*k/GDR_SRC/3,"")</f>
        <v/>
      </c>
      <c r="AI98" s="127" t="str">
        <f>IF(AND($A98&lt;&gt;0,$A98&lt;&gt;"",OR(RIGHT(Logic!B98,2)="T)",LEFT(Logic!B98,4)="CSD1")),Num_FETS*0.5*IM_RMS_120*VDC_AVG*Z98*n*FSW*k/GDR_SINK/3,"")</f>
        <v/>
      </c>
      <c r="AJ98" s="127" t="str">
        <f t="shared" ref="AJ98:AJ129" si="57">IF(AND($A98&lt;&gt;0,$A98&lt;&gt;""),Num_FETS*((AA98*VDC_AVG)*((FSW*k)))*n/2,"")</f>
        <v/>
      </c>
      <c r="AK98" s="127" t="str">
        <f t="shared" ref="AK98:AK129" si="58">IF(AND($A98&lt;&gt;0,$A98&lt;&gt;""),2*T_DEAD*n*AC98*IM_PEAK*(FSW*k)/3,"")</f>
        <v/>
      </c>
      <c r="AL98" s="127" t="str">
        <f t="shared" ref="AL98:AL129" si="59">IF(AND($A98&lt;&gt;0,$A98&lt;&gt;""),Num_FETS*((AB98*VDC_AVG)*((MOT_ELEC_FREQ+FSW*k)))*n,"")</f>
        <v/>
      </c>
      <c r="AM98" s="127" t="str">
        <f t="shared" si="55"/>
        <v/>
      </c>
      <c r="AN98" s="127">
        <f>IF(AND($A98&lt;&gt;0,$A98&lt;&gt;"",OR(RIGHT(Logic!B98,2)="C)",LEFT(Logic!B98,4)="CSD1")),SUM(AD98:AF98)+(AJ98/3)+AK98+AL98/6+AM98/6,AN99)</f>
        <v>0</v>
      </c>
      <c r="AO98" s="127">
        <f>IF(AND($A98&lt;&gt;0,$A98&lt;&gt;"",OR(RIGHT(Logic!B98,2)="T)",LEFT(Logic!B98,4)="CSD1")),SUM(AG98:AI98)+(AJ98/3)+AL98/6+AM98/6,AO97)</f>
        <v>0.23887636588496741</v>
      </c>
      <c r="AP98" s="48" t="str">
        <f t="shared" si="56"/>
        <v/>
      </c>
      <c r="AQ98" s="35" t="str">
        <f>IF(AND(A98&lt;&gt;0,A98&lt;&gt;""),LOOKUP(A98,Discrete_NFET[PARTNUMBER],Discrete_NFET[TI_EQ_PACKAGE]),"")</f>
        <v/>
      </c>
      <c r="AR98" s="49" t="str">
        <f>IF(AND(A98&lt;&gt;0,A98&lt;&gt;""),LOOKUP(A98,Discrete_NFET[PARTNUMBER],Discrete_NFET[1KPRICE]),"")</f>
        <v/>
      </c>
      <c r="AS98" s="35" t="str">
        <f>IF(AND($A98&lt;&gt;0,$A98&lt;&gt;""),CONCATENATE(TEXT(AP98,"0.00"),"W, ",IF('User Input'!F$11="Single Discrete",A98,IF('User Input'!F$11="Dual/Power Block",LEFT(A98,FIND(")",A98)-7),A98)),", ",AQ98,", ",TEXT(AR98,"$0.00")),"Invalid Part")</f>
        <v>Invalid Part</v>
      </c>
      <c r="AT98"/>
      <c r="AW98"/>
    </row>
    <row r="99" spans="1:49" ht="15" customHeight="1" x14ac:dyDescent="0.25">
      <c r="A99" s="35" t="str">
        <f>IF(OR(AND(FET_config="Dual/Power Block",LEFT(Logic!B99,4)="CSD8"),AND(FET_config="Single Discrete",LEFT(Logic!B99,4)="CSD1")),Logic!B99,"")</f>
        <v/>
      </c>
      <c r="B99" s="37" t="str">
        <f>IF(OR($A99=0,$A99=""),"0",IF(LOOKUP($A99,Discrete_NFET[PARTNUMBER],Discrete_NFET[RDSON25])="(NULL)","0","1"))</f>
        <v>0</v>
      </c>
      <c r="C99" s="38" t="str">
        <f>IF(OR($A99=0,$A99=""),"0",IF(LOOKUP($A99,Discrete_NFET[PARTNUMBER],Discrete_NFET[RDSON3])="(NULL)","0","1"))</f>
        <v>0</v>
      </c>
      <c r="D99" s="40" t="str">
        <f>IF(OR($A99=0,$A99=""),"0",IF(LOOKUP($A99,Discrete_NFET[PARTNUMBER],Discrete_NFET[RDSON45])="(NULL)","0","1"))</f>
        <v>0</v>
      </c>
      <c r="E99" s="45" t="str">
        <f>IF(OR($A99=0,$A99=""),"0",IF(LOOKUP($A99,Discrete_NFET[PARTNUMBER],Discrete_NFET[RDSON6])="(NULL)","0","1"))</f>
        <v>0</v>
      </c>
      <c r="F99" s="34" t="str">
        <f>IF(OR($A99=0,$A99=""),"0",IF(LOOKUP($A99,Discrete_NFET[PARTNUMBER],Discrete_NFET[RDSON8])="(NULL)","0","1"))</f>
        <v>0</v>
      </c>
      <c r="G99" s="43" t="str">
        <f>IF(OR($A99=0,$A99=""),"0",IF(LOOKUP($A99,Discrete_NFET[PARTNUMBER],Discrete_NFET[RDSON10])="(NULL)","0","1"))</f>
        <v>0</v>
      </c>
      <c r="H99" s="36" t="b">
        <f t="shared" si="41"/>
        <v>0</v>
      </c>
      <c r="I99" s="39" t="b">
        <f t="shared" si="42"/>
        <v>0</v>
      </c>
      <c r="J99" s="41" t="b">
        <f t="shared" si="43"/>
        <v>0</v>
      </c>
      <c r="K99" s="46" t="b">
        <f t="shared" si="44"/>
        <v>0</v>
      </c>
      <c r="L99" s="42" t="b">
        <f t="shared" si="45"/>
        <v>0</v>
      </c>
      <c r="M99" s="44" t="b">
        <f t="shared" si="46"/>
        <v>0</v>
      </c>
      <c r="N99" s="47" t="b">
        <f t="shared" si="47"/>
        <v>0</v>
      </c>
      <c r="O99" s="36" t="b">
        <f t="shared" si="48"/>
        <v>0</v>
      </c>
      <c r="P99" s="39" t="b">
        <f t="shared" si="49"/>
        <v>0</v>
      </c>
      <c r="Q99" s="41" t="b">
        <f t="shared" si="50"/>
        <v>0</v>
      </c>
      <c r="R99" s="46" t="b">
        <f t="shared" si="51"/>
        <v>0</v>
      </c>
      <c r="S99" s="42" t="b">
        <f t="shared" si="52"/>
        <v>0</v>
      </c>
      <c r="T99" s="44" t="b">
        <f t="shared" si="53"/>
        <v>0</v>
      </c>
      <c r="U99" s="148" t="str">
        <f>IF(T99,LOOKUP(A99,Discrete_NFET[PARTNUMBER],Discrete_NFET[RDSON10])*1000,IF(S99,LOOKUP(A99,Discrete_NFET[PARTNUMBER],Discrete_NFET[RDSON8])*1000,IF(R99,LOOKUP(A99,Discrete_NFET[PARTNUMBER],Discrete_NFET[RDSON6])*1000,IF(Q99,LOOKUP(A99,Discrete_NFET[PARTNUMBER],Discrete_NFET[RDSON45])*1000,IF(P99,LOOKUP(A99,Discrete_NFET[PARTNUMBER],Discrete_NFET[RDSON3])*1000,IF(O99,LOOKUP(A99,Discrete_NFET[PARTNUMBER],Discrete_NFET[RDSON25])*1000,""))))))</f>
        <v/>
      </c>
      <c r="V99" s="48" t="str">
        <f>IF(AND(A99&lt;&gt;0,A99&lt;&gt;""),U99*(1+(Tj-25)*(LOOKUP(A99,Discrete_NFET[PARTNUMBER],Discrete_NFET[RDSDELTA])/((LOOKUP(A99,Discrete_NFET[PARTNUMBER],Discrete_NFET[TJMAX])-25)))),"")</f>
        <v/>
      </c>
      <c r="W99" s="35" t="str">
        <f>IF(AND($A99&lt;&gt;0,$A99&lt;&gt;""),LOOKUP($A99,Discrete_NFET[PARTNUMBER],Discrete_NFET[QGS]),"")</f>
        <v/>
      </c>
      <c r="X99" s="35" t="str">
        <f>IF(AND($A99&lt;&gt;0,$A99&lt;&gt;""),LOOKUP($A99,Discrete_NFET[PARTNUMBER],Discrete_NFET[QGD]),"")</f>
        <v/>
      </c>
      <c r="Y99" s="35" t="str">
        <f>IF(AND($A99&lt;&gt;0,$A99&lt;&gt;""),LOOKUP($A99,Discrete_NFET[PARTNUMBER],Discrete_NFET[QGTH]),"")</f>
        <v/>
      </c>
      <c r="Z99" s="35" t="str">
        <f t="shared" si="54"/>
        <v/>
      </c>
      <c r="AA99" s="35" t="str">
        <f>IF(AND($A99&lt;&gt;0,$A99&lt;&gt;""),LOOKUP($A99,Discrete_NFET[PARTNUMBER],Discrete_NFET[QOSSTYP]),"")</f>
        <v/>
      </c>
      <c r="AB99" s="35" t="str">
        <f>IF(AND($A99&lt;&gt;0,$A99&lt;&gt;""),LOOKUP($A99,Discrete_NFET[PARTNUMBER],Discrete_NFET[QRR]),"")</f>
        <v/>
      </c>
      <c r="AC99" s="35" t="str">
        <f>IF(AND(A99&lt;&gt;0,A99&lt;&gt;""),LOOKUP(A99,Discrete_NFET[PARTNUMBER],Discrete_NFET[VF_TYP]),"")</f>
        <v/>
      </c>
      <c r="AD99" s="127" t="str">
        <f>IF(AND($A99&lt;&gt;0,$A99&lt;&gt;"",OR(RIGHT(Logic!B99,2)="C)",LEFT(Logic!B99,4)="CSD1")),(1+(1-DUTY))*IM_RMS_120^2*V99*m/3/Num_FETS,"")</f>
        <v/>
      </c>
      <c r="AE99" s="127" t="str">
        <f>IF(AND($A99&lt;&gt;0,$A99&lt;&gt;"",OR(RIGHT(Logic!B99,2)="C)",LEFT(Logic!B99,4)="CSD1")),Num_FETS*0.5*IM_RMS_120*VDC_AVG*Z99*n*MOT_ELEC_FREQ/GDR_SRC,"")</f>
        <v/>
      </c>
      <c r="AF99" s="127" t="str">
        <f>IF(AND($A99&lt;&gt;0,$A99&lt;&gt;"",OR(RIGHT(Logic!B99,2)="C)",LEFT(Logic!B99,4)="CSD1")),Num_FETS*0.5*IM_RMS_120*VDC_AVG*Z99*n*MOT_ELEC_FREQ/GDR_SINK,"")</f>
        <v/>
      </c>
      <c r="AG99" s="127" t="str">
        <f>IF(AND($A99&lt;&gt;0,$A99&lt;&gt;"",OR(RIGHT(Logic!B99,2)="T)",LEFT(Logic!B99,4)="CSD1")),DUTY*IM_RMS_120^2*V99*m/3/Num_FETS,"")</f>
        <v/>
      </c>
      <c r="AH99" s="127" t="str">
        <f>IF(AND($A99&lt;&gt;0,$A99&lt;&gt;"",OR(RIGHT(Logic!B99,2)="T)",LEFT(Logic!B99,4)="CSD1")),Num_FETS*0.5*IM_RMS_120*VDC_AVG*Z99*n*FSW*k/GDR_SRC/3,"")</f>
        <v/>
      </c>
      <c r="AI99" s="127" t="str">
        <f>IF(AND($A99&lt;&gt;0,$A99&lt;&gt;"",OR(RIGHT(Logic!B99,2)="T)",LEFT(Logic!B99,4)="CSD1")),Num_FETS*0.5*IM_RMS_120*VDC_AVG*Z99*n*FSW*k/GDR_SINK/3,"")</f>
        <v/>
      </c>
      <c r="AJ99" s="127" t="str">
        <f t="shared" si="57"/>
        <v/>
      </c>
      <c r="AK99" s="127" t="str">
        <f t="shared" si="58"/>
        <v/>
      </c>
      <c r="AL99" s="127" t="str">
        <f t="shared" si="59"/>
        <v/>
      </c>
      <c r="AM99" s="127" t="str">
        <f t="shared" si="55"/>
        <v/>
      </c>
      <c r="AN99" s="127">
        <f>IF(AND($A99&lt;&gt;0,$A99&lt;&gt;"",OR(RIGHT(Logic!B99,2)="C)",LEFT(Logic!B99,4)="CSD1")),SUM(AD99:AF99)+(AJ99/3)+AK99+AL99/6+AM99/6,AN100)</f>
        <v>0</v>
      </c>
      <c r="AO99" s="127">
        <f>IF(AND($A99&lt;&gt;0,$A99&lt;&gt;"",OR(RIGHT(Logic!B99,2)="T)",LEFT(Logic!B99,4)="CSD1")),SUM(AG99:AI99)+(AJ99/3)+AL99/6+AM99/6,AO98)</f>
        <v>0.23887636588496741</v>
      </c>
      <c r="AP99" s="48" t="str">
        <f t="shared" si="56"/>
        <v/>
      </c>
      <c r="AQ99" s="35" t="str">
        <f>IF(AND(A99&lt;&gt;0,A99&lt;&gt;""),LOOKUP(A99,Discrete_NFET[PARTNUMBER],Discrete_NFET[TI_EQ_PACKAGE]),"")</f>
        <v/>
      </c>
      <c r="AR99" s="49" t="str">
        <f>IF(AND(A99&lt;&gt;0,A99&lt;&gt;""),LOOKUP(A99,Discrete_NFET[PARTNUMBER],Discrete_NFET[1KPRICE]),"")</f>
        <v/>
      </c>
      <c r="AS99" s="35" t="str">
        <f>IF(AND($A99&lt;&gt;0,$A99&lt;&gt;""),CONCATENATE(TEXT(AP99,"0.00"),"W, ",IF('User Input'!F$11="Single Discrete",A99,IF('User Input'!F$11="Dual/Power Block",LEFT(A99,FIND(")",A99)-7),A99)),", ",AQ99,", ",TEXT(AR99,"$0.00")),"Invalid Part")</f>
        <v>Invalid Part</v>
      </c>
      <c r="AT99"/>
      <c r="AW99"/>
    </row>
    <row r="100" spans="1:49" ht="15" customHeight="1" x14ac:dyDescent="0.25">
      <c r="A100" s="35" t="str">
        <f>IF(OR(AND(FET_config="Dual/Power Block",LEFT(Logic!B100,4)="CSD8"),AND(FET_config="Single Discrete",LEFT(Logic!B100,4)="CSD1")),Logic!B100,"")</f>
        <v/>
      </c>
      <c r="B100" s="37" t="str">
        <f>IF(OR($A100=0,$A100=""),"0",IF(LOOKUP($A100,Discrete_NFET[PARTNUMBER],Discrete_NFET[RDSON25])="(NULL)","0","1"))</f>
        <v>0</v>
      </c>
      <c r="C100" s="38" t="str">
        <f>IF(OR($A100=0,$A100=""),"0",IF(LOOKUP($A100,Discrete_NFET[PARTNUMBER],Discrete_NFET[RDSON3])="(NULL)","0","1"))</f>
        <v>0</v>
      </c>
      <c r="D100" s="40" t="str">
        <f>IF(OR($A100=0,$A100=""),"0",IF(LOOKUP($A100,Discrete_NFET[PARTNUMBER],Discrete_NFET[RDSON45])="(NULL)","0","1"))</f>
        <v>0</v>
      </c>
      <c r="E100" s="45" t="str">
        <f>IF(OR($A100=0,$A100=""),"0",IF(LOOKUP($A100,Discrete_NFET[PARTNUMBER],Discrete_NFET[RDSON6])="(NULL)","0","1"))</f>
        <v>0</v>
      </c>
      <c r="F100" s="34" t="str">
        <f>IF(OR($A100=0,$A100=""),"0",IF(LOOKUP($A100,Discrete_NFET[PARTNUMBER],Discrete_NFET[RDSON8])="(NULL)","0","1"))</f>
        <v>0</v>
      </c>
      <c r="G100" s="43" t="str">
        <f>IF(OR($A100=0,$A100=""),"0",IF(LOOKUP($A100,Discrete_NFET[PARTNUMBER],Discrete_NFET[RDSON10])="(NULL)","0","1"))</f>
        <v>0</v>
      </c>
      <c r="H100" s="36" t="b">
        <f t="shared" si="41"/>
        <v>0</v>
      </c>
      <c r="I100" s="39" t="b">
        <f t="shared" si="42"/>
        <v>0</v>
      </c>
      <c r="J100" s="41" t="b">
        <f t="shared" si="43"/>
        <v>0</v>
      </c>
      <c r="K100" s="46" t="b">
        <f t="shared" si="44"/>
        <v>0</v>
      </c>
      <c r="L100" s="42" t="b">
        <f t="shared" si="45"/>
        <v>0</v>
      </c>
      <c r="M100" s="44" t="b">
        <f t="shared" si="46"/>
        <v>0</v>
      </c>
      <c r="N100" s="47" t="b">
        <f t="shared" si="47"/>
        <v>0</v>
      </c>
      <c r="O100" s="36" t="b">
        <f t="shared" si="48"/>
        <v>0</v>
      </c>
      <c r="P100" s="39" t="b">
        <f t="shared" si="49"/>
        <v>0</v>
      </c>
      <c r="Q100" s="41" t="b">
        <f t="shared" si="50"/>
        <v>0</v>
      </c>
      <c r="R100" s="46" t="b">
        <f t="shared" si="51"/>
        <v>0</v>
      </c>
      <c r="S100" s="42" t="b">
        <f t="shared" si="52"/>
        <v>0</v>
      </c>
      <c r="T100" s="44" t="b">
        <f t="shared" si="53"/>
        <v>0</v>
      </c>
      <c r="U100" s="148" t="str">
        <f>IF(T100,LOOKUP(A100,Discrete_NFET[PARTNUMBER],Discrete_NFET[RDSON10])*1000,IF(S100,LOOKUP(A100,Discrete_NFET[PARTNUMBER],Discrete_NFET[RDSON8])*1000,IF(R100,LOOKUP(A100,Discrete_NFET[PARTNUMBER],Discrete_NFET[RDSON6])*1000,IF(Q100,LOOKUP(A100,Discrete_NFET[PARTNUMBER],Discrete_NFET[RDSON45])*1000,IF(P100,LOOKUP(A100,Discrete_NFET[PARTNUMBER],Discrete_NFET[RDSON3])*1000,IF(O100,LOOKUP(A100,Discrete_NFET[PARTNUMBER],Discrete_NFET[RDSON25])*1000,""))))))</f>
        <v/>
      </c>
      <c r="V100" s="48" t="str">
        <f>IF(AND(A100&lt;&gt;0,A100&lt;&gt;""),U100*(1+(Tj-25)*(LOOKUP(A100,Discrete_NFET[PARTNUMBER],Discrete_NFET[RDSDELTA])/((LOOKUP(A100,Discrete_NFET[PARTNUMBER],Discrete_NFET[TJMAX])-25)))),"")</f>
        <v/>
      </c>
      <c r="W100" s="35" t="str">
        <f>IF(AND($A100&lt;&gt;0,$A100&lt;&gt;""),LOOKUP($A100,Discrete_NFET[PARTNUMBER],Discrete_NFET[QGS]),"")</f>
        <v/>
      </c>
      <c r="X100" s="35" t="str">
        <f>IF(AND($A100&lt;&gt;0,$A100&lt;&gt;""),LOOKUP($A100,Discrete_NFET[PARTNUMBER],Discrete_NFET[QGD]),"")</f>
        <v/>
      </c>
      <c r="Y100" s="35" t="str">
        <f>IF(AND($A100&lt;&gt;0,$A100&lt;&gt;""),LOOKUP($A100,Discrete_NFET[PARTNUMBER],Discrete_NFET[QGTH]),"")</f>
        <v/>
      </c>
      <c r="Z100" s="35" t="str">
        <f t="shared" si="54"/>
        <v/>
      </c>
      <c r="AA100" s="35" t="str">
        <f>IF(AND($A100&lt;&gt;0,$A100&lt;&gt;""),LOOKUP($A100,Discrete_NFET[PARTNUMBER],Discrete_NFET[QOSSTYP]),"")</f>
        <v/>
      </c>
      <c r="AB100" s="35" t="str">
        <f>IF(AND($A100&lt;&gt;0,$A100&lt;&gt;""),LOOKUP($A100,Discrete_NFET[PARTNUMBER],Discrete_NFET[QRR]),"")</f>
        <v/>
      </c>
      <c r="AC100" s="35" t="str">
        <f>IF(AND(A100&lt;&gt;0,A100&lt;&gt;""),LOOKUP(A100,Discrete_NFET[PARTNUMBER],Discrete_NFET[VF_TYP]),"")</f>
        <v/>
      </c>
      <c r="AD100" s="127" t="str">
        <f>IF(AND($A100&lt;&gt;0,$A100&lt;&gt;"",OR(RIGHT(Logic!B100,2)="C)",LEFT(Logic!B100,4)="CSD1")),(1+(1-DUTY))*IM_RMS_120^2*V100*m/3/Num_FETS,"")</f>
        <v/>
      </c>
      <c r="AE100" s="127" t="str">
        <f>IF(AND($A100&lt;&gt;0,$A100&lt;&gt;"",OR(RIGHT(Logic!B100,2)="C)",LEFT(Logic!B100,4)="CSD1")),Num_FETS*0.5*IM_RMS_120*VDC_AVG*Z100*n*MOT_ELEC_FREQ/GDR_SRC,"")</f>
        <v/>
      </c>
      <c r="AF100" s="127" t="str">
        <f>IF(AND($A100&lt;&gt;0,$A100&lt;&gt;"",OR(RIGHT(Logic!B100,2)="C)",LEFT(Logic!B100,4)="CSD1")),Num_FETS*0.5*IM_RMS_120*VDC_AVG*Z100*n*MOT_ELEC_FREQ/GDR_SINK,"")</f>
        <v/>
      </c>
      <c r="AG100" s="127" t="str">
        <f>IF(AND($A100&lt;&gt;0,$A100&lt;&gt;"",OR(RIGHT(Logic!B100,2)="T)",LEFT(Logic!B100,4)="CSD1")),DUTY*IM_RMS_120^2*V100*m/3/Num_FETS,"")</f>
        <v/>
      </c>
      <c r="AH100" s="127" t="str">
        <f>IF(AND($A100&lt;&gt;0,$A100&lt;&gt;"",OR(RIGHT(Logic!B100,2)="T)",LEFT(Logic!B100,4)="CSD1")),Num_FETS*0.5*IM_RMS_120*VDC_AVG*Z100*n*FSW*k/GDR_SRC/3,"")</f>
        <v/>
      </c>
      <c r="AI100" s="127" t="str">
        <f>IF(AND($A100&lt;&gt;0,$A100&lt;&gt;"",OR(RIGHT(Logic!B100,2)="T)",LEFT(Logic!B100,4)="CSD1")),Num_FETS*0.5*IM_RMS_120*VDC_AVG*Z100*n*FSW*k/GDR_SINK/3,"")</f>
        <v/>
      </c>
      <c r="AJ100" s="127" t="str">
        <f t="shared" si="57"/>
        <v/>
      </c>
      <c r="AK100" s="127" t="str">
        <f t="shared" si="58"/>
        <v/>
      </c>
      <c r="AL100" s="127" t="str">
        <f t="shared" si="59"/>
        <v/>
      </c>
      <c r="AM100" s="127" t="str">
        <f t="shared" si="55"/>
        <v/>
      </c>
      <c r="AN100" s="127">
        <f>IF(AND($A100&lt;&gt;0,$A100&lt;&gt;"",OR(RIGHT(Logic!B100,2)="C)",LEFT(Logic!B100,4)="CSD1")),SUM(AD100:AF100)+(AJ100/3)+AK100+AL100/6+AM100/6,AN101)</f>
        <v>0</v>
      </c>
      <c r="AO100" s="127">
        <f>IF(AND($A100&lt;&gt;0,$A100&lt;&gt;"",OR(RIGHT(Logic!B100,2)="T)",LEFT(Logic!B100,4)="CSD1")),SUM(AG100:AI100)+(AJ100/3)+AL100/6+AM100/6,AO99)</f>
        <v>0.23887636588496741</v>
      </c>
      <c r="AP100" s="48" t="str">
        <f t="shared" si="56"/>
        <v/>
      </c>
      <c r="AQ100" s="35" t="str">
        <f>IF(AND(A100&lt;&gt;0,A100&lt;&gt;""),LOOKUP(A100,Discrete_NFET[PARTNUMBER],Discrete_NFET[TI_EQ_PACKAGE]),"")</f>
        <v/>
      </c>
      <c r="AR100" s="49" t="str">
        <f>IF(AND(A100&lt;&gt;0,A100&lt;&gt;""),LOOKUP(A100,Discrete_NFET[PARTNUMBER],Discrete_NFET[1KPRICE]),"")</f>
        <v/>
      </c>
      <c r="AS100" s="35" t="str">
        <f>IF(AND($A100&lt;&gt;0,$A100&lt;&gt;""),CONCATENATE(TEXT(AP100,"0.00"),"W, ",IF('User Input'!F$11="Single Discrete",A100,IF('User Input'!F$11="Dual/Power Block",LEFT(A100,FIND(")",A100)-7),A100)),", ",AQ100,", ",TEXT(AR100,"$0.00")),"Invalid Part")</f>
        <v>Invalid Part</v>
      </c>
      <c r="AT100"/>
      <c r="AW100"/>
    </row>
    <row r="101" spans="1:49" ht="15" customHeight="1" x14ac:dyDescent="0.25">
      <c r="A101" s="35" t="str">
        <f>IF(OR(AND(FET_config="Dual/Power Block",LEFT(Logic!B101,4)="CSD8"),AND(FET_config="Single Discrete",LEFT(Logic!B101,4)="CSD1")),Logic!B101,"")</f>
        <v/>
      </c>
      <c r="B101" s="37" t="str">
        <f>IF(OR($A101=0,$A101=""),"0",IF(LOOKUP($A101,Discrete_NFET[PARTNUMBER],Discrete_NFET[RDSON25])="(NULL)","0","1"))</f>
        <v>0</v>
      </c>
      <c r="C101" s="38" t="str">
        <f>IF(OR($A101=0,$A101=""),"0",IF(LOOKUP($A101,Discrete_NFET[PARTNUMBER],Discrete_NFET[RDSON3])="(NULL)","0","1"))</f>
        <v>0</v>
      </c>
      <c r="D101" s="40" t="str">
        <f>IF(OR($A101=0,$A101=""),"0",IF(LOOKUP($A101,Discrete_NFET[PARTNUMBER],Discrete_NFET[RDSON45])="(NULL)","0","1"))</f>
        <v>0</v>
      </c>
      <c r="E101" s="45" t="str">
        <f>IF(OR($A101=0,$A101=""),"0",IF(LOOKUP($A101,Discrete_NFET[PARTNUMBER],Discrete_NFET[RDSON6])="(NULL)","0","1"))</f>
        <v>0</v>
      </c>
      <c r="F101" s="34" t="str">
        <f>IF(OR($A101=0,$A101=""),"0",IF(LOOKUP($A101,Discrete_NFET[PARTNUMBER],Discrete_NFET[RDSON8])="(NULL)","0","1"))</f>
        <v>0</v>
      </c>
      <c r="G101" s="43" t="str">
        <f>IF(OR($A101=0,$A101=""),"0",IF(LOOKUP($A101,Discrete_NFET[PARTNUMBER],Discrete_NFET[RDSON10])="(NULL)","0","1"))</f>
        <v>0</v>
      </c>
      <c r="H101" s="36" t="b">
        <f t="shared" si="41"/>
        <v>0</v>
      </c>
      <c r="I101" s="39" t="b">
        <f t="shared" si="42"/>
        <v>0</v>
      </c>
      <c r="J101" s="41" t="b">
        <f t="shared" si="43"/>
        <v>0</v>
      </c>
      <c r="K101" s="46" t="b">
        <f t="shared" si="44"/>
        <v>0</v>
      </c>
      <c r="L101" s="42" t="b">
        <f t="shared" si="45"/>
        <v>0</v>
      </c>
      <c r="M101" s="44" t="b">
        <f t="shared" si="46"/>
        <v>0</v>
      </c>
      <c r="N101" s="47" t="b">
        <f t="shared" si="47"/>
        <v>0</v>
      </c>
      <c r="O101" s="36" t="b">
        <f t="shared" si="48"/>
        <v>0</v>
      </c>
      <c r="P101" s="39" t="b">
        <f t="shared" si="49"/>
        <v>0</v>
      </c>
      <c r="Q101" s="41" t="b">
        <f t="shared" si="50"/>
        <v>0</v>
      </c>
      <c r="R101" s="46" t="b">
        <f t="shared" si="51"/>
        <v>0</v>
      </c>
      <c r="S101" s="42" t="b">
        <f t="shared" si="52"/>
        <v>0</v>
      </c>
      <c r="T101" s="44" t="b">
        <f t="shared" si="53"/>
        <v>0</v>
      </c>
      <c r="U101" s="148" t="str">
        <f>IF(T101,LOOKUP(A101,Discrete_NFET[PARTNUMBER],Discrete_NFET[RDSON10])*1000,IF(S101,LOOKUP(A101,Discrete_NFET[PARTNUMBER],Discrete_NFET[RDSON8])*1000,IF(R101,LOOKUP(A101,Discrete_NFET[PARTNUMBER],Discrete_NFET[RDSON6])*1000,IF(Q101,LOOKUP(A101,Discrete_NFET[PARTNUMBER],Discrete_NFET[RDSON45])*1000,IF(P101,LOOKUP(A101,Discrete_NFET[PARTNUMBER],Discrete_NFET[RDSON3])*1000,IF(O101,LOOKUP(A101,Discrete_NFET[PARTNUMBER],Discrete_NFET[RDSON25])*1000,""))))))</f>
        <v/>
      </c>
      <c r="V101" s="48" t="str">
        <f>IF(AND(A101&lt;&gt;0,A101&lt;&gt;""),U101*(1+(Tj-25)*(LOOKUP(A101,Discrete_NFET[PARTNUMBER],Discrete_NFET[RDSDELTA])/((LOOKUP(A101,Discrete_NFET[PARTNUMBER],Discrete_NFET[TJMAX])-25)))),"")</f>
        <v/>
      </c>
      <c r="W101" s="35" t="str">
        <f>IF(AND($A101&lt;&gt;0,$A101&lt;&gt;""),LOOKUP($A101,Discrete_NFET[PARTNUMBER],Discrete_NFET[QGS]),"")</f>
        <v/>
      </c>
      <c r="X101" s="35" t="str">
        <f>IF(AND($A101&lt;&gt;0,$A101&lt;&gt;""),LOOKUP($A101,Discrete_NFET[PARTNUMBER],Discrete_NFET[QGD]),"")</f>
        <v/>
      </c>
      <c r="Y101" s="35" t="str">
        <f>IF(AND($A101&lt;&gt;0,$A101&lt;&gt;""),LOOKUP($A101,Discrete_NFET[PARTNUMBER],Discrete_NFET[QGTH]),"")</f>
        <v/>
      </c>
      <c r="Z101" s="35" t="str">
        <f t="shared" si="54"/>
        <v/>
      </c>
      <c r="AA101" s="35" t="str">
        <f>IF(AND($A101&lt;&gt;0,$A101&lt;&gt;""),LOOKUP($A101,Discrete_NFET[PARTNUMBER],Discrete_NFET[QOSSTYP]),"")</f>
        <v/>
      </c>
      <c r="AB101" s="35" t="str">
        <f>IF(AND($A101&lt;&gt;0,$A101&lt;&gt;""),LOOKUP($A101,Discrete_NFET[PARTNUMBER],Discrete_NFET[QRR]),"")</f>
        <v/>
      </c>
      <c r="AC101" s="35" t="str">
        <f>IF(AND(A101&lt;&gt;0,A101&lt;&gt;""),LOOKUP(A101,Discrete_NFET[PARTNUMBER],Discrete_NFET[VF_TYP]),"")</f>
        <v/>
      </c>
      <c r="AD101" s="127" t="str">
        <f>IF(AND($A101&lt;&gt;0,$A101&lt;&gt;"",OR(RIGHT(Logic!B101,2)="C)",LEFT(Logic!B101,4)="CSD1")),(1+(1-DUTY))*IM_RMS_120^2*V101*m/3/Num_FETS,"")</f>
        <v/>
      </c>
      <c r="AE101" s="127" t="str">
        <f>IF(AND($A101&lt;&gt;0,$A101&lt;&gt;"",OR(RIGHT(Logic!B101,2)="C)",LEFT(Logic!B101,4)="CSD1")),Num_FETS*0.5*IM_RMS_120*VDC_AVG*Z101*n*MOT_ELEC_FREQ/GDR_SRC,"")</f>
        <v/>
      </c>
      <c r="AF101" s="127" t="str">
        <f>IF(AND($A101&lt;&gt;0,$A101&lt;&gt;"",OR(RIGHT(Logic!B101,2)="C)",LEFT(Logic!B101,4)="CSD1")),Num_FETS*0.5*IM_RMS_120*VDC_AVG*Z101*n*MOT_ELEC_FREQ/GDR_SINK,"")</f>
        <v/>
      </c>
      <c r="AG101" s="127" t="str">
        <f>IF(AND($A101&lt;&gt;0,$A101&lt;&gt;"",OR(RIGHT(Logic!B101,2)="T)",LEFT(Logic!B101,4)="CSD1")),DUTY*IM_RMS_120^2*V101*m/3/Num_FETS,"")</f>
        <v/>
      </c>
      <c r="AH101" s="127" t="str">
        <f>IF(AND($A101&lt;&gt;0,$A101&lt;&gt;"",OR(RIGHT(Logic!B101,2)="T)",LEFT(Logic!B101,4)="CSD1")),Num_FETS*0.5*IM_RMS_120*VDC_AVG*Z101*n*FSW*k/GDR_SRC/3,"")</f>
        <v/>
      </c>
      <c r="AI101" s="127" t="str">
        <f>IF(AND($A101&lt;&gt;0,$A101&lt;&gt;"",OR(RIGHT(Logic!B101,2)="T)",LEFT(Logic!B101,4)="CSD1")),Num_FETS*0.5*IM_RMS_120*VDC_AVG*Z101*n*FSW*k/GDR_SINK/3,"")</f>
        <v/>
      </c>
      <c r="AJ101" s="127" t="str">
        <f t="shared" si="57"/>
        <v/>
      </c>
      <c r="AK101" s="127" t="str">
        <f t="shared" si="58"/>
        <v/>
      </c>
      <c r="AL101" s="127" t="str">
        <f t="shared" si="59"/>
        <v/>
      </c>
      <c r="AM101" s="127" t="str">
        <f t="shared" si="55"/>
        <v/>
      </c>
      <c r="AN101" s="127">
        <f>IF(AND($A101&lt;&gt;0,$A101&lt;&gt;"",OR(RIGHT(Logic!B101,2)="C)",LEFT(Logic!B101,4)="CSD1")),SUM(AD101:AF101)+(AJ101/3)+AK101+AL101/6+AM101/6,AN102)</f>
        <v>0</v>
      </c>
      <c r="AO101" s="127">
        <f>IF(AND($A101&lt;&gt;0,$A101&lt;&gt;"",OR(RIGHT(Logic!B101,2)="T)",LEFT(Logic!B101,4)="CSD1")),SUM(AG101:AI101)+(AJ101/3)+AL101/6+AM101/6,AO100)</f>
        <v>0.23887636588496741</v>
      </c>
      <c r="AP101" s="48" t="str">
        <f t="shared" si="56"/>
        <v/>
      </c>
      <c r="AQ101" s="35" t="str">
        <f>IF(AND(A101&lt;&gt;0,A101&lt;&gt;""),LOOKUP(A101,Discrete_NFET[PARTNUMBER],Discrete_NFET[TI_EQ_PACKAGE]),"")</f>
        <v/>
      </c>
      <c r="AR101" s="49" t="str">
        <f>IF(AND(A101&lt;&gt;0,A101&lt;&gt;""),LOOKUP(A101,Discrete_NFET[PARTNUMBER],Discrete_NFET[1KPRICE]),"")</f>
        <v/>
      </c>
      <c r="AS101" s="35" t="str">
        <f>IF(AND($A101&lt;&gt;0,$A101&lt;&gt;""),CONCATENATE(TEXT(AP101,"0.00"),"W, ",IF('User Input'!F$11="Single Discrete",A101,IF('User Input'!F$11="Dual/Power Block",LEFT(A101,FIND(")",A101)-7),A101)),", ",AQ101,", ",TEXT(AR101,"$0.00")),"Invalid Part")</f>
        <v>Invalid Part</v>
      </c>
      <c r="AT101"/>
      <c r="AW101"/>
    </row>
    <row r="102" spans="1:49" ht="15" customHeight="1" x14ac:dyDescent="0.25">
      <c r="A102" s="35" t="str">
        <f>IF(OR(AND(FET_config="Dual/Power Block",LEFT(Logic!B102,4)="CSD8"),AND(FET_config="Single Discrete",LEFT(Logic!B102,4)="CSD1")),Logic!B102,"")</f>
        <v/>
      </c>
      <c r="B102" s="37" t="str">
        <f>IF(OR($A102=0,$A102=""),"0",IF(LOOKUP($A102,Discrete_NFET[PARTNUMBER],Discrete_NFET[RDSON25])="(NULL)","0","1"))</f>
        <v>0</v>
      </c>
      <c r="C102" s="38" t="str">
        <f>IF(OR($A102=0,$A102=""),"0",IF(LOOKUP($A102,Discrete_NFET[PARTNUMBER],Discrete_NFET[RDSON3])="(NULL)","0","1"))</f>
        <v>0</v>
      </c>
      <c r="D102" s="40" t="str">
        <f>IF(OR($A102=0,$A102=""),"0",IF(LOOKUP($A102,Discrete_NFET[PARTNUMBER],Discrete_NFET[RDSON45])="(NULL)","0","1"))</f>
        <v>0</v>
      </c>
      <c r="E102" s="45" t="str">
        <f>IF(OR($A102=0,$A102=""),"0",IF(LOOKUP($A102,Discrete_NFET[PARTNUMBER],Discrete_NFET[RDSON6])="(NULL)","0","1"))</f>
        <v>0</v>
      </c>
      <c r="F102" s="34" t="str">
        <f>IF(OR($A102=0,$A102=""),"0",IF(LOOKUP($A102,Discrete_NFET[PARTNUMBER],Discrete_NFET[RDSON8])="(NULL)","0","1"))</f>
        <v>0</v>
      </c>
      <c r="G102" s="43" t="str">
        <f>IF(OR($A102=0,$A102=""),"0",IF(LOOKUP($A102,Discrete_NFET[PARTNUMBER],Discrete_NFET[RDSON10])="(NULL)","0","1"))</f>
        <v>0</v>
      </c>
      <c r="H102" s="36" t="b">
        <f t="shared" si="41"/>
        <v>0</v>
      </c>
      <c r="I102" s="39" t="b">
        <f t="shared" si="42"/>
        <v>0</v>
      </c>
      <c r="J102" s="41" t="b">
        <f t="shared" si="43"/>
        <v>0</v>
      </c>
      <c r="K102" s="46" t="b">
        <f t="shared" si="44"/>
        <v>0</v>
      </c>
      <c r="L102" s="42" t="b">
        <f t="shared" si="45"/>
        <v>0</v>
      </c>
      <c r="M102" s="44" t="b">
        <f t="shared" si="46"/>
        <v>0</v>
      </c>
      <c r="N102" s="47" t="b">
        <f t="shared" si="47"/>
        <v>0</v>
      </c>
      <c r="O102" s="36" t="b">
        <f t="shared" si="48"/>
        <v>0</v>
      </c>
      <c r="P102" s="39" t="b">
        <f t="shared" si="49"/>
        <v>0</v>
      </c>
      <c r="Q102" s="41" t="b">
        <f t="shared" si="50"/>
        <v>0</v>
      </c>
      <c r="R102" s="46" t="b">
        <f t="shared" si="51"/>
        <v>0</v>
      </c>
      <c r="S102" s="42" t="b">
        <f t="shared" si="52"/>
        <v>0</v>
      </c>
      <c r="T102" s="44" t="b">
        <f t="shared" si="53"/>
        <v>0</v>
      </c>
      <c r="U102" s="148" t="str">
        <f>IF(T102,LOOKUP(A102,Discrete_NFET[PARTNUMBER],Discrete_NFET[RDSON10])*1000,IF(S102,LOOKUP(A102,Discrete_NFET[PARTNUMBER],Discrete_NFET[RDSON8])*1000,IF(R102,LOOKUP(A102,Discrete_NFET[PARTNUMBER],Discrete_NFET[RDSON6])*1000,IF(Q102,LOOKUP(A102,Discrete_NFET[PARTNUMBER],Discrete_NFET[RDSON45])*1000,IF(P102,LOOKUP(A102,Discrete_NFET[PARTNUMBER],Discrete_NFET[RDSON3])*1000,IF(O102,LOOKUP(A102,Discrete_NFET[PARTNUMBER],Discrete_NFET[RDSON25])*1000,""))))))</f>
        <v/>
      </c>
      <c r="V102" s="48" t="str">
        <f>IF(AND(A102&lt;&gt;0,A102&lt;&gt;""),U102*(1+(Tj-25)*(LOOKUP(A102,Discrete_NFET[PARTNUMBER],Discrete_NFET[RDSDELTA])/((LOOKUP(A102,Discrete_NFET[PARTNUMBER],Discrete_NFET[TJMAX])-25)))),"")</f>
        <v/>
      </c>
      <c r="W102" s="35" t="str">
        <f>IF(AND($A102&lt;&gt;0,$A102&lt;&gt;""),LOOKUP($A102,Discrete_NFET[PARTNUMBER],Discrete_NFET[QGS]),"")</f>
        <v/>
      </c>
      <c r="X102" s="35" t="str">
        <f>IF(AND($A102&lt;&gt;0,$A102&lt;&gt;""),LOOKUP($A102,Discrete_NFET[PARTNUMBER],Discrete_NFET[QGD]),"")</f>
        <v/>
      </c>
      <c r="Y102" s="35" t="str">
        <f>IF(AND($A102&lt;&gt;0,$A102&lt;&gt;""),LOOKUP($A102,Discrete_NFET[PARTNUMBER],Discrete_NFET[QGTH]),"")</f>
        <v/>
      </c>
      <c r="Z102" s="35" t="str">
        <f t="shared" si="54"/>
        <v/>
      </c>
      <c r="AA102" s="35" t="str">
        <f>IF(AND($A102&lt;&gt;0,$A102&lt;&gt;""),LOOKUP($A102,Discrete_NFET[PARTNUMBER],Discrete_NFET[QOSSTYP]),"")</f>
        <v/>
      </c>
      <c r="AB102" s="35" t="str">
        <f>IF(AND($A102&lt;&gt;0,$A102&lt;&gt;""),LOOKUP($A102,Discrete_NFET[PARTNUMBER],Discrete_NFET[QRR]),"")</f>
        <v/>
      </c>
      <c r="AC102" s="35" t="str">
        <f>IF(AND(A102&lt;&gt;0,A102&lt;&gt;""),LOOKUP(A102,Discrete_NFET[PARTNUMBER],Discrete_NFET[VF_TYP]),"")</f>
        <v/>
      </c>
      <c r="AD102" s="127" t="str">
        <f>IF(AND($A102&lt;&gt;0,$A102&lt;&gt;"",OR(RIGHT(Logic!B102,2)="C)",LEFT(Logic!B102,4)="CSD1")),(1+(1-DUTY))*IM_RMS_120^2*V102*m/3/Num_FETS,"")</f>
        <v/>
      </c>
      <c r="AE102" s="127" t="str">
        <f>IF(AND($A102&lt;&gt;0,$A102&lt;&gt;"",OR(RIGHT(Logic!B102,2)="C)",LEFT(Logic!B102,4)="CSD1")),Num_FETS*0.5*IM_RMS_120*VDC_AVG*Z102*n*MOT_ELEC_FREQ/GDR_SRC,"")</f>
        <v/>
      </c>
      <c r="AF102" s="127" t="str">
        <f>IF(AND($A102&lt;&gt;0,$A102&lt;&gt;"",OR(RIGHT(Logic!B102,2)="C)",LEFT(Logic!B102,4)="CSD1")),Num_FETS*0.5*IM_RMS_120*VDC_AVG*Z102*n*MOT_ELEC_FREQ/GDR_SINK,"")</f>
        <v/>
      </c>
      <c r="AG102" s="127" t="str">
        <f>IF(AND($A102&lt;&gt;0,$A102&lt;&gt;"",OR(RIGHT(Logic!B102,2)="T)",LEFT(Logic!B102,4)="CSD1")),DUTY*IM_RMS_120^2*V102*m/3/Num_FETS,"")</f>
        <v/>
      </c>
      <c r="AH102" s="127" t="str">
        <f>IF(AND($A102&lt;&gt;0,$A102&lt;&gt;"",OR(RIGHT(Logic!B102,2)="T)",LEFT(Logic!B102,4)="CSD1")),Num_FETS*0.5*IM_RMS_120*VDC_AVG*Z102*n*FSW*k/GDR_SRC/3,"")</f>
        <v/>
      </c>
      <c r="AI102" s="127" t="str">
        <f>IF(AND($A102&lt;&gt;0,$A102&lt;&gt;"",OR(RIGHT(Logic!B102,2)="T)",LEFT(Logic!B102,4)="CSD1")),Num_FETS*0.5*IM_RMS_120*VDC_AVG*Z102*n*FSW*k/GDR_SINK/3,"")</f>
        <v/>
      </c>
      <c r="AJ102" s="127" t="str">
        <f t="shared" si="57"/>
        <v/>
      </c>
      <c r="AK102" s="127" t="str">
        <f t="shared" si="58"/>
        <v/>
      </c>
      <c r="AL102" s="127" t="str">
        <f t="shared" si="59"/>
        <v/>
      </c>
      <c r="AM102" s="127" t="str">
        <f t="shared" si="55"/>
        <v/>
      </c>
      <c r="AN102" s="127">
        <f>IF(AND($A102&lt;&gt;0,$A102&lt;&gt;"",OR(RIGHT(Logic!B102,2)="C)",LEFT(Logic!B102,4)="CSD1")),SUM(AD102:AF102)+(AJ102/3)+AK102+AL102/6+AM102/6,AN103)</f>
        <v>0</v>
      </c>
      <c r="AO102" s="127">
        <f>IF(AND($A102&lt;&gt;0,$A102&lt;&gt;"",OR(RIGHT(Logic!B102,2)="T)",LEFT(Logic!B102,4)="CSD1")),SUM(AG102:AI102)+(AJ102/3)+AL102/6+AM102/6,AO101)</f>
        <v>0.23887636588496741</v>
      </c>
      <c r="AP102" s="48" t="str">
        <f t="shared" si="56"/>
        <v/>
      </c>
      <c r="AQ102" s="35" t="str">
        <f>IF(AND(A102&lt;&gt;0,A102&lt;&gt;""),LOOKUP(A102,Discrete_NFET[PARTNUMBER],Discrete_NFET[TI_EQ_PACKAGE]),"")</f>
        <v/>
      </c>
      <c r="AR102" s="49" t="str">
        <f>IF(AND(A102&lt;&gt;0,A102&lt;&gt;""),LOOKUP(A102,Discrete_NFET[PARTNUMBER],Discrete_NFET[1KPRICE]),"")</f>
        <v/>
      </c>
      <c r="AS102" s="35" t="str">
        <f>IF(AND($A102&lt;&gt;0,$A102&lt;&gt;""),CONCATENATE(TEXT(AP102,"0.00"),"W, ",IF('User Input'!F$11="Single Discrete",A102,IF('User Input'!F$11="Dual/Power Block",LEFT(A102,FIND(")",A102)-7),A102)),", ",AQ102,", ",TEXT(AR102,"$0.00")),"Invalid Part")</f>
        <v>Invalid Part</v>
      </c>
      <c r="AT102"/>
      <c r="AW102"/>
    </row>
    <row r="103" spans="1:49" ht="15" customHeight="1" x14ac:dyDescent="0.25">
      <c r="A103" s="35" t="str">
        <f>IF(OR(AND(FET_config="Dual/Power Block",LEFT(Logic!B103,4)="CSD8"),AND(FET_config="Single Discrete",LEFT(Logic!B103,4)="CSD1")),Logic!B103,"")</f>
        <v/>
      </c>
      <c r="B103" s="37" t="str">
        <f>IF(OR($A103=0,$A103=""),"0",IF(LOOKUP($A103,Discrete_NFET[PARTNUMBER],Discrete_NFET[RDSON25])="(NULL)","0","1"))</f>
        <v>0</v>
      </c>
      <c r="C103" s="38" t="str">
        <f>IF(OR($A103=0,$A103=""),"0",IF(LOOKUP($A103,Discrete_NFET[PARTNUMBER],Discrete_NFET[RDSON3])="(NULL)","0","1"))</f>
        <v>0</v>
      </c>
      <c r="D103" s="40" t="str">
        <f>IF(OR($A103=0,$A103=""),"0",IF(LOOKUP($A103,Discrete_NFET[PARTNUMBER],Discrete_NFET[RDSON45])="(NULL)","0","1"))</f>
        <v>0</v>
      </c>
      <c r="E103" s="45" t="str">
        <f>IF(OR($A103=0,$A103=""),"0",IF(LOOKUP($A103,Discrete_NFET[PARTNUMBER],Discrete_NFET[RDSON6])="(NULL)","0","1"))</f>
        <v>0</v>
      </c>
      <c r="F103" s="34" t="str">
        <f>IF(OR($A103=0,$A103=""),"0",IF(LOOKUP($A103,Discrete_NFET[PARTNUMBER],Discrete_NFET[RDSON8])="(NULL)","0","1"))</f>
        <v>0</v>
      </c>
      <c r="G103" s="43" t="str">
        <f>IF(OR($A103=0,$A103=""),"0",IF(LOOKUP($A103,Discrete_NFET[PARTNUMBER],Discrete_NFET[RDSON10])="(NULL)","0","1"))</f>
        <v>0</v>
      </c>
      <c r="H103" s="36" t="b">
        <f t="shared" si="41"/>
        <v>0</v>
      </c>
      <c r="I103" s="39" t="b">
        <f t="shared" si="42"/>
        <v>0</v>
      </c>
      <c r="J103" s="41" t="b">
        <f t="shared" si="43"/>
        <v>0</v>
      </c>
      <c r="K103" s="46" t="b">
        <f t="shared" si="44"/>
        <v>0</v>
      </c>
      <c r="L103" s="42" t="b">
        <f t="shared" si="45"/>
        <v>0</v>
      </c>
      <c r="M103" s="44" t="b">
        <f t="shared" si="46"/>
        <v>0</v>
      </c>
      <c r="N103" s="47" t="b">
        <f t="shared" si="47"/>
        <v>0</v>
      </c>
      <c r="O103" s="36" t="b">
        <f t="shared" si="48"/>
        <v>0</v>
      </c>
      <c r="P103" s="39" t="b">
        <f t="shared" si="49"/>
        <v>0</v>
      </c>
      <c r="Q103" s="41" t="b">
        <f t="shared" si="50"/>
        <v>0</v>
      </c>
      <c r="R103" s="46" t="b">
        <f t="shared" si="51"/>
        <v>0</v>
      </c>
      <c r="S103" s="42" t="b">
        <f t="shared" si="52"/>
        <v>0</v>
      </c>
      <c r="T103" s="44" t="b">
        <f t="shared" si="53"/>
        <v>0</v>
      </c>
      <c r="U103" s="148" t="str">
        <f>IF(T103,LOOKUP(A103,Discrete_NFET[PARTNUMBER],Discrete_NFET[RDSON10])*1000,IF(S103,LOOKUP(A103,Discrete_NFET[PARTNUMBER],Discrete_NFET[RDSON8])*1000,IF(R103,LOOKUP(A103,Discrete_NFET[PARTNUMBER],Discrete_NFET[RDSON6])*1000,IF(Q103,LOOKUP(A103,Discrete_NFET[PARTNUMBER],Discrete_NFET[RDSON45])*1000,IF(P103,LOOKUP(A103,Discrete_NFET[PARTNUMBER],Discrete_NFET[RDSON3])*1000,IF(O103,LOOKUP(A103,Discrete_NFET[PARTNUMBER],Discrete_NFET[RDSON25])*1000,""))))))</f>
        <v/>
      </c>
      <c r="V103" s="48" t="str">
        <f>IF(AND(A103&lt;&gt;0,A103&lt;&gt;""),U103*(1+(Tj-25)*(LOOKUP(A103,Discrete_NFET[PARTNUMBER],Discrete_NFET[RDSDELTA])/((LOOKUP(A103,Discrete_NFET[PARTNUMBER],Discrete_NFET[TJMAX])-25)))),"")</f>
        <v/>
      </c>
      <c r="W103" s="35" t="str">
        <f>IF(AND($A103&lt;&gt;0,$A103&lt;&gt;""),LOOKUP($A103,Discrete_NFET[PARTNUMBER],Discrete_NFET[QGS]),"")</f>
        <v/>
      </c>
      <c r="X103" s="35" t="str">
        <f>IF(AND($A103&lt;&gt;0,$A103&lt;&gt;""),LOOKUP($A103,Discrete_NFET[PARTNUMBER],Discrete_NFET[QGD]),"")</f>
        <v/>
      </c>
      <c r="Y103" s="35" t="str">
        <f>IF(AND($A103&lt;&gt;0,$A103&lt;&gt;""),LOOKUP($A103,Discrete_NFET[PARTNUMBER],Discrete_NFET[QGTH]),"")</f>
        <v/>
      </c>
      <c r="Z103" s="35" t="str">
        <f t="shared" si="54"/>
        <v/>
      </c>
      <c r="AA103" s="35" t="str">
        <f>IF(AND($A103&lt;&gt;0,$A103&lt;&gt;""),LOOKUP($A103,Discrete_NFET[PARTNUMBER],Discrete_NFET[QOSSTYP]),"")</f>
        <v/>
      </c>
      <c r="AB103" s="35" t="str">
        <f>IF(AND($A103&lt;&gt;0,$A103&lt;&gt;""),LOOKUP($A103,Discrete_NFET[PARTNUMBER],Discrete_NFET[QRR]),"")</f>
        <v/>
      </c>
      <c r="AC103" s="35" t="str">
        <f>IF(AND(A103&lt;&gt;0,A103&lt;&gt;""),LOOKUP(A103,Discrete_NFET[PARTNUMBER],Discrete_NFET[VF_TYP]),"")</f>
        <v/>
      </c>
      <c r="AD103" s="127" t="str">
        <f>IF(AND($A103&lt;&gt;0,$A103&lt;&gt;"",OR(RIGHT(Logic!B103,2)="C)",LEFT(Logic!B103,4)="CSD1")),(1+(1-DUTY))*IM_RMS_120^2*V103*m/3/Num_FETS,"")</f>
        <v/>
      </c>
      <c r="AE103" s="127" t="str">
        <f>IF(AND($A103&lt;&gt;0,$A103&lt;&gt;"",OR(RIGHT(Logic!B103,2)="C)",LEFT(Logic!B103,4)="CSD1")),Num_FETS*0.5*IM_RMS_120*VDC_AVG*Z103*n*MOT_ELEC_FREQ/GDR_SRC,"")</f>
        <v/>
      </c>
      <c r="AF103" s="127" t="str">
        <f>IF(AND($A103&lt;&gt;0,$A103&lt;&gt;"",OR(RIGHT(Logic!B103,2)="C)",LEFT(Logic!B103,4)="CSD1")),Num_FETS*0.5*IM_RMS_120*VDC_AVG*Z103*n*MOT_ELEC_FREQ/GDR_SINK,"")</f>
        <v/>
      </c>
      <c r="AG103" s="127" t="str">
        <f>IF(AND($A103&lt;&gt;0,$A103&lt;&gt;"",OR(RIGHT(Logic!B103,2)="T)",LEFT(Logic!B103,4)="CSD1")),DUTY*IM_RMS_120^2*V103*m/3/Num_FETS,"")</f>
        <v/>
      </c>
      <c r="AH103" s="127" t="str">
        <f>IF(AND($A103&lt;&gt;0,$A103&lt;&gt;"",OR(RIGHT(Logic!B103,2)="T)",LEFT(Logic!B103,4)="CSD1")),Num_FETS*0.5*IM_RMS_120*VDC_AVG*Z103*n*FSW*k/GDR_SRC/3,"")</f>
        <v/>
      </c>
      <c r="AI103" s="127" t="str">
        <f>IF(AND($A103&lt;&gt;0,$A103&lt;&gt;"",OR(RIGHT(Logic!B103,2)="T)",LEFT(Logic!B103,4)="CSD1")),Num_FETS*0.5*IM_RMS_120*VDC_AVG*Z103*n*FSW*k/GDR_SINK/3,"")</f>
        <v/>
      </c>
      <c r="AJ103" s="127" t="str">
        <f t="shared" si="57"/>
        <v/>
      </c>
      <c r="AK103" s="127" t="str">
        <f t="shared" si="58"/>
        <v/>
      </c>
      <c r="AL103" s="127" t="str">
        <f t="shared" si="59"/>
        <v/>
      </c>
      <c r="AM103" s="127" t="str">
        <f t="shared" si="55"/>
        <v/>
      </c>
      <c r="AN103" s="127">
        <f>IF(AND($A103&lt;&gt;0,$A103&lt;&gt;"",OR(RIGHT(Logic!B103,2)="C)",LEFT(Logic!B103,4)="CSD1")),SUM(AD103:AF103)+(AJ103/3)+AK103+AL103/6+AM103/6,AN104)</f>
        <v>0</v>
      </c>
      <c r="AO103" s="127">
        <f>IF(AND($A103&lt;&gt;0,$A103&lt;&gt;"",OR(RIGHT(Logic!B103,2)="T)",LEFT(Logic!B103,4)="CSD1")),SUM(AG103:AI103)+(AJ103/3)+AL103/6+AM103/6,AO102)</f>
        <v>0.23887636588496741</v>
      </c>
      <c r="AP103" s="48" t="str">
        <f t="shared" si="56"/>
        <v/>
      </c>
      <c r="AQ103" s="35" t="str">
        <f>IF(AND(A103&lt;&gt;0,A103&lt;&gt;""),LOOKUP(A103,Discrete_NFET[PARTNUMBER],Discrete_NFET[TI_EQ_PACKAGE]),"")</f>
        <v/>
      </c>
      <c r="AR103" s="49" t="str">
        <f>IF(AND(A103&lt;&gt;0,A103&lt;&gt;""),LOOKUP(A103,Discrete_NFET[PARTNUMBER],Discrete_NFET[1KPRICE]),"")</f>
        <v/>
      </c>
      <c r="AS103" s="35" t="str">
        <f>IF(AND($A103&lt;&gt;0,$A103&lt;&gt;""),CONCATENATE(TEXT(AP103,"0.00"),"W, ",IF('User Input'!F$11="Single Discrete",A103,IF('User Input'!F$11="Dual/Power Block",LEFT(A103,FIND(")",A103)-7),A103)),", ",AQ103,", ",TEXT(AR103,"$0.00")),"Invalid Part")</f>
        <v>Invalid Part</v>
      </c>
      <c r="AT103"/>
      <c r="AW103"/>
    </row>
    <row r="104" spans="1:49" ht="15" customHeight="1" x14ac:dyDescent="0.25">
      <c r="A104" s="35" t="str">
        <f>IF(OR(AND(FET_config="Dual/Power Block",LEFT(Logic!B104,4)="CSD8"),AND(FET_config="Single Discrete",LEFT(Logic!B104,4)="CSD1")),Logic!B104,"")</f>
        <v/>
      </c>
      <c r="B104" s="37" t="str">
        <f>IF(OR($A104=0,$A104=""),"0",IF(LOOKUP($A104,Discrete_NFET[PARTNUMBER],Discrete_NFET[RDSON25])="(NULL)","0","1"))</f>
        <v>0</v>
      </c>
      <c r="C104" s="38" t="str">
        <f>IF(OR($A104=0,$A104=""),"0",IF(LOOKUP($A104,Discrete_NFET[PARTNUMBER],Discrete_NFET[RDSON3])="(NULL)","0","1"))</f>
        <v>0</v>
      </c>
      <c r="D104" s="40" t="str">
        <f>IF(OR($A104=0,$A104=""),"0",IF(LOOKUP($A104,Discrete_NFET[PARTNUMBER],Discrete_NFET[RDSON45])="(NULL)","0","1"))</f>
        <v>0</v>
      </c>
      <c r="E104" s="45" t="str">
        <f>IF(OR($A104=0,$A104=""),"0",IF(LOOKUP($A104,Discrete_NFET[PARTNUMBER],Discrete_NFET[RDSON6])="(NULL)","0","1"))</f>
        <v>0</v>
      </c>
      <c r="F104" s="34" t="str">
        <f>IF(OR($A104=0,$A104=""),"0",IF(LOOKUP($A104,Discrete_NFET[PARTNUMBER],Discrete_NFET[RDSON8])="(NULL)","0","1"))</f>
        <v>0</v>
      </c>
      <c r="G104" s="43" t="str">
        <f>IF(OR($A104=0,$A104=""),"0",IF(LOOKUP($A104,Discrete_NFET[PARTNUMBER],Discrete_NFET[RDSON10])="(NULL)","0","1"))</f>
        <v>0</v>
      </c>
      <c r="H104" s="36" t="b">
        <f t="shared" si="41"/>
        <v>0</v>
      </c>
      <c r="I104" s="39" t="b">
        <f t="shared" si="42"/>
        <v>0</v>
      </c>
      <c r="J104" s="41" t="b">
        <f t="shared" si="43"/>
        <v>0</v>
      </c>
      <c r="K104" s="46" t="b">
        <f t="shared" si="44"/>
        <v>0</v>
      </c>
      <c r="L104" s="42" t="b">
        <f t="shared" si="45"/>
        <v>0</v>
      </c>
      <c r="M104" s="44" t="b">
        <f t="shared" si="46"/>
        <v>0</v>
      </c>
      <c r="N104" s="47" t="b">
        <f t="shared" si="47"/>
        <v>0</v>
      </c>
      <c r="O104" s="36" t="b">
        <f t="shared" si="48"/>
        <v>0</v>
      </c>
      <c r="P104" s="39" t="b">
        <f t="shared" si="49"/>
        <v>0</v>
      </c>
      <c r="Q104" s="41" t="b">
        <f t="shared" si="50"/>
        <v>0</v>
      </c>
      <c r="R104" s="46" t="b">
        <f t="shared" si="51"/>
        <v>0</v>
      </c>
      <c r="S104" s="42" t="b">
        <f t="shared" si="52"/>
        <v>0</v>
      </c>
      <c r="T104" s="44" t="b">
        <f t="shared" si="53"/>
        <v>0</v>
      </c>
      <c r="U104" s="148" t="str">
        <f>IF(T104,LOOKUP(A104,Discrete_NFET[PARTNUMBER],Discrete_NFET[RDSON10])*1000,IF(S104,LOOKUP(A104,Discrete_NFET[PARTNUMBER],Discrete_NFET[RDSON8])*1000,IF(R104,LOOKUP(A104,Discrete_NFET[PARTNUMBER],Discrete_NFET[RDSON6])*1000,IF(Q104,LOOKUP(A104,Discrete_NFET[PARTNUMBER],Discrete_NFET[RDSON45])*1000,IF(P104,LOOKUP(A104,Discrete_NFET[PARTNUMBER],Discrete_NFET[RDSON3])*1000,IF(O104,LOOKUP(A104,Discrete_NFET[PARTNUMBER],Discrete_NFET[RDSON25])*1000,""))))))</f>
        <v/>
      </c>
      <c r="V104" s="48" t="str">
        <f>IF(AND(A104&lt;&gt;0,A104&lt;&gt;""),U104*(1+(Tj-25)*(LOOKUP(A104,Discrete_NFET[PARTNUMBER],Discrete_NFET[RDSDELTA])/((LOOKUP(A104,Discrete_NFET[PARTNUMBER],Discrete_NFET[TJMAX])-25)))),"")</f>
        <v/>
      </c>
      <c r="W104" s="35" t="str">
        <f>IF(AND($A104&lt;&gt;0,$A104&lt;&gt;""),LOOKUP($A104,Discrete_NFET[PARTNUMBER],Discrete_NFET[QGS]),"")</f>
        <v/>
      </c>
      <c r="X104" s="35" t="str">
        <f>IF(AND($A104&lt;&gt;0,$A104&lt;&gt;""),LOOKUP($A104,Discrete_NFET[PARTNUMBER],Discrete_NFET[QGD]),"")</f>
        <v/>
      </c>
      <c r="Y104" s="35" t="str">
        <f>IF(AND($A104&lt;&gt;0,$A104&lt;&gt;""),LOOKUP($A104,Discrete_NFET[PARTNUMBER],Discrete_NFET[QGTH]),"")</f>
        <v/>
      </c>
      <c r="Z104" s="35" t="str">
        <f t="shared" si="54"/>
        <v/>
      </c>
      <c r="AA104" s="35" t="str">
        <f>IF(AND($A104&lt;&gt;0,$A104&lt;&gt;""),LOOKUP($A104,Discrete_NFET[PARTNUMBER],Discrete_NFET[QOSSTYP]),"")</f>
        <v/>
      </c>
      <c r="AB104" s="35" t="str">
        <f>IF(AND($A104&lt;&gt;0,$A104&lt;&gt;""),LOOKUP($A104,Discrete_NFET[PARTNUMBER],Discrete_NFET[QRR]),"")</f>
        <v/>
      </c>
      <c r="AC104" s="35" t="str">
        <f>IF(AND(A104&lt;&gt;0,A104&lt;&gt;""),LOOKUP(A104,Discrete_NFET[PARTNUMBER],Discrete_NFET[VF_TYP]),"")</f>
        <v/>
      </c>
      <c r="AD104" s="127" t="str">
        <f>IF(AND($A104&lt;&gt;0,$A104&lt;&gt;"",OR(RIGHT(Logic!B104,2)="C)",LEFT(Logic!B104,4)="CSD1")),(1+(1-DUTY))*IM_RMS_120^2*V104*m/3/Num_FETS,"")</f>
        <v/>
      </c>
      <c r="AE104" s="127" t="str">
        <f>IF(AND($A104&lt;&gt;0,$A104&lt;&gt;"",OR(RIGHT(Logic!B104,2)="C)",LEFT(Logic!B104,4)="CSD1")),Num_FETS*0.5*IM_RMS_120*VDC_AVG*Z104*n*MOT_ELEC_FREQ/GDR_SRC,"")</f>
        <v/>
      </c>
      <c r="AF104" s="127" t="str">
        <f>IF(AND($A104&lt;&gt;0,$A104&lt;&gt;"",OR(RIGHT(Logic!B104,2)="C)",LEFT(Logic!B104,4)="CSD1")),Num_FETS*0.5*IM_RMS_120*VDC_AVG*Z104*n*MOT_ELEC_FREQ/GDR_SINK,"")</f>
        <v/>
      </c>
      <c r="AG104" s="127" t="str">
        <f>IF(AND($A104&lt;&gt;0,$A104&lt;&gt;"",OR(RIGHT(Logic!B104,2)="T)",LEFT(Logic!B104,4)="CSD1")),DUTY*IM_RMS_120^2*V104*m/3/Num_FETS,"")</f>
        <v/>
      </c>
      <c r="AH104" s="127" t="str">
        <f>IF(AND($A104&lt;&gt;0,$A104&lt;&gt;"",OR(RIGHT(Logic!B104,2)="T)",LEFT(Logic!B104,4)="CSD1")),Num_FETS*0.5*IM_RMS_120*VDC_AVG*Z104*n*FSW*k/GDR_SRC/3,"")</f>
        <v/>
      </c>
      <c r="AI104" s="127" t="str">
        <f>IF(AND($A104&lt;&gt;0,$A104&lt;&gt;"",OR(RIGHT(Logic!B104,2)="T)",LEFT(Logic!B104,4)="CSD1")),Num_FETS*0.5*IM_RMS_120*VDC_AVG*Z104*n*FSW*k/GDR_SINK/3,"")</f>
        <v/>
      </c>
      <c r="AJ104" s="127" t="str">
        <f t="shared" si="57"/>
        <v/>
      </c>
      <c r="AK104" s="127" t="str">
        <f t="shared" si="58"/>
        <v/>
      </c>
      <c r="AL104" s="127" t="str">
        <f t="shared" si="59"/>
        <v/>
      </c>
      <c r="AM104" s="127" t="str">
        <f t="shared" si="55"/>
        <v/>
      </c>
      <c r="AN104" s="127">
        <f>IF(AND($A104&lt;&gt;0,$A104&lt;&gt;"",OR(RIGHT(Logic!B104,2)="C)",LEFT(Logic!B104,4)="CSD1")),SUM(AD104:AF104)+(AJ104/3)+AK104+AL104/6+AM104/6,AN105)</f>
        <v>0</v>
      </c>
      <c r="AO104" s="127">
        <f>IF(AND($A104&lt;&gt;0,$A104&lt;&gt;"",OR(RIGHT(Logic!B104,2)="T)",LEFT(Logic!B104,4)="CSD1")),SUM(AG104:AI104)+(AJ104/3)+AL104/6+AM104/6,AO103)</f>
        <v>0.23887636588496741</v>
      </c>
      <c r="AP104" s="48" t="str">
        <f t="shared" si="56"/>
        <v/>
      </c>
      <c r="AQ104" s="35" t="str">
        <f>IF(AND(A104&lt;&gt;0,A104&lt;&gt;""),LOOKUP(A104,Discrete_NFET[PARTNUMBER],Discrete_NFET[TI_EQ_PACKAGE]),"")</f>
        <v/>
      </c>
      <c r="AR104" s="49" t="str">
        <f>IF(AND(A104&lt;&gt;0,A104&lt;&gt;""),LOOKUP(A104,Discrete_NFET[PARTNUMBER],Discrete_NFET[1KPRICE]),"")</f>
        <v/>
      </c>
      <c r="AS104" s="35" t="str">
        <f>IF(AND($A104&lt;&gt;0,$A104&lt;&gt;""),CONCATENATE(TEXT(AP104,"0.00"),"W, ",IF('User Input'!F$11="Single Discrete",A104,IF('User Input'!F$11="Dual/Power Block",LEFT(A104,FIND(")",A104)-7),A104)),", ",AQ104,", ",TEXT(AR104,"$0.00")),"Invalid Part")</f>
        <v>Invalid Part</v>
      </c>
      <c r="AT104"/>
      <c r="AW104"/>
    </row>
    <row r="105" spans="1:49" ht="15" customHeight="1" x14ac:dyDescent="0.25">
      <c r="A105" s="35" t="str">
        <f>IF(OR(AND(FET_config="Dual/Power Block",LEFT(Logic!B105,4)="CSD8"),AND(FET_config="Single Discrete",LEFT(Logic!B105,4)="CSD1")),Logic!B105,"")</f>
        <v/>
      </c>
      <c r="B105" s="37" t="str">
        <f>IF(OR($A105=0,$A105=""),"0",IF(LOOKUP($A105,Discrete_NFET[PARTNUMBER],Discrete_NFET[RDSON25])="(NULL)","0","1"))</f>
        <v>0</v>
      </c>
      <c r="C105" s="38" t="str">
        <f>IF(OR($A105=0,$A105=""),"0",IF(LOOKUP($A105,Discrete_NFET[PARTNUMBER],Discrete_NFET[RDSON3])="(NULL)","0","1"))</f>
        <v>0</v>
      </c>
      <c r="D105" s="40" t="str">
        <f>IF(OR($A105=0,$A105=""),"0",IF(LOOKUP($A105,Discrete_NFET[PARTNUMBER],Discrete_NFET[RDSON45])="(NULL)","0","1"))</f>
        <v>0</v>
      </c>
      <c r="E105" s="45" t="str">
        <f>IF(OR($A105=0,$A105=""),"0",IF(LOOKUP($A105,Discrete_NFET[PARTNUMBER],Discrete_NFET[RDSON6])="(NULL)","0","1"))</f>
        <v>0</v>
      </c>
      <c r="F105" s="34" t="str">
        <f>IF(OR($A105=0,$A105=""),"0",IF(LOOKUP($A105,Discrete_NFET[PARTNUMBER],Discrete_NFET[RDSON8])="(NULL)","0","1"))</f>
        <v>0</v>
      </c>
      <c r="G105" s="43" t="str">
        <f>IF(OR($A105=0,$A105=""),"0",IF(LOOKUP($A105,Discrete_NFET[PARTNUMBER],Discrete_NFET[RDSON10])="(NULL)","0","1"))</f>
        <v>0</v>
      </c>
      <c r="H105" s="36" t="b">
        <f t="shared" si="41"/>
        <v>0</v>
      </c>
      <c r="I105" s="39" t="b">
        <f t="shared" si="42"/>
        <v>0</v>
      </c>
      <c r="J105" s="41" t="b">
        <f t="shared" si="43"/>
        <v>0</v>
      </c>
      <c r="K105" s="46" t="b">
        <f t="shared" si="44"/>
        <v>0</v>
      </c>
      <c r="L105" s="42" t="b">
        <f t="shared" si="45"/>
        <v>0</v>
      </c>
      <c r="M105" s="44" t="b">
        <f t="shared" si="46"/>
        <v>0</v>
      </c>
      <c r="N105" s="47" t="b">
        <f t="shared" si="47"/>
        <v>0</v>
      </c>
      <c r="O105" s="36" t="b">
        <f t="shared" si="48"/>
        <v>0</v>
      </c>
      <c r="P105" s="39" t="b">
        <f t="shared" si="49"/>
        <v>0</v>
      </c>
      <c r="Q105" s="41" t="b">
        <f t="shared" si="50"/>
        <v>0</v>
      </c>
      <c r="R105" s="46" t="b">
        <f t="shared" si="51"/>
        <v>0</v>
      </c>
      <c r="S105" s="42" t="b">
        <f t="shared" si="52"/>
        <v>0</v>
      </c>
      <c r="T105" s="44" t="b">
        <f t="shared" si="53"/>
        <v>0</v>
      </c>
      <c r="U105" s="148" t="str">
        <f>IF(T105,LOOKUP(A105,Discrete_NFET[PARTNUMBER],Discrete_NFET[RDSON10])*1000,IF(S105,LOOKUP(A105,Discrete_NFET[PARTNUMBER],Discrete_NFET[RDSON8])*1000,IF(R105,LOOKUP(A105,Discrete_NFET[PARTNUMBER],Discrete_NFET[RDSON6])*1000,IF(Q105,LOOKUP(A105,Discrete_NFET[PARTNUMBER],Discrete_NFET[RDSON45])*1000,IF(P105,LOOKUP(A105,Discrete_NFET[PARTNUMBER],Discrete_NFET[RDSON3])*1000,IF(O105,LOOKUP(A105,Discrete_NFET[PARTNUMBER],Discrete_NFET[RDSON25])*1000,""))))))</f>
        <v/>
      </c>
      <c r="V105" s="48" t="str">
        <f>IF(AND(A105&lt;&gt;0,A105&lt;&gt;""),U105*(1+(Tj-25)*(LOOKUP(A105,Discrete_NFET[PARTNUMBER],Discrete_NFET[RDSDELTA])/((LOOKUP(A105,Discrete_NFET[PARTNUMBER],Discrete_NFET[TJMAX])-25)))),"")</f>
        <v/>
      </c>
      <c r="W105" s="35" t="str">
        <f>IF(AND($A105&lt;&gt;0,$A105&lt;&gt;""),LOOKUP($A105,Discrete_NFET[PARTNUMBER],Discrete_NFET[QGS]),"")</f>
        <v/>
      </c>
      <c r="X105" s="35" t="str">
        <f>IF(AND($A105&lt;&gt;0,$A105&lt;&gt;""),LOOKUP($A105,Discrete_NFET[PARTNUMBER],Discrete_NFET[QGD]),"")</f>
        <v/>
      </c>
      <c r="Y105" s="35" t="str">
        <f>IF(AND($A105&lt;&gt;0,$A105&lt;&gt;""),LOOKUP($A105,Discrete_NFET[PARTNUMBER],Discrete_NFET[QGTH]),"")</f>
        <v/>
      </c>
      <c r="Z105" s="35" t="str">
        <f t="shared" si="54"/>
        <v/>
      </c>
      <c r="AA105" s="35" t="str">
        <f>IF(AND($A105&lt;&gt;0,$A105&lt;&gt;""),LOOKUP($A105,Discrete_NFET[PARTNUMBER],Discrete_NFET[QOSSTYP]),"")</f>
        <v/>
      </c>
      <c r="AB105" s="35" t="str">
        <f>IF(AND($A105&lt;&gt;0,$A105&lt;&gt;""),LOOKUP($A105,Discrete_NFET[PARTNUMBER],Discrete_NFET[QRR]),"")</f>
        <v/>
      </c>
      <c r="AC105" s="35" t="str">
        <f>IF(AND(A105&lt;&gt;0,A105&lt;&gt;""),LOOKUP(A105,Discrete_NFET[PARTNUMBER],Discrete_NFET[VF_TYP]),"")</f>
        <v/>
      </c>
      <c r="AD105" s="127" t="str">
        <f>IF(AND($A105&lt;&gt;0,$A105&lt;&gt;"",OR(RIGHT(Logic!B105,2)="C)",LEFT(Logic!B105,4)="CSD1")),(1+(1-DUTY))*IM_RMS_120^2*V105*m/3/Num_FETS,"")</f>
        <v/>
      </c>
      <c r="AE105" s="127" t="str">
        <f>IF(AND($A105&lt;&gt;0,$A105&lt;&gt;"",OR(RIGHT(Logic!B105,2)="C)",LEFT(Logic!B105,4)="CSD1")),Num_FETS*0.5*IM_RMS_120*VDC_AVG*Z105*n*MOT_ELEC_FREQ/GDR_SRC,"")</f>
        <v/>
      </c>
      <c r="AF105" s="127" t="str">
        <f>IF(AND($A105&lt;&gt;0,$A105&lt;&gt;"",OR(RIGHT(Logic!B105,2)="C)",LEFT(Logic!B105,4)="CSD1")),Num_FETS*0.5*IM_RMS_120*VDC_AVG*Z105*n*MOT_ELEC_FREQ/GDR_SINK,"")</f>
        <v/>
      </c>
      <c r="AG105" s="127" t="str">
        <f>IF(AND($A105&lt;&gt;0,$A105&lt;&gt;"",OR(RIGHT(Logic!B105,2)="T)",LEFT(Logic!B105,4)="CSD1")),DUTY*IM_RMS_120^2*V105*m/3/Num_FETS,"")</f>
        <v/>
      </c>
      <c r="AH105" s="127" t="str">
        <f>IF(AND($A105&lt;&gt;0,$A105&lt;&gt;"",OR(RIGHT(Logic!B105,2)="T)",LEFT(Logic!B105,4)="CSD1")),Num_FETS*0.5*IM_RMS_120*VDC_AVG*Z105*n*FSW*k/GDR_SRC/3,"")</f>
        <v/>
      </c>
      <c r="AI105" s="127" t="str">
        <f>IF(AND($A105&lt;&gt;0,$A105&lt;&gt;"",OR(RIGHT(Logic!B105,2)="T)",LEFT(Logic!B105,4)="CSD1")),Num_FETS*0.5*IM_RMS_120*VDC_AVG*Z105*n*FSW*k/GDR_SINK/3,"")</f>
        <v/>
      </c>
      <c r="AJ105" s="127" t="str">
        <f t="shared" si="57"/>
        <v/>
      </c>
      <c r="AK105" s="127" t="str">
        <f t="shared" si="58"/>
        <v/>
      </c>
      <c r="AL105" s="127" t="str">
        <f t="shared" si="59"/>
        <v/>
      </c>
      <c r="AM105" s="127" t="str">
        <f t="shared" si="55"/>
        <v/>
      </c>
      <c r="AN105" s="127">
        <f>IF(AND($A105&lt;&gt;0,$A105&lt;&gt;"",OR(RIGHT(Logic!B105,2)="C)",LEFT(Logic!B105,4)="CSD1")),SUM(AD105:AF105)+(AJ105/3)+AK105+AL105/6+AM105/6,AN106)</f>
        <v>0</v>
      </c>
      <c r="AO105" s="127">
        <f>IF(AND($A105&lt;&gt;0,$A105&lt;&gt;"",OR(RIGHT(Logic!B105,2)="T)",LEFT(Logic!B105,4)="CSD1")),SUM(AG105:AI105)+(AJ105/3)+AL105/6+AM105/6,AO104)</f>
        <v>0.23887636588496741</v>
      </c>
      <c r="AP105" s="48" t="str">
        <f t="shared" si="56"/>
        <v/>
      </c>
      <c r="AQ105" s="35" t="str">
        <f>IF(AND(A105&lt;&gt;0,A105&lt;&gt;""),LOOKUP(A105,Discrete_NFET[PARTNUMBER],Discrete_NFET[TI_EQ_PACKAGE]),"")</f>
        <v/>
      </c>
      <c r="AR105" s="49" t="str">
        <f>IF(AND(A105&lt;&gt;0,A105&lt;&gt;""),LOOKUP(A105,Discrete_NFET[PARTNUMBER],Discrete_NFET[1KPRICE]),"")</f>
        <v/>
      </c>
      <c r="AS105" s="35" t="str">
        <f>IF(AND($A105&lt;&gt;0,$A105&lt;&gt;""),CONCATENATE(TEXT(AP105,"0.00"),"W, ",IF('User Input'!F$11="Single Discrete",A105,IF('User Input'!F$11="Dual/Power Block",LEFT(A105,FIND(")",A105)-7),A105)),", ",AQ105,", ",TEXT(AR105,"$0.00")),"Invalid Part")</f>
        <v>Invalid Part</v>
      </c>
      <c r="AT105"/>
      <c r="AW105"/>
    </row>
    <row r="106" spans="1:49" ht="15" customHeight="1" x14ac:dyDescent="0.25">
      <c r="A106" s="35" t="str">
        <f>IF(OR(AND(FET_config="Dual/Power Block",LEFT(Logic!B106,4)="CSD8"),AND(FET_config="Single Discrete",LEFT(Logic!B106,4)="CSD1")),Logic!B106,"")</f>
        <v/>
      </c>
      <c r="B106" s="37" t="str">
        <f>IF(OR($A106=0,$A106=""),"0",IF(LOOKUP($A106,Discrete_NFET[PARTNUMBER],Discrete_NFET[RDSON25])="(NULL)","0","1"))</f>
        <v>0</v>
      </c>
      <c r="C106" s="38" t="str">
        <f>IF(OR($A106=0,$A106=""),"0",IF(LOOKUP($A106,Discrete_NFET[PARTNUMBER],Discrete_NFET[RDSON3])="(NULL)","0","1"))</f>
        <v>0</v>
      </c>
      <c r="D106" s="40" t="str">
        <f>IF(OR($A106=0,$A106=""),"0",IF(LOOKUP($A106,Discrete_NFET[PARTNUMBER],Discrete_NFET[RDSON45])="(NULL)","0","1"))</f>
        <v>0</v>
      </c>
      <c r="E106" s="45" t="str">
        <f>IF(OR($A106=0,$A106=""),"0",IF(LOOKUP($A106,Discrete_NFET[PARTNUMBER],Discrete_NFET[RDSON6])="(NULL)","0","1"))</f>
        <v>0</v>
      </c>
      <c r="F106" s="34" t="str">
        <f>IF(OR($A106=0,$A106=""),"0",IF(LOOKUP($A106,Discrete_NFET[PARTNUMBER],Discrete_NFET[RDSON8])="(NULL)","0","1"))</f>
        <v>0</v>
      </c>
      <c r="G106" s="43" t="str">
        <f>IF(OR($A106=0,$A106=""),"0",IF(LOOKUP($A106,Discrete_NFET[PARTNUMBER],Discrete_NFET[RDSON10])="(NULL)","0","1"))</f>
        <v>0</v>
      </c>
      <c r="H106" s="36" t="b">
        <f t="shared" si="41"/>
        <v>0</v>
      </c>
      <c r="I106" s="39" t="b">
        <f t="shared" si="42"/>
        <v>0</v>
      </c>
      <c r="J106" s="41" t="b">
        <f t="shared" si="43"/>
        <v>0</v>
      </c>
      <c r="K106" s="46" t="b">
        <f t="shared" si="44"/>
        <v>0</v>
      </c>
      <c r="L106" s="42" t="b">
        <f t="shared" si="45"/>
        <v>0</v>
      </c>
      <c r="M106" s="44" t="b">
        <f t="shared" si="46"/>
        <v>0</v>
      </c>
      <c r="N106" s="47" t="b">
        <f t="shared" si="47"/>
        <v>0</v>
      </c>
      <c r="O106" s="36" t="b">
        <f t="shared" si="48"/>
        <v>0</v>
      </c>
      <c r="P106" s="39" t="b">
        <f t="shared" si="49"/>
        <v>0</v>
      </c>
      <c r="Q106" s="41" t="b">
        <f t="shared" si="50"/>
        <v>0</v>
      </c>
      <c r="R106" s="46" t="b">
        <f t="shared" si="51"/>
        <v>0</v>
      </c>
      <c r="S106" s="42" t="b">
        <f t="shared" si="52"/>
        <v>0</v>
      </c>
      <c r="T106" s="44" t="b">
        <f t="shared" si="53"/>
        <v>0</v>
      </c>
      <c r="U106" s="148" t="str">
        <f>IF(T106,LOOKUP(A106,Discrete_NFET[PARTNUMBER],Discrete_NFET[RDSON10])*1000,IF(S106,LOOKUP(A106,Discrete_NFET[PARTNUMBER],Discrete_NFET[RDSON8])*1000,IF(R106,LOOKUP(A106,Discrete_NFET[PARTNUMBER],Discrete_NFET[RDSON6])*1000,IF(Q106,LOOKUP(A106,Discrete_NFET[PARTNUMBER],Discrete_NFET[RDSON45])*1000,IF(P106,LOOKUP(A106,Discrete_NFET[PARTNUMBER],Discrete_NFET[RDSON3])*1000,IF(O106,LOOKUP(A106,Discrete_NFET[PARTNUMBER],Discrete_NFET[RDSON25])*1000,""))))))</f>
        <v/>
      </c>
      <c r="V106" s="48" t="str">
        <f>IF(AND(A106&lt;&gt;0,A106&lt;&gt;""),U106*(1+(Tj-25)*(LOOKUP(A106,Discrete_NFET[PARTNUMBER],Discrete_NFET[RDSDELTA])/((LOOKUP(A106,Discrete_NFET[PARTNUMBER],Discrete_NFET[TJMAX])-25)))),"")</f>
        <v/>
      </c>
      <c r="W106" s="35" t="str">
        <f>IF(AND($A106&lt;&gt;0,$A106&lt;&gt;""),LOOKUP($A106,Discrete_NFET[PARTNUMBER],Discrete_NFET[QGS]),"")</f>
        <v/>
      </c>
      <c r="X106" s="35" t="str">
        <f>IF(AND($A106&lt;&gt;0,$A106&lt;&gt;""),LOOKUP($A106,Discrete_NFET[PARTNUMBER],Discrete_NFET[QGD]),"")</f>
        <v/>
      </c>
      <c r="Y106" s="35" t="str">
        <f>IF(AND($A106&lt;&gt;0,$A106&lt;&gt;""),LOOKUP($A106,Discrete_NFET[PARTNUMBER],Discrete_NFET[QGTH]),"")</f>
        <v/>
      </c>
      <c r="Z106" s="35" t="str">
        <f t="shared" si="54"/>
        <v/>
      </c>
      <c r="AA106" s="35" t="str">
        <f>IF(AND($A106&lt;&gt;0,$A106&lt;&gt;""),LOOKUP($A106,Discrete_NFET[PARTNUMBER],Discrete_NFET[QOSSTYP]),"")</f>
        <v/>
      </c>
      <c r="AB106" s="35" t="str">
        <f>IF(AND($A106&lt;&gt;0,$A106&lt;&gt;""),LOOKUP($A106,Discrete_NFET[PARTNUMBER],Discrete_NFET[QRR]),"")</f>
        <v/>
      </c>
      <c r="AC106" s="35" t="str">
        <f>IF(AND(A106&lt;&gt;0,A106&lt;&gt;""),LOOKUP(A106,Discrete_NFET[PARTNUMBER],Discrete_NFET[VF_TYP]),"")</f>
        <v/>
      </c>
      <c r="AD106" s="127" t="str">
        <f>IF(AND($A106&lt;&gt;0,$A106&lt;&gt;"",OR(RIGHT(Logic!B106,2)="C)",LEFT(Logic!B106,4)="CSD1")),(1+(1-DUTY))*IM_RMS_120^2*V106*m/3/Num_FETS,"")</f>
        <v/>
      </c>
      <c r="AE106" s="127" t="str">
        <f>IF(AND($A106&lt;&gt;0,$A106&lt;&gt;"",OR(RIGHT(Logic!B106,2)="C)",LEFT(Logic!B106,4)="CSD1")),Num_FETS*0.5*IM_RMS_120*VDC_AVG*Z106*n*MOT_ELEC_FREQ/GDR_SRC,"")</f>
        <v/>
      </c>
      <c r="AF106" s="127" t="str">
        <f>IF(AND($A106&lt;&gt;0,$A106&lt;&gt;"",OR(RIGHT(Logic!B106,2)="C)",LEFT(Logic!B106,4)="CSD1")),Num_FETS*0.5*IM_RMS_120*VDC_AVG*Z106*n*MOT_ELEC_FREQ/GDR_SINK,"")</f>
        <v/>
      </c>
      <c r="AG106" s="127" t="str">
        <f>IF(AND($A106&lt;&gt;0,$A106&lt;&gt;"",OR(RIGHT(Logic!B106,2)="T)",LEFT(Logic!B106,4)="CSD1")),DUTY*IM_RMS_120^2*V106*m/3/Num_FETS,"")</f>
        <v/>
      </c>
      <c r="AH106" s="127" t="str">
        <f>IF(AND($A106&lt;&gt;0,$A106&lt;&gt;"",OR(RIGHT(Logic!B106,2)="T)",LEFT(Logic!B106,4)="CSD1")),Num_FETS*0.5*IM_RMS_120*VDC_AVG*Z106*n*FSW*k/GDR_SRC/3,"")</f>
        <v/>
      </c>
      <c r="AI106" s="127" t="str">
        <f>IF(AND($A106&lt;&gt;0,$A106&lt;&gt;"",OR(RIGHT(Logic!B106,2)="T)",LEFT(Logic!B106,4)="CSD1")),Num_FETS*0.5*IM_RMS_120*VDC_AVG*Z106*n*FSW*k/GDR_SINK/3,"")</f>
        <v/>
      </c>
      <c r="AJ106" s="127" t="str">
        <f t="shared" si="57"/>
        <v/>
      </c>
      <c r="AK106" s="127" t="str">
        <f t="shared" si="58"/>
        <v/>
      </c>
      <c r="AL106" s="127" t="str">
        <f t="shared" si="59"/>
        <v/>
      </c>
      <c r="AM106" s="127" t="str">
        <f t="shared" si="55"/>
        <v/>
      </c>
      <c r="AN106" s="127">
        <f>IF(AND($A106&lt;&gt;0,$A106&lt;&gt;"",OR(RIGHT(Logic!B106,2)="C)",LEFT(Logic!B106,4)="CSD1")),SUM(AD106:AF106)+(AJ106/3)+AK106+AL106/6+AM106/6,AN107)</f>
        <v>0</v>
      </c>
      <c r="AO106" s="127">
        <f>IF(AND($A106&lt;&gt;0,$A106&lt;&gt;"",OR(RIGHT(Logic!B106,2)="T)",LEFT(Logic!B106,4)="CSD1")),SUM(AG106:AI106)+(AJ106/3)+AL106/6+AM106/6,AO105)</f>
        <v>0.23887636588496741</v>
      </c>
      <c r="AP106" s="48" t="str">
        <f t="shared" si="56"/>
        <v/>
      </c>
      <c r="AQ106" s="35" t="str">
        <f>IF(AND(A106&lt;&gt;0,A106&lt;&gt;""),LOOKUP(A106,Discrete_NFET[PARTNUMBER],Discrete_NFET[TI_EQ_PACKAGE]),"")</f>
        <v/>
      </c>
      <c r="AR106" s="49" t="str">
        <f>IF(AND(A106&lt;&gt;0,A106&lt;&gt;""),LOOKUP(A106,Discrete_NFET[PARTNUMBER],Discrete_NFET[1KPRICE]),"")</f>
        <v/>
      </c>
      <c r="AS106" s="35" t="str">
        <f>IF(AND($A106&lt;&gt;0,$A106&lt;&gt;""),CONCATENATE(TEXT(AP106,"0.00"),"W, ",IF('User Input'!F$11="Single Discrete",A106,IF('User Input'!F$11="Dual/Power Block",LEFT(A106,FIND(")",A106)-7),A106)),", ",AQ106,", ",TEXT(AR106,"$0.00")),"Invalid Part")</f>
        <v>Invalid Part</v>
      </c>
      <c r="AT106"/>
      <c r="AW106"/>
    </row>
    <row r="107" spans="1:49" ht="15" customHeight="1" x14ac:dyDescent="0.25">
      <c r="A107" s="35" t="str">
        <f>IF(OR(AND(FET_config="Dual/Power Block",LEFT(Logic!B107,4)="CSD8"),AND(FET_config="Single Discrete",LEFT(Logic!B107,4)="CSD1")),Logic!B107,"")</f>
        <v/>
      </c>
      <c r="B107" s="37" t="str">
        <f>IF(OR($A107=0,$A107=""),"0",IF(LOOKUP($A107,Discrete_NFET[PARTNUMBER],Discrete_NFET[RDSON25])="(NULL)","0","1"))</f>
        <v>0</v>
      </c>
      <c r="C107" s="38" t="str">
        <f>IF(OR($A107=0,$A107=""),"0",IF(LOOKUP($A107,Discrete_NFET[PARTNUMBER],Discrete_NFET[RDSON3])="(NULL)","0","1"))</f>
        <v>0</v>
      </c>
      <c r="D107" s="40" t="str">
        <f>IF(OR($A107=0,$A107=""),"0",IF(LOOKUP($A107,Discrete_NFET[PARTNUMBER],Discrete_NFET[RDSON45])="(NULL)","0","1"))</f>
        <v>0</v>
      </c>
      <c r="E107" s="45" t="str">
        <f>IF(OR($A107=0,$A107=""),"0",IF(LOOKUP($A107,Discrete_NFET[PARTNUMBER],Discrete_NFET[RDSON6])="(NULL)","0","1"))</f>
        <v>0</v>
      </c>
      <c r="F107" s="34" t="str">
        <f>IF(OR($A107=0,$A107=""),"0",IF(LOOKUP($A107,Discrete_NFET[PARTNUMBER],Discrete_NFET[RDSON8])="(NULL)","0","1"))</f>
        <v>0</v>
      </c>
      <c r="G107" s="43" t="str">
        <f>IF(OR($A107=0,$A107=""),"0",IF(LOOKUP($A107,Discrete_NFET[PARTNUMBER],Discrete_NFET[RDSON10])="(NULL)","0","1"))</f>
        <v>0</v>
      </c>
      <c r="H107" s="36" t="b">
        <f t="shared" si="41"/>
        <v>0</v>
      </c>
      <c r="I107" s="39" t="b">
        <f t="shared" si="42"/>
        <v>0</v>
      </c>
      <c r="J107" s="41" t="b">
        <f t="shared" si="43"/>
        <v>0</v>
      </c>
      <c r="K107" s="46" t="b">
        <f t="shared" si="44"/>
        <v>0</v>
      </c>
      <c r="L107" s="42" t="b">
        <f t="shared" si="45"/>
        <v>0</v>
      </c>
      <c r="M107" s="44" t="b">
        <f t="shared" si="46"/>
        <v>0</v>
      </c>
      <c r="N107" s="47" t="b">
        <f t="shared" si="47"/>
        <v>0</v>
      </c>
      <c r="O107" s="36" t="b">
        <f t="shared" si="48"/>
        <v>0</v>
      </c>
      <c r="P107" s="39" t="b">
        <f t="shared" si="49"/>
        <v>0</v>
      </c>
      <c r="Q107" s="41" t="b">
        <f t="shared" si="50"/>
        <v>0</v>
      </c>
      <c r="R107" s="46" t="b">
        <f t="shared" si="51"/>
        <v>0</v>
      </c>
      <c r="S107" s="42" t="b">
        <f t="shared" si="52"/>
        <v>0</v>
      </c>
      <c r="T107" s="44" t="b">
        <f t="shared" si="53"/>
        <v>0</v>
      </c>
      <c r="U107" s="148" t="str">
        <f>IF(T107,LOOKUP(A107,Discrete_NFET[PARTNUMBER],Discrete_NFET[RDSON10])*1000,IF(S107,LOOKUP(A107,Discrete_NFET[PARTNUMBER],Discrete_NFET[RDSON8])*1000,IF(R107,LOOKUP(A107,Discrete_NFET[PARTNUMBER],Discrete_NFET[RDSON6])*1000,IF(Q107,LOOKUP(A107,Discrete_NFET[PARTNUMBER],Discrete_NFET[RDSON45])*1000,IF(P107,LOOKUP(A107,Discrete_NFET[PARTNUMBER],Discrete_NFET[RDSON3])*1000,IF(O107,LOOKUP(A107,Discrete_NFET[PARTNUMBER],Discrete_NFET[RDSON25])*1000,""))))))</f>
        <v/>
      </c>
      <c r="V107" s="48" t="str">
        <f>IF(AND(A107&lt;&gt;0,A107&lt;&gt;""),U107*(1+(Tj-25)*(LOOKUP(A107,Discrete_NFET[PARTNUMBER],Discrete_NFET[RDSDELTA])/((LOOKUP(A107,Discrete_NFET[PARTNUMBER],Discrete_NFET[TJMAX])-25)))),"")</f>
        <v/>
      </c>
      <c r="W107" s="35" t="str">
        <f>IF(AND($A107&lt;&gt;0,$A107&lt;&gt;""),LOOKUP($A107,Discrete_NFET[PARTNUMBER],Discrete_NFET[QGS]),"")</f>
        <v/>
      </c>
      <c r="X107" s="35" t="str">
        <f>IF(AND($A107&lt;&gt;0,$A107&lt;&gt;""),LOOKUP($A107,Discrete_NFET[PARTNUMBER],Discrete_NFET[QGD]),"")</f>
        <v/>
      </c>
      <c r="Y107" s="35" t="str">
        <f>IF(AND($A107&lt;&gt;0,$A107&lt;&gt;""),LOOKUP($A107,Discrete_NFET[PARTNUMBER],Discrete_NFET[QGTH]),"")</f>
        <v/>
      </c>
      <c r="Z107" s="35" t="str">
        <f t="shared" si="54"/>
        <v/>
      </c>
      <c r="AA107" s="35" t="str">
        <f>IF(AND($A107&lt;&gt;0,$A107&lt;&gt;""),LOOKUP($A107,Discrete_NFET[PARTNUMBER],Discrete_NFET[QOSSTYP]),"")</f>
        <v/>
      </c>
      <c r="AB107" s="35" t="str">
        <f>IF(AND($A107&lt;&gt;0,$A107&lt;&gt;""),LOOKUP($A107,Discrete_NFET[PARTNUMBER],Discrete_NFET[QRR]),"")</f>
        <v/>
      </c>
      <c r="AC107" s="35" t="str">
        <f>IF(AND(A107&lt;&gt;0,A107&lt;&gt;""),LOOKUP(A107,Discrete_NFET[PARTNUMBER],Discrete_NFET[VF_TYP]),"")</f>
        <v/>
      </c>
      <c r="AD107" s="127" t="str">
        <f>IF(AND($A107&lt;&gt;0,$A107&lt;&gt;"",OR(RIGHT(Logic!B107,2)="C)",LEFT(Logic!B107,4)="CSD1")),(1+(1-DUTY))*IM_RMS_120^2*V107*m/3/Num_FETS,"")</f>
        <v/>
      </c>
      <c r="AE107" s="127" t="str">
        <f>IF(AND($A107&lt;&gt;0,$A107&lt;&gt;"",OR(RIGHT(Logic!B107,2)="C)",LEFT(Logic!B107,4)="CSD1")),Num_FETS*0.5*IM_RMS_120*VDC_AVG*Z107*n*MOT_ELEC_FREQ/GDR_SRC,"")</f>
        <v/>
      </c>
      <c r="AF107" s="127" t="str">
        <f>IF(AND($A107&lt;&gt;0,$A107&lt;&gt;"",OR(RIGHT(Logic!B107,2)="C)",LEFT(Logic!B107,4)="CSD1")),Num_FETS*0.5*IM_RMS_120*VDC_AVG*Z107*n*MOT_ELEC_FREQ/GDR_SINK,"")</f>
        <v/>
      </c>
      <c r="AG107" s="127" t="str">
        <f>IF(AND($A107&lt;&gt;0,$A107&lt;&gt;"",OR(RIGHT(Logic!B107,2)="T)",LEFT(Logic!B107,4)="CSD1")),DUTY*IM_RMS_120^2*V107*m/3/Num_FETS,"")</f>
        <v/>
      </c>
      <c r="AH107" s="127" t="str">
        <f>IF(AND($A107&lt;&gt;0,$A107&lt;&gt;"",OR(RIGHT(Logic!B107,2)="T)",LEFT(Logic!B107,4)="CSD1")),Num_FETS*0.5*IM_RMS_120*VDC_AVG*Z107*n*FSW*k/GDR_SRC/3,"")</f>
        <v/>
      </c>
      <c r="AI107" s="127" t="str">
        <f>IF(AND($A107&lt;&gt;0,$A107&lt;&gt;"",OR(RIGHT(Logic!B107,2)="T)",LEFT(Logic!B107,4)="CSD1")),Num_FETS*0.5*IM_RMS_120*VDC_AVG*Z107*n*FSW*k/GDR_SINK/3,"")</f>
        <v/>
      </c>
      <c r="AJ107" s="127" t="str">
        <f t="shared" si="57"/>
        <v/>
      </c>
      <c r="AK107" s="127" t="str">
        <f t="shared" si="58"/>
        <v/>
      </c>
      <c r="AL107" s="127" t="str">
        <f t="shared" si="59"/>
        <v/>
      </c>
      <c r="AM107" s="127" t="str">
        <f t="shared" si="55"/>
        <v/>
      </c>
      <c r="AN107" s="127">
        <f>IF(AND($A107&lt;&gt;0,$A107&lt;&gt;"",OR(RIGHT(Logic!B107,2)="C)",LEFT(Logic!B107,4)="CSD1")),SUM(AD107:AF107)+(AJ107/3)+AK107+AL107/6+AM107/6,AN108)</f>
        <v>0</v>
      </c>
      <c r="AO107" s="127">
        <f>IF(AND($A107&lt;&gt;0,$A107&lt;&gt;"",OR(RIGHT(Logic!B107,2)="T)",LEFT(Logic!B107,4)="CSD1")),SUM(AG107:AI107)+(AJ107/3)+AL107/6+AM107/6,AO106)</f>
        <v>0.23887636588496741</v>
      </c>
      <c r="AP107" s="48" t="str">
        <f t="shared" si="56"/>
        <v/>
      </c>
      <c r="AQ107" s="35" t="str">
        <f>IF(AND(A107&lt;&gt;0,A107&lt;&gt;""),LOOKUP(A107,Discrete_NFET[PARTNUMBER],Discrete_NFET[TI_EQ_PACKAGE]),"")</f>
        <v/>
      </c>
      <c r="AR107" s="49" t="str">
        <f>IF(AND(A107&lt;&gt;0,A107&lt;&gt;""),LOOKUP(A107,Discrete_NFET[PARTNUMBER],Discrete_NFET[1KPRICE]),"")</f>
        <v/>
      </c>
      <c r="AS107" s="35" t="str">
        <f>IF(AND($A107&lt;&gt;0,$A107&lt;&gt;""),CONCATENATE(TEXT(AP107,"0.00"),"W, ",IF('User Input'!F$11="Single Discrete",A107,IF('User Input'!F$11="Dual/Power Block",LEFT(A107,FIND(")",A107)-7),A107)),", ",AQ107,", ",TEXT(AR107,"$0.00")),"Invalid Part")</f>
        <v>Invalid Part</v>
      </c>
      <c r="AT107"/>
      <c r="AW107"/>
    </row>
    <row r="108" spans="1:49" ht="15" customHeight="1" x14ac:dyDescent="0.25">
      <c r="A108" s="35" t="str">
        <f>IF(OR(AND(FET_config="Dual/Power Block",LEFT(Logic!B108,4)="CSD8"),AND(FET_config="Single Discrete",LEFT(Logic!B108,4)="CSD1")),Logic!B108,"")</f>
        <v/>
      </c>
      <c r="B108" s="37" t="str">
        <f>IF(OR($A108=0,$A108=""),"0",IF(LOOKUP($A108,Discrete_NFET[PARTNUMBER],Discrete_NFET[RDSON25])="(NULL)","0","1"))</f>
        <v>0</v>
      </c>
      <c r="C108" s="38" t="str">
        <f>IF(OR($A108=0,$A108=""),"0",IF(LOOKUP($A108,Discrete_NFET[PARTNUMBER],Discrete_NFET[RDSON3])="(NULL)","0","1"))</f>
        <v>0</v>
      </c>
      <c r="D108" s="40" t="str">
        <f>IF(OR($A108=0,$A108=""),"0",IF(LOOKUP($A108,Discrete_NFET[PARTNUMBER],Discrete_NFET[RDSON45])="(NULL)","0","1"))</f>
        <v>0</v>
      </c>
      <c r="E108" s="45" t="str">
        <f>IF(OR($A108=0,$A108=""),"0",IF(LOOKUP($A108,Discrete_NFET[PARTNUMBER],Discrete_NFET[RDSON6])="(NULL)","0","1"))</f>
        <v>0</v>
      </c>
      <c r="F108" s="34" t="str">
        <f>IF(OR($A108=0,$A108=""),"0",IF(LOOKUP($A108,Discrete_NFET[PARTNUMBER],Discrete_NFET[RDSON8])="(NULL)","0","1"))</f>
        <v>0</v>
      </c>
      <c r="G108" s="43" t="str">
        <f>IF(OR($A108=0,$A108=""),"0",IF(LOOKUP($A108,Discrete_NFET[PARTNUMBER],Discrete_NFET[RDSON10])="(NULL)","0","1"))</f>
        <v>0</v>
      </c>
      <c r="H108" s="36" t="b">
        <f t="shared" si="41"/>
        <v>0</v>
      </c>
      <c r="I108" s="39" t="b">
        <f t="shared" si="42"/>
        <v>0</v>
      </c>
      <c r="J108" s="41" t="b">
        <f t="shared" si="43"/>
        <v>0</v>
      </c>
      <c r="K108" s="46" t="b">
        <f t="shared" si="44"/>
        <v>0</v>
      </c>
      <c r="L108" s="42" t="b">
        <f t="shared" si="45"/>
        <v>0</v>
      </c>
      <c r="M108" s="44" t="b">
        <f t="shared" si="46"/>
        <v>0</v>
      </c>
      <c r="N108" s="47" t="b">
        <f t="shared" si="47"/>
        <v>0</v>
      </c>
      <c r="O108" s="36" t="b">
        <f t="shared" si="48"/>
        <v>0</v>
      </c>
      <c r="P108" s="39" t="b">
        <f t="shared" si="49"/>
        <v>0</v>
      </c>
      <c r="Q108" s="41" t="b">
        <f t="shared" si="50"/>
        <v>0</v>
      </c>
      <c r="R108" s="46" t="b">
        <f t="shared" si="51"/>
        <v>0</v>
      </c>
      <c r="S108" s="42" t="b">
        <f t="shared" si="52"/>
        <v>0</v>
      </c>
      <c r="T108" s="44" t="b">
        <f t="shared" si="53"/>
        <v>0</v>
      </c>
      <c r="U108" s="148" t="str">
        <f>IF(T108,LOOKUP(A108,Discrete_NFET[PARTNUMBER],Discrete_NFET[RDSON10])*1000,IF(S108,LOOKUP(A108,Discrete_NFET[PARTNUMBER],Discrete_NFET[RDSON8])*1000,IF(R108,LOOKUP(A108,Discrete_NFET[PARTNUMBER],Discrete_NFET[RDSON6])*1000,IF(Q108,LOOKUP(A108,Discrete_NFET[PARTNUMBER],Discrete_NFET[RDSON45])*1000,IF(P108,LOOKUP(A108,Discrete_NFET[PARTNUMBER],Discrete_NFET[RDSON3])*1000,IF(O108,LOOKUP(A108,Discrete_NFET[PARTNUMBER],Discrete_NFET[RDSON25])*1000,""))))))</f>
        <v/>
      </c>
      <c r="V108" s="48" t="str">
        <f>IF(AND(A108&lt;&gt;0,A108&lt;&gt;""),U108*(1+(Tj-25)*(LOOKUP(A108,Discrete_NFET[PARTNUMBER],Discrete_NFET[RDSDELTA])/((LOOKUP(A108,Discrete_NFET[PARTNUMBER],Discrete_NFET[TJMAX])-25)))),"")</f>
        <v/>
      </c>
      <c r="W108" s="35" t="str">
        <f>IF(AND($A108&lt;&gt;0,$A108&lt;&gt;""),LOOKUP($A108,Discrete_NFET[PARTNUMBER],Discrete_NFET[QGS]),"")</f>
        <v/>
      </c>
      <c r="X108" s="35" t="str">
        <f>IF(AND($A108&lt;&gt;0,$A108&lt;&gt;""),LOOKUP($A108,Discrete_NFET[PARTNUMBER],Discrete_NFET[QGD]),"")</f>
        <v/>
      </c>
      <c r="Y108" s="35" t="str">
        <f>IF(AND($A108&lt;&gt;0,$A108&lt;&gt;""),LOOKUP($A108,Discrete_NFET[PARTNUMBER],Discrete_NFET[QGTH]),"")</f>
        <v/>
      </c>
      <c r="Z108" s="35" t="str">
        <f t="shared" si="54"/>
        <v/>
      </c>
      <c r="AA108" s="35" t="str">
        <f>IF(AND($A108&lt;&gt;0,$A108&lt;&gt;""),LOOKUP($A108,Discrete_NFET[PARTNUMBER],Discrete_NFET[QOSSTYP]),"")</f>
        <v/>
      </c>
      <c r="AB108" s="35" t="str">
        <f>IF(AND($A108&lt;&gt;0,$A108&lt;&gt;""),LOOKUP($A108,Discrete_NFET[PARTNUMBER],Discrete_NFET[QRR]),"")</f>
        <v/>
      </c>
      <c r="AC108" s="35" t="str">
        <f>IF(AND(A108&lt;&gt;0,A108&lt;&gt;""),LOOKUP(A108,Discrete_NFET[PARTNUMBER],Discrete_NFET[VF_TYP]),"")</f>
        <v/>
      </c>
      <c r="AD108" s="127" t="str">
        <f>IF(AND($A108&lt;&gt;0,$A108&lt;&gt;"",OR(RIGHT(Logic!B108,2)="C)",LEFT(Logic!B108,4)="CSD1")),(1+(1-DUTY))*IM_RMS_120^2*V108*m/3/Num_FETS,"")</f>
        <v/>
      </c>
      <c r="AE108" s="127" t="str">
        <f>IF(AND($A108&lt;&gt;0,$A108&lt;&gt;"",OR(RIGHT(Logic!B108,2)="C)",LEFT(Logic!B108,4)="CSD1")),Num_FETS*0.5*IM_RMS_120*VDC_AVG*Z108*n*MOT_ELEC_FREQ/GDR_SRC,"")</f>
        <v/>
      </c>
      <c r="AF108" s="127" t="str">
        <f>IF(AND($A108&lt;&gt;0,$A108&lt;&gt;"",OR(RIGHT(Logic!B108,2)="C)",LEFT(Logic!B108,4)="CSD1")),Num_FETS*0.5*IM_RMS_120*VDC_AVG*Z108*n*MOT_ELEC_FREQ/GDR_SINK,"")</f>
        <v/>
      </c>
      <c r="AG108" s="127" t="str">
        <f>IF(AND($A108&lt;&gt;0,$A108&lt;&gt;"",OR(RIGHT(Logic!B108,2)="T)",LEFT(Logic!B108,4)="CSD1")),DUTY*IM_RMS_120^2*V108*m/3/Num_FETS,"")</f>
        <v/>
      </c>
      <c r="AH108" s="127" t="str">
        <f>IF(AND($A108&lt;&gt;0,$A108&lt;&gt;"",OR(RIGHT(Logic!B108,2)="T)",LEFT(Logic!B108,4)="CSD1")),Num_FETS*0.5*IM_RMS_120*VDC_AVG*Z108*n*FSW*k/GDR_SRC/3,"")</f>
        <v/>
      </c>
      <c r="AI108" s="127" t="str">
        <f>IF(AND($A108&lt;&gt;0,$A108&lt;&gt;"",OR(RIGHT(Logic!B108,2)="T)",LEFT(Logic!B108,4)="CSD1")),Num_FETS*0.5*IM_RMS_120*VDC_AVG*Z108*n*FSW*k/GDR_SINK/3,"")</f>
        <v/>
      </c>
      <c r="AJ108" s="127" t="str">
        <f t="shared" si="57"/>
        <v/>
      </c>
      <c r="AK108" s="127" t="str">
        <f t="shared" si="58"/>
        <v/>
      </c>
      <c r="AL108" s="127" t="str">
        <f t="shared" si="59"/>
        <v/>
      </c>
      <c r="AM108" s="127" t="str">
        <f t="shared" si="55"/>
        <v/>
      </c>
      <c r="AN108" s="127">
        <f>IF(AND($A108&lt;&gt;0,$A108&lt;&gt;"",OR(RIGHT(Logic!B108,2)="C)",LEFT(Logic!B108,4)="CSD1")),SUM(AD108:AF108)+(AJ108/3)+AK108+AL108/6+AM108/6,AN109)</f>
        <v>0</v>
      </c>
      <c r="AO108" s="127">
        <f>IF(AND($A108&lt;&gt;0,$A108&lt;&gt;"",OR(RIGHT(Logic!B108,2)="T)",LEFT(Logic!B108,4)="CSD1")),SUM(AG108:AI108)+(AJ108/3)+AL108/6+AM108/6,AO107)</f>
        <v>0.23887636588496741</v>
      </c>
      <c r="AP108" s="48" t="str">
        <f t="shared" si="56"/>
        <v/>
      </c>
      <c r="AQ108" s="35" t="str">
        <f>IF(AND(A108&lt;&gt;0,A108&lt;&gt;""),LOOKUP(A108,Discrete_NFET[PARTNUMBER],Discrete_NFET[TI_EQ_PACKAGE]),"")</f>
        <v/>
      </c>
      <c r="AR108" s="49" t="str">
        <f>IF(AND(A108&lt;&gt;0,A108&lt;&gt;""),LOOKUP(A108,Discrete_NFET[PARTNUMBER],Discrete_NFET[1KPRICE]),"")</f>
        <v/>
      </c>
      <c r="AS108" s="35" t="str">
        <f>IF(AND($A108&lt;&gt;0,$A108&lt;&gt;""),CONCATENATE(TEXT(AP108,"0.00"),"W, ",IF('User Input'!F$11="Single Discrete",A108,IF('User Input'!F$11="Dual/Power Block",LEFT(A108,FIND(")",A108)-7),A108)),", ",AQ108,", ",TEXT(AR108,"$0.00")),"Invalid Part")</f>
        <v>Invalid Part</v>
      </c>
      <c r="AT108"/>
      <c r="AW108"/>
    </row>
    <row r="109" spans="1:49" ht="15" customHeight="1" x14ac:dyDescent="0.25">
      <c r="A109" s="35" t="str">
        <f>IF(OR(AND(FET_config="Dual/Power Block",LEFT(Logic!B109,4)="CSD8"),AND(FET_config="Single Discrete",LEFT(Logic!B109,4)="CSD1")),Logic!B109,"")</f>
        <v/>
      </c>
      <c r="B109" s="37" t="str">
        <f>IF(OR($A109=0,$A109=""),"0",IF(LOOKUP($A109,Discrete_NFET[PARTNUMBER],Discrete_NFET[RDSON25])="(NULL)","0","1"))</f>
        <v>0</v>
      </c>
      <c r="C109" s="38" t="str">
        <f>IF(OR($A109=0,$A109=""),"0",IF(LOOKUP($A109,Discrete_NFET[PARTNUMBER],Discrete_NFET[RDSON3])="(NULL)","0","1"))</f>
        <v>0</v>
      </c>
      <c r="D109" s="40" t="str">
        <f>IF(OR($A109=0,$A109=""),"0",IF(LOOKUP($A109,Discrete_NFET[PARTNUMBER],Discrete_NFET[RDSON45])="(NULL)","0","1"))</f>
        <v>0</v>
      </c>
      <c r="E109" s="45" t="str">
        <f>IF(OR($A109=0,$A109=""),"0",IF(LOOKUP($A109,Discrete_NFET[PARTNUMBER],Discrete_NFET[RDSON6])="(NULL)","0","1"))</f>
        <v>0</v>
      </c>
      <c r="F109" s="34" t="str">
        <f>IF(OR($A109=0,$A109=""),"0",IF(LOOKUP($A109,Discrete_NFET[PARTNUMBER],Discrete_NFET[RDSON8])="(NULL)","0","1"))</f>
        <v>0</v>
      </c>
      <c r="G109" s="43" t="str">
        <f>IF(OR($A109=0,$A109=""),"0",IF(LOOKUP($A109,Discrete_NFET[PARTNUMBER],Discrete_NFET[RDSON10])="(NULL)","0","1"))</f>
        <v>0</v>
      </c>
      <c r="H109" s="36" t="b">
        <f t="shared" si="41"/>
        <v>0</v>
      </c>
      <c r="I109" s="39" t="b">
        <f t="shared" si="42"/>
        <v>0</v>
      </c>
      <c r="J109" s="41" t="b">
        <f t="shared" si="43"/>
        <v>0</v>
      </c>
      <c r="K109" s="46" t="b">
        <f t="shared" si="44"/>
        <v>0</v>
      </c>
      <c r="L109" s="42" t="b">
        <f t="shared" si="45"/>
        <v>0</v>
      </c>
      <c r="M109" s="44" t="b">
        <f t="shared" si="46"/>
        <v>0</v>
      </c>
      <c r="N109" s="47" t="b">
        <f t="shared" si="47"/>
        <v>0</v>
      </c>
      <c r="O109" s="36" t="b">
        <f t="shared" si="48"/>
        <v>0</v>
      </c>
      <c r="P109" s="39" t="b">
        <f t="shared" si="49"/>
        <v>0</v>
      </c>
      <c r="Q109" s="41" t="b">
        <f t="shared" si="50"/>
        <v>0</v>
      </c>
      <c r="R109" s="46" t="b">
        <f t="shared" si="51"/>
        <v>0</v>
      </c>
      <c r="S109" s="42" t="b">
        <f t="shared" si="52"/>
        <v>0</v>
      </c>
      <c r="T109" s="44" t="b">
        <f t="shared" si="53"/>
        <v>0</v>
      </c>
      <c r="U109" s="148" t="str">
        <f>IF(T109,LOOKUP(A109,Discrete_NFET[PARTNUMBER],Discrete_NFET[RDSON10])*1000,IF(S109,LOOKUP(A109,Discrete_NFET[PARTNUMBER],Discrete_NFET[RDSON8])*1000,IF(R109,LOOKUP(A109,Discrete_NFET[PARTNUMBER],Discrete_NFET[RDSON6])*1000,IF(Q109,LOOKUP(A109,Discrete_NFET[PARTNUMBER],Discrete_NFET[RDSON45])*1000,IF(P109,LOOKUP(A109,Discrete_NFET[PARTNUMBER],Discrete_NFET[RDSON3])*1000,IF(O109,LOOKUP(A109,Discrete_NFET[PARTNUMBER],Discrete_NFET[RDSON25])*1000,""))))))</f>
        <v/>
      </c>
      <c r="V109" s="48" t="str">
        <f>IF(AND(A109&lt;&gt;0,A109&lt;&gt;""),U109*(1+(Tj-25)*(LOOKUP(A109,Discrete_NFET[PARTNUMBER],Discrete_NFET[RDSDELTA])/((LOOKUP(A109,Discrete_NFET[PARTNUMBER],Discrete_NFET[TJMAX])-25)))),"")</f>
        <v/>
      </c>
      <c r="W109" s="35" t="str">
        <f>IF(AND($A109&lt;&gt;0,$A109&lt;&gt;""),LOOKUP($A109,Discrete_NFET[PARTNUMBER],Discrete_NFET[QGS]),"")</f>
        <v/>
      </c>
      <c r="X109" s="35" t="str">
        <f>IF(AND($A109&lt;&gt;0,$A109&lt;&gt;""),LOOKUP($A109,Discrete_NFET[PARTNUMBER],Discrete_NFET[QGD]),"")</f>
        <v/>
      </c>
      <c r="Y109" s="35" t="str">
        <f>IF(AND($A109&lt;&gt;0,$A109&lt;&gt;""),LOOKUP($A109,Discrete_NFET[PARTNUMBER],Discrete_NFET[QGTH]),"")</f>
        <v/>
      </c>
      <c r="Z109" s="35" t="str">
        <f t="shared" si="54"/>
        <v/>
      </c>
      <c r="AA109" s="35" t="str">
        <f>IF(AND($A109&lt;&gt;0,$A109&lt;&gt;""),LOOKUP($A109,Discrete_NFET[PARTNUMBER],Discrete_NFET[QOSSTYP]),"")</f>
        <v/>
      </c>
      <c r="AB109" s="35" t="str">
        <f>IF(AND($A109&lt;&gt;0,$A109&lt;&gt;""),LOOKUP($A109,Discrete_NFET[PARTNUMBER],Discrete_NFET[QRR]),"")</f>
        <v/>
      </c>
      <c r="AC109" s="35" t="str">
        <f>IF(AND(A109&lt;&gt;0,A109&lt;&gt;""),LOOKUP(A109,Discrete_NFET[PARTNUMBER],Discrete_NFET[VF_TYP]),"")</f>
        <v/>
      </c>
      <c r="AD109" s="127" t="str">
        <f>IF(AND($A109&lt;&gt;0,$A109&lt;&gt;"",OR(RIGHT(Logic!B109,2)="C)",LEFT(Logic!B109,4)="CSD1")),(1+(1-DUTY))*IM_RMS_120^2*V109*m/3/Num_FETS,"")</f>
        <v/>
      </c>
      <c r="AE109" s="127" t="str">
        <f>IF(AND($A109&lt;&gt;0,$A109&lt;&gt;"",OR(RIGHT(Logic!B109,2)="C)",LEFT(Logic!B109,4)="CSD1")),Num_FETS*0.5*IM_RMS_120*VDC_AVG*Z109*n*MOT_ELEC_FREQ/GDR_SRC,"")</f>
        <v/>
      </c>
      <c r="AF109" s="127" t="str">
        <f>IF(AND($A109&lt;&gt;0,$A109&lt;&gt;"",OR(RIGHT(Logic!B109,2)="C)",LEFT(Logic!B109,4)="CSD1")),Num_FETS*0.5*IM_RMS_120*VDC_AVG*Z109*n*MOT_ELEC_FREQ/GDR_SINK,"")</f>
        <v/>
      </c>
      <c r="AG109" s="127" t="str">
        <f>IF(AND($A109&lt;&gt;0,$A109&lt;&gt;"",OR(RIGHT(Logic!B109,2)="T)",LEFT(Logic!B109,4)="CSD1")),DUTY*IM_RMS_120^2*V109*m/3/Num_FETS,"")</f>
        <v/>
      </c>
      <c r="AH109" s="127" t="str">
        <f>IF(AND($A109&lt;&gt;0,$A109&lt;&gt;"",OR(RIGHT(Logic!B109,2)="T)",LEFT(Logic!B109,4)="CSD1")),Num_FETS*0.5*IM_RMS_120*VDC_AVG*Z109*n*FSW*k/GDR_SRC/3,"")</f>
        <v/>
      </c>
      <c r="AI109" s="127" t="str">
        <f>IF(AND($A109&lt;&gt;0,$A109&lt;&gt;"",OR(RIGHT(Logic!B109,2)="T)",LEFT(Logic!B109,4)="CSD1")),Num_FETS*0.5*IM_RMS_120*VDC_AVG*Z109*n*FSW*k/GDR_SINK/3,"")</f>
        <v/>
      </c>
      <c r="AJ109" s="127" t="str">
        <f t="shared" si="57"/>
        <v/>
      </c>
      <c r="AK109" s="127" t="str">
        <f t="shared" si="58"/>
        <v/>
      </c>
      <c r="AL109" s="127" t="str">
        <f t="shared" si="59"/>
        <v/>
      </c>
      <c r="AM109" s="127" t="str">
        <f t="shared" si="55"/>
        <v/>
      </c>
      <c r="AN109" s="127">
        <f>IF(AND($A109&lt;&gt;0,$A109&lt;&gt;"",OR(RIGHT(Logic!B109,2)="C)",LEFT(Logic!B109,4)="CSD1")),SUM(AD109:AF109)+(AJ109/3)+AK109+AL109/6+AM109/6,AN110)</f>
        <v>0</v>
      </c>
      <c r="AO109" s="127">
        <f>IF(AND($A109&lt;&gt;0,$A109&lt;&gt;"",OR(RIGHT(Logic!B109,2)="T)",LEFT(Logic!B109,4)="CSD1")),SUM(AG109:AI109)+(AJ109/3)+AL109/6+AM109/6,AO108)</f>
        <v>0.23887636588496741</v>
      </c>
      <c r="AP109" s="48" t="str">
        <f t="shared" si="56"/>
        <v/>
      </c>
      <c r="AQ109" s="35" t="str">
        <f>IF(AND(A109&lt;&gt;0,A109&lt;&gt;""),LOOKUP(A109,Discrete_NFET[PARTNUMBER],Discrete_NFET[TI_EQ_PACKAGE]),"")</f>
        <v/>
      </c>
      <c r="AR109" s="49" t="str">
        <f>IF(AND(A109&lt;&gt;0,A109&lt;&gt;""),LOOKUP(A109,Discrete_NFET[PARTNUMBER],Discrete_NFET[1KPRICE]),"")</f>
        <v/>
      </c>
      <c r="AS109" s="35" t="str">
        <f>IF(AND($A109&lt;&gt;0,$A109&lt;&gt;""),CONCATENATE(TEXT(AP109,"0.00"),"W, ",IF('User Input'!F$11="Single Discrete",A109,IF('User Input'!F$11="Dual/Power Block",LEFT(A109,FIND(")",A109)-7),A109)),", ",AQ109,", ",TEXT(AR109,"$0.00")),"Invalid Part")</f>
        <v>Invalid Part</v>
      </c>
      <c r="AT109"/>
      <c r="AW109"/>
    </row>
    <row r="110" spans="1:49" ht="15" customHeight="1" x14ac:dyDescent="0.25">
      <c r="A110" s="35" t="str">
        <f>IF(OR(AND(FET_config="Dual/Power Block",LEFT(Logic!B110,4)="CSD8"),AND(FET_config="Single Discrete",LEFT(Logic!B110,4)="CSD1")),Logic!B110,"")</f>
        <v/>
      </c>
      <c r="B110" s="37" t="str">
        <f>IF(OR($A110=0,$A110=""),"0",IF(LOOKUP($A110,Discrete_NFET[PARTNUMBER],Discrete_NFET[RDSON25])="(NULL)","0","1"))</f>
        <v>0</v>
      </c>
      <c r="C110" s="38" t="str">
        <f>IF(OR($A110=0,$A110=""),"0",IF(LOOKUP($A110,Discrete_NFET[PARTNUMBER],Discrete_NFET[RDSON3])="(NULL)","0","1"))</f>
        <v>0</v>
      </c>
      <c r="D110" s="40" t="str">
        <f>IF(OR($A110=0,$A110=""),"0",IF(LOOKUP($A110,Discrete_NFET[PARTNUMBER],Discrete_NFET[RDSON45])="(NULL)","0","1"))</f>
        <v>0</v>
      </c>
      <c r="E110" s="45" t="str">
        <f>IF(OR($A110=0,$A110=""),"0",IF(LOOKUP($A110,Discrete_NFET[PARTNUMBER],Discrete_NFET[RDSON6])="(NULL)","0","1"))</f>
        <v>0</v>
      </c>
      <c r="F110" s="34" t="str">
        <f>IF(OR($A110=0,$A110=""),"0",IF(LOOKUP($A110,Discrete_NFET[PARTNUMBER],Discrete_NFET[RDSON8])="(NULL)","0","1"))</f>
        <v>0</v>
      </c>
      <c r="G110" s="43" t="str">
        <f>IF(OR($A110=0,$A110=""),"0",IF(LOOKUP($A110,Discrete_NFET[PARTNUMBER],Discrete_NFET[RDSON10])="(NULL)","0","1"))</f>
        <v>0</v>
      </c>
      <c r="H110" s="36" t="b">
        <f t="shared" si="41"/>
        <v>0</v>
      </c>
      <c r="I110" s="39" t="b">
        <f t="shared" si="42"/>
        <v>0</v>
      </c>
      <c r="J110" s="41" t="b">
        <f t="shared" si="43"/>
        <v>0</v>
      </c>
      <c r="K110" s="46" t="b">
        <f t="shared" si="44"/>
        <v>0</v>
      </c>
      <c r="L110" s="42" t="b">
        <f t="shared" si="45"/>
        <v>0</v>
      </c>
      <c r="M110" s="44" t="b">
        <f t="shared" si="46"/>
        <v>0</v>
      </c>
      <c r="N110" s="47" t="b">
        <f t="shared" si="47"/>
        <v>0</v>
      </c>
      <c r="O110" s="36" t="b">
        <f t="shared" si="48"/>
        <v>0</v>
      </c>
      <c r="P110" s="39" t="b">
        <f t="shared" si="49"/>
        <v>0</v>
      </c>
      <c r="Q110" s="41" t="b">
        <f t="shared" si="50"/>
        <v>0</v>
      </c>
      <c r="R110" s="46" t="b">
        <f t="shared" si="51"/>
        <v>0</v>
      </c>
      <c r="S110" s="42" t="b">
        <f t="shared" si="52"/>
        <v>0</v>
      </c>
      <c r="T110" s="44" t="b">
        <f t="shared" si="53"/>
        <v>0</v>
      </c>
      <c r="U110" s="148" t="str">
        <f>IF(T110,LOOKUP(A110,Discrete_NFET[PARTNUMBER],Discrete_NFET[RDSON10])*1000,IF(S110,LOOKUP(A110,Discrete_NFET[PARTNUMBER],Discrete_NFET[RDSON8])*1000,IF(R110,LOOKUP(A110,Discrete_NFET[PARTNUMBER],Discrete_NFET[RDSON6])*1000,IF(Q110,LOOKUP(A110,Discrete_NFET[PARTNUMBER],Discrete_NFET[RDSON45])*1000,IF(P110,LOOKUP(A110,Discrete_NFET[PARTNUMBER],Discrete_NFET[RDSON3])*1000,IF(O110,LOOKUP(A110,Discrete_NFET[PARTNUMBER],Discrete_NFET[RDSON25])*1000,""))))))</f>
        <v/>
      </c>
      <c r="V110" s="48" t="str">
        <f>IF(AND(A110&lt;&gt;0,A110&lt;&gt;""),U110*(1+(Tj-25)*(LOOKUP(A110,Discrete_NFET[PARTNUMBER],Discrete_NFET[RDSDELTA])/((LOOKUP(A110,Discrete_NFET[PARTNUMBER],Discrete_NFET[TJMAX])-25)))),"")</f>
        <v/>
      </c>
      <c r="W110" s="35" t="str">
        <f>IF(AND($A110&lt;&gt;0,$A110&lt;&gt;""),LOOKUP($A110,Discrete_NFET[PARTNUMBER],Discrete_NFET[QGS]),"")</f>
        <v/>
      </c>
      <c r="X110" s="35" t="str">
        <f>IF(AND($A110&lt;&gt;0,$A110&lt;&gt;""),LOOKUP($A110,Discrete_NFET[PARTNUMBER],Discrete_NFET[QGD]),"")</f>
        <v/>
      </c>
      <c r="Y110" s="35" t="str">
        <f>IF(AND($A110&lt;&gt;0,$A110&lt;&gt;""),LOOKUP($A110,Discrete_NFET[PARTNUMBER],Discrete_NFET[QGTH]),"")</f>
        <v/>
      </c>
      <c r="Z110" s="35" t="str">
        <f t="shared" si="54"/>
        <v/>
      </c>
      <c r="AA110" s="35" t="str">
        <f>IF(AND($A110&lt;&gt;0,$A110&lt;&gt;""),LOOKUP($A110,Discrete_NFET[PARTNUMBER],Discrete_NFET[QOSSTYP]),"")</f>
        <v/>
      </c>
      <c r="AB110" s="35" t="str">
        <f>IF(AND($A110&lt;&gt;0,$A110&lt;&gt;""),LOOKUP($A110,Discrete_NFET[PARTNUMBER],Discrete_NFET[QRR]),"")</f>
        <v/>
      </c>
      <c r="AC110" s="35" t="str">
        <f>IF(AND(A110&lt;&gt;0,A110&lt;&gt;""),LOOKUP(A110,Discrete_NFET[PARTNUMBER],Discrete_NFET[VF_TYP]),"")</f>
        <v/>
      </c>
      <c r="AD110" s="127" t="str">
        <f>IF(AND($A110&lt;&gt;0,$A110&lt;&gt;"",OR(RIGHT(Logic!B110,2)="C)",LEFT(Logic!B110,4)="CSD1")),(1+(1-DUTY))*IM_RMS_120^2*V110*m/3/Num_FETS,"")</f>
        <v/>
      </c>
      <c r="AE110" s="127" t="str">
        <f>IF(AND($A110&lt;&gt;0,$A110&lt;&gt;"",OR(RIGHT(Logic!B110,2)="C)",LEFT(Logic!B110,4)="CSD1")),Num_FETS*0.5*IM_RMS_120*VDC_AVG*Z110*n*MOT_ELEC_FREQ/GDR_SRC,"")</f>
        <v/>
      </c>
      <c r="AF110" s="127" t="str">
        <f>IF(AND($A110&lt;&gt;0,$A110&lt;&gt;"",OR(RIGHT(Logic!B110,2)="C)",LEFT(Logic!B110,4)="CSD1")),Num_FETS*0.5*IM_RMS_120*VDC_AVG*Z110*n*MOT_ELEC_FREQ/GDR_SINK,"")</f>
        <v/>
      </c>
      <c r="AG110" s="127" t="str">
        <f>IF(AND($A110&lt;&gt;0,$A110&lt;&gt;"",OR(RIGHT(Logic!B110,2)="T)",LEFT(Logic!B110,4)="CSD1")),DUTY*IM_RMS_120^2*V110*m/3/Num_FETS,"")</f>
        <v/>
      </c>
      <c r="AH110" s="127" t="str">
        <f>IF(AND($A110&lt;&gt;0,$A110&lt;&gt;"",OR(RIGHT(Logic!B110,2)="T)",LEFT(Logic!B110,4)="CSD1")),Num_FETS*0.5*IM_RMS_120*VDC_AVG*Z110*n*FSW*k/GDR_SRC/3,"")</f>
        <v/>
      </c>
      <c r="AI110" s="127" t="str">
        <f>IF(AND($A110&lt;&gt;0,$A110&lt;&gt;"",OR(RIGHT(Logic!B110,2)="T)",LEFT(Logic!B110,4)="CSD1")),Num_FETS*0.5*IM_RMS_120*VDC_AVG*Z110*n*FSW*k/GDR_SINK/3,"")</f>
        <v/>
      </c>
      <c r="AJ110" s="127" t="str">
        <f t="shared" si="57"/>
        <v/>
      </c>
      <c r="AK110" s="127" t="str">
        <f t="shared" si="58"/>
        <v/>
      </c>
      <c r="AL110" s="127" t="str">
        <f t="shared" si="59"/>
        <v/>
      </c>
      <c r="AM110" s="127" t="str">
        <f t="shared" si="55"/>
        <v/>
      </c>
      <c r="AN110" s="127">
        <f>IF(AND($A110&lt;&gt;0,$A110&lt;&gt;"",OR(RIGHT(Logic!B110,2)="C)",LEFT(Logic!B110,4)="CSD1")),SUM(AD110:AF110)+(AJ110/3)+AK110+AL110/6+AM110/6,AN111)</f>
        <v>0</v>
      </c>
      <c r="AO110" s="127">
        <f>IF(AND($A110&lt;&gt;0,$A110&lt;&gt;"",OR(RIGHT(Logic!B110,2)="T)",LEFT(Logic!B110,4)="CSD1")),SUM(AG110:AI110)+(AJ110/3)+AL110/6+AM110/6,AO109)</f>
        <v>0.23887636588496741</v>
      </c>
      <c r="AP110" s="48" t="str">
        <f t="shared" si="56"/>
        <v/>
      </c>
      <c r="AQ110" s="35" t="str">
        <f>IF(AND(A110&lt;&gt;0,A110&lt;&gt;""),LOOKUP(A110,Discrete_NFET[PARTNUMBER],Discrete_NFET[TI_EQ_PACKAGE]),"")</f>
        <v/>
      </c>
      <c r="AR110" s="49" t="str">
        <f>IF(AND(A110&lt;&gt;0,A110&lt;&gt;""),LOOKUP(A110,Discrete_NFET[PARTNUMBER],Discrete_NFET[1KPRICE]),"")</f>
        <v/>
      </c>
      <c r="AS110" s="35" t="str">
        <f>IF(AND($A110&lt;&gt;0,$A110&lt;&gt;""),CONCATENATE(TEXT(AP110,"0.00"),"W, ",IF('User Input'!F$11="Single Discrete",A110,IF('User Input'!F$11="Dual/Power Block",LEFT(A110,FIND(")",A110)-7),A110)),", ",AQ110,", ",TEXT(AR110,"$0.00")),"Invalid Part")</f>
        <v>Invalid Part</v>
      </c>
      <c r="AT110"/>
      <c r="AW110"/>
    </row>
    <row r="111" spans="1:49" ht="15" customHeight="1" x14ac:dyDescent="0.25">
      <c r="A111" s="35" t="str">
        <f>IF(OR(AND(FET_config="Dual/Power Block",LEFT(Logic!B111,4)="CSD8"),AND(FET_config="Single Discrete",LEFT(Logic!B111,4)="CSD1")),Logic!B111,"")</f>
        <v/>
      </c>
      <c r="B111" s="37" t="str">
        <f>IF(OR($A111=0,$A111=""),"0",IF(LOOKUP($A111,Discrete_NFET[PARTNUMBER],Discrete_NFET[RDSON25])="(NULL)","0","1"))</f>
        <v>0</v>
      </c>
      <c r="C111" s="38" t="str">
        <f>IF(OR($A111=0,$A111=""),"0",IF(LOOKUP($A111,Discrete_NFET[PARTNUMBER],Discrete_NFET[RDSON3])="(NULL)","0","1"))</f>
        <v>0</v>
      </c>
      <c r="D111" s="40" t="str">
        <f>IF(OR($A111=0,$A111=""),"0",IF(LOOKUP($A111,Discrete_NFET[PARTNUMBER],Discrete_NFET[RDSON45])="(NULL)","0","1"))</f>
        <v>0</v>
      </c>
      <c r="E111" s="45" t="str">
        <f>IF(OR($A111=0,$A111=""),"0",IF(LOOKUP($A111,Discrete_NFET[PARTNUMBER],Discrete_NFET[RDSON6])="(NULL)","0","1"))</f>
        <v>0</v>
      </c>
      <c r="F111" s="34" t="str">
        <f>IF(OR($A111=0,$A111=""),"0",IF(LOOKUP($A111,Discrete_NFET[PARTNUMBER],Discrete_NFET[RDSON8])="(NULL)","0","1"))</f>
        <v>0</v>
      </c>
      <c r="G111" s="43" t="str">
        <f>IF(OR($A111=0,$A111=""),"0",IF(LOOKUP($A111,Discrete_NFET[PARTNUMBER],Discrete_NFET[RDSON10])="(NULL)","0","1"))</f>
        <v>0</v>
      </c>
      <c r="H111" s="36" t="b">
        <f t="shared" si="41"/>
        <v>0</v>
      </c>
      <c r="I111" s="39" t="b">
        <f t="shared" si="42"/>
        <v>0</v>
      </c>
      <c r="J111" s="41" t="b">
        <f t="shared" si="43"/>
        <v>0</v>
      </c>
      <c r="K111" s="46" t="b">
        <f t="shared" si="44"/>
        <v>0</v>
      </c>
      <c r="L111" s="42" t="b">
        <f t="shared" si="45"/>
        <v>0</v>
      </c>
      <c r="M111" s="44" t="b">
        <f t="shared" si="46"/>
        <v>0</v>
      </c>
      <c r="N111" s="47" t="b">
        <f t="shared" si="47"/>
        <v>0</v>
      </c>
      <c r="O111" s="36" t="b">
        <f t="shared" si="48"/>
        <v>0</v>
      </c>
      <c r="P111" s="39" t="b">
        <f t="shared" si="49"/>
        <v>0</v>
      </c>
      <c r="Q111" s="41" t="b">
        <f t="shared" si="50"/>
        <v>0</v>
      </c>
      <c r="R111" s="46" t="b">
        <f t="shared" si="51"/>
        <v>0</v>
      </c>
      <c r="S111" s="42" t="b">
        <f t="shared" si="52"/>
        <v>0</v>
      </c>
      <c r="T111" s="44" t="b">
        <f t="shared" si="53"/>
        <v>0</v>
      </c>
      <c r="U111" s="148" t="str">
        <f>IF(T111,LOOKUP(A111,Discrete_NFET[PARTNUMBER],Discrete_NFET[RDSON10])*1000,IF(S111,LOOKUP(A111,Discrete_NFET[PARTNUMBER],Discrete_NFET[RDSON8])*1000,IF(R111,LOOKUP(A111,Discrete_NFET[PARTNUMBER],Discrete_NFET[RDSON6])*1000,IF(Q111,LOOKUP(A111,Discrete_NFET[PARTNUMBER],Discrete_NFET[RDSON45])*1000,IF(P111,LOOKUP(A111,Discrete_NFET[PARTNUMBER],Discrete_NFET[RDSON3])*1000,IF(O111,LOOKUP(A111,Discrete_NFET[PARTNUMBER],Discrete_NFET[RDSON25])*1000,""))))))</f>
        <v/>
      </c>
      <c r="V111" s="48" t="str">
        <f>IF(AND(A111&lt;&gt;0,A111&lt;&gt;""),U111*(1+(Tj-25)*(LOOKUP(A111,Discrete_NFET[PARTNUMBER],Discrete_NFET[RDSDELTA])/((LOOKUP(A111,Discrete_NFET[PARTNUMBER],Discrete_NFET[TJMAX])-25)))),"")</f>
        <v/>
      </c>
      <c r="W111" s="35" t="str">
        <f>IF(AND($A111&lt;&gt;0,$A111&lt;&gt;""),LOOKUP($A111,Discrete_NFET[PARTNUMBER],Discrete_NFET[QGS]),"")</f>
        <v/>
      </c>
      <c r="X111" s="35" t="str">
        <f>IF(AND($A111&lt;&gt;0,$A111&lt;&gt;""),LOOKUP($A111,Discrete_NFET[PARTNUMBER],Discrete_NFET[QGD]),"")</f>
        <v/>
      </c>
      <c r="Y111" s="35" t="str">
        <f>IF(AND($A111&lt;&gt;0,$A111&lt;&gt;""),LOOKUP($A111,Discrete_NFET[PARTNUMBER],Discrete_NFET[QGTH]),"")</f>
        <v/>
      </c>
      <c r="Z111" s="35" t="str">
        <f t="shared" si="54"/>
        <v/>
      </c>
      <c r="AA111" s="35" t="str">
        <f>IF(AND($A111&lt;&gt;0,$A111&lt;&gt;""),LOOKUP($A111,Discrete_NFET[PARTNUMBER],Discrete_NFET[QOSSTYP]),"")</f>
        <v/>
      </c>
      <c r="AB111" s="35" t="str">
        <f>IF(AND($A111&lt;&gt;0,$A111&lt;&gt;""),LOOKUP($A111,Discrete_NFET[PARTNUMBER],Discrete_NFET[QRR]),"")</f>
        <v/>
      </c>
      <c r="AC111" s="35" t="str">
        <f>IF(AND(A111&lt;&gt;0,A111&lt;&gt;""),LOOKUP(A111,Discrete_NFET[PARTNUMBER],Discrete_NFET[VF_TYP]),"")</f>
        <v/>
      </c>
      <c r="AD111" s="127" t="str">
        <f>IF(AND($A111&lt;&gt;0,$A111&lt;&gt;"",OR(RIGHT(Logic!B111,2)="C)",LEFT(Logic!B111,4)="CSD1")),(1+(1-DUTY))*IM_RMS_120^2*V111*m/3/Num_FETS,"")</f>
        <v/>
      </c>
      <c r="AE111" s="127" t="str">
        <f>IF(AND($A111&lt;&gt;0,$A111&lt;&gt;"",OR(RIGHT(Logic!B111,2)="C)",LEFT(Logic!B111,4)="CSD1")),Num_FETS*0.5*IM_RMS_120*VDC_AVG*Z111*n*MOT_ELEC_FREQ/GDR_SRC,"")</f>
        <v/>
      </c>
      <c r="AF111" s="127" t="str">
        <f>IF(AND($A111&lt;&gt;0,$A111&lt;&gt;"",OR(RIGHT(Logic!B111,2)="C)",LEFT(Logic!B111,4)="CSD1")),Num_FETS*0.5*IM_RMS_120*VDC_AVG*Z111*n*MOT_ELEC_FREQ/GDR_SINK,"")</f>
        <v/>
      </c>
      <c r="AG111" s="127" t="str">
        <f>IF(AND($A111&lt;&gt;0,$A111&lt;&gt;"",OR(RIGHT(Logic!B111,2)="T)",LEFT(Logic!B111,4)="CSD1")),DUTY*IM_RMS_120^2*V111*m/3/Num_FETS,"")</f>
        <v/>
      </c>
      <c r="AH111" s="127" t="str">
        <f>IF(AND($A111&lt;&gt;0,$A111&lt;&gt;"",OR(RIGHT(Logic!B111,2)="T)",LEFT(Logic!B111,4)="CSD1")),Num_FETS*0.5*IM_RMS_120*VDC_AVG*Z111*n*FSW*k/GDR_SRC/3,"")</f>
        <v/>
      </c>
      <c r="AI111" s="127" t="str">
        <f>IF(AND($A111&lt;&gt;0,$A111&lt;&gt;"",OR(RIGHT(Logic!B111,2)="T)",LEFT(Logic!B111,4)="CSD1")),Num_FETS*0.5*IM_RMS_120*VDC_AVG*Z111*n*FSW*k/GDR_SINK/3,"")</f>
        <v/>
      </c>
      <c r="AJ111" s="127" t="str">
        <f t="shared" si="57"/>
        <v/>
      </c>
      <c r="AK111" s="127" t="str">
        <f t="shared" si="58"/>
        <v/>
      </c>
      <c r="AL111" s="127" t="str">
        <f t="shared" si="59"/>
        <v/>
      </c>
      <c r="AM111" s="127" t="str">
        <f t="shared" si="55"/>
        <v/>
      </c>
      <c r="AN111" s="127">
        <f>IF(AND($A111&lt;&gt;0,$A111&lt;&gt;"",OR(RIGHT(Logic!B111,2)="C)",LEFT(Logic!B111,4)="CSD1")),SUM(AD111:AF111)+(AJ111/3)+AK111+AL111/6+AM111/6,AN112)</f>
        <v>0</v>
      </c>
      <c r="AO111" s="127">
        <f>IF(AND($A111&lt;&gt;0,$A111&lt;&gt;"",OR(RIGHT(Logic!B111,2)="T)",LEFT(Logic!B111,4)="CSD1")),SUM(AG111:AI111)+(AJ111/3)+AL111/6+AM111/6,AO110)</f>
        <v>0.23887636588496741</v>
      </c>
      <c r="AP111" s="48" t="str">
        <f t="shared" si="56"/>
        <v/>
      </c>
      <c r="AQ111" s="35" t="str">
        <f>IF(AND(A111&lt;&gt;0,A111&lt;&gt;""),LOOKUP(A111,Discrete_NFET[PARTNUMBER],Discrete_NFET[TI_EQ_PACKAGE]),"")</f>
        <v/>
      </c>
      <c r="AR111" s="49" t="str">
        <f>IF(AND(A111&lt;&gt;0,A111&lt;&gt;""),LOOKUP(A111,Discrete_NFET[PARTNUMBER],Discrete_NFET[1KPRICE]),"")</f>
        <v/>
      </c>
      <c r="AS111" s="35" t="str">
        <f>IF(AND($A111&lt;&gt;0,$A111&lt;&gt;""),CONCATENATE(TEXT(AP111,"0.00"),"W, ",IF('User Input'!F$11="Single Discrete",A111,IF('User Input'!F$11="Dual/Power Block",LEFT(A111,FIND(")",A111)-7),A111)),", ",AQ111,", ",TEXT(AR111,"$0.00")),"Invalid Part")</f>
        <v>Invalid Part</v>
      </c>
      <c r="AT111"/>
      <c r="AW111"/>
    </row>
    <row r="112" spans="1:49" ht="15" customHeight="1" x14ac:dyDescent="0.25">
      <c r="A112" s="35" t="str">
        <f>IF(OR(AND(FET_config="Dual/Power Block",LEFT(Logic!B112,4)="CSD8"),AND(FET_config="Single Discrete",LEFT(Logic!B112,4)="CSD1")),Logic!B112,"")</f>
        <v/>
      </c>
      <c r="B112" s="37" t="str">
        <f>IF(OR($A112=0,$A112=""),"0",IF(LOOKUP($A112,Discrete_NFET[PARTNUMBER],Discrete_NFET[RDSON25])="(NULL)","0","1"))</f>
        <v>0</v>
      </c>
      <c r="C112" s="38" t="str">
        <f>IF(OR($A112=0,$A112=""),"0",IF(LOOKUP($A112,Discrete_NFET[PARTNUMBER],Discrete_NFET[RDSON3])="(NULL)","0","1"))</f>
        <v>0</v>
      </c>
      <c r="D112" s="40" t="str">
        <f>IF(OR($A112=0,$A112=""),"0",IF(LOOKUP($A112,Discrete_NFET[PARTNUMBER],Discrete_NFET[RDSON45])="(NULL)","0","1"))</f>
        <v>0</v>
      </c>
      <c r="E112" s="45" t="str">
        <f>IF(OR($A112=0,$A112=""),"0",IF(LOOKUP($A112,Discrete_NFET[PARTNUMBER],Discrete_NFET[RDSON6])="(NULL)","0","1"))</f>
        <v>0</v>
      </c>
      <c r="F112" s="34" t="str">
        <f>IF(OR($A112=0,$A112=""),"0",IF(LOOKUP($A112,Discrete_NFET[PARTNUMBER],Discrete_NFET[RDSON8])="(NULL)","0","1"))</f>
        <v>0</v>
      </c>
      <c r="G112" s="43" t="str">
        <f>IF(OR($A112=0,$A112=""),"0",IF(LOOKUP($A112,Discrete_NFET[PARTNUMBER],Discrete_NFET[RDSON10])="(NULL)","0","1"))</f>
        <v>0</v>
      </c>
      <c r="H112" s="36" t="b">
        <f t="shared" si="41"/>
        <v>0</v>
      </c>
      <c r="I112" s="39" t="b">
        <f t="shared" si="42"/>
        <v>0</v>
      </c>
      <c r="J112" s="41" t="b">
        <f t="shared" si="43"/>
        <v>0</v>
      </c>
      <c r="K112" s="46" t="b">
        <f t="shared" si="44"/>
        <v>0</v>
      </c>
      <c r="L112" s="42" t="b">
        <f t="shared" si="45"/>
        <v>0</v>
      </c>
      <c r="M112" s="44" t="b">
        <f t="shared" si="46"/>
        <v>0</v>
      </c>
      <c r="N112" s="47" t="b">
        <f t="shared" si="47"/>
        <v>0</v>
      </c>
      <c r="O112" s="36" t="b">
        <f t="shared" si="48"/>
        <v>0</v>
      </c>
      <c r="P112" s="39" t="b">
        <f t="shared" si="49"/>
        <v>0</v>
      </c>
      <c r="Q112" s="41" t="b">
        <f t="shared" si="50"/>
        <v>0</v>
      </c>
      <c r="R112" s="46" t="b">
        <f t="shared" si="51"/>
        <v>0</v>
      </c>
      <c r="S112" s="42" t="b">
        <f t="shared" si="52"/>
        <v>0</v>
      </c>
      <c r="T112" s="44" t="b">
        <f t="shared" si="53"/>
        <v>0</v>
      </c>
      <c r="U112" s="148" t="str">
        <f>IF(T112,LOOKUP(A112,Discrete_NFET[PARTNUMBER],Discrete_NFET[RDSON10])*1000,IF(S112,LOOKUP(A112,Discrete_NFET[PARTNUMBER],Discrete_NFET[RDSON8])*1000,IF(R112,LOOKUP(A112,Discrete_NFET[PARTNUMBER],Discrete_NFET[RDSON6])*1000,IF(Q112,LOOKUP(A112,Discrete_NFET[PARTNUMBER],Discrete_NFET[RDSON45])*1000,IF(P112,LOOKUP(A112,Discrete_NFET[PARTNUMBER],Discrete_NFET[RDSON3])*1000,IF(O112,LOOKUP(A112,Discrete_NFET[PARTNUMBER],Discrete_NFET[RDSON25])*1000,""))))))</f>
        <v/>
      </c>
      <c r="V112" s="48" t="str">
        <f>IF(AND(A112&lt;&gt;0,A112&lt;&gt;""),U112*(1+(Tj-25)*(LOOKUP(A112,Discrete_NFET[PARTNUMBER],Discrete_NFET[RDSDELTA])/((LOOKUP(A112,Discrete_NFET[PARTNUMBER],Discrete_NFET[TJMAX])-25)))),"")</f>
        <v/>
      </c>
      <c r="W112" s="35" t="str">
        <f>IF(AND($A112&lt;&gt;0,$A112&lt;&gt;""),LOOKUP($A112,Discrete_NFET[PARTNUMBER],Discrete_NFET[QGS]),"")</f>
        <v/>
      </c>
      <c r="X112" s="35" t="str">
        <f>IF(AND($A112&lt;&gt;0,$A112&lt;&gt;""),LOOKUP($A112,Discrete_NFET[PARTNUMBER],Discrete_NFET[QGD]),"")</f>
        <v/>
      </c>
      <c r="Y112" s="35" t="str">
        <f>IF(AND($A112&lt;&gt;0,$A112&lt;&gt;""),LOOKUP($A112,Discrete_NFET[PARTNUMBER],Discrete_NFET[QGTH]),"")</f>
        <v/>
      </c>
      <c r="Z112" s="35" t="str">
        <f t="shared" si="54"/>
        <v/>
      </c>
      <c r="AA112" s="35" t="str">
        <f>IF(AND($A112&lt;&gt;0,$A112&lt;&gt;""),LOOKUP($A112,Discrete_NFET[PARTNUMBER],Discrete_NFET[QOSSTYP]),"")</f>
        <v/>
      </c>
      <c r="AB112" s="35" t="str">
        <f>IF(AND($A112&lt;&gt;0,$A112&lt;&gt;""),LOOKUP($A112,Discrete_NFET[PARTNUMBER],Discrete_NFET[QRR]),"")</f>
        <v/>
      </c>
      <c r="AC112" s="35" t="str">
        <f>IF(AND(A112&lt;&gt;0,A112&lt;&gt;""),LOOKUP(A112,Discrete_NFET[PARTNUMBER],Discrete_NFET[VF_TYP]),"")</f>
        <v/>
      </c>
      <c r="AD112" s="127" t="str">
        <f>IF(AND($A112&lt;&gt;0,$A112&lt;&gt;"",OR(RIGHT(Logic!B112,2)="C)",LEFT(Logic!B112,4)="CSD1")),(1+(1-DUTY))*IM_RMS_120^2*V112*m/3/Num_FETS,"")</f>
        <v/>
      </c>
      <c r="AE112" s="127" t="str">
        <f>IF(AND($A112&lt;&gt;0,$A112&lt;&gt;"",OR(RIGHT(Logic!B112,2)="C)",LEFT(Logic!B112,4)="CSD1")),Num_FETS*0.5*IM_RMS_120*VDC_AVG*Z112*n*MOT_ELEC_FREQ/GDR_SRC,"")</f>
        <v/>
      </c>
      <c r="AF112" s="127" t="str">
        <f>IF(AND($A112&lt;&gt;0,$A112&lt;&gt;"",OR(RIGHT(Logic!B112,2)="C)",LEFT(Logic!B112,4)="CSD1")),Num_FETS*0.5*IM_RMS_120*VDC_AVG*Z112*n*MOT_ELEC_FREQ/GDR_SINK,"")</f>
        <v/>
      </c>
      <c r="AG112" s="127" t="str">
        <f>IF(AND($A112&lt;&gt;0,$A112&lt;&gt;"",OR(RIGHT(Logic!B112,2)="T)",LEFT(Logic!B112,4)="CSD1")),DUTY*IM_RMS_120^2*V112*m/3/Num_FETS,"")</f>
        <v/>
      </c>
      <c r="AH112" s="127" t="str">
        <f>IF(AND($A112&lt;&gt;0,$A112&lt;&gt;"",OR(RIGHT(Logic!B112,2)="T)",LEFT(Logic!B112,4)="CSD1")),Num_FETS*0.5*IM_RMS_120*VDC_AVG*Z112*n*FSW*k/GDR_SRC/3,"")</f>
        <v/>
      </c>
      <c r="AI112" s="127" t="str">
        <f>IF(AND($A112&lt;&gt;0,$A112&lt;&gt;"",OR(RIGHT(Logic!B112,2)="T)",LEFT(Logic!B112,4)="CSD1")),Num_FETS*0.5*IM_RMS_120*VDC_AVG*Z112*n*FSW*k/GDR_SINK/3,"")</f>
        <v/>
      </c>
      <c r="AJ112" s="127" t="str">
        <f t="shared" si="57"/>
        <v/>
      </c>
      <c r="AK112" s="127" t="str">
        <f t="shared" si="58"/>
        <v/>
      </c>
      <c r="AL112" s="127" t="str">
        <f t="shared" si="59"/>
        <v/>
      </c>
      <c r="AM112" s="127" t="str">
        <f t="shared" si="55"/>
        <v/>
      </c>
      <c r="AN112" s="127">
        <f>IF(AND($A112&lt;&gt;0,$A112&lt;&gt;"",OR(RIGHT(Logic!B112,2)="C)",LEFT(Logic!B112,4)="CSD1")),SUM(AD112:AF112)+(AJ112/3)+AK112+AL112/6+AM112/6,AN113)</f>
        <v>0</v>
      </c>
      <c r="AO112" s="127">
        <f>IF(AND($A112&lt;&gt;0,$A112&lt;&gt;"",OR(RIGHT(Logic!B112,2)="T)",LEFT(Logic!B112,4)="CSD1")),SUM(AG112:AI112)+(AJ112/3)+AL112/6+AM112/6,AO111)</f>
        <v>0.23887636588496741</v>
      </c>
      <c r="AP112" s="48" t="str">
        <f t="shared" si="56"/>
        <v/>
      </c>
      <c r="AQ112" s="35" t="str">
        <f>IF(AND(A112&lt;&gt;0,A112&lt;&gt;""),LOOKUP(A112,Discrete_NFET[PARTNUMBER],Discrete_NFET[TI_EQ_PACKAGE]),"")</f>
        <v/>
      </c>
      <c r="AR112" s="49" t="str">
        <f>IF(AND(A112&lt;&gt;0,A112&lt;&gt;""),LOOKUP(A112,Discrete_NFET[PARTNUMBER],Discrete_NFET[1KPRICE]),"")</f>
        <v/>
      </c>
      <c r="AS112" s="35" t="str">
        <f>IF(AND($A112&lt;&gt;0,$A112&lt;&gt;""),CONCATENATE(TEXT(AP112,"0.00"),"W, ",IF('User Input'!F$11="Single Discrete",A112,IF('User Input'!F$11="Dual/Power Block",LEFT(A112,FIND(")",A112)-7),A112)),", ",AQ112,", ",TEXT(AR112,"$0.00")),"Invalid Part")</f>
        <v>Invalid Part</v>
      </c>
      <c r="AT112"/>
      <c r="AW112"/>
    </row>
    <row r="113" spans="1:50" ht="15" customHeight="1" x14ac:dyDescent="0.25">
      <c r="A113" s="35" t="str">
        <f>IF(OR(AND(FET_config="Dual/Power Block",LEFT(Logic!B113,4)="CSD8"),AND(FET_config="Single Discrete",LEFT(Logic!B113,4)="CSD1")),Logic!B113,"")</f>
        <v/>
      </c>
      <c r="B113" s="37" t="str">
        <f>IF(OR($A113=0,$A113=""),"0",IF(LOOKUP($A113,Discrete_NFET[PARTNUMBER],Discrete_NFET[RDSON25])="(NULL)","0","1"))</f>
        <v>0</v>
      </c>
      <c r="C113" s="38" t="str">
        <f>IF(OR($A113=0,$A113=""),"0",IF(LOOKUP($A113,Discrete_NFET[PARTNUMBER],Discrete_NFET[RDSON3])="(NULL)","0","1"))</f>
        <v>0</v>
      </c>
      <c r="D113" s="40" t="str">
        <f>IF(OR($A113=0,$A113=""),"0",IF(LOOKUP($A113,Discrete_NFET[PARTNUMBER],Discrete_NFET[RDSON45])="(NULL)","0","1"))</f>
        <v>0</v>
      </c>
      <c r="E113" s="45" t="str">
        <f>IF(OR($A113=0,$A113=""),"0",IF(LOOKUP($A113,Discrete_NFET[PARTNUMBER],Discrete_NFET[RDSON6])="(NULL)","0","1"))</f>
        <v>0</v>
      </c>
      <c r="F113" s="34" t="str">
        <f>IF(OR($A113=0,$A113=""),"0",IF(LOOKUP($A113,Discrete_NFET[PARTNUMBER],Discrete_NFET[RDSON8])="(NULL)","0","1"))</f>
        <v>0</v>
      </c>
      <c r="G113" s="43" t="str">
        <f>IF(OR($A113=0,$A113=""),"0",IF(LOOKUP($A113,Discrete_NFET[PARTNUMBER],Discrete_NFET[RDSON10])="(NULL)","0","1"))</f>
        <v>0</v>
      </c>
      <c r="H113" s="36" t="b">
        <f t="shared" si="41"/>
        <v>0</v>
      </c>
      <c r="I113" s="39" t="b">
        <f t="shared" si="42"/>
        <v>0</v>
      </c>
      <c r="J113" s="41" t="b">
        <f t="shared" si="43"/>
        <v>0</v>
      </c>
      <c r="K113" s="46" t="b">
        <f t="shared" si="44"/>
        <v>0</v>
      </c>
      <c r="L113" s="42" t="b">
        <f t="shared" si="45"/>
        <v>0</v>
      </c>
      <c r="M113" s="44" t="b">
        <f t="shared" si="46"/>
        <v>0</v>
      </c>
      <c r="N113" s="47" t="b">
        <f t="shared" si="47"/>
        <v>0</v>
      </c>
      <c r="O113" s="36" t="b">
        <f t="shared" si="48"/>
        <v>0</v>
      </c>
      <c r="P113" s="39" t="b">
        <f t="shared" si="49"/>
        <v>0</v>
      </c>
      <c r="Q113" s="41" t="b">
        <f t="shared" si="50"/>
        <v>0</v>
      </c>
      <c r="R113" s="46" t="b">
        <f t="shared" si="51"/>
        <v>0</v>
      </c>
      <c r="S113" s="42" t="b">
        <f t="shared" si="52"/>
        <v>0</v>
      </c>
      <c r="T113" s="44" t="b">
        <f t="shared" si="53"/>
        <v>0</v>
      </c>
      <c r="U113" s="148" t="str">
        <f>IF(T113,LOOKUP(A113,Discrete_NFET[PARTNUMBER],Discrete_NFET[RDSON10])*1000,IF(S113,LOOKUP(A113,Discrete_NFET[PARTNUMBER],Discrete_NFET[RDSON8])*1000,IF(R113,LOOKUP(A113,Discrete_NFET[PARTNUMBER],Discrete_NFET[RDSON6])*1000,IF(Q113,LOOKUP(A113,Discrete_NFET[PARTNUMBER],Discrete_NFET[RDSON45])*1000,IF(P113,LOOKUP(A113,Discrete_NFET[PARTNUMBER],Discrete_NFET[RDSON3])*1000,IF(O113,LOOKUP(A113,Discrete_NFET[PARTNUMBER],Discrete_NFET[RDSON25])*1000,""))))))</f>
        <v/>
      </c>
      <c r="V113" s="48" t="str">
        <f>IF(AND(A113&lt;&gt;0,A113&lt;&gt;""),U113*(1+(Tj-25)*(LOOKUP(A113,Discrete_NFET[PARTNUMBER],Discrete_NFET[RDSDELTA])/((LOOKUP(A113,Discrete_NFET[PARTNUMBER],Discrete_NFET[TJMAX])-25)))),"")</f>
        <v/>
      </c>
      <c r="W113" s="35" t="str">
        <f>IF(AND($A113&lt;&gt;0,$A113&lt;&gt;""),LOOKUP($A113,Discrete_NFET[PARTNUMBER],Discrete_NFET[QGS]),"")</f>
        <v/>
      </c>
      <c r="X113" s="35" t="str">
        <f>IF(AND($A113&lt;&gt;0,$A113&lt;&gt;""),LOOKUP($A113,Discrete_NFET[PARTNUMBER],Discrete_NFET[QGD]),"")</f>
        <v/>
      </c>
      <c r="Y113" s="35" t="str">
        <f>IF(AND($A113&lt;&gt;0,$A113&lt;&gt;""),LOOKUP($A113,Discrete_NFET[PARTNUMBER],Discrete_NFET[QGTH]),"")</f>
        <v/>
      </c>
      <c r="Z113" s="35" t="str">
        <f t="shared" si="54"/>
        <v/>
      </c>
      <c r="AA113" s="35" t="str">
        <f>IF(AND($A113&lt;&gt;0,$A113&lt;&gt;""),LOOKUP($A113,Discrete_NFET[PARTNUMBER],Discrete_NFET[QOSSTYP]),"")</f>
        <v/>
      </c>
      <c r="AB113" s="35" t="str">
        <f>IF(AND($A113&lt;&gt;0,$A113&lt;&gt;""),LOOKUP($A113,Discrete_NFET[PARTNUMBER],Discrete_NFET[QRR]),"")</f>
        <v/>
      </c>
      <c r="AC113" s="35" t="str">
        <f>IF(AND(A113&lt;&gt;0,A113&lt;&gt;""),LOOKUP(A113,Discrete_NFET[PARTNUMBER],Discrete_NFET[VF_TYP]),"")</f>
        <v/>
      </c>
      <c r="AD113" s="127" t="str">
        <f>IF(AND($A113&lt;&gt;0,$A113&lt;&gt;"",OR(RIGHT(Logic!B113,2)="C)",LEFT(Logic!B113,4)="CSD1")),(1+(1-DUTY))*IM_RMS_120^2*V113*m/3/Num_FETS,"")</f>
        <v/>
      </c>
      <c r="AE113" s="127" t="str">
        <f>IF(AND($A113&lt;&gt;0,$A113&lt;&gt;"",OR(RIGHT(Logic!B113,2)="C)",LEFT(Logic!B113,4)="CSD1")),Num_FETS*0.5*IM_RMS_120*VDC_AVG*Z113*n*MOT_ELEC_FREQ/GDR_SRC,"")</f>
        <v/>
      </c>
      <c r="AF113" s="127" t="str">
        <f>IF(AND($A113&lt;&gt;0,$A113&lt;&gt;"",OR(RIGHT(Logic!B113,2)="C)",LEFT(Logic!B113,4)="CSD1")),Num_FETS*0.5*IM_RMS_120*VDC_AVG*Z113*n*MOT_ELEC_FREQ/GDR_SINK,"")</f>
        <v/>
      </c>
      <c r="AG113" s="127" t="str">
        <f>IF(AND($A113&lt;&gt;0,$A113&lt;&gt;"",OR(RIGHT(Logic!B113,2)="T)",LEFT(Logic!B113,4)="CSD1")),DUTY*IM_RMS_120^2*V113*m/3/Num_FETS,"")</f>
        <v/>
      </c>
      <c r="AH113" s="127" t="str">
        <f>IF(AND($A113&lt;&gt;0,$A113&lt;&gt;"",OR(RIGHT(Logic!B113,2)="T)",LEFT(Logic!B113,4)="CSD1")),Num_FETS*0.5*IM_RMS_120*VDC_AVG*Z113*n*FSW*k/GDR_SRC/3,"")</f>
        <v/>
      </c>
      <c r="AI113" s="127" t="str">
        <f>IF(AND($A113&lt;&gt;0,$A113&lt;&gt;"",OR(RIGHT(Logic!B113,2)="T)",LEFT(Logic!B113,4)="CSD1")),Num_FETS*0.5*IM_RMS_120*VDC_AVG*Z113*n*FSW*k/GDR_SINK/3,"")</f>
        <v/>
      </c>
      <c r="AJ113" s="127" t="str">
        <f t="shared" si="57"/>
        <v/>
      </c>
      <c r="AK113" s="127" t="str">
        <f t="shared" si="58"/>
        <v/>
      </c>
      <c r="AL113" s="127" t="str">
        <f t="shared" si="59"/>
        <v/>
      </c>
      <c r="AM113" s="127" t="str">
        <f t="shared" si="55"/>
        <v/>
      </c>
      <c r="AN113" s="127">
        <f>IF(AND($A113&lt;&gt;0,$A113&lt;&gt;"",OR(RIGHT(Logic!B113,2)="C)",LEFT(Logic!B113,4)="CSD1")),SUM(AD113:AF113)+(AJ113/3)+AK113+AL113/6+AM113/6,AN114)</f>
        <v>0</v>
      </c>
      <c r="AO113" s="127">
        <f>IF(AND($A113&lt;&gt;0,$A113&lt;&gt;"",OR(RIGHT(Logic!B113,2)="T)",LEFT(Logic!B113,4)="CSD1")),SUM(AG113:AI113)+(AJ113/3)+AL113/6+AM113/6,AO112)</f>
        <v>0.23887636588496741</v>
      </c>
      <c r="AP113" s="48" t="str">
        <f t="shared" si="56"/>
        <v/>
      </c>
      <c r="AQ113" s="35" t="str">
        <f>IF(AND(A113&lt;&gt;0,A113&lt;&gt;""),LOOKUP(A113,Discrete_NFET[PARTNUMBER],Discrete_NFET[TI_EQ_PACKAGE]),"")</f>
        <v/>
      </c>
      <c r="AR113" s="49" t="str">
        <f>IF(AND(A113&lt;&gt;0,A113&lt;&gt;""),LOOKUP(A113,Discrete_NFET[PARTNUMBER],Discrete_NFET[1KPRICE]),"")</f>
        <v/>
      </c>
      <c r="AS113" s="35" t="str">
        <f>IF(AND($A113&lt;&gt;0,$A113&lt;&gt;""),CONCATENATE(TEXT(AP113,"0.00"),"W, ",IF('User Input'!F$11="Single Discrete",A113,IF('User Input'!F$11="Dual/Power Block",LEFT(A113,FIND(")",A113)-7),A113)),", ",AQ113,", ",TEXT(AR113,"$0.00")),"Invalid Part")</f>
        <v>Invalid Part</v>
      </c>
      <c r="AT113"/>
      <c r="AW113"/>
    </row>
    <row r="114" spans="1:50" ht="15" customHeight="1" x14ac:dyDescent="0.25">
      <c r="A114" s="35" t="str">
        <f>IF(OR(AND(FET_config="Dual/Power Block",LEFT(Logic!B114,4)="CSD8"),AND(FET_config="Single Discrete",LEFT(Logic!B114,4)="CSD1")),Logic!B114,"")</f>
        <v/>
      </c>
      <c r="B114" s="37" t="str">
        <f>IF(OR($A114=0,$A114=""),"0",IF(LOOKUP($A114,Discrete_NFET[PARTNUMBER],Discrete_NFET[RDSON25])="(NULL)","0","1"))</f>
        <v>0</v>
      </c>
      <c r="C114" s="38" t="str">
        <f>IF(OR($A114=0,$A114=""),"0",IF(LOOKUP($A114,Discrete_NFET[PARTNUMBER],Discrete_NFET[RDSON3])="(NULL)","0","1"))</f>
        <v>0</v>
      </c>
      <c r="D114" s="40" t="str">
        <f>IF(OR($A114=0,$A114=""),"0",IF(LOOKUP($A114,Discrete_NFET[PARTNUMBER],Discrete_NFET[RDSON45])="(NULL)","0","1"))</f>
        <v>0</v>
      </c>
      <c r="E114" s="45" t="str">
        <f>IF(OR($A114=0,$A114=""),"0",IF(LOOKUP($A114,Discrete_NFET[PARTNUMBER],Discrete_NFET[RDSON6])="(NULL)","0","1"))</f>
        <v>0</v>
      </c>
      <c r="F114" s="34" t="str">
        <f>IF(OR($A114=0,$A114=""),"0",IF(LOOKUP($A114,Discrete_NFET[PARTNUMBER],Discrete_NFET[RDSON8])="(NULL)","0","1"))</f>
        <v>0</v>
      </c>
      <c r="G114" s="43" t="str">
        <f>IF(OR($A114=0,$A114=""),"0",IF(LOOKUP($A114,Discrete_NFET[PARTNUMBER],Discrete_NFET[RDSON10])="(NULL)","0","1"))</f>
        <v>0</v>
      </c>
      <c r="H114" s="36" t="b">
        <f t="shared" si="41"/>
        <v>0</v>
      </c>
      <c r="I114" s="39" t="b">
        <f t="shared" si="42"/>
        <v>0</v>
      </c>
      <c r="J114" s="41" t="b">
        <f t="shared" si="43"/>
        <v>0</v>
      </c>
      <c r="K114" s="46" t="b">
        <f t="shared" si="44"/>
        <v>0</v>
      </c>
      <c r="L114" s="42" t="b">
        <f t="shared" si="45"/>
        <v>0</v>
      </c>
      <c r="M114" s="44" t="b">
        <f t="shared" si="46"/>
        <v>0</v>
      </c>
      <c r="N114" s="47" t="b">
        <f t="shared" si="47"/>
        <v>0</v>
      </c>
      <c r="O114" s="36" t="b">
        <f t="shared" si="48"/>
        <v>0</v>
      </c>
      <c r="P114" s="39" t="b">
        <f t="shared" si="49"/>
        <v>0</v>
      </c>
      <c r="Q114" s="41" t="b">
        <f t="shared" si="50"/>
        <v>0</v>
      </c>
      <c r="R114" s="46" t="b">
        <f t="shared" si="51"/>
        <v>0</v>
      </c>
      <c r="S114" s="42" t="b">
        <f t="shared" si="52"/>
        <v>0</v>
      </c>
      <c r="T114" s="44" t="b">
        <f t="shared" si="53"/>
        <v>0</v>
      </c>
      <c r="U114" s="148" t="str">
        <f>IF(T114,LOOKUP(A114,Discrete_NFET[PARTNUMBER],Discrete_NFET[RDSON10])*1000,IF(S114,LOOKUP(A114,Discrete_NFET[PARTNUMBER],Discrete_NFET[RDSON8])*1000,IF(R114,LOOKUP(A114,Discrete_NFET[PARTNUMBER],Discrete_NFET[RDSON6])*1000,IF(Q114,LOOKUP(A114,Discrete_NFET[PARTNUMBER],Discrete_NFET[RDSON45])*1000,IF(P114,LOOKUP(A114,Discrete_NFET[PARTNUMBER],Discrete_NFET[RDSON3])*1000,IF(O114,LOOKUP(A114,Discrete_NFET[PARTNUMBER],Discrete_NFET[RDSON25])*1000,""))))))</f>
        <v/>
      </c>
      <c r="V114" s="48" t="str">
        <f>IF(AND(A114&lt;&gt;0,A114&lt;&gt;""),U114*(1+(Tj-25)*(LOOKUP(A114,Discrete_NFET[PARTNUMBER],Discrete_NFET[RDSDELTA])/((LOOKUP(A114,Discrete_NFET[PARTNUMBER],Discrete_NFET[TJMAX])-25)))),"")</f>
        <v/>
      </c>
      <c r="W114" s="35" t="str">
        <f>IF(AND($A114&lt;&gt;0,$A114&lt;&gt;""),LOOKUP($A114,Discrete_NFET[PARTNUMBER],Discrete_NFET[QGS]),"")</f>
        <v/>
      </c>
      <c r="X114" s="35" t="str">
        <f>IF(AND($A114&lt;&gt;0,$A114&lt;&gt;""),LOOKUP($A114,Discrete_NFET[PARTNUMBER],Discrete_NFET[QGD]),"")</f>
        <v/>
      </c>
      <c r="Y114" s="35" t="str">
        <f>IF(AND($A114&lt;&gt;0,$A114&lt;&gt;""),LOOKUP($A114,Discrete_NFET[PARTNUMBER],Discrete_NFET[QGTH]),"")</f>
        <v/>
      </c>
      <c r="Z114" s="35" t="str">
        <f t="shared" si="54"/>
        <v/>
      </c>
      <c r="AA114" s="35" t="str">
        <f>IF(AND($A114&lt;&gt;0,$A114&lt;&gt;""),LOOKUP($A114,Discrete_NFET[PARTNUMBER],Discrete_NFET[QOSSTYP]),"")</f>
        <v/>
      </c>
      <c r="AB114" s="35" t="str">
        <f>IF(AND($A114&lt;&gt;0,$A114&lt;&gt;""),LOOKUP($A114,Discrete_NFET[PARTNUMBER],Discrete_NFET[QRR]),"")</f>
        <v/>
      </c>
      <c r="AC114" s="35" t="str">
        <f>IF(AND(A114&lt;&gt;0,A114&lt;&gt;""),LOOKUP(A114,Discrete_NFET[PARTNUMBER],Discrete_NFET[VF_TYP]),"")</f>
        <v/>
      </c>
      <c r="AD114" s="127" t="str">
        <f>IF(AND($A114&lt;&gt;0,$A114&lt;&gt;"",OR(RIGHT(Logic!B114,2)="C)",LEFT(Logic!B114,4)="CSD1")),(1+(1-DUTY))*IM_RMS_120^2*V114*m/3/Num_FETS,"")</f>
        <v/>
      </c>
      <c r="AE114" s="127" t="str">
        <f>IF(AND($A114&lt;&gt;0,$A114&lt;&gt;"",OR(RIGHT(Logic!B114,2)="C)",LEFT(Logic!B114,4)="CSD1")),Num_FETS*0.5*IM_RMS_120*VDC_AVG*Z114*n*MOT_ELEC_FREQ/GDR_SRC,"")</f>
        <v/>
      </c>
      <c r="AF114" s="127" t="str">
        <f>IF(AND($A114&lt;&gt;0,$A114&lt;&gt;"",OR(RIGHT(Logic!B114,2)="C)",LEFT(Logic!B114,4)="CSD1")),Num_FETS*0.5*IM_RMS_120*VDC_AVG*Z114*n*MOT_ELEC_FREQ/GDR_SINK,"")</f>
        <v/>
      </c>
      <c r="AG114" s="127" t="str">
        <f>IF(AND($A114&lt;&gt;0,$A114&lt;&gt;"",OR(RIGHT(Logic!B114,2)="T)",LEFT(Logic!B114,4)="CSD1")),DUTY*IM_RMS_120^2*V114*m/3/Num_FETS,"")</f>
        <v/>
      </c>
      <c r="AH114" s="127" t="str">
        <f>IF(AND($A114&lt;&gt;0,$A114&lt;&gt;"",OR(RIGHT(Logic!B114,2)="T)",LEFT(Logic!B114,4)="CSD1")),Num_FETS*0.5*IM_RMS_120*VDC_AVG*Z114*n*FSW*k/GDR_SRC/3,"")</f>
        <v/>
      </c>
      <c r="AI114" s="127" t="str">
        <f>IF(AND($A114&lt;&gt;0,$A114&lt;&gt;"",OR(RIGHT(Logic!B114,2)="T)",LEFT(Logic!B114,4)="CSD1")),Num_FETS*0.5*IM_RMS_120*VDC_AVG*Z114*n*FSW*k/GDR_SINK/3,"")</f>
        <v/>
      </c>
      <c r="AJ114" s="127" t="str">
        <f t="shared" si="57"/>
        <v/>
      </c>
      <c r="AK114" s="127" t="str">
        <f t="shared" si="58"/>
        <v/>
      </c>
      <c r="AL114" s="127" t="str">
        <f t="shared" si="59"/>
        <v/>
      </c>
      <c r="AM114" s="127" t="str">
        <f t="shared" si="55"/>
        <v/>
      </c>
      <c r="AN114" s="127">
        <f>IF(AND($A114&lt;&gt;0,$A114&lt;&gt;"",OR(RIGHT(Logic!B114,2)="C)",LEFT(Logic!B114,4)="CSD1")),SUM(AD114:AF114)+(AJ114/3)+AK114+AL114/6+AM114/6,AN115)</f>
        <v>0</v>
      </c>
      <c r="AO114" s="127">
        <f>IF(AND($A114&lt;&gt;0,$A114&lt;&gt;"",OR(RIGHT(Logic!B114,2)="T)",LEFT(Logic!B114,4)="CSD1")),SUM(AG114:AI114)+(AJ114/3)+AL114/6+AM114/6,AO113)</f>
        <v>0.23887636588496741</v>
      </c>
      <c r="AP114" s="48" t="str">
        <f t="shared" si="56"/>
        <v/>
      </c>
      <c r="AQ114" s="35" t="str">
        <f>IF(AND(A114&lt;&gt;0,A114&lt;&gt;""),LOOKUP(A114,Discrete_NFET[PARTNUMBER],Discrete_NFET[TI_EQ_PACKAGE]),"")</f>
        <v/>
      </c>
      <c r="AR114" s="49" t="str">
        <f>IF(AND(A114&lt;&gt;0,A114&lt;&gt;""),LOOKUP(A114,Discrete_NFET[PARTNUMBER],Discrete_NFET[1KPRICE]),"")</f>
        <v/>
      </c>
      <c r="AS114" s="35" t="str">
        <f>IF(AND($A114&lt;&gt;0,$A114&lt;&gt;""),CONCATENATE(TEXT(AP114,"0.00"),"W, ",IF('User Input'!F$11="Single Discrete",A114,IF('User Input'!F$11="Dual/Power Block",LEFT(A114,FIND(")",A114)-7),A114)),", ",AQ114,", ",TEXT(AR114,"$0.00")),"Invalid Part")</f>
        <v>Invalid Part</v>
      </c>
      <c r="AT114"/>
      <c r="AW114"/>
    </row>
    <row r="115" spans="1:50" ht="15" customHeight="1" x14ac:dyDescent="0.25">
      <c r="A115" s="35" t="str">
        <f>IF(OR(AND(FET_config="Dual/Power Block",LEFT(Logic!B115,4)="CSD8"),AND(FET_config="Single Discrete",LEFT(Logic!B115,4)="CSD1")),Logic!B115,"")</f>
        <v/>
      </c>
      <c r="B115" s="37" t="str">
        <f>IF(OR($A115=0,$A115=""),"0",IF(LOOKUP($A115,Discrete_NFET[PARTNUMBER],Discrete_NFET[RDSON25])="(NULL)","0","1"))</f>
        <v>0</v>
      </c>
      <c r="C115" s="38" t="str">
        <f>IF(OR($A115=0,$A115=""),"0",IF(LOOKUP($A115,Discrete_NFET[PARTNUMBER],Discrete_NFET[RDSON3])="(NULL)","0","1"))</f>
        <v>0</v>
      </c>
      <c r="D115" s="40" t="str">
        <f>IF(OR($A115=0,$A115=""),"0",IF(LOOKUP($A115,Discrete_NFET[PARTNUMBER],Discrete_NFET[RDSON45])="(NULL)","0","1"))</f>
        <v>0</v>
      </c>
      <c r="E115" s="45" t="str">
        <f>IF(OR($A115=0,$A115=""),"0",IF(LOOKUP($A115,Discrete_NFET[PARTNUMBER],Discrete_NFET[RDSON6])="(NULL)","0","1"))</f>
        <v>0</v>
      </c>
      <c r="F115" s="34" t="str">
        <f>IF(OR($A115=0,$A115=""),"0",IF(LOOKUP($A115,Discrete_NFET[PARTNUMBER],Discrete_NFET[RDSON8])="(NULL)","0","1"))</f>
        <v>0</v>
      </c>
      <c r="G115" s="43" t="str">
        <f>IF(OR($A115=0,$A115=""),"0",IF(LOOKUP($A115,Discrete_NFET[PARTNUMBER],Discrete_NFET[RDSON10])="(NULL)","0","1"))</f>
        <v>0</v>
      </c>
      <c r="H115" s="36" t="b">
        <f t="shared" si="41"/>
        <v>0</v>
      </c>
      <c r="I115" s="39" t="b">
        <f t="shared" si="42"/>
        <v>0</v>
      </c>
      <c r="J115" s="41" t="b">
        <f t="shared" si="43"/>
        <v>0</v>
      </c>
      <c r="K115" s="46" t="b">
        <f t="shared" si="44"/>
        <v>0</v>
      </c>
      <c r="L115" s="42" t="b">
        <f t="shared" si="45"/>
        <v>0</v>
      </c>
      <c r="M115" s="44" t="b">
        <f t="shared" si="46"/>
        <v>0</v>
      </c>
      <c r="N115" s="47" t="b">
        <f t="shared" si="47"/>
        <v>0</v>
      </c>
      <c r="O115" s="36" t="b">
        <f t="shared" si="48"/>
        <v>0</v>
      </c>
      <c r="P115" s="39" t="b">
        <f t="shared" si="49"/>
        <v>0</v>
      </c>
      <c r="Q115" s="41" t="b">
        <f t="shared" si="50"/>
        <v>0</v>
      </c>
      <c r="R115" s="46" t="b">
        <f t="shared" si="51"/>
        <v>0</v>
      </c>
      <c r="S115" s="42" t="b">
        <f t="shared" si="52"/>
        <v>0</v>
      </c>
      <c r="T115" s="44" t="b">
        <f t="shared" si="53"/>
        <v>0</v>
      </c>
      <c r="U115" s="148" t="str">
        <f>IF(T115,LOOKUP(A115,Discrete_NFET[PARTNUMBER],Discrete_NFET[RDSON10])*1000,IF(S115,LOOKUP(A115,Discrete_NFET[PARTNUMBER],Discrete_NFET[RDSON8])*1000,IF(R115,LOOKUP(A115,Discrete_NFET[PARTNUMBER],Discrete_NFET[RDSON6])*1000,IF(Q115,LOOKUP(A115,Discrete_NFET[PARTNUMBER],Discrete_NFET[RDSON45])*1000,IF(P115,LOOKUP(A115,Discrete_NFET[PARTNUMBER],Discrete_NFET[RDSON3])*1000,IF(O115,LOOKUP(A115,Discrete_NFET[PARTNUMBER],Discrete_NFET[RDSON25])*1000,""))))))</f>
        <v/>
      </c>
      <c r="V115" s="48" t="str">
        <f>IF(AND(A115&lt;&gt;0,A115&lt;&gt;""),U115*(1+(Tj-25)*(LOOKUP(A115,Discrete_NFET[PARTNUMBER],Discrete_NFET[RDSDELTA])/((LOOKUP(A115,Discrete_NFET[PARTNUMBER],Discrete_NFET[TJMAX])-25)))),"")</f>
        <v/>
      </c>
      <c r="W115" s="35" t="str">
        <f>IF(AND($A115&lt;&gt;0,$A115&lt;&gt;""),LOOKUP($A115,Discrete_NFET[PARTNUMBER],Discrete_NFET[QGS]),"")</f>
        <v/>
      </c>
      <c r="X115" s="35" t="str">
        <f>IF(AND($A115&lt;&gt;0,$A115&lt;&gt;""),LOOKUP($A115,Discrete_NFET[PARTNUMBER],Discrete_NFET[QGD]),"")</f>
        <v/>
      </c>
      <c r="Y115" s="35" t="str">
        <f>IF(AND($A115&lt;&gt;0,$A115&lt;&gt;""),LOOKUP($A115,Discrete_NFET[PARTNUMBER],Discrete_NFET[QGTH]),"")</f>
        <v/>
      </c>
      <c r="Z115" s="35" t="str">
        <f t="shared" si="54"/>
        <v/>
      </c>
      <c r="AA115" s="35" t="str">
        <f>IF(AND($A115&lt;&gt;0,$A115&lt;&gt;""),LOOKUP($A115,Discrete_NFET[PARTNUMBER],Discrete_NFET[QOSSTYP]),"")</f>
        <v/>
      </c>
      <c r="AB115" s="35" t="str">
        <f>IF(AND($A115&lt;&gt;0,$A115&lt;&gt;""),LOOKUP($A115,Discrete_NFET[PARTNUMBER],Discrete_NFET[QRR]),"")</f>
        <v/>
      </c>
      <c r="AC115" s="35" t="str">
        <f>IF(AND(A115&lt;&gt;0,A115&lt;&gt;""),LOOKUP(A115,Discrete_NFET[PARTNUMBER],Discrete_NFET[VF_TYP]),"")</f>
        <v/>
      </c>
      <c r="AD115" s="127" t="str">
        <f>IF(AND($A115&lt;&gt;0,$A115&lt;&gt;"",OR(RIGHT(Logic!B115,2)="C)",LEFT(Logic!B115,4)="CSD1")),(1+(1-DUTY))*IM_RMS_120^2*V115*m/3/Num_FETS,"")</f>
        <v/>
      </c>
      <c r="AE115" s="127" t="str">
        <f>IF(AND($A115&lt;&gt;0,$A115&lt;&gt;"",OR(RIGHT(Logic!B115,2)="C)",LEFT(Logic!B115,4)="CSD1")),Num_FETS*0.5*IM_RMS_120*VDC_AVG*Z115*n*MOT_ELEC_FREQ/GDR_SRC,"")</f>
        <v/>
      </c>
      <c r="AF115" s="127" t="str">
        <f>IF(AND($A115&lt;&gt;0,$A115&lt;&gt;"",OR(RIGHT(Logic!B115,2)="C)",LEFT(Logic!B115,4)="CSD1")),Num_FETS*0.5*IM_RMS_120*VDC_AVG*Z115*n*MOT_ELEC_FREQ/GDR_SINK,"")</f>
        <v/>
      </c>
      <c r="AG115" s="127" t="str">
        <f>IF(AND($A115&lt;&gt;0,$A115&lt;&gt;"",OR(RIGHT(Logic!B115,2)="T)",LEFT(Logic!B115,4)="CSD1")),DUTY*IM_RMS_120^2*V115*m/3/Num_FETS,"")</f>
        <v/>
      </c>
      <c r="AH115" s="127" t="str">
        <f>IF(AND($A115&lt;&gt;0,$A115&lt;&gt;"",OR(RIGHT(Logic!B115,2)="T)",LEFT(Logic!B115,4)="CSD1")),Num_FETS*0.5*IM_RMS_120*VDC_AVG*Z115*n*FSW*k/GDR_SRC/3,"")</f>
        <v/>
      </c>
      <c r="AI115" s="127" t="str">
        <f>IF(AND($A115&lt;&gt;0,$A115&lt;&gt;"",OR(RIGHT(Logic!B115,2)="T)",LEFT(Logic!B115,4)="CSD1")),Num_FETS*0.5*IM_RMS_120*VDC_AVG*Z115*n*FSW*k/GDR_SINK/3,"")</f>
        <v/>
      </c>
      <c r="AJ115" s="127" t="str">
        <f t="shared" si="57"/>
        <v/>
      </c>
      <c r="AK115" s="127" t="str">
        <f t="shared" si="58"/>
        <v/>
      </c>
      <c r="AL115" s="127" t="str">
        <f t="shared" si="59"/>
        <v/>
      </c>
      <c r="AM115" s="127" t="str">
        <f t="shared" si="55"/>
        <v/>
      </c>
      <c r="AN115" s="127">
        <f>IF(AND($A115&lt;&gt;0,$A115&lt;&gt;"",OR(RIGHT(Logic!B115,2)="C)",LEFT(Logic!B115,4)="CSD1")),SUM(AD115:AF115)+(AJ115/3)+AK115+AL115/6+AM115/6,AN116)</f>
        <v>0</v>
      </c>
      <c r="AO115" s="127">
        <f>IF(AND($A115&lt;&gt;0,$A115&lt;&gt;"",OR(RIGHT(Logic!B115,2)="T)",LEFT(Logic!B115,4)="CSD1")),SUM(AG115:AI115)+(AJ115/3)+AL115/6+AM115/6,AO114)</f>
        <v>0.23887636588496741</v>
      </c>
      <c r="AP115" s="48" t="str">
        <f t="shared" si="56"/>
        <v/>
      </c>
      <c r="AQ115" s="35" t="str">
        <f>IF(AND(A115&lt;&gt;0,A115&lt;&gt;""),LOOKUP(A115,Discrete_NFET[PARTNUMBER],Discrete_NFET[TI_EQ_PACKAGE]),"")</f>
        <v/>
      </c>
      <c r="AR115" s="49" t="str">
        <f>IF(AND(A115&lt;&gt;0,A115&lt;&gt;""),LOOKUP(A115,Discrete_NFET[PARTNUMBER],Discrete_NFET[1KPRICE]),"")</f>
        <v/>
      </c>
      <c r="AS115" s="35" t="str">
        <f>IF(AND($A115&lt;&gt;0,$A115&lt;&gt;""),CONCATENATE(TEXT(AP115,"0.00"),"W, ",IF('User Input'!F$11="Single Discrete",A115,IF('User Input'!F$11="Dual/Power Block",LEFT(A115,FIND(")",A115)-7),A115)),", ",AQ115,", ",TEXT(AR115,"$0.00")),"Invalid Part")</f>
        <v>Invalid Part</v>
      </c>
      <c r="AT115"/>
      <c r="AU115" s="35"/>
      <c r="AV115" s="35"/>
      <c r="AW115"/>
      <c r="AX115" s="35"/>
    </row>
    <row r="116" spans="1:50" s="17" customFormat="1" ht="15" customHeight="1" x14ac:dyDescent="0.25">
      <c r="A116" s="35" t="str">
        <f>IF(OR(AND(FET_config="Dual/Power Block",LEFT(Logic!B116,4)="CSD8"),AND(FET_config="Single Discrete",LEFT(Logic!B116,4)="CSD1")),Logic!B116,"")</f>
        <v/>
      </c>
      <c r="B116" s="37" t="str">
        <f>IF(OR($A116=0,$A116=""),"0",IF(LOOKUP($A116,Discrete_NFET[PARTNUMBER],Discrete_NFET[RDSON25])="(NULL)","0","1"))</f>
        <v>0</v>
      </c>
      <c r="C116" s="38" t="str">
        <f>IF(OR($A116=0,$A116=""),"0",IF(LOOKUP($A116,Discrete_NFET[PARTNUMBER],Discrete_NFET[RDSON3])="(NULL)","0","1"))</f>
        <v>0</v>
      </c>
      <c r="D116" s="40" t="str">
        <f>IF(OR($A116=0,$A116=""),"0",IF(LOOKUP($A116,Discrete_NFET[PARTNUMBER],Discrete_NFET[RDSON45])="(NULL)","0","1"))</f>
        <v>0</v>
      </c>
      <c r="E116" s="45" t="str">
        <f>IF(OR($A116=0,$A116=""),"0",IF(LOOKUP($A116,Discrete_NFET[PARTNUMBER],Discrete_NFET[RDSON6])="(NULL)","0","1"))</f>
        <v>0</v>
      </c>
      <c r="F116" s="34" t="str">
        <f>IF(OR($A116=0,$A116=""),"0",IF(LOOKUP($A116,Discrete_NFET[PARTNUMBER],Discrete_NFET[RDSON8])="(NULL)","0","1"))</f>
        <v>0</v>
      </c>
      <c r="G116" s="43" t="str">
        <f>IF(OR($A116=0,$A116=""),"0",IF(LOOKUP($A116,Discrete_NFET[PARTNUMBER],Discrete_NFET[RDSON10])="(NULL)","0","1"))</f>
        <v>0</v>
      </c>
      <c r="H116" s="36" t="b">
        <f t="shared" si="41"/>
        <v>0</v>
      </c>
      <c r="I116" s="39" t="b">
        <f t="shared" si="42"/>
        <v>0</v>
      </c>
      <c r="J116" s="41" t="b">
        <f t="shared" si="43"/>
        <v>0</v>
      </c>
      <c r="K116" s="46" t="b">
        <f t="shared" si="44"/>
        <v>0</v>
      </c>
      <c r="L116" s="42" t="b">
        <f t="shared" si="45"/>
        <v>0</v>
      </c>
      <c r="M116" s="44" t="b">
        <f t="shared" si="46"/>
        <v>0</v>
      </c>
      <c r="N116" s="47" t="b">
        <f t="shared" si="47"/>
        <v>0</v>
      </c>
      <c r="O116" s="36" t="b">
        <f t="shared" si="48"/>
        <v>0</v>
      </c>
      <c r="P116" s="39" t="b">
        <f t="shared" si="49"/>
        <v>0</v>
      </c>
      <c r="Q116" s="41" t="b">
        <f t="shared" si="50"/>
        <v>0</v>
      </c>
      <c r="R116" s="46" t="b">
        <f t="shared" si="51"/>
        <v>0</v>
      </c>
      <c r="S116" s="42" t="b">
        <f t="shared" si="52"/>
        <v>0</v>
      </c>
      <c r="T116" s="44" t="b">
        <f t="shared" si="53"/>
        <v>0</v>
      </c>
      <c r="U116" s="148" t="str">
        <f>IF(T116,LOOKUP(A116,Discrete_NFET[PARTNUMBER],Discrete_NFET[RDSON10])*1000,IF(S116,LOOKUP(A116,Discrete_NFET[PARTNUMBER],Discrete_NFET[RDSON8])*1000,IF(R116,LOOKUP(A116,Discrete_NFET[PARTNUMBER],Discrete_NFET[RDSON6])*1000,IF(Q116,LOOKUP(A116,Discrete_NFET[PARTNUMBER],Discrete_NFET[RDSON45])*1000,IF(P116,LOOKUP(A116,Discrete_NFET[PARTNUMBER],Discrete_NFET[RDSON3])*1000,IF(O116,LOOKUP(A116,Discrete_NFET[PARTNUMBER],Discrete_NFET[RDSON25])*1000,""))))))</f>
        <v/>
      </c>
      <c r="V116" s="48" t="str">
        <f>IF(AND(A116&lt;&gt;0,A116&lt;&gt;""),U116*(1+(Tj-25)*(LOOKUP(A116,Discrete_NFET[PARTNUMBER],Discrete_NFET[RDSDELTA])/((LOOKUP(A116,Discrete_NFET[PARTNUMBER],Discrete_NFET[TJMAX])-25)))),"")</f>
        <v/>
      </c>
      <c r="W116" s="35" t="str">
        <f>IF(AND($A116&lt;&gt;0,$A116&lt;&gt;""),LOOKUP($A116,Discrete_NFET[PARTNUMBER],Discrete_NFET[QGS]),"")</f>
        <v/>
      </c>
      <c r="X116" s="35" t="str">
        <f>IF(AND($A116&lt;&gt;0,$A116&lt;&gt;""),LOOKUP($A116,Discrete_NFET[PARTNUMBER],Discrete_NFET[QGD]),"")</f>
        <v/>
      </c>
      <c r="Y116" s="35" t="str">
        <f>IF(AND($A116&lt;&gt;0,$A116&lt;&gt;""),LOOKUP($A116,Discrete_NFET[PARTNUMBER],Discrete_NFET[QGTH]),"")</f>
        <v/>
      </c>
      <c r="Z116" s="35" t="str">
        <f t="shared" si="54"/>
        <v/>
      </c>
      <c r="AA116" s="35" t="str">
        <f>IF(AND($A116&lt;&gt;0,$A116&lt;&gt;""),LOOKUP($A116,Discrete_NFET[PARTNUMBER],Discrete_NFET[QOSSTYP]),"")</f>
        <v/>
      </c>
      <c r="AB116" s="35" t="str">
        <f>IF(AND($A116&lt;&gt;0,$A116&lt;&gt;""),LOOKUP($A116,Discrete_NFET[PARTNUMBER],Discrete_NFET[QRR]),"")</f>
        <v/>
      </c>
      <c r="AC116" s="35" t="str">
        <f>IF(AND(A116&lt;&gt;0,A116&lt;&gt;""),LOOKUP(A116,Discrete_NFET[PARTNUMBER],Discrete_NFET[VF_TYP]),"")</f>
        <v/>
      </c>
      <c r="AD116" s="127" t="str">
        <f>IF(AND($A116&lt;&gt;0,$A116&lt;&gt;"",OR(RIGHT(Logic!B116,2)="C)",LEFT(Logic!B116,4)="CSD1")),(1+(1-DUTY))*IM_RMS_120^2*V116*m/3/Num_FETS,"")</f>
        <v/>
      </c>
      <c r="AE116" s="127" t="str">
        <f>IF(AND($A116&lt;&gt;0,$A116&lt;&gt;"",OR(RIGHT(Logic!B116,2)="C)",LEFT(Logic!B116,4)="CSD1")),Num_FETS*0.5*IM_RMS_120*VDC_AVG*Z116*n*MOT_ELEC_FREQ/GDR_SRC,"")</f>
        <v/>
      </c>
      <c r="AF116" s="127" t="str">
        <f>IF(AND($A116&lt;&gt;0,$A116&lt;&gt;"",OR(RIGHT(Logic!B116,2)="C)",LEFT(Logic!B116,4)="CSD1")),Num_FETS*0.5*IM_RMS_120*VDC_AVG*Z116*n*MOT_ELEC_FREQ/GDR_SINK,"")</f>
        <v/>
      </c>
      <c r="AG116" s="127" t="str">
        <f>IF(AND($A116&lt;&gt;0,$A116&lt;&gt;"",OR(RIGHT(Logic!B116,2)="T)",LEFT(Logic!B116,4)="CSD1")),DUTY*IM_RMS_120^2*V116*m/3/Num_FETS,"")</f>
        <v/>
      </c>
      <c r="AH116" s="127" t="str">
        <f>IF(AND($A116&lt;&gt;0,$A116&lt;&gt;"",OR(RIGHT(Logic!B116,2)="T)",LEFT(Logic!B116,4)="CSD1")),Num_FETS*0.5*IM_RMS_120*VDC_AVG*Z116*n*FSW*k/GDR_SRC/3,"")</f>
        <v/>
      </c>
      <c r="AI116" s="127" t="str">
        <f>IF(AND($A116&lt;&gt;0,$A116&lt;&gt;"",OR(RIGHT(Logic!B116,2)="T)",LEFT(Logic!B116,4)="CSD1")),Num_FETS*0.5*IM_RMS_120*VDC_AVG*Z116*n*FSW*k/GDR_SINK/3,"")</f>
        <v/>
      </c>
      <c r="AJ116" s="127" t="str">
        <f t="shared" si="57"/>
        <v/>
      </c>
      <c r="AK116" s="127" t="str">
        <f t="shared" si="58"/>
        <v/>
      </c>
      <c r="AL116" s="127" t="str">
        <f t="shared" si="59"/>
        <v/>
      </c>
      <c r="AM116" s="127" t="str">
        <f t="shared" si="55"/>
        <v/>
      </c>
      <c r="AN116" s="127">
        <f>IF(AND($A116&lt;&gt;0,$A116&lt;&gt;"",OR(RIGHT(Logic!B116,2)="C)",LEFT(Logic!B116,4)="CSD1")),SUM(AD116:AF116)+(AJ116/3)+AK116+AL116/6+AM116/6,AN117)</f>
        <v>0</v>
      </c>
      <c r="AO116" s="127">
        <f>IF(AND($A116&lt;&gt;0,$A116&lt;&gt;"",OR(RIGHT(Logic!B116,2)="T)",LEFT(Logic!B116,4)="CSD1")),SUM(AG116:AI116)+(AJ116/3)+AL116/6+AM116/6,AO115)</f>
        <v>0.23887636588496741</v>
      </c>
      <c r="AP116" s="48" t="str">
        <f t="shared" si="56"/>
        <v/>
      </c>
      <c r="AQ116" s="35" t="str">
        <f>IF(AND(A116&lt;&gt;0,A116&lt;&gt;""),LOOKUP(A116,Discrete_NFET[PARTNUMBER],Discrete_NFET[TI_EQ_PACKAGE]),"")</f>
        <v/>
      </c>
      <c r="AR116" s="49" t="str">
        <f>IF(AND(A116&lt;&gt;0,A116&lt;&gt;""),LOOKUP(A116,Discrete_NFET[PARTNUMBER],Discrete_NFET[1KPRICE]),"")</f>
        <v/>
      </c>
      <c r="AS116" s="35" t="str">
        <f>IF(AND($A116&lt;&gt;0,$A116&lt;&gt;""),CONCATENATE(TEXT(AP116,"0.00"),"W, ",IF('User Input'!F$11="Single Discrete",A116,IF('User Input'!F$11="Dual/Power Block",LEFT(A116,FIND(")",A116)-7),A116)),", ",AQ116,", ",TEXT(AR116,"$0.00")),"Invalid Part")</f>
        <v>Invalid Part</v>
      </c>
      <c r="AT116"/>
      <c r="AU116" s="16"/>
      <c r="AV116" s="16"/>
      <c r="AW116"/>
      <c r="AX116" s="16"/>
    </row>
    <row r="117" spans="1:50" ht="15" customHeight="1" x14ac:dyDescent="0.25">
      <c r="A117" s="35" t="str">
        <f>IF(OR(AND(FET_config="Dual/Power Block",LEFT(Logic!B117,4)="CSD8"),AND(FET_config="Single Discrete",LEFT(Logic!B117,4)="CSD1")),Logic!B117,"")</f>
        <v/>
      </c>
      <c r="B117" s="37" t="str">
        <f>IF(OR($A117=0,$A117=""),"0",IF(LOOKUP($A117,Discrete_NFET[PARTNUMBER],Discrete_NFET[RDSON25])="(NULL)","0","1"))</f>
        <v>0</v>
      </c>
      <c r="C117" s="38" t="str">
        <f>IF(OR($A117=0,$A117=""),"0",IF(LOOKUP($A117,Discrete_NFET[PARTNUMBER],Discrete_NFET[RDSON3])="(NULL)","0","1"))</f>
        <v>0</v>
      </c>
      <c r="D117" s="40" t="str">
        <f>IF(OR($A117=0,$A117=""),"0",IF(LOOKUP($A117,Discrete_NFET[PARTNUMBER],Discrete_NFET[RDSON45])="(NULL)","0","1"))</f>
        <v>0</v>
      </c>
      <c r="E117" s="45" t="str">
        <f>IF(OR($A117=0,$A117=""),"0",IF(LOOKUP($A117,Discrete_NFET[PARTNUMBER],Discrete_NFET[RDSON6])="(NULL)","0","1"))</f>
        <v>0</v>
      </c>
      <c r="F117" s="34" t="str">
        <f>IF(OR($A117=0,$A117=""),"0",IF(LOOKUP($A117,Discrete_NFET[PARTNUMBER],Discrete_NFET[RDSON8])="(NULL)","0","1"))</f>
        <v>0</v>
      </c>
      <c r="G117" s="43" t="str">
        <f>IF(OR($A117=0,$A117=""),"0",IF(LOOKUP($A117,Discrete_NFET[PARTNUMBER],Discrete_NFET[RDSON10])="(NULL)","0","1"))</f>
        <v>0</v>
      </c>
      <c r="H117" s="36" t="b">
        <f t="shared" si="41"/>
        <v>0</v>
      </c>
      <c r="I117" s="39" t="b">
        <f t="shared" si="42"/>
        <v>0</v>
      </c>
      <c r="J117" s="41" t="b">
        <f t="shared" si="43"/>
        <v>0</v>
      </c>
      <c r="K117" s="46" t="b">
        <f t="shared" si="44"/>
        <v>0</v>
      </c>
      <c r="L117" s="42" t="b">
        <f t="shared" si="45"/>
        <v>0</v>
      </c>
      <c r="M117" s="44" t="b">
        <f t="shared" si="46"/>
        <v>0</v>
      </c>
      <c r="N117" s="47" t="b">
        <f t="shared" si="47"/>
        <v>0</v>
      </c>
      <c r="O117" s="36" t="b">
        <f t="shared" si="48"/>
        <v>0</v>
      </c>
      <c r="P117" s="39" t="b">
        <f t="shared" si="49"/>
        <v>0</v>
      </c>
      <c r="Q117" s="41" t="b">
        <f t="shared" si="50"/>
        <v>0</v>
      </c>
      <c r="R117" s="46" t="b">
        <f t="shared" si="51"/>
        <v>0</v>
      </c>
      <c r="S117" s="42" t="b">
        <f t="shared" si="52"/>
        <v>0</v>
      </c>
      <c r="T117" s="44" t="b">
        <f t="shared" si="53"/>
        <v>0</v>
      </c>
      <c r="U117" s="148" t="str">
        <f>IF(T117,LOOKUP(A117,Discrete_NFET[PARTNUMBER],Discrete_NFET[RDSON10])*1000,IF(S117,LOOKUP(A117,Discrete_NFET[PARTNUMBER],Discrete_NFET[RDSON8])*1000,IF(R117,LOOKUP(A117,Discrete_NFET[PARTNUMBER],Discrete_NFET[RDSON6])*1000,IF(Q117,LOOKUP(A117,Discrete_NFET[PARTNUMBER],Discrete_NFET[RDSON45])*1000,IF(P117,LOOKUP(A117,Discrete_NFET[PARTNUMBER],Discrete_NFET[RDSON3])*1000,IF(O117,LOOKUP(A117,Discrete_NFET[PARTNUMBER],Discrete_NFET[RDSON25])*1000,""))))))</f>
        <v/>
      </c>
      <c r="V117" s="48" t="str">
        <f>IF(AND(A117&lt;&gt;0,A117&lt;&gt;""),U117*(1+(Tj-25)*(LOOKUP(A117,Discrete_NFET[PARTNUMBER],Discrete_NFET[RDSDELTA])/((LOOKUP(A117,Discrete_NFET[PARTNUMBER],Discrete_NFET[TJMAX])-25)))),"")</f>
        <v/>
      </c>
      <c r="W117" s="35" t="str">
        <f>IF(AND($A117&lt;&gt;0,$A117&lt;&gt;""),LOOKUP($A117,Discrete_NFET[PARTNUMBER],Discrete_NFET[QGS]),"")</f>
        <v/>
      </c>
      <c r="X117" s="35" t="str">
        <f>IF(AND($A117&lt;&gt;0,$A117&lt;&gt;""),LOOKUP($A117,Discrete_NFET[PARTNUMBER],Discrete_NFET[QGD]),"")</f>
        <v/>
      </c>
      <c r="Y117" s="35" t="str">
        <f>IF(AND($A117&lt;&gt;0,$A117&lt;&gt;""),LOOKUP($A117,Discrete_NFET[PARTNUMBER],Discrete_NFET[QGTH]),"")</f>
        <v/>
      </c>
      <c r="Z117" s="35" t="str">
        <f t="shared" si="54"/>
        <v/>
      </c>
      <c r="AA117" s="35" t="str">
        <f>IF(AND($A117&lt;&gt;0,$A117&lt;&gt;""),LOOKUP($A117,Discrete_NFET[PARTNUMBER],Discrete_NFET[QOSSTYP]),"")</f>
        <v/>
      </c>
      <c r="AB117" s="35" t="str">
        <f>IF(AND($A117&lt;&gt;0,$A117&lt;&gt;""),LOOKUP($A117,Discrete_NFET[PARTNUMBER],Discrete_NFET[QRR]),"")</f>
        <v/>
      </c>
      <c r="AC117" s="35" t="str">
        <f>IF(AND(A117&lt;&gt;0,A117&lt;&gt;""),LOOKUP(A117,Discrete_NFET[PARTNUMBER],Discrete_NFET[VF_TYP]),"")</f>
        <v/>
      </c>
      <c r="AD117" s="127" t="str">
        <f>IF(AND($A117&lt;&gt;0,$A117&lt;&gt;"",OR(RIGHT(Logic!B117,2)="C)",LEFT(Logic!B117,4)="CSD1")),(1+(1-DUTY))*IM_RMS_120^2*V117*m/3/Num_FETS,"")</f>
        <v/>
      </c>
      <c r="AE117" s="127" t="str">
        <f>IF(AND($A117&lt;&gt;0,$A117&lt;&gt;"",OR(RIGHT(Logic!B117,2)="C)",LEFT(Logic!B117,4)="CSD1")),Num_FETS*0.5*IM_RMS_120*VDC_AVG*Z117*n*MOT_ELEC_FREQ/GDR_SRC,"")</f>
        <v/>
      </c>
      <c r="AF117" s="127" t="str">
        <f>IF(AND($A117&lt;&gt;0,$A117&lt;&gt;"",OR(RIGHT(Logic!B117,2)="C)",LEFT(Logic!B117,4)="CSD1")),Num_FETS*0.5*IM_RMS_120*VDC_AVG*Z117*n*MOT_ELEC_FREQ/GDR_SINK,"")</f>
        <v/>
      </c>
      <c r="AG117" s="127" t="str">
        <f>IF(AND($A117&lt;&gt;0,$A117&lt;&gt;"",OR(RIGHT(Logic!B117,2)="T)",LEFT(Logic!B117,4)="CSD1")),DUTY*IM_RMS_120^2*V117*m/3/Num_FETS,"")</f>
        <v/>
      </c>
      <c r="AH117" s="127" t="str">
        <f>IF(AND($A117&lt;&gt;0,$A117&lt;&gt;"",OR(RIGHT(Logic!B117,2)="T)",LEFT(Logic!B117,4)="CSD1")),Num_FETS*0.5*IM_RMS_120*VDC_AVG*Z117*n*FSW*k/GDR_SRC/3,"")</f>
        <v/>
      </c>
      <c r="AI117" s="127" t="str">
        <f>IF(AND($A117&lt;&gt;0,$A117&lt;&gt;"",OR(RIGHT(Logic!B117,2)="T)",LEFT(Logic!B117,4)="CSD1")),Num_FETS*0.5*IM_RMS_120*VDC_AVG*Z117*n*FSW*k/GDR_SINK/3,"")</f>
        <v/>
      </c>
      <c r="AJ117" s="127" t="str">
        <f t="shared" si="57"/>
        <v/>
      </c>
      <c r="AK117" s="127" t="str">
        <f t="shared" si="58"/>
        <v/>
      </c>
      <c r="AL117" s="127" t="str">
        <f t="shared" si="59"/>
        <v/>
      </c>
      <c r="AM117" s="127" t="str">
        <f t="shared" si="55"/>
        <v/>
      </c>
      <c r="AN117" s="127">
        <f>IF(AND($A117&lt;&gt;0,$A117&lt;&gt;"",OR(RIGHT(Logic!B117,2)="C)",LEFT(Logic!B117,4)="CSD1")),SUM(AD117:AF117)+(AJ117/3)+AK117+AL117/6+AM117/6,AN118)</f>
        <v>0</v>
      </c>
      <c r="AO117" s="127">
        <f>IF(AND($A117&lt;&gt;0,$A117&lt;&gt;"",OR(RIGHT(Logic!B117,2)="T)",LEFT(Logic!B117,4)="CSD1")),SUM(AG117:AI117)+(AJ117/3)+AL117/6+AM117/6,AO116)</f>
        <v>0.23887636588496741</v>
      </c>
      <c r="AP117" s="48" t="str">
        <f t="shared" si="56"/>
        <v/>
      </c>
      <c r="AQ117" s="35" t="str">
        <f>IF(AND(A117&lt;&gt;0,A117&lt;&gt;""),LOOKUP(A117,Discrete_NFET[PARTNUMBER],Discrete_NFET[TI_EQ_PACKAGE]),"")</f>
        <v/>
      </c>
      <c r="AR117" s="49" t="str">
        <f>IF(AND(A117&lt;&gt;0,A117&lt;&gt;""),LOOKUP(A117,Discrete_NFET[PARTNUMBER],Discrete_NFET[1KPRICE]),"")</f>
        <v/>
      </c>
      <c r="AS117" s="35" t="str">
        <f>IF(AND($A117&lt;&gt;0,$A117&lt;&gt;""),CONCATENATE(TEXT(AP117,"0.00"),"W, ",IF('User Input'!F$11="Single Discrete",A117,IF('User Input'!F$11="Dual/Power Block",LEFT(A117,FIND(")",A117)-7),A117)),", ",AQ117,", ",TEXT(AR117,"$0.00")),"Invalid Part")</f>
        <v>Invalid Part</v>
      </c>
      <c r="AT117"/>
      <c r="AU117" s="142"/>
      <c r="AV117" s="142"/>
      <c r="AW117"/>
      <c r="AX117" s="142"/>
    </row>
    <row r="118" spans="1:50" ht="15" customHeight="1" x14ac:dyDescent="0.25">
      <c r="A118" s="35" t="str">
        <f>IF(OR(AND(FET_config="Dual/Power Block",LEFT(Logic!B118,4)="CSD8"),AND(FET_config="Single Discrete",LEFT(Logic!B118,4)="CSD1")),Logic!B118,"")</f>
        <v/>
      </c>
      <c r="B118" s="37" t="str">
        <f>IF(OR($A118=0,$A118=""),"0",IF(LOOKUP($A118,Discrete_NFET[PARTNUMBER],Discrete_NFET[RDSON25])="(NULL)","0","1"))</f>
        <v>0</v>
      </c>
      <c r="C118" s="38" t="str">
        <f>IF(OR($A118=0,$A118=""),"0",IF(LOOKUP($A118,Discrete_NFET[PARTNUMBER],Discrete_NFET[RDSON3])="(NULL)","0","1"))</f>
        <v>0</v>
      </c>
      <c r="D118" s="40" t="str">
        <f>IF(OR($A118=0,$A118=""),"0",IF(LOOKUP($A118,Discrete_NFET[PARTNUMBER],Discrete_NFET[RDSON45])="(NULL)","0","1"))</f>
        <v>0</v>
      </c>
      <c r="E118" s="45" t="str">
        <f>IF(OR($A118=0,$A118=""),"0",IF(LOOKUP($A118,Discrete_NFET[PARTNUMBER],Discrete_NFET[RDSON6])="(NULL)","0","1"))</f>
        <v>0</v>
      </c>
      <c r="F118" s="34" t="str">
        <f>IF(OR($A118=0,$A118=""),"0",IF(LOOKUP($A118,Discrete_NFET[PARTNUMBER],Discrete_NFET[RDSON8])="(NULL)","0","1"))</f>
        <v>0</v>
      </c>
      <c r="G118" s="43" t="str">
        <f>IF(OR($A118=0,$A118=""),"0",IF(LOOKUP($A118,Discrete_NFET[PARTNUMBER],Discrete_NFET[RDSON10])="(NULL)","0","1"))</f>
        <v>0</v>
      </c>
      <c r="H118" s="36" t="b">
        <f t="shared" si="41"/>
        <v>0</v>
      </c>
      <c r="I118" s="39" t="b">
        <f t="shared" si="42"/>
        <v>0</v>
      </c>
      <c r="J118" s="41" t="b">
        <f t="shared" si="43"/>
        <v>0</v>
      </c>
      <c r="K118" s="46" t="b">
        <f t="shared" si="44"/>
        <v>0</v>
      </c>
      <c r="L118" s="42" t="b">
        <f t="shared" si="45"/>
        <v>0</v>
      </c>
      <c r="M118" s="44" t="b">
        <f t="shared" si="46"/>
        <v>0</v>
      </c>
      <c r="N118" s="47" t="b">
        <f t="shared" si="47"/>
        <v>0</v>
      </c>
      <c r="O118" s="36" t="b">
        <f t="shared" si="48"/>
        <v>0</v>
      </c>
      <c r="P118" s="39" t="b">
        <f t="shared" si="49"/>
        <v>0</v>
      </c>
      <c r="Q118" s="41" t="b">
        <f t="shared" si="50"/>
        <v>0</v>
      </c>
      <c r="R118" s="46" t="b">
        <f t="shared" si="51"/>
        <v>0</v>
      </c>
      <c r="S118" s="42" t="b">
        <f t="shared" si="52"/>
        <v>0</v>
      </c>
      <c r="T118" s="44" t="b">
        <f t="shared" si="53"/>
        <v>0</v>
      </c>
      <c r="U118" s="148" t="str">
        <f>IF(T118,LOOKUP(A118,Discrete_NFET[PARTNUMBER],Discrete_NFET[RDSON10])*1000,IF(S118,LOOKUP(A118,Discrete_NFET[PARTNUMBER],Discrete_NFET[RDSON8])*1000,IF(R118,LOOKUP(A118,Discrete_NFET[PARTNUMBER],Discrete_NFET[RDSON6])*1000,IF(Q118,LOOKUP(A118,Discrete_NFET[PARTNUMBER],Discrete_NFET[RDSON45])*1000,IF(P118,LOOKUP(A118,Discrete_NFET[PARTNUMBER],Discrete_NFET[RDSON3])*1000,IF(O118,LOOKUP(A118,Discrete_NFET[PARTNUMBER],Discrete_NFET[RDSON25])*1000,""))))))</f>
        <v/>
      </c>
      <c r="V118" s="48" t="str">
        <f>IF(AND(A118&lt;&gt;0,A118&lt;&gt;""),U118*(1+(Tj-25)*(LOOKUP(A118,Discrete_NFET[PARTNUMBER],Discrete_NFET[RDSDELTA])/((LOOKUP(A118,Discrete_NFET[PARTNUMBER],Discrete_NFET[TJMAX])-25)))),"")</f>
        <v/>
      </c>
      <c r="W118" s="35" t="str">
        <f>IF(AND($A118&lt;&gt;0,$A118&lt;&gt;""),LOOKUP($A118,Discrete_NFET[PARTNUMBER],Discrete_NFET[QGS]),"")</f>
        <v/>
      </c>
      <c r="X118" s="35" t="str">
        <f>IF(AND($A118&lt;&gt;0,$A118&lt;&gt;""),LOOKUP($A118,Discrete_NFET[PARTNUMBER],Discrete_NFET[QGD]),"")</f>
        <v/>
      </c>
      <c r="Y118" s="35" t="str">
        <f>IF(AND($A118&lt;&gt;0,$A118&lt;&gt;""),LOOKUP($A118,Discrete_NFET[PARTNUMBER],Discrete_NFET[QGTH]),"")</f>
        <v/>
      </c>
      <c r="Z118" s="35" t="str">
        <f t="shared" si="54"/>
        <v/>
      </c>
      <c r="AA118" s="35" t="str">
        <f>IF(AND($A118&lt;&gt;0,$A118&lt;&gt;""),LOOKUP($A118,Discrete_NFET[PARTNUMBER],Discrete_NFET[QOSSTYP]),"")</f>
        <v/>
      </c>
      <c r="AB118" s="35" t="str">
        <f>IF(AND($A118&lt;&gt;0,$A118&lt;&gt;""),LOOKUP($A118,Discrete_NFET[PARTNUMBER],Discrete_NFET[QRR]),"")</f>
        <v/>
      </c>
      <c r="AC118" s="35" t="str">
        <f>IF(AND(A118&lt;&gt;0,A118&lt;&gt;""),LOOKUP(A118,Discrete_NFET[PARTNUMBER],Discrete_NFET[VF_TYP]),"")</f>
        <v/>
      </c>
      <c r="AD118" s="127" t="str">
        <f>IF(AND($A118&lt;&gt;0,$A118&lt;&gt;"",OR(RIGHT(Logic!B118,2)="C)",LEFT(Logic!B118,4)="CSD1")),(1+(1-DUTY))*IM_RMS_120^2*V118*m/3/Num_FETS,"")</f>
        <v/>
      </c>
      <c r="AE118" s="127" t="str">
        <f>IF(AND($A118&lt;&gt;0,$A118&lt;&gt;"",OR(RIGHT(Logic!B118,2)="C)",LEFT(Logic!B118,4)="CSD1")),Num_FETS*0.5*IM_RMS_120*VDC_AVG*Z118*n*MOT_ELEC_FREQ/GDR_SRC,"")</f>
        <v/>
      </c>
      <c r="AF118" s="127" t="str">
        <f>IF(AND($A118&lt;&gt;0,$A118&lt;&gt;"",OR(RIGHT(Logic!B118,2)="C)",LEFT(Logic!B118,4)="CSD1")),Num_FETS*0.5*IM_RMS_120*VDC_AVG*Z118*n*MOT_ELEC_FREQ/GDR_SINK,"")</f>
        <v/>
      </c>
      <c r="AG118" s="127" t="str">
        <f>IF(AND($A118&lt;&gt;0,$A118&lt;&gt;"",OR(RIGHT(Logic!B118,2)="T)",LEFT(Logic!B118,4)="CSD1")),DUTY*IM_RMS_120^2*V118*m/3/Num_FETS,"")</f>
        <v/>
      </c>
      <c r="AH118" s="127" t="str">
        <f>IF(AND($A118&lt;&gt;0,$A118&lt;&gt;"",OR(RIGHT(Logic!B118,2)="T)",LEFT(Logic!B118,4)="CSD1")),Num_FETS*0.5*IM_RMS_120*VDC_AVG*Z118*n*FSW*k/GDR_SRC/3,"")</f>
        <v/>
      </c>
      <c r="AI118" s="127" t="str">
        <f>IF(AND($A118&lt;&gt;0,$A118&lt;&gt;"",OR(RIGHT(Logic!B118,2)="T)",LEFT(Logic!B118,4)="CSD1")),Num_FETS*0.5*IM_RMS_120*VDC_AVG*Z118*n*FSW*k/GDR_SINK/3,"")</f>
        <v/>
      </c>
      <c r="AJ118" s="127" t="str">
        <f t="shared" si="57"/>
        <v/>
      </c>
      <c r="AK118" s="127" t="str">
        <f t="shared" si="58"/>
        <v/>
      </c>
      <c r="AL118" s="127" t="str">
        <f t="shared" si="59"/>
        <v/>
      </c>
      <c r="AM118" s="127" t="str">
        <f t="shared" si="55"/>
        <v/>
      </c>
      <c r="AN118" s="127">
        <f>IF(AND($A118&lt;&gt;0,$A118&lt;&gt;"",OR(RIGHT(Logic!B118,2)="C)",LEFT(Logic!B118,4)="CSD1")),SUM(AD118:AF118)+(AJ118/3)+AK118+AL118/6+AM118/6,AN119)</f>
        <v>0</v>
      </c>
      <c r="AO118" s="127">
        <f>IF(AND($A118&lt;&gt;0,$A118&lt;&gt;"",OR(RIGHT(Logic!B118,2)="T)",LEFT(Logic!B118,4)="CSD1")),SUM(AG118:AI118)+(AJ118/3)+AL118/6+AM118/6,AO117)</f>
        <v>0.23887636588496741</v>
      </c>
      <c r="AP118" s="48" t="str">
        <f t="shared" si="56"/>
        <v/>
      </c>
      <c r="AQ118" s="35" t="str">
        <f>IF(AND(A118&lt;&gt;0,A118&lt;&gt;""),LOOKUP(A118,Discrete_NFET[PARTNUMBER],Discrete_NFET[TI_EQ_PACKAGE]),"")</f>
        <v/>
      </c>
      <c r="AR118" s="49" t="str">
        <f>IF(AND(A118&lt;&gt;0,A118&lt;&gt;""),LOOKUP(A118,Discrete_NFET[PARTNUMBER],Discrete_NFET[1KPRICE]),"")</f>
        <v/>
      </c>
      <c r="AS118" s="35" t="str">
        <f>IF(AND($A118&lt;&gt;0,$A118&lt;&gt;""),CONCATENATE(TEXT(AP118,"0.00"),"W, ",IF('User Input'!F$11="Single Discrete",A118,IF('User Input'!F$11="Dual/Power Block",LEFT(A118,FIND(")",A118)-7),A118)),", ",AQ118,", ",TEXT(AR118,"$0.00")),"Invalid Part")</f>
        <v>Invalid Part</v>
      </c>
      <c r="AT118"/>
      <c r="AW118"/>
    </row>
    <row r="119" spans="1:50" ht="15" customHeight="1" x14ac:dyDescent="0.25">
      <c r="A119" s="35" t="str">
        <f>IF(OR(AND(FET_config="Dual/Power Block",LEFT(Logic!B119,4)="CSD8"),AND(FET_config="Single Discrete",LEFT(Logic!B119,4)="CSD1")),Logic!B119,"")</f>
        <v/>
      </c>
      <c r="B119" s="37" t="str">
        <f>IF(OR($A119=0,$A119=""),"0",IF(LOOKUP($A119,Discrete_NFET[PARTNUMBER],Discrete_NFET[RDSON25])="(NULL)","0","1"))</f>
        <v>0</v>
      </c>
      <c r="C119" s="38" t="str">
        <f>IF(OR($A119=0,$A119=""),"0",IF(LOOKUP($A119,Discrete_NFET[PARTNUMBER],Discrete_NFET[RDSON3])="(NULL)","0","1"))</f>
        <v>0</v>
      </c>
      <c r="D119" s="40" t="str">
        <f>IF(OR($A119=0,$A119=""),"0",IF(LOOKUP($A119,Discrete_NFET[PARTNUMBER],Discrete_NFET[RDSON45])="(NULL)","0","1"))</f>
        <v>0</v>
      </c>
      <c r="E119" s="45" t="str">
        <f>IF(OR($A119=0,$A119=""),"0",IF(LOOKUP($A119,Discrete_NFET[PARTNUMBER],Discrete_NFET[RDSON6])="(NULL)","0","1"))</f>
        <v>0</v>
      </c>
      <c r="F119" s="34" t="str">
        <f>IF(OR($A119=0,$A119=""),"0",IF(LOOKUP($A119,Discrete_NFET[PARTNUMBER],Discrete_NFET[RDSON8])="(NULL)","0","1"))</f>
        <v>0</v>
      </c>
      <c r="G119" s="43" t="str">
        <f>IF(OR($A119=0,$A119=""),"0",IF(LOOKUP($A119,Discrete_NFET[PARTNUMBER],Discrete_NFET[RDSON10])="(NULL)","0","1"))</f>
        <v>0</v>
      </c>
      <c r="H119" s="36" t="b">
        <f t="shared" si="41"/>
        <v>0</v>
      </c>
      <c r="I119" s="39" t="b">
        <f t="shared" si="42"/>
        <v>0</v>
      </c>
      <c r="J119" s="41" t="b">
        <f t="shared" si="43"/>
        <v>0</v>
      </c>
      <c r="K119" s="46" t="b">
        <f t="shared" si="44"/>
        <v>0</v>
      </c>
      <c r="L119" s="42" t="b">
        <f t="shared" si="45"/>
        <v>0</v>
      </c>
      <c r="M119" s="44" t="b">
        <f t="shared" si="46"/>
        <v>0</v>
      </c>
      <c r="N119" s="47" t="b">
        <f t="shared" si="47"/>
        <v>0</v>
      </c>
      <c r="O119" s="36" t="b">
        <f t="shared" si="48"/>
        <v>0</v>
      </c>
      <c r="P119" s="39" t="b">
        <f t="shared" si="49"/>
        <v>0</v>
      </c>
      <c r="Q119" s="41" t="b">
        <f t="shared" si="50"/>
        <v>0</v>
      </c>
      <c r="R119" s="46" t="b">
        <f t="shared" si="51"/>
        <v>0</v>
      </c>
      <c r="S119" s="42" t="b">
        <f t="shared" si="52"/>
        <v>0</v>
      </c>
      <c r="T119" s="44" t="b">
        <f t="shared" si="53"/>
        <v>0</v>
      </c>
      <c r="U119" s="148" t="str">
        <f>IF(T119,LOOKUP(A119,Discrete_NFET[PARTNUMBER],Discrete_NFET[RDSON10])*1000,IF(S119,LOOKUP(A119,Discrete_NFET[PARTNUMBER],Discrete_NFET[RDSON8])*1000,IF(R119,LOOKUP(A119,Discrete_NFET[PARTNUMBER],Discrete_NFET[RDSON6])*1000,IF(Q119,LOOKUP(A119,Discrete_NFET[PARTNUMBER],Discrete_NFET[RDSON45])*1000,IF(P119,LOOKUP(A119,Discrete_NFET[PARTNUMBER],Discrete_NFET[RDSON3])*1000,IF(O119,LOOKUP(A119,Discrete_NFET[PARTNUMBER],Discrete_NFET[RDSON25])*1000,""))))))</f>
        <v/>
      </c>
      <c r="V119" s="48" t="str">
        <f>IF(AND(A119&lt;&gt;0,A119&lt;&gt;""),U119*(1+(Tj-25)*(LOOKUP(A119,Discrete_NFET[PARTNUMBER],Discrete_NFET[RDSDELTA])/((LOOKUP(A119,Discrete_NFET[PARTNUMBER],Discrete_NFET[TJMAX])-25)))),"")</f>
        <v/>
      </c>
      <c r="W119" s="35" t="str">
        <f>IF(AND($A119&lt;&gt;0,$A119&lt;&gt;""),LOOKUP($A119,Discrete_NFET[PARTNUMBER],Discrete_NFET[QGS]),"")</f>
        <v/>
      </c>
      <c r="X119" s="35" t="str">
        <f>IF(AND($A119&lt;&gt;0,$A119&lt;&gt;""),LOOKUP($A119,Discrete_NFET[PARTNUMBER],Discrete_NFET[QGD]),"")</f>
        <v/>
      </c>
      <c r="Y119" s="35" t="str">
        <f>IF(AND($A119&lt;&gt;0,$A119&lt;&gt;""),LOOKUP($A119,Discrete_NFET[PARTNUMBER],Discrete_NFET[QGTH]),"")</f>
        <v/>
      </c>
      <c r="Z119" s="35" t="str">
        <f t="shared" si="54"/>
        <v/>
      </c>
      <c r="AA119" s="35" t="str">
        <f>IF(AND($A119&lt;&gt;0,$A119&lt;&gt;""),LOOKUP($A119,Discrete_NFET[PARTNUMBER],Discrete_NFET[QOSSTYP]),"")</f>
        <v/>
      </c>
      <c r="AB119" s="35" t="str">
        <f>IF(AND($A119&lt;&gt;0,$A119&lt;&gt;""),LOOKUP($A119,Discrete_NFET[PARTNUMBER],Discrete_NFET[QRR]),"")</f>
        <v/>
      </c>
      <c r="AC119" s="35" t="str">
        <f>IF(AND(A119&lt;&gt;0,A119&lt;&gt;""),LOOKUP(A119,Discrete_NFET[PARTNUMBER],Discrete_NFET[VF_TYP]),"")</f>
        <v/>
      </c>
      <c r="AD119" s="127" t="str">
        <f>IF(AND($A119&lt;&gt;0,$A119&lt;&gt;"",OR(RIGHT(Logic!B119,2)="C)",LEFT(Logic!B119,4)="CSD1")),(1+(1-DUTY))*IM_RMS_120^2*V119*m/3/Num_FETS,"")</f>
        <v/>
      </c>
      <c r="AE119" s="127" t="str">
        <f>IF(AND($A119&lt;&gt;0,$A119&lt;&gt;"",OR(RIGHT(Logic!B119,2)="C)",LEFT(Logic!B119,4)="CSD1")),Num_FETS*0.5*IM_RMS_120*VDC_AVG*Z119*n*MOT_ELEC_FREQ/GDR_SRC,"")</f>
        <v/>
      </c>
      <c r="AF119" s="127" t="str">
        <f>IF(AND($A119&lt;&gt;0,$A119&lt;&gt;"",OR(RIGHT(Logic!B119,2)="C)",LEFT(Logic!B119,4)="CSD1")),Num_FETS*0.5*IM_RMS_120*VDC_AVG*Z119*n*MOT_ELEC_FREQ/GDR_SINK,"")</f>
        <v/>
      </c>
      <c r="AG119" s="127" t="str">
        <f>IF(AND($A119&lt;&gt;0,$A119&lt;&gt;"",OR(RIGHT(Logic!B119,2)="T)",LEFT(Logic!B119,4)="CSD1")),DUTY*IM_RMS_120^2*V119*m/3/Num_FETS,"")</f>
        <v/>
      </c>
      <c r="AH119" s="127" t="str">
        <f>IF(AND($A119&lt;&gt;0,$A119&lt;&gt;"",OR(RIGHT(Logic!B119,2)="T)",LEFT(Logic!B119,4)="CSD1")),Num_FETS*0.5*IM_RMS_120*VDC_AVG*Z119*n*FSW*k/GDR_SRC/3,"")</f>
        <v/>
      </c>
      <c r="AI119" s="127" t="str">
        <f>IF(AND($A119&lt;&gt;0,$A119&lt;&gt;"",OR(RIGHT(Logic!B119,2)="T)",LEFT(Logic!B119,4)="CSD1")),Num_FETS*0.5*IM_RMS_120*VDC_AVG*Z119*n*FSW*k/GDR_SINK/3,"")</f>
        <v/>
      </c>
      <c r="AJ119" s="127" t="str">
        <f t="shared" si="57"/>
        <v/>
      </c>
      <c r="AK119" s="127" t="str">
        <f t="shared" si="58"/>
        <v/>
      </c>
      <c r="AL119" s="127" t="str">
        <f t="shared" si="59"/>
        <v/>
      </c>
      <c r="AM119" s="127" t="str">
        <f t="shared" si="55"/>
        <v/>
      </c>
      <c r="AN119" s="127">
        <f>IF(AND($A119&lt;&gt;0,$A119&lt;&gt;"",OR(RIGHT(Logic!B119,2)="C)",LEFT(Logic!B119,4)="CSD1")),SUM(AD119:AF119)+(AJ119/3)+AK119+AL119/6+AM119/6,AN120)</f>
        <v>0</v>
      </c>
      <c r="AO119" s="127">
        <f>IF(AND($A119&lt;&gt;0,$A119&lt;&gt;"",OR(RIGHT(Logic!B119,2)="T)",LEFT(Logic!B119,4)="CSD1")),SUM(AG119:AI119)+(AJ119/3)+AL119/6+AM119/6,AO118)</f>
        <v>0.23887636588496741</v>
      </c>
      <c r="AP119" s="48" t="str">
        <f t="shared" si="56"/>
        <v/>
      </c>
      <c r="AQ119" s="35" t="str">
        <f>IF(AND(A119&lt;&gt;0,A119&lt;&gt;""),LOOKUP(A119,Discrete_NFET[PARTNUMBER],Discrete_NFET[TI_EQ_PACKAGE]),"")</f>
        <v/>
      </c>
      <c r="AR119" s="49" t="str">
        <f>IF(AND(A119&lt;&gt;0,A119&lt;&gt;""),LOOKUP(A119,Discrete_NFET[PARTNUMBER],Discrete_NFET[1KPRICE]),"")</f>
        <v/>
      </c>
      <c r="AS119" s="35" t="str">
        <f>IF(AND($A119&lt;&gt;0,$A119&lt;&gt;""),CONCATENATE(TEXT(AP119,"0.00"),"W, ",IF('User Input'!F$11="Single Discrete",A119,IF('User Input'!F$11="Dual/Power Block",LEFT(A119,FIND(")",A119)-7),A119)),", ",AQ119,", ",TEXT(AR119,"$0.00")),"Invalid Part")</f>
        <v>Invalid Part</v>
      </c>
      <c r="AT119"/>
      <c r="AW119"/>
    </row>
    <row r="120" spans="1:50" ht="15" customHeight="1" x14ac:dyDescent="0.25">
      <c r="A120" s="35" t="str">
        <f>IF(OR(AND(FET_config="Dual/Power Block",LEFT(Logic!B120,4)="CSD8"),AND(FET_config="Single Discrete",LEFT(Logic!B120,4)="CSD1")),Logic!B120,"")</f>
        <v/>
      </c>
      <c r="B120" s="37" t="str">
        <f>IF(OR($A120=0,$A120=""),"0",IF(LOOKUP($A120,Discrete_NFET[PARTNUMBER],Discrete_NFET[RDSON25])="(NULL)","0","1"))</f>
        <v>0</v>
      </c>
      <c r="C120" s="38" t="str">
        <f>IF(OR($A120=0,$A120=""),"0",IF(LOOKUP($A120,Discrete_NFET[PARTNUMBER],Discrete_NFET[RDSON3])="(NULL)","0","1"))</f>
        <v>0</v>
      </c>
      <c r="D120" s="40" t="str">
        <f>IF(OR($A120=0,$A120=""),"0",IF(LOOKUP($A120,Discrete_NFET[PARTNUMBER],Discrete_NFET[RDSON45])="(NULL)","0","1"))</f>
        <v>0</v>
      </c>
      <c r="E120" s="45" t="str">
        <f>IF(OR($A120=0,$A120=""),"0",IF(LOOKUP($A120,Discrete_NFET[PARTNUMBER],Discrete_NFET[RDSON6])="(NULL)","0","1"))</f>
        <v>0</v>
      </c>
      <c r="F120" s="34" t="str">
        <f>IF(OR($A120=0,$A120=""),"0",IF(LOOKUP($A120,Discrete_NFET[PARTNUMBER],Discrete_NFET[RDSON8])="(NULL)","0","1"))</f>
        <v>0</v>
      </c>
      <c r="G120" s="43" t="str">
        <f>IF(OR($A120=0,$A120=""),"0",IF(LOOKUP($A120,Discrete_NFET[PARTNUMBER],Discrete_NFET[RDSON10])="(NULL)","0","1"))</f>
        <v>0</v>
      </c>
      <c r="H120" s="36" t="b">
        <f t="shared" si="41"/>
        <v>0</v>
      </c>
      <c r="I120" s="39" t="b">
        <f t="shared" si="42"/>
        <v>0</v>
      </c>
      <c r="J120" s="41" t="b">
        <f t="shared" si="43"/>
        <v>0</v>
      </c>
      <c r="K120" s="46" t="b">
        <f t="shared" si="44"/>
        <v>0</v>
      </c>
      <c r="L120" s="42" t="b">
        <f t="shared" si="45"/>
        <v>0</v>
      </c>
      <c r="M120" s="44" t="b">
        <f t="shared" si="46"/>
        <v>0</v>
      </c>
      <c r="N120" s="47" t="b">
        <f t="shared" si="47"/>
        <v>0</v>
      </c>
      <c r="O120" s="36" t="b">
        <f t="shared" si="48"/>
        <v>0</v>
      </c>
      <c r="P120" s="39" t="b">
        <f t="shared" si="49"/>
        <v>0</v>
      </c>
      <c r="Q120" s="41" t="b">
        <f t="shared" si="50"/>
        <v>0</v>
      </c>
      <c r="R120" s="46" t="b">
        <f t="shared" si="51"/>
        <v>0</v>
      </c>
      <c r="S120" s="42" t="b">
        <f t="shared" si="52"/>
        <v>0</v>
      </c>
      <c r="T120" s="44" t="b">
        <f t="shared" si="53"/>
        <v>0</v>
      </c>
      <c r="U120" s="148" t="str">
        <f>IF(T120,LOOKUP(A120,Discrete_NFET[PARTNUMBER],Discrete_NFET[RDSON10])*1000,IF(S120,LOOKUP(A120,Discrete_NFET[PARTNUMBER],Discrete_NFET[RDSON8])*1000,IF(R120,LOOKUP(A120,Discrete_NFET[PARTNUMBER],Discrete_NFET[RDSON6])*1000,IF(Q120,LOOKUP(A120,Discrete_NFET[PARTNUMBER],Discrete_NFET[RDSON45])*1000,IF(P120,LOOKUP(A120,Discrete_NFET[PARTNUMBER],Discrete_NFET[RDSON3])*1000,IF(O120,LOOKUP(A120,Discrete_NFET[PARTNUMBER],Discrete_NFET[RDSON25])*1000,""))))))</f>
        <v/>
      </c>
      <c r="V120" s="48" t="str">
        <f>IF(AND(A120&lt;&gt;0,A120&lt;&gt;""),U120*(1+(Tj-25)*(LOOKUP(A120,Discrete_NFET[PARTNUMBER],Discrete_NFET[RDSDELTA])/((LOOKUP(A120,Discrete_NFET[PARTNUMBER],Discrete_NFET[TJMAX])-25)))),"")</f>
        <v/>
      </c>
      <c r="W120" s="35" t="str">
        <f>IF(AND($A120&lt;&gt;0,$A120&lt;&gt;""),LOOKUP($A120,Discrete_NFET[PARTNUMBER],Discrete_NFET[QGS]),"")</f>
        <v/>
      </c>
      <c r="X120" s="35" t="str">
        <f>IF(AND($A120&lt;&gt;0,$A120&lt;&gt;""),LOOKUP($A120,Discrete_NFET[PARTNUMBER],Discrete_NFET[QGD]),"")</f>
        <v/>
      </c>
      <c r="Y120" s="35" t="str">
        <f>IF(AND($A120&lt;&gt;0,$A120&lt;&gt;""),LOOKUP($A120,Discrete_NFET[PARTNUMBER],Discrete_NFET[QGTH]),"")</f>
        <v/>
      </c>
      <c r="Z120" s="35" t="str">
        <f t="shared" si="54"/>
        <v/>
      </c>
      <c r="AA120" s="35" t="str">
        <f>IF(AND($A120&lt;&gt;0,$A120&lt;&gt;""),LOOKUP($A120,Discrete_NFET[PARTNUMBER],Discrete_NFET[QOSSTYP]),"")</f>
        <v/>
      </c>
      <c r="AB120" s="35" t="str">
        <f>IF(AND($A120&lt;&gt;0,$A120&lt;&gt;""),LOOKUP($A120,Discrete_NFET[PARTNUMBER],Discrete_NFET[QRR]),"")</f>
        <v/>
      </c>
      <c r="AC120" s="35" t="str">
        <f>IF(AND(A120&lt;&gt;0,A120&lt;&gt;""),LOOKUP(A120,Discrete_NFET[PARTNUMBER],Discrete_NFET[VF_TYP]),"")</f>
        <v/>
      </c>
      <c r="AD120" s="127" t="str">
        <f>IF(AND($A120&lt;&gt;0,$A120&lt;&gt;"",OR(RIGHT(Logic!B120,2)="C)",LEFT(Logic!B120,4)="CSD1")),(1+(1-DUTY))*IM_RMS_120^2*V120*m/3/Num_FETS,"")</f>
        <v/>
      </c>
      <c r="AE120" s="127" t="str">
        <f>IF(AND($A120&lt;&gt;0,$A120&lt;&gt;"",OR(RIGHT(Logic!B120,2)="C)",LEFT(Logic!B120,4)="CSD1")),Num_FETS*0.5*IM_RMS_120*VDC_AVG*Z120*n*MOT_ELEC_FREQ/GDR_SRC,"")</f>
        <v/>
      </c>
      <c r="AF120" s="127" t="str">
        <f>IF(AND($A120&lt;&gt;0,$A120&lt;&gt;"",OR(RIGHT(Logic!B120,2)="C)",LEFT(Logic!B120,4)="CSD1")),Num_FETS*0.5*IM_RMS_120*VDC_AVG*Z120*n*MOT_ELEC_FREQ/GDR_SINK,"")</f>
        <v/>
      </c>
      <c r="AG120" s="127" t="str">
        <f>IF(AND($A120&lt;&gt;0,$A120&lt;&gt;"",OR(RIGHT(Logic!B120,2)="T)",LEFT(Logic!B120,4)="CSD1")),DUTY*IM_RMS_120^2*V120*m/3/Num_FETS,"")</f>
        <v/>
      </c>
      <c r="AH120" s="127" t="str">
        <f>IF(AND($A120&lt;&gt;0,$A120&lt;&gt;"",OR(RIGHT(Logic!B120,2)="T)",LEFT(Logic!B120,4)="CSD1")),Num_FETS*0.5*IM_RMS_120*VDC_AVG*Z120*n*FSW*k/GDR_SRC/3,"")</f>
        <v/>
      </c>
      <c r="AI120" s="127" t="str">
        <f>IF(AND($A120&lt;&gt;0,$A120&lt;&gt;"",OR(RIGHT(Logic!B120,2)="T)",LEFT(Logic!B120,4)="CSD1")),Num_FETS*0.5*IM_RMS_120*VDC_AVG*Z120*n*FSW*k/GDR_SINK/3,"")</f>
        <v/>
      </c>
      <c r="AJ120" s="127" t="str">
        <f t="shared" si="57"/>
        <v/>
      </c>
      <c r="AK120" s="127" t="str">
        <f t="shared" si="58"/>
        <v/>
      </c>
      <c r="AL120" s="127" t="str">
        <f t="shared" si="59"/>
        <v/>
      </c>
      <c r="AM120" s="127" t="str">
        <f t="shared" si="55"/>
        <v/>
      </c>
      <c r="AN120" s="127">
        <f>IF(AND($A120&lt;&gt;0,$A120&lt;&gt;"",OR(RIGHT(Logic!B120,2)="C)",LEFT(Logic!B120,4)="CSD1")),SUM(AD120:AF120)+(AJ120/3)+AK120+AL120/6+AM120/6,AN121)</f>
        <v>0</v>
      </c>
      <c r="AO120" s="127">
        <f>IF(AND($A120&lt;&gt;0,$A120&lt;&gt;"",OR(RIGHT(Logic!B120,2)="T)",LEFT(Logic!B120,4)="CSD1")),SUM(AG120:AI120)+(AJ120/3)+AL120/6+AM120/6,AO119)</f>
        <v>0.23887636588496741</v>
      </c>
      <c r="AP120" s="48" t="str">
        <f t="shared" si="56"/>
        <v/>
      </c>
      <c r="AQ120" s="35" t="str">
        <f>IF(AND(A120&lt;&gt;0,A120&lt;&gt;""),LOOKUP(A120,Discrete_NFET[PARTNUMBER],Discrete_NFET[TI_EQ_PACKAGE]),"")</f>
        <v/>
      </c>
      <c r="AR120" s="49" t="str">
        <f>IF(AND(A120&lt;&gt;0,A120&lt;&gt;""),LOOKUP(A120,Discrete_NFET[PARTNUMBER],Discrete_NFET[1KPRICE]),"")</f>
        <v/>
      </c>
      <c r="AS120" s="35" t="str">
        <f>IF(AND($A120&lt;&gt;0,$A120&lt;&gt;""),CONCATENATE(TEXT(AP120,"0.00"),"W, ",IF('User Input'!F$11="Single Discrete",A120,IF('User Input'!F$11="Dual/Power Block",LEFT(A120,FIND(")",A120)-7),A120)),", ",AQ120,", ",TEXT(AR120,"$0.00")),"Invalid Part")</f>
        <v>Invalid Part</v>
      </c>
      <c r="AT120"/>
      <c r="AW120"/>
    </row>
    <row r="121" spans="1:50" ht="15" customHeight="1" x14ac:dyDescent="0.25">
      <c r="A121" s="35" t="str">
        <f>IF(OR(AND(FET_config="Dual/Power Block",LEFT(Logic!B121,4)="CSD8"),AND(FET_config="Single Discrete",LEFT(Logic!B121,4)="CSD1")),Logic!B121,"")</f>
        <v/>
      </c>
      <c r="B121" s="37" t="str">
        <f>IF(OR($A121=0,$A121=""),"0",IF(LOOKUP($A121,Discrete_NFET[PARTNUMBER],Discrete_NFET[RDSON25])="(NULL)","0","1"))</f>
        <v>0</v>
      </c>
      <c r="C121" s="38" t="str">
        <f>IF(OR($A121=0,$A121=""),"0",IF(LOOKUP($A121,Discrete_NFET[PARTNUMBER],Discrete_NFET[RDSON3])="(NULL)","0","1"))</f>
        <v>0</v>
      </c>
      <c r="D121" s="40" t="str">
        <f>IF(OR($A121=0,$A121=""),"0",IF(LOOKUP($A121,Discrete_NFET[PARTNUMBER],Discrete_NFET[RDSON45])="(NULL)","0","1"))</f>
        <v>0</v>
      </c>
      <c r="E121" s="45" t="str">
        <f>IF(OR($A121=0,$A121=""),"0",IF(LOOKUP($A121,Discrete_NFET[PARTNUMBER],Discrete_NFET[RDSON6])="(NULL)","0","1"))</f>
        <v>0</v>
      </c>
      <c r="F121" s="34" t="str">
        <f>IF(OR($A121=0,$A121=""),"0",IF(LOOKUP($A121,Discrete_NFET[PARTNUMBER],Discrete_NFET[RDSON8])="(NULL)","0","1"))</f>
        <v>0</v>
      </c>
      <c r="G121" s="43" t="str">
        <f>IF(OR($A121=0,$A121=""),"0",IF(LOOKUP($A121,Discrete_NFET[PARTNUMBER],Discrete_NFET[RDSON10])="(NULL)","0","1"))</f>
        <v>0</v>
      </c>
      <c r="H121" s="36" t="b">
        <f t="shared" si="41"/>
        <v>0</v>
      </c>
      <c r="I121" s="39" t="b">
        <f t="shared" si="42"/>
        <v>0</v>
      </c>
      <c r="J121" s="41" t="b">
        <f t="shared" si="43"/>
        <v>0</v>
      </c>
      <c r="K121" s="46" t="b">
        <f t="shared" si="44"/>
        <v>0</v>
      </c>
      <c r="L121" s="42" t="b">
        <f t="shared" si="45"/>
        <v>0</v>
      </c>
      <c r="M121" s="44" t="b">
        <f t="shared" si="46"/>
        <v>0</v>
      </c>
      <c r="N121" s="47" t="b">
        <f t="shared" si="47"/>
        <v>0</v>
      </c>
      <c r="O121" s="36" t="b">
        <f t="shared" si="48"/>
        <v>0</v>
      </c>
      <c r="P121" s="39" t="b">
        <f t="shared" si="49"/>
        <v>0</v>
      </c>
      <c r="Q121" s="41" t="b">
        <f t="shared" si="50"/>
        <v>0</v>
      </c>
      <c r="R121" s="46" t="b">
        <f t="shared" si="51"/>
        <v>0</v>
      </c>
      <c r="S121" s="42" t="b">
        <f t="shared" si="52"/>
        <v>0</v>
      </c>
      <c r="T121" s="44" t="b">
        <f t="shared" si="53"/>
        <v>0</v>
      </c>
      <c r="U121" s="148" t="str">
        <f>IF(T121,LOOKUP(A121,Discrete_NFET[PARTNUMBER],Discrete_NFET[RDSON10])*1000,IF(S121,LOOKUP(A121,Discrete_NFET[PARTNUMBER],Discrete_NFET[RDSON8])*1000,IF(R121,LOOKUP(A121,Discrete_NFET[PARTNUMBER],Discrete_NFET[RDSON6])*1000,IF(Q121,LOOKUP(A121,Discrete_NFET[PARTNUMBER],Discrete_NFET[RDSON45])*1000,IF(P121,LOOKUP(A121,Discrete_NFET[PARTNUMBER],Discrete_NFET[RDSON3])*1000,IF(O121,LOOKUP(A121,Discrete_NFET[PARTNUMBER],Discrete_NFET[RDSON25])*1000,""))))))</f>
        <v/>
      </c>
      <c r="V121" s="48" t="str">
        <f>IF(AND(A121&lt;&gt;0,A121&lt;&gt;""),U121*(1+(Tj-25)*(LOOKUP(A121,Discrete_NFET[PARTNUMBER],Discrete_NFET[RDSDELTA])/((LOOKUP(A121,Discrete_NFET[PARTNUMBER],Discrete_NFET[TJMAX])-25)))),"")</f>
        <v/>
      </c>
      <c r="W121" s="35" t="str">
        <f>IF(AND($A121&lt;&gt;0,$A121&lt;&gt;""),LOOKUP($A121,Discrete_NFET[PARTNUMBER],Discrete_NFET[QGS]),"")</f>
        <v/>
      </c>
      <c r="X121" s="35" t="str">
        <f>IF(AND($A121&lt;&gt;0,$A121&lt;&gt;""),LOOKUP($A121,Discrete_NFET[PARTNUMBER],Discrete_NFET[QGD]),"")</f>
        <v/>
      </c>
      <c r="Y121" s="35" t="str">
        <f>IF(AND($A121&lt;&gt;0,$A121&lt;&gt;""),LOOKUP($A121,Discrete_NFET[PARTNUMBER],Discrete_NFET[QGTH]),"")</f>
        <v/>
      </c>
      <c r="Z121" s="35" t="str">
        <f t="shared" si="54"/>
        <v/>
      </c>
      <c r="AA121" s="35" t="str">
        <f>IF(AND($A121&lt;&gt;0,$A121&lt;&gt;""),LOOKUP($A121,Discrete_NFET[PARTNUMBER],Discrete_NFET[QOSSTYP]),"")</f>
        <v/>
      </c>
      <c r="AB121" s="35" t="str">
        <f>IF(AND($A121&lt;&gt;0,$A121&lt;&gt;""),LOOKUP($A121,Discrete_NFET[PARTNUMBER],Discrete_NFET[QRR]),"")</f>
        <v/>
      </c>
      <c r="AC121" s="35" t="str">
        <f>IF(AND(A121&lt;&gt;0,A121&lt;&gt;""),LOOKUP(A121,Discrete_NFET[PARTNUMBER],Discrete_NFET[VF_TYP]),"")</f>
        <v/>
      </c>
      <c r="AD121" s="127" t="str">
        <f>IF(AND($A121&lt;&gt;0,$A121&lt;&gt;"",OR(RIGHT(Logic!B121,2)="C)",LEFT(Logic!B121,4)="CSD1")),(1+(1-DUTY))*IM_RMS_120^2*V121*m/3/Num_FETS,"")</f>
        <v/>
      </c>
      <c r="AE121" s="127" t="str">
        <f>IF(AND($A121&lt;&gt;0,$A121&lt;&gt;"",OR(RIGHT(Logic!B121,2)="C)",LEFT(Logic!B121,4)="CSD1")),Num_FETS*0.5*IM_RMS_120*VDC_AVG*Z121*n*MOT_ELEC_FREQ/GDR_SRC,"")</f>
        <v/>
      </c>
      <c r="AF121" s="127" t="str">
        <f>IF(AND($A121&lt;&gt;0,$A121&lt;&gt;"",OR(RIGHT(Logic!B121,2)="C)",LEFT(Logic!B121,4)="CSD1")),Num_FETS*0.5*IM_RMS_120*VDC_AVG*Z121*n*MOT_ELEC_FREQ/GDR_SINK,"")</f>
        <v/>
      </c>
      <c r="AG121" s="127" t="str">
        <f>IF(AND($A121&lt;&gt;0,$A121&lt;&gt;"",OR(RIGHT(Logic!B121,2)="T)",LEFT(Logic!B121,4)="CSD1")),DUTY*IM_RMS_120^2*V121*m/3/Num_FETS,"")</f>
        <v/>
      </c>
      <c r="AH121" s="127" t="str">
        <f>IF(AND($A121&lt;&gt;0,$A121&lt;&gt;"",OR(RIGHT(Logic!B121,2)="T)",LEFT(Logic!B121,4)="CSD1")),Num_FETS*0.5*IM_RMS_120*VDC_AVG*Z121*n*FSW*k/GDR_SRC/3,"")</f>
        <v/>
      </c>
      <c r="AI121" s="127" t="str">
        <f>IF(AND($A121&lt;&gt;0,$A121&lt;&gt;"",OR(RIGHT(Logic!B121,2)="T)",LEFT(Logic!B121,4)="CSD1")),Num_FETS*0.5*IM_RMS_120*VDC_AVG*Z121*n*FSW*k/GDR_SINK/3,"")</f>
        <v/>
      </c>
      <c r="AJ121" s="127" t="str">
        <f t="shared" si="57"/>
        <v/>
      </c>
      <c r="AK121" s="127" t="str">
        <f t="shared" si="58"/>
        <v/>
      </c>
      <c r="AL121" s="127" t="str">
        <f t="shared" si="59"/>
        <v/>
      </c>
      <c r="AM121" s="127" t="str">
        <f t="shared" si="55"/>
        <v/>
      </c>
      <c r="AN121" s="127">
        <f>IF(AND($A121&lt;&gt;0,$A121&lt;&gt;"",OR(RIGHT(Logic!B121,2)="C)",LEFT(Logic!B121,4)="CSD1")),SUM(AD121:AF121)+(AJ121/3)+AK121+AL121/6+AM121/6,AN122)</f>
        <v>0</v>
      </c>
      <c r="AO121" s="127">
        <f>IF(AND($A121&lt;&gt;0,$A121&lt;&gt;"",OR(RIGHT(Logic!B121,2)="T)",LEFT(Logic!B121,4)="CSD1")),SUM(AG121:AI121)+(AJ121/3)+AL121/6+AM121/6,AO120)</f>
        <v>0.23887636588496741</v>
      </c>
      <c r="AP121" s="48" t="str">
        <f t="shared" si="56"/>
        <v/>
      </c>
      <c r="AQ121" s="35" t="str">
        <f>IF(AND(A121&lt;&gt;0,A121&lt;&gt;""),LOOKUP(A121,Discrete_NFET[PARTNUMBER],Discrete_NFET[TI_EQ_PACKAGE]),"")</f>
        <v/>
      </c>
      <c r="AR121" s="49" t="str">
        <f>IF(AND(A121&lt;&gt;0,A121&lt;&gt;""),LOOKUP(A121,Discrete_NFET[PARTNUMBER],Discrete_NFET[1KPRICE]),"")</f>
        <v/>
      </c>
      <c r="AS121" s="35" t="str">
        <f>IF(AND($A121&lt;&gt;0,$A121&lt;&gt;""),CONCATENATE(TEXT(AP121,"0.00"),"W, ",IF('User Input'!F$11="Single Discrete",A121,IF('User Input'!F$11="Dual/Power Block",LEFT(A121,FIND(")",A121)-7),A121)),", ",AQ121,", ",TEXT(AR121,"$0.00")),"Invalid Part")</f>
        <v>Invalid Part</v>
      </c>
      <c r="AT121"/>
      <c r="AW121"/>
    </row>
    <row r="122" spans="1:50" ht="15" customHeight="1" x14ac:dyDescent="0.25">
      <c r="A122" s="35" t="str">
        <f>IF(OR(AND(FET_config="Dual/Power Block",LEFT(Logic!B122,4)="CSD8"),AND(FET_config="Single Discrete",LEFT(Logic!B122,4)="CSD1")),Logic!B122,"")</f>
        <v/>
      </c>
      <c r="B122" s="37" t="str">
        <f>IF(OR($A122=0,$A122=""),"0",IF(LOOKUP($A122,Discrete_NFET[PARTNUMBER],Discrete_NFET[RDSON25])="(NULL)","0","1"))</f>
        <v>0</v>
      </c>
      <c r="C122" s="38" t="str">
        <f>IF(OR($A122=0,$A122=""),"0",IF(LOOKUP($A122,Discrete_NFET[PARTNUMBER],Discrete_NFET[RDSON3])="(NULL)","0","1"))</f>
        <v>0</v>
      </c>
      <c r="D122" s="40" t="str">
        <f>IF(OR($A122=0,$A122=""),"0",IF(LOOKUP($A122,Discrete_NFET[PARTNUMBER],Discrete_NFET[RDSON45])="(NULL)","0","1"))</f>
        <v>0</v>
      </c>
      <c r="E122" s="45" t="str">
        <f>IF(OR($A122=0,$A122=""),"0",IF(LOOKUP($A122,Discrete_NFET[PARTNUMBER],Discrete_NFET[RDSON6])="(NULL)","0","1"))</f>
        <v>0</v>
      </c>
      <c r="F122" s="34" t="str">
        <f>IF(OR($A122=0,$A122=""),"0",IF(LOOKUP($A122,Discrete_NFET[PARTNUMBER],Discrete_NFET[RDSON8])="(NULL)","0","1"))</f>
        <v>0</v>
      </c>
      <c r="G122" s="43" t="str">
        <f>IF(OR($A122=0,$A122=""),"0",IF(LOOKUP($A122,Discrete_NFET[PARTNUMBER],Discrete_NFET[RDSON10])="(NULL)","0","1"))</f>
        <v>0</v>
      </c>
      <c r="H122" s="36" t="b">
        <f t="shared" si="41"/>
        <v>0</v>
      </c>
      <c r="I122" s="39" t="b">
        <f t="shared" si="42"/>
        <v>0</v>
      </c>
      <c r="J122" s="41" t="b">
        <f t="shared" si="43"/>
        <v>0</v>
      </c>
      <c r="K122" s="46" t="b">
        <f t="shared" si="44"/>
        <v>0</v>
      </c>
      <c r="L122" s="42" t="b">
        <f t="shared" si="45"/>
        <v>0</v>
      </c>
      <c r="M122" s="44" t="b">
        <f t="shared" si="46"/>
        <v>0</v>
      </c>
      <c r="N122" s="47" t="b">
        <f t="shared" si="47"/>
        <v>0</v>
      </c>
      <c r="O122" s="36" t="b">
        <f t="shared" si="48"/>
        <v>0</v>
      </c>
      <c r="P122" s="39" t="b">
        <f t="shared" si="49"/>
        <v>0</v>
      </c>
      <c r="Q122" s="41" t="b">
        <f t="shared" si="50"/>
        <v>0</v>
      </c>
      <c r="R122" s="46" t="b">
        <f t="shared" si="51"/>
        <v>0</v>
      </c>
      <c r="S122" s="42" t="b">
        <f t="shared" si="52"/>
        <v>0</v>
      </c>
      <c r="T122" s="44" t="b">
        <f t="shared" si="53"/>
        <v>0</v>
      </c>
      <c r="U122" s="148" t="str">
        <f>IF(T122,LOOKUP(A122,Discrete_NFET[PARTNUMBER],Discrete_NFET[RDSON10])*1000,IF(S122,LOOKUP(A122,Discrete_NFET[PARTNUMBER],Discrete_NFET[RDSON8])*1000,IF(R122,LOOKUP(A122,Discrete_NFET[PARTNUMBER],Discrete_NFET[RDSON6])*1000,IF(Q122,LOOKUP(A122,Discrete_NFET[PARTNUMBER],Discrete_NFET[RDSON45])*1000,IF(P122,LOOKUP(A122,Discrete_NFET[PARTNUMBER],Discrete_NFET[RDSON3])*1000,IF(O122,LOOKUP(A122,Discrete_NFET[PARTNUMBER],Discrete_NFET[RDSON25])*1000,""))))))</f>
        <v/>
      </c>
      <c r="V122" s="48" t="str">
        <f>IF(AND(A122&lt;&gt;0,A122&lt;&gt;""),U122*(1+(Tj-25)*(LOOKUP(A122,Discrete_NFET[PARTNUMBER],Discrete_NFET[RDSDELTA])/((LOOKUP(A122,Discrete_NFET[PARTNUMBER],Discrete_NFET[TJMAX])-25)))),"")</f>
        <v/>
      </c>
      <c r="W122" s="35" t="str">
        <f>IF(AND($A122&lt;&gt;0,$A122&lt;&gt;""),LOOKUP($A122,Discrete_NFET[PARTNUMBER],Discrete_NFET[QGS]),"")</f>
        <v/>
      </c>
      <c r="X122" s="35" t="str">
        <f>IF(AND($A122&lt;&gt;0,$A122&lt;&gt;""),LOOKUP($A122,Discrete_NFET[PARTNUMBER],Discrete_NFET[QGD]),"")</f>
        <v/>
      </c>
      <c r="Y122" s="35" t="str">
        <f>IF(AND($A122&lt;&gt;0,$A122&lt;&gt;""),LOOKUP($A122,Discrete_NFET[PARTNUMBER],Discrete_NFET[QGTH]),"")</f>
        <v/>
      </c>
      <c r="Z122" s="35" t="str">
        <f t="shared" si="54"/>
        <v/>
      </c>
      <c r="AA122" s="35" t="str">
        <f>IF(AND($A122&lt;&gt;0,$A122&lt;&gt;""),LOOKUP($A122,Discrete_NFET[PARTNUMBER],Discrete_NFET[QOSSTYP]),"")</f>
        <v/>
      </c>
      <c r="AB122" s="35" t="str">
        <f>IF(AND($A122&lt;&gt;0,$A122&lt;&gt;""),LOOKUP($A122,Discrete_NFET[PARTNUMBER],Discrete_NFET[QRR]),"")</f>
        <v/>
      </c>
      <c r="AC122" s="35" t="str">
        <f>IF(AND(A122&lt;&gt;0,A122&lt;&gt;""),LOOKUP(A122,Discrete_NFET[PARTNUMBER],Discrete_NFET[VF_TYP]),"")</f>
        <v/>
      </c>
      <c r="AD122" s="127" t="str">
        <f>IF(AND($A122&lt;&gt;0,$A122&lt;&gt;"",OR(RIGHT(Logic!B122,2)="C)",LEFT(Logic!B122,4)="CSD1")),(1+(1-DUTY))*IM_RMS_120^2*V122*m/3/Num_FETS,"")</f>
        <v/>
      </c>
      <c r="AE122" s="127" t="str">
        <f>IF(AND($A122&lt;&gt;0,$A122&lt;&gt;"",OR(RIGHT(Logic!B122,2)="C)",LEFT(Logic!B122,4)="CSD1")),Num_FETS*0.5*IM_RMS_120*VDC_AVG*Z122*n*MOT_ELEC_FREQ/GDR_SRC,"")</f>
        <v/>
      </c>
      <c r="AF122" s="127" t="str">
        <f>IF(AND($A122&lt;&gt;0,$A122&lt;&gt;"",OR(RIGHT(Logic!B122,2)="C)",LEFT(Logic!B122,4)="CSD1")),Num_FETS*0.5*IM_RMS_120*VDC_AVG*Z122*n*MOT_ELEC_FREQ/GDR_SINK,"")</f>
        <v/>
      </c>
      <c r="AG122" s="127" t="str">
        <f>IF(AND($A122&lt;&gt;0,$A122&lt;&gt;"",OR(RIGHT(Logic!B122,2)="T)",LEFT(Logic!B122,4)="CSD1")),DUTY*IM_RMS_120^2*V122*m/3/Num_FETS,"")</f>
        <v/>
      </c>
      <c r="AH122" s="127" t="str">
        <f>IF(AND($A122&lt;&gt;0,$A122&lt;&gt;"",OR(RIGHT(Logic!B122,2)="T)",LEFT(Logic!B122,4)="CSD1")),Num_FETS*0.5*IM_RMS_120*VDC_AVG*Z122*n*FSW*k/GDR_SRC/3,"")</f>
        <v/>
      </c>
      <c r="AI122" s="127" t="str">
        <f>IF(AND($A122&lt;&gt;0,$A122&lt;&gt;"",OR(RIGHT(Logic!B122,2)="T)",LEFT(Logic!B122,4)="CSD1")),Num_FETS*0.5*IM_RMS_120*VDC_AVG*Z122*n*FSW*k/GDR_SINK/3,"")</f>
        <v/>
      </c>
      <c r="AJ122" s="127" t="str">
        <f t="shared" si="57"/>
        <v/>
      </c>
      <c r="AK122" s="127" t="str">
        <f t="shared" si="58"/>
        <v/>
      </c>
      <c r="AL122" s="127" t="str">
        <f t="shared" si="59"/>
        <v/>
      </c>
      <c r="AM122" s="127" t="str">
        <f t="shared" si="55"/>
        <v/>
      </c>
      <c r="AN122" s="127">
        <f>IF(AND($A122&lt;&gt;0,$A122&lt;&gt;"",OR(RIGHT(Logic!B122,2)="C)",LEFT(Logic!B122,4)="CSD1")),SUM(AD122:AF122)+(AJ122/3)+AK122+AL122/6+AM122/6,AN123)</f>
        <v>0</v>
      </c>
      <c r="AO122" s="127">
        <f>IF(AND($A122&lt;&gt;0,$A122&lt;&gt;"",OR(RIGHT(Logic!B122,2)="T)",LEFT(Logic!B122,4)="CSD1")),SUM(AG122:AI122)+(AJ122/3)+AL122/6+AM122/6,AO121)</f>
        <v>0.23887636588496741</v>
      </c>
      <c r="AP122" s="48" t="str">
        <f t="shared" si="56"/>
        <v/>
      </c>
      <c r="AQ122" s="35" t="str">
        <f>IF(AND(A122&lt;&gt;0,A122&lt;&gt;""),LOOKUP(A122,Discrete_NFET[PARTNUMBER],Discrete_NFET[TI_EQ_PACKAGE]),"")</f>
        <v/>
      </c>
      <c r="AR122" s="49" t="str">
        <f>IF(AND(A122&lt;&gt;0,A122&lt;&gt;""),LOOKUP(A122,Discrete_NFET[PARTNUMBER],Discrete_NFET[1KPRICE]),"")</f>
        <v/>
      </c>
      <c r="AS122" s="35" t="str">
        <f>IF(AND($A122&lt;&gt;0,$A122&lt;&gt;""),CONCATENATE(TEXT(AP122,"0.00"),"W, ",IF('User Input'!F$11="Single Discrete",A122,IF('User Input'!F$11="Dual/Power Block",LEFT(A122,FIND(")",A122)-7),A122)),", ",AQ122,", ",TEXT(AR122,"$0.00")),"Invalid Part")</f>
        <v>Invalid Part</v>
      </c>
      <c r="AT122"/>
      <c r="AW122"/>
    </row>
    <row r="123" spans="1:50" ht="15" customHeight="1" x14ac:dyDescent="0.25">
      <c r="A123" s="35" t="str">
        <f>IF(OR(AND(FET_config="Dual/Power Block",LEFT(Logic!B123,4)="CSD8"),AND(FET_config="Single Discrete",LEFT(Logic!B123,4)="CSD1")),Logic!B123,"")</f>
        <v/>
      </c>
      <c r="B123" s="37" t="str">
        <f>IF(OR($A123=0,$A123=""),"0",IF(LOOKUP($A123,Discrete_NFET[PARTNUMBER],Discrete_NFET[RDSON25])="(NULL)","0","1"))</f>
        <v>0</v>
      </c>
      <c r="C123" s="38" t="str">
        <f>IF(OR($A123=0,$A123=""),"0",IF(LOOKUP($A123,Discrete_NFET[PARTNUMBER],Discrete_NFET[RDSON3])="(NULL)","0","1"))</f>
        <v>0</v>
      </c>
      <c r="D123" s="40" t="str">
        <f>IF(OR($A123=0,$A123=""),"0",IF(LOOKUP($A123,Discrete_NFET[PARTNUMBER],Discrete_NFET[RDSON45])="(NULL)","0","1"))</f>
        <v>0</v>
      </c>
      <c r="E123" s="45" t="str">
        <f>IF(OR($A123=0,$A123=""),"0",IF(LOOKUP($A123,Discrete_NFET[PARTNUMBER],Discrete_NFET[RDSON6])="(NULL)","0","1"))</f>
        <v>0</v>
      </c>
      <c r="F123" s="34" t="str">
        <f>IF(OR($A123=0,$A123=""),"0",IF(LOOKUP($A123,Discrete_NFET[PARTNUMBER],Discrete_NFET[RDSON8])="(NULL)","0","1"))</f>
        <v>0</v>
      </c>
      <c r="G123" s="43" t="str">
        <f>IF(OR($A123=0,$A123=""),"0",IF(LOOKUP($A123,Discrete_NFET[PARTNUMBER],Discrete_NFET[RDSON10])="(NULL)","0","1"))</f>
        <v>0</v>
      </c>
      <c r="H123" s="36" t="b">
        <f t="shared" si="41"/>
        <v>0</v>
      </c>
      <c r="I123" s="39" t="b">
        <f t="shared" si="42"/>
        <v>0</v>
      </c>
      <c r="J123" s="41" t="b">
        <f t="shared" si="43"/>
        <v>0</v>
      </c>
      <c r="K123" s="46" t="b">
        <f t="shared" si="44"/>
        <v>0</v>
      </c>
      <c r="L123" s="42" t="b">
        <f t="shared" si="45"/>
        <v>0</v>
      </c>
      <c r="M123" s="44" t="b">
        <f t="shared" si="46"/>
        <v>0</v>
      </c>
      <c r="N123" s="47" t="b">
        <f t="shared" si="47"/>
        <v>0</v>
      </c>
      <c r="O123" s="36" t="b">
        <f t="shared" si="48"/>
        <v>0</v>
      </c>
      <c r="P123" s="39" t="b">
        <f t="shared" si="49"/>
        <v>0</v>
      </c>
      <c r="Q123" s="41" t="b">
        <f t="shared" si="50"/>
        <v>0</v>
      </c>
      <c r="R123" s="46" t="b">
        <f t="shared" si="51"/>
        <v>0</v>
      </c>
      <c r="S123" s="42" t="b">
        <f t="shared" si="52"/>
        <v>0</v>
      </c>
      <c r="T123" s="44" t="b">
        <f t="shared" si="53"/>
        <v>0</v>
      </c>
      <c r="U123" s="148" t="str">
        <f>IF(T123,LOOKUP(A123,Discrete_NFET[PARTNUMBER],Discrete_NFET[RDSON10])*1000,IF(S123,LOOKUP(A123,Discrete_NFET[PARTNUMBER],Discrete_NFET[RDSON8])*1000,IF(R123,LOOKUP(A123,Discrete_NFET[PARTNUMBER],Discrete_NFET[RDSON6])*1000,IF(Q123,LOOKUP(A123,Discrete_NFET[PARTNUMBER],Discrete_NFET[RDSON45])*1000,IF(P123,LOOKUP(A123,Discrete_NFET[PARTNUMBER],Discrete_NFET[RDSON3])*1000,IF(O123,LOOKUP(A123,Discrete_NFET[PARTNUMBER],Discrete_NFET[RDSON25])*1000,""))))))</f>
        <v/>
      </c>
      <c r="V123" s="48" t="str">
        <f>IF(AND(A123&lt;&gt;0,A123&lt;&gt;""),U123*(1+(Tj-25)*(LOOKUP(A123,Discrete_NFET[PARTNUMBER],Discrete_NFET[RDSDELTA])/((LOOKUP(A123,Discrete_NFET[PARTNUMBER],Discrete_NFET[TJMAX])-25)))),"")</f>
        <v/>
      </c>
      <c r="W123" s="35" t="str">
        <f>IF(AND($A123&lt;&gt;0,$A123&lt;&gt;""),LOOKUP($A123,Discrete_NFET[PARTNUMBER],Discrete_NFET[QGS]),"")</f>
        <v/>
      </c>
      <c r="X123" s="35" t="str">
        <f>IF(AND($A123&lt;&gt;0,$A123&lt;&gt;""),LOOKUP($A123,Discrete_NFET[PARTNUMBER],Discrete_NFET[QGD]),"")</f>
        <v/>
      </c>
      <c r="Y123" s="35" t="str">
        <f>IF(AND($A123&lt;&gt;0,$A123&lt;&gt;""),LOOKUP($A123,Discrete_NFET[PARTNUMBER],Discrete_NFET[QGTH]),"")</f>
        <v/>
      </c>
      <c r="Z123" s="35" t="str">
        <f t="shared" si="54"/>
        <v/>
      </c>
      <c r="AA123" s="35" t="str">
        <f>IF(AND($A123&lt;&gt;0,$A123&lt;&gt;""),LOOKUP($A123,Discrete_NFET[PARTNUMBER],Discrete_NFET[QOSSTYP]),"")</f>
        <v/>
      </c>
      <c r="AB123" s="35" t="str">
        <f>IF(AND($A123&lt;&gt;0,$A123&lt;&gt;""),LOOKUP($A123,Discrete_NFET[PARTNUMBER],Discrete_NFET[QRR]),"")</f>
        <v/>
      </c>
      <c r="AC123" s="35" t="str">
        <f>IF(AND(A123&lt;&gt;0,A123&lt;&gt;""),LOOKUP(A123,Discrete_NFET[PARTNUMBER],Discrete_NFET[VF_TYP]),"")</f>
        <v/>
      </c>
      <c r="AD123" s="127" t="str">
        <f>IF(AND($A123&lt;&gt;0,$A123&lt;&gt;"",OR(RIGHT(Logic!B123,2)="C)",LEFT(Logic!B123,4)="CSD1")),(1+(1-DUTY))*IM_RMS_120^2*V123*m/3/Num_FETS,"")</f>
        <v/>
      </c>
      <c r="AE123" s="127" t="str">
        <f>IF(AND($A123&lt;&gt;0,$A123&lt;&gt;"",OR(RIGHT(Logic!B123,2)="C)",LEFT(Logic!B123,4)="CSD1")),Num_FETS*0.5*IM_RMS_120*VDC_AVG*Z123*n*MOT_ELEC_FREQ/GDR_SRC,"")</f>
        <v/>
      </c>
      <c r="AF123" s="127" t="str">
        <f>IF(AND($A123&lt;&gt;0,$A123&lt;&gt;"",OR(RIGHT(Logic!B123,2)="C)",LEFT(Logic!B123,4)="CSD1")),Num_FETS*0.5*IM_RMS_120*VDC_AVG*Z123*n*MOT_ELEC_FREQ/GDR_SINK,"")</f>
        <v/>
      </c>
      <c r="AG123" s="127" t="str">
        <f>IF(AND($A123&lt;&gt;0,$A123&lt;&gt;"",OR(RIGHT(Logic!B123,2)="T)",LEFT(Logic!B123,4)="CSD1")),DUTY*IM_RMS_120^2*V123*m/3/Num_FETS,"")</f>
        <v/>
      </c>
      <c r="AH123" s="127" t="str">
        <f>IF(AND($A123&lt;&gt;0,$A123&lt;&gt;"",OR(RIGHT(Logic!B123,2)="T)",LEFT(Logic!B123,4)="CSD1")),Num_FETS*0.5*IM_RMS_120*VDC_AVG*Z123*n*FSW*k/GDR_SRC/3,"")</f>
        <v/>
      </c>
      <c r="AI123" s="127" t="str">
        <f>IF(AND($A123&lt;&gt;0,$A123&lt;&gt;"",OR(RIGHT(Logic!B123,2)="T)",LEFT(Logic!B123,4)="CSD1")),Num_FETS*0.5*IM_RMS_120*VDC_AVG*Z123*n*FSW*k/GDR_SINK/3,"")</f>
        <v/>
      </c>
      <c r="AJ123" s="127" t="str">
        <f t="shared" si="57"/>
        <v/>
      </c>
      <c r="AK123" s="127" t="str">
        <f t="shared" si="58"/>
        <v/>
      </c>
      <c r="AL123" s="127" t="str">
        <f t="shared" si="59"/>
        <v/>
      </c>
      <c r="AM123" s="127" t="str">
        <f t="shared" si="55"/>
        <v/>
      </c>
      <c r="AN123" s="127">
        <f>IF(AND($A123&lt;&gt;0,$A123&lt;&gt;"",OR(RIGHT(Logic!B123,2)="C)",LEFT(Logic!B123,4)="CSD1")),SUM(AD123:AF123)+(AJ123/3)+AK123+AL123/6+AM123/6,AN124)</f>
        <v>0</v>
      </c>
      <c r="AO123" s="127">
        <f>IF(AND($A123&lt;&gt;0,$A123&lt;&gt;"",OR(RIGHT(Logic!B123,2)="T)",LEFT(Logic!B123,4)="CSD1")),SUM(AG123:AI123)+(AJ123/3)+AL123/6+AM123/6,AO122)</f>
        <v>0.23887636588496741</v>
      </c>
      <c r="AP123" s="48" t="str">
        <f t="shared" si="56"/>
        <v/>
      </c>
      <c r="AQ123" s="35" t="str">
        <f>IF(AND(A123&lt;&gt;0,A123&lt;&gt;""),LOOKUP(A123,Discrete_NFET[PARTNUMBER],Discrete_NFET[TI_EQ_PACKAGE]),"")</f>
        <v/>
      </c>
      <c r="AR123" s="49" t="str">
        <f>IF(AND(A123&lt;&gt;0,A123&lt;&gt;""),LOOKUP(A123,Discrete_NFET[PARTNUMBER],Discrete_NFET[1KPRICE]),"")</f>
        <v/>
      </c>
      <c r="AS123" s="35" t="str">
        <f>IF(AND($A123&lt;&gt;0,$A123&lt;&gt;""),CONCATENATE(TEXT(AP123,"0.00"),"W, ",IF('User Input'!F$11="Single Discrete",A123,IF('User Input'!F$11="Dual/Power Block",LEFT(A123,FIND(")",A123)-7),A123)),", ",AQ123,", ",TEXT(AR123,"$0.00")),"Invalid Part")</f>
        <v>Invalid Part</v>
      </c>
      <c r="AT123"/>
      <c r="AW123"/>
    </row>
    <row r="124" spans="1:50" ht="15" customHeight="1" x14ac:dyDescent="0.25">
      <c r="A124" s="35" t="str">
        <f>IF(OR(AND(FET_config="Dual/Power Block",LEFT(Logic!B124,4)="CSD8"),AND(FET_config="Single Discrete",LEFT(Logic!B124,4)="CSD1")),Logic!B124,"")</f>
        <v/>
      </c>
      <c r="B124" s="37" t="str">
        <f>IF(OR($A124=0,$A124=""),"0",IF(LOOKUP($A124,Discrete_NFET[PARTNUMBER],Discrete_NFET[RDSON25])="(NULL)","0","1"))</f>
        <v>0</v>
      </c>
      <c r="C124" s="38" t="str">
        <f>IF(OR($A124=0,$A124=""),"0",IF(LOOKUP($A124,Discrete_NFET[PARTNUMBER],Discrete_NFET[RDSON3])="(NULL)","0","1"))</f>
        <v>0</v>
      </c>
      <c r="D124" s="40" t="str">
        <f>IF(OR($A124=0,$A124=""),"0",IF(LOOKUP($A124,Discrete_NFET[PARTNUMBER],Discrete_NFET[RDSON45])="(NULL)","0","1"))</f>
        <v>0</v>
      </c>
      <c r="E124" s="45" t="str">
        <f>IF(OR($A124=0,$A124=""),"0",IF(LOOKUP($A124,Discrete_NFET[PARTNUMBER],Discrete_NFET[RDSON6])="(NULL)","0","1"))</f>
        <v>0</v>
      </c>
      <c r="F124" s="34" t="str">
        <f>IF(OR($A124=0,$A124=""),"0",IF(LOOKUP($A124,Discrete_NFET[PARTNUMBER],Discrete_NFET[RDSON8])="(NULL)","0","1"))</f>
        <v>0</v>
      </c>
      <c r="G124" s="43" t="str">
        <f>IF(OR($A124=0,$A124=""),"0",IF(LOOKUP($A124,Discrete_NFET[PARTNUMBER],Discrete_NFET[RDSON10])="(NULL)","0","1"))</f>
        <v>0</v>
      </c>
      <c r="H124" s="36" t="b">
        <f t="shared" si="41"/>
        <v>0</v>
      </c>
      <c r="I124" s="39" t="b">
        <f t="shared" si="42"/>
        <v>0</v>
      </c>
      <c r="J124" s="41" t="b">
        <f t="shared" si="43"/>
        <v>0</v>
      </c>
      <c r="K124" s="46" t="b">
        <f t="shared" si="44"/>
        <v>0</v>
      </c>
      <c r="L124" s="42" t="b">
        <f t="shared" si="45"/>
        <v>0</v>
      </c>
      <c r="M124" s="44" t="b">
        <f t="shared" si="46"/>
        <v>0</v>
      </c>
      <c r="N124" s="47" t="b">
        <f t="shared" si="47"/>
        <v>0</v>
      </c>
      <c r="O124" s="36" t="b">
        <f t="shared" si="48"/>
        <v>0</v>
      </c>
      <c r="P124" s="39" t="b">
        <f t="shared" si="49"/>
        <v>0</v>
      </c>
      <c r="Q124" s="41" t="b">
        <f t="shared" si="50"/>
        <v>0</v>
      </c>
      <c r="R124" s="46" t="b">
        <f t="shared" si="51"/>
        <v>0</v>
      </c>
      <c r="S124" s="42" t="b">
        <f t="shared" si="52"/>
        <v>0</v>
      </c>
      <c r="T124" s="44" t="b">
        <f t="shared" si="53"/>
        <v>0</v>
      </c>
      <c r="U124" s="148" t="str">
        <f>IF(T124,LOOKUP(A124,Discrete_NFET[PARTNUMBER],Discrete_NFET[RDSON10])*1000,IF(S124,LOOKUP(A124,Discrete_NFET[PARTNUMBER],Discrete_NFET[RDSON8])*1000,IF(R124,LOOKUP(A124,Discrete_NFET[PARTNUMBER],Discrete_NFET[RDSON6])*1000,IF(Q124,LOOKUP(A124,Discrete_NFET[PARTNUMBER],Discrete_NFET[RDSON45])*1000,IF(P124,LOOKUP(A124,Discrete_NFET[PARTNUMBER],Discrete_NFET[RDSON3])*1000,IF(O124,LOOKUP(A124,Discrete_NFET[PARTNUMBER],Discrete_NFET[RDSON25])*1000,""))))))</f>
        <v/>
      </c>
      <c r="V124" s="48" t="str">
        <f>IF(AND(A124&lt;&gt;0,A124&lt;&gt;""),U124*(1+(Tj-25)*(LOOKUP(A124,Discrete_NFET[PARTNUMBER],Discrete_NFET[RDSDELTA])/((LOOKUP(A124,Discrete_NFET[PARTNUMBER],Discrete_NFET[TJMAX])-25)))),"")</f>
        <v/>
      </c>
      <c r="W124" s="35" t="str">
        <f>IF(AND($A124&lt;&gt;0,$A124&lt;&gt;""),LOOKUP($A124,Discrete_NFET[PARTNUMBER],Discrete_NFET[QGS]),"")</f>
        <v/>
      </c>
      <c r="X124" s="35" t="str">
        <f>IF(AND($A124&lt;&gt;0,$A124&lt;&gt;""),LOOKUP($A124,Discrete_NFET[PARTNUMBER],Discrete_NFET[QGD]),"")</f>
        <v/>
      </c>
      <c r="Y124" s="35" t="str">
        <f>IF(AND($A124&lt;&gt;0,$A124&lt;&gt;""),LOOKUP($A124,Discrete_NFET[PARTNUMBER],Discrete_NFET[QGTH]),"")</f>
        <v/>
      </c>
      <c r="Z124" s="35" t="str">
        <f t="shared" si="54"/>
        <v/>
      </c>
      <c r="AA124" s="35" t="str">
        <f>IF(AND($A124&lt;&gt;0,$A124&lt;&gt;""),LOOKUP($A124,Discrete_NFET[PARTNUMBER],Discrete_NFET[QOSSTYP]),"")</f>
        <v/>
      </c>
      <c r="AB124" s="35" t="str">
        <f>IF(AND($A124&lt;&gt;0,$A124&lt;&gt;""),LOOKUP($A124,Discrete_NFET[PARTNUMBER],Discrete_NFET[QRR]),"")</f>
        <v/>
      </c>
      <c r="AC124" s="35" t="str">
        <f>IF(AND(A124&lt;&gt;0,A124&lt;&gt;""),LOOKUP(A124,Discrete_NFET[PARTNUMBER],Discrete_NFET[VF_TYP]),"")</f>
        <v/>
      </c>
      <c r="AD124" s="127" t="str">
        <f>IF(AND($A124&lt;&gt;0,$A124&lt;&gt;"",OR(RIGHT(Logic!B124,2)="C)",LEFT(Logic!B124,4)="CSD1")),(1+(1-DUTY))*IM_RMS_120^2*V124*m/3/Num_FETS,"")</f>
        <v/>
      </c>
      <c r="AE124" s="127" t="str">
        <f>IF(AND($A124&lt;&gt;0,$A124&lt;&gt;"",OR(RIGHT(Logic!B124,2)="C)",LEFT(Logic!B124,4)="CSD1")),Num_FETS*0.5*IM_RMS_120*VDC_AVG*Z124*n*MOT_ELEC_FREQ/GDR_SRC,"")</f>
        <v/>
      </c>
      <c r="AF124" s="127" t="str">
        <f>IF(AND($A124&lt;&gt;0,$A124&lt;&gt;"",OR(RIGHT(Logic!B124,2)="C)",LEFT(Logic!B124,4)="CSD1")),Num_FETS*0.5*IM_RMS_120*VDC_AVG*Z124*n*MOT_ELEC_FREQ/GDR_SINK,"")</f>
        <v/>
      </c>
      <c r="AG124" s="127" t="str">
        <f>IF(AND($A124&lt;&gt;0,$A124&lt;&gt;"",OR(RIGHT(Logic!B124,2)="T)",LEFT(Logic!B124,4)="CSD1")),DUTY*IM_RMS_120^2*V124*m/3/Num_FETS,"")</f>
        <v/>
      </c>
      <c r="AH124" s="127" t="str">
        <f>IF(AND($A124&lt;&gt;0,$A124&lt;&gt;"",OR(RIGHT(Logic!B124,2)="T)",LEFT(Logic!B124,4)="CSD1")),Num_FETS*0.5*IM_RMS_120*VDC_AVG*Z124*n*FSW*k/GDR_SRC/3,"")</f>
        <v/>
      </c>
      <c r="AI124" s="127" t="str">
        <f>IF(AND($A124&lt;&gt;0,$A124&lt;&gt;"",OR(RIGHT(Logic!B124,2)="T)",LEFT(Logic!B124,4)="CSD1")),Num_FETS*0.5*IM_RMS_120*VDC_AVG*Z124*n*FSW*k/GDR_SINK/3,"")</f>
        <v/>
      </c>
      <c r="AJ124" s="127" t="str">
        <f t="shared" si="57"/>
        <v/>
      </c>
      <c r="AK124" s="127" t="str">
        <f t="shared" si="58"/>
        <v/>
      </c>
      <c r="AL124" s="127" t="str">
        <f t="shared" si="59"/>
        <v/>
      </c>
      <c r="AM124" s="127" t="str">
        <f t="shared" si="55"/>
        <v/>
      </c>
      <c r="AN124" s="127">
        <f>IF(AND($A124&lt;&gt;0,$A124&lt;&gt;"",OR(RIGHT(Logic!B124,2)="C)",LEFT(Logic!B124,4)="CSD1")),SUM(AD124:AF124)+(AJ124/3)+AK124+AL124/6+AM124/6,AN125)</f>
        <v>0</v>
      </c>
      <c r="AO124" s="127">
        <f>IF(AND($A124&lt;&gt;0,$A124&lt;&gt;"",OR(RIGHT(Logic!B124,2)="T)",LEFT(Logic!B124,4)="CSD1")),SUM(AG124:AI124)+(AJ124/3)+AL124/6+AM124/6,AO123)</f>
        <v>0.23887636588496741</v>
      </c>
      <c r="AP124" s="48" t="str">
        <f t="shared" si="56"/>
        <v/>
      </c>
      <c r="AQ124" s="35" t="str">
        <f>IF(AND(A124&lt;&gt;0,A124&lt;&gt;""),LOOKUP(A124,Discrete_NFET[PARTNUMBER],Discrete_NFET[TI_EQ_PACKAGE]),"")</f>
        <v/>
      </c>
      <c r="AR124" s="49" t="str">
        <f>IF(AND(A124&lt;&gt;0,A124&lt;&gt;""),LOOKUP(A124,Discrete_NFET[PARTNUMBER],Discrete_NFET[1KPRICE]),"")</f>
        <v/>
      </c>
      <c r="AS124" s="35" t="str">
        <f>IF(AND($A124&lt;&gt;0,$A124&lt;&gt;""),CONCATENATE(TEXT(AP124,"0.00"),"W, ",IF('User Input'!F$11="Single Discrete",A124,IF('User Input'!F$11="Dual/Power Block",LEFT(A124,FIND(")",A124)-7),A124)),", ",AQ124,", ",TEXT(AR124,"$0.00")),"Invalid Part")</f>
        <v>Invalid Part</v>
      </c>
      <c r="AT124"/>
      <c r="AW124"/>
    </row>
    <row r="125" spans="1:50" ht="15" customHeight="1" x14ac:dyDescent="0.25">
      <c r="A125" s="35" t="str">
        <f>IF(OR(AND(FET_config="Dual/Power Block",LEFT(Logic!B125,4)="CSD8"),AND(FET_config="Single Discrete",LEFT(Logic!B125,4)="CSD1")),Logic!B125,"")</f>
        <v/>
      </c>
      <c r="B125" s="37" t="str">
        <f>IF(OR($A125=0,$A125=""),"0",IF(LOOKUP($A125,Discrete_NFET[PARTNUMBER],Discrete_NFET[RDSON25])="(NULL)","0","1"))</f>
        <v>0</v>
      </c>
      <c r="C125" s="38" t="str">
        <f>IF(OR($A125=0,$A125=""),"0",IF(LOOKUP($A125,Discrete_NFET[PARTNUMBER],Discrete_NFET[RDSON3])="(NULL)","0","1"))</f>
        <v>0</v>
      </c>
      <c r="D125" s="40" t="str">
        <f>IF(OR($A125=0,$A125=""),"0",IF(LOOKUP($A125,Discrete_NFET[PARTNUMBER],Discrete_NFET[RDSON45])="(NULL)","0","1"))</f>
        <v>0</v>
      </c>
      <c r="E125" s="45" t="str">
        <f>IF(OR($A125=0,$A125=""),"0",IF(LOOKUP($A125,Discrete_NFET[PARTNUMBER],Discrete_NFET[RDSON6])="(NULL)","0","1"))</f>
        <v>0</v>
      </c>
      <c r="F125" s="34" t="str">
        <f>IF(OR($A125=0,$A125=""),"0",IF(LOOKUP($A125,Discrete_NFET[PARTNUMBER],Discrete_NFET[RDSON8])="(NULL)","0","1"))</f>
        <v>0</v>
      </c>
      <c r="G125" s="43" t="str">
        <f>IF(OR($A125=0,$A125=""),"0",IF(LOOKUP($A125,Discrete_NFET[PARTNUMBER],Discrete_NFET[RDSON10])="(NULL)","0","1"))</f>
        <v>0</v>
      </c>
      <c r="H125" s="36" t="b">
        <f t="shared" si="41"/>
        <v>0</v>
      </c>
      <c r="I125" s="39" t="b">
        <f t="shared" si="42"/>
        <v>0</v>
      </c>
      <c r="J125" s="41" t="b">
        <f t="shared" si="43"/>
        <v>0</v>
      </c>
      <c r="K125" s="46" t="b">
        <f t="shared" si="44"/>
        <v>0</v>
      </c>
      <c r="L125" s="42" t="b">
        <f t="shared" si="45"/>
        <v>0</v>
      </c>
      <c r="M125" s="44" t="b">
        <f t="shared" si="46"/>
        <v>0</v>
      </c>
      <c r="N125" s="47" t="b">
        <f t="shared" si="47"/>
        <v>0</v>
      </c>
      <c r="O125" s="36" t="b">
        <f t="shared" si="48"/>
        <v>0</v>
      </c>
      <c r="P125" s="39" t="b">
        <f t="shared" si="49"/>
        <v>0</v>
      </c>
      <c r="Q125" s="41" t="b">
        <f t="shared" si="50"/>
        <v>0</v>
      </c>
      <c r="R125" s="46" t="b">
        <f t="shared" si="51"/>
        <v>0</v>
      </c>
      <c r="S125" s="42" t="b">
        <f t="shared" si="52"/>
        <v>0</v>
      </c>
      <c r="T125" s="44" t="b">
        <f t="shared" si="53"/>
        <v>0</v>
      </c>
      <c r="U125" s="148" t="str">
        <f>IF(T125,LOOKUP(A125,Discrete_NFET[PARTNUMBER],Discrete_NFET[RDSON10])*1000,IF(S125,LOOKUP(A125,Discrete_NFET[PARTNUMBER],Discrete_NFET[RDSON8])*1000,IF(R125,LOOKUP(A125,Discrete_NFET[PARTNUMBER],Discrete_NFET[RDSON6])*1000,IF(Q125,LOOKUP(A125,Discrete_NFET[PARTNUMBER],Discrete_NFET[RDSON45])*1000,IF(P125,LOOKUP(A125,Discrete_NFET[PARTNUMBER],Discrete_NFET[RDSON3])*1000,IF(O125,LOOKUP(A125,Discrete_NFET[PARTNUMBER],Discrete_NFET[RDSON25])*1000,""))))))</f>
        <v/>
      </c>
      <c r="V125" s="48" t="str">
        <f>IF(AND(A125&lt;&gt;0,A125&lt;&gt;""),U125*(1+(Tj-25)*(LOOKUP(A125,Discrete_NFET[PARTNUMBER],Discrete_NFET[RDSDELTA])/((LOOKUP(A125,Discrete_NFET[PARTNUMBER],Discrete_NFET[TJMAX])-25)))),"")</f>
        <v/>
      </c>
      <c r="W125" s="35" t="str">
        <f>IF(AND($A125&lt;&gt;0,$A125&lt;&gt;""),LOOKUP($A125,Discrete_NFET[PARTNUMBER],Discrete_NFET[QGS]),"")</f>
        <v/>
      </c>
      <c r="X125" s="35" t="str">
        <f>IF(AND($A125&lt;&gt;0,$A125&lt;&gt;""),LOOKUP($A125,Discrete_NFET[PARTNUMBER],Discrete_NFET[QGD]),"")</f>
        <v/>
      </c>
      <c r="Y125" s="35" t="str">
        <f>IF(AND($A125&lt;&gt;0,$A125&lt;&gt;""),LOOKUP($A125,Discrete_NFET[PARTNUMBER],Discrete_NFET[QGTH]),"")</f>
        <v/>
      </c>
      <c r="Z125" s="35" t="str">
        <f t="shared" si="54"/>
        <v/>
      </c>
      <c r="AA125" s="35" t="str">
        <f>IF(AND($A125&lt;&gt;0,$A125&lt;&gt;""),LOOKUP($A125,Discrete_NFET[PARTNUMBER],Discrete_NFET[QOSSTYP]),"")</f>
        <v/>
      </c>
      <c r="AB125" s="35" t="str">
        <f>IF(AND($A125&lt;&gt;0,$A125&lt;&gt;""),LOOKUP($A125,Discrete_NFET[PARTNUMBER],Discrete_NFET[QRR]),"")</f>
        <v/>
      </c>
      <c r="AC125" s="35" t="str">
        <f>IF(AND(A125&lt;&gt;0,A125&lt;&gt;""),LOOKUP(A125,Discrete_NFET[PARTNUMBER],Discrete_NFET[VF_TYP]),"")</f>
        <v/>
      </c>
      <c r="AD125" s="127" t="str">
        <f>IF(AND($A125&lt;&gt;0,$A125&lt;&gt;"",OR(RIGHT(Logic!B125,2)="C)",LEFT(Logic!B125,4)="CSD1")),(1+(1-DUTY))*IM_RMS_120^2*V125*m/3/Num_FETS,"")</f>
        <v/>
      </c>
      <c r="AE125" s="127" t="str">
        <f>IF(AND($A125&lt;&gt;0,$A125&lt;&gt;"",OR(RIGHT(Logic!B125,2)="C)",LEFT(Logic!B125,4)="CSD1")),Num_FETS*0.5*IM_RMS_120*VDC_AVG*Z125*n*MOT_ELEC_FREQ/GDR_SRC,"")</f>
        <v/>
      </c>
      <c r="AF125" s="127" t="str">
        <f>IF(AND($A125&lt;&gt;0,$A125&lt;&gt;"",OR(RIGHT(Logic!B125,2)="C)",LEFT(Logic!B125,4)="CSD1")),Num_FETS*0.5*IM_RMS_120*VDC_AVG*Z125*n*MOT_ELEC_FREQ/GDR_SINK,"")</f>
        <v/>
      </c>
      <c r="AG125" s="127" t="str">
        <f>IF(AND($A125&lt;&gt;0,$A125&lt;&gt;"",OR(RIGHT(Logic!B125,2)="T)",LEFT(Logic!B125,4)="CSD1")),DUTY*IM_RMS_120^2*V125*m/3/Num_FETS,"")</f>
        <v/>
      </c>
      <c r="AH125" s="127" t="str">
        <f>IF(AND($A125&lt;&gt;0,$A125&lt;&gt;"",OR(RIGHT(Logic!B125,2)="T)",LEFT(Logic!B125,4)="CSD1")),Num_FETS*0.5*IM_RMS_120*VDC_AVG*Z125*n*FSW*k/GDR_SRC/3,"")</f>
        <v/>
      </c>
      <c r="AI125" s="127" t="str">
        <f>IF(AND($A125&lt;&gt;0,$A125&lt;&gt;"",OR(RIGHT(Logic!B125,2)="T)",LEFT(Logic!B125,4)="CSD1")),Num_FETS*0.5*IM_RMS_120*VDC_AVG*Z125*n*FSW*k/GDR_SINK/3,"")</f>
        <v/>
      </c>
      <c r="AJ125" s="127" t="str">
        <f t="shared" si="57"/>
        <v/>
      </c>
      <c r="AK125" s="127" t="str">
        <f t="shared" si="58"/>
        <v/>
      </c>
      <c r="AL125" s="127" t="str">
        <f t="shared" si="59"/>
        <v/>
      </c>
      <c r="AM125" s="127" t="str">
        <f t="shared" si="55"/>
        <v/>
      </c>
      <c r="AN125" s="127">
        <f>IF(AND($A125&lt;&gt;0,$A125&lt;&gt;"",OR(RIGHT(Logic!B125,2)="C)",LEFT(Logic!B125,4)="CSD1")),SUM(AD125:AF125)+(AJ125/3)+AK125+AL125/6+AM125/6,AN126)</f>
        <v>0</v>
      </c>
      <c r="AO125" s="127">
        <f>IF(AND($A125&lt;&gt;0,$A125&lt;&gt;"",OR(RIGHT(Logic!B125,2)="T)",LEFT(Logic!B125,4)="CSD1")),SUM(AG125:AI125)+(AJ125/3)+AL125/6+AM125/6,AO124)</f>
        <v>0.23887636588496741</v>
      </c>
      <c r="AP125" s="48" t="str">
        <f t="shared" si="56"/>
        <v/>
      </c>
      <c r="AQ125" s="35" t="str">
        <f>IF(AND(A125&lt;&gt;0,A125&lt;&gt;""),LOOKUP(A125,Discrete_NFET[PARTNUMBER],Discrete_NFET[TI_EQ_PACKAGE]),"")</f>
        <v/>
      </c>
      <c r="AR125" s="49" t="str">
        <f>IF(AND(A125&lt;&gt;0,A125&lt;&gt;""),LOOKUP(A125,Discrete_NFET[PARTNUMBER],Discrete_NFET[1KPRICE]),"")</f>
        <v/>
      </c>
      <c r="AS125" s="35" t="str">
        <f>IF(AND($A125&lt;&gt;0,$A125&lt;&gt;""),CONCATENATE(TEXT(AP125,"0.00"),"W, ",IF('User Input'!F$11="Single Discrete",A125,IF('User Input'!F$11="Dual/Power Block",LEFT(A125,FIND(")",A125)-7),A125)),", ",AQ125,", ",TEXT(AR125,"$0.00")),"Invalid Part")</f>
        <v>Invalid Part</v>
      </c>
      <c r="AT125"/>
      <c r="AW125"/>
    </row>
    <row r="126" spans="1:50" ht="15" customHeight="1" x14ac:dyDescent="0.25">
      <c r="A126" s="35" t="str">
        <f>IF(OR(AND(FET_config="Dual/Power Block",LEFT(Logic!B126,4)="CSD8"),AND(FET_config="Single Discrete",LEFT(Logic!B126,4)="CSD1")),Logic!B126,"")</f>
        <v/>
      </c>
      <c r="B126" s="37" t="str">
        <f>IF(OR($A126=0,$A126=""),"0",IF(LOOKUP($A126,Discrete_NFET[PARTNUMBER],Discrete_NFET[RDSON25])="(NULL)","0","1"))</f>
        <v>0</v>
      </c>
      <c r="C126" s="38" t="str">
        <f>IF(OR($A126=0,$A126=""),"0",IF(LOOKUP($A126,Discrete_NFET[PARTNUMBER],Discrete_NFET[RDSON3])="(NULL)","0","1"))</f>
        <v>0</v>
      </c>
      <c r="D126" s="40" t="str">
        <f>IF(OR($A126=0,$A126=""),"0",IF(LOOKUP($A126,Discrete_NFET[PARTNUMBER],Discrete_NFET[RDSON45])="(NULL)","0","1"))</f>
        <v>0</v>
      </c>
      <c r="E126" s="45" t="str">
        <f>IF(OR($A126=0,$A126=""),"0",IF(LOOKUP($A126,Discrete_NFET[PARTNUMBER],Discrete_NFET[RDSON6])="(NULL)","0","1"))</f>
        <v>0</v>
      </c>
      <c r="F126" s="34" t="str">
        <f>IF(OR($A126=0,$A126=""),"0",IF(LOOKUP($A126,Discrete_NFET[PARTNUMBER],Discrete_NFET[RDSON8])="(NULL)","0","1"))</f>
        <v>0</v>
      </c>
      <c r="G126" s="43" t="str">
        <f>IF(OR($A126=0,$A126=""),"0",IF(LOOKUP($A126,Discrete_NFET[PARTNUMBER],Discrete_NFET[RDSON10])="(NULL)","0","1"))</f>
        <v>0</v>
      </c>
      <c r="H126" s="36" t="b">
        <f t="shared" si="41"/>
        <v>0</v>
      </c>
      <c r="I126" s="39" t="b">
        <f t="shared" si="42"/>
        <v>0</v>
      </c>
      <c r="J126" s="41" t="b">
        <f t="shared" si="43"/>
        <v>0</v>
      </c>
      <c r="K126" s="46" t="b">
        <f t="shared" si="44"/>
        <v>0</v>
      </c>
      <c r="L126" s="42" t="b">
        <f t="shared" si="45"/>
        <v>0</v>
      </c>
      <c r="M126" s="44" t="b">
        <f t="shared" si="46"/>
        <v>0</v>
      </c>
      <c r="N126" s="47" t="b">
        <f t="shared" si="47"/>
        <v>0</v>
      </c>
      <c r="O126" s="36" t="b">
        <f t="shared" si="48"/>
        <v>0</v>
      </c>
      <c r="P126" s="39" t="b">
        <f t="shared" si="49"/>
        <v>0</v>
      </c>
      <c r="Q126" s="41" t="b">
        <f t="shared" si="50"/>
        <v>0</v>
      </c>
      <c r="R126" s="46" t="b">
        <f t="shared" si="51"/>
        <v>0</v>
      </c>
      <c r="S126" s="42" t="b">
        <f t="shared" si="52"/>
        <v>0</v>
      </c>
      <c r="T126" s="44" t="b">
        <f t="shared" si="53"/>
        <v>0</v>
      </c>
      <c r="U126" s="148" t="str">
        <f>IF(T126,LOOKUP(A126,Discrete_NFET[PARTNUMBER],Discrete_NFET[RDSON10])*1000,IF(S126,LOOKUP(A126,Discrete_NFET[PARTNUMBER],Discrete_NFET[RDSON8])*1000,IF(R126,LOOKUP(A126,Discrete_NFET[PARTNUMBER],Discrete_NFET[RDSON6])*1000,IF(Q126,LOOKUP(A126,Discrete_NFET[PARTNUMBER],Discrete_NFET[RDSON45])*1000,IF(P126,LOOKUP(A126,Discrete_NFET[PARTNUMBER],Discrete_NFET[RDSON3])*1000,IF(O126,LOOKUP(A126,Discrete_NFET[PARTNUMBER],Discrete_NFET[RDSON25])*1000,""))))))</f>
        <v/>
      </c>
      <c r="V126" s="48" t="str">
        <f>IF(AND(A126&lt;&gt;0,A126&lt;&gt;""),U126*(1+(Tj-25)*(LOOKUP(A126,Discrete_NFET[PARTNUMBER],Discrete_NFET[RDSDELTA])/((LOOKUP(A126,Discrete_NFET[PARTNUMBER],Discrete_NFET[TJMAX])-25)))),"")</f>
        <v/>
      </c>
      <c r="W126" s="35" t="str">
        <f>IF(AND($A126&lt;&gt;0,$A126&lt;&gt;""),LOOKUP($A126,Discrete_NFET[PARTNUMBER],Discrete_NFET[QGS]),"")</f>
        <v/>
      </c>
      <c r="X126" s="35" t="str">
        <f>IF(AND($A126&lt;&gt;0,$A126&lt;&gt;""),LOOKUP($A126,Discrete_NFET[PARTNUMBER],Discrete_NFET[QGD]),"")</f>
        <v/>
      </c>
      <c r="Y126" s="35" t="str">
        <f>IF(AND($A126&lt;&gt;0,$A126&lt;&gt;""),LOOKUP($A126,Discrete_NFET[PARTNUMBER],Discrete_NFET[QGTH]),"")</f>
        <v/>
      </c>
      <c r="Z126" s="35" t="str">
        <f t="shared" si="54"/>
        <v/>
      </c>
      <c r="AA126" s="35" t="str">
        <f>IF(AND($A126&lt;&gt;0,$A126&lt;&gt;""),LOOKUP($A126,Discrete_NFET[PARTNUMBER],Discrete_NFET[QOSSTYP]),"")</f>
        <v/>
      </c>
      <c r="AB126" s="35" t="str">
        <f>IF(AND($A126&lt;&gt;0,$A126&lt;&gt;""),LOOKUP($A126,Discrete_NFET[PARTNUMBER],Discrete_NFET[QRR]),"")</f>
        <v/>
      </c>
      <c r="AC126" s="35" t="str">
        <f>IF(AND(A126&lt;&gt;0,A126&lt;&gt;""),LOOKUP(A126,Discrete_NFET[PARTNUMBER],Discrete_NFET[VF_TYP]),"")</f>
        <v/>
      </c>
      <c r="AD126" s="127" t="str">
        <f>IF(AND($A126&lt;&gt;0,$A126&lt;&gt;"",OR(RIGHT(Logic!B126,2)="C)",LEFT(Logic!B126,4)="CSD1")),(1+(1-DUTY))*IM_RMS_120^2*V126*m/3/Num_FETS,"")</f>
        <v/>
      </c>
      <c r="AE126" s="127" t="str">
        <f>IF(AND($A126&lt;&gt;0,$A126&lt;&gt;"",OR(RIGHT(Logic!B126,2)="C)",LEFT(Logic!B126,4)="CSD1")),Num_FETS*0.5*IM_RMS_120*VDC_AVG*Z126*n*MOT_ELEC_FREQ/GDR_SRC,"")</f>
        <v/>
      </c>
      <c r="AF126" s="127" t="str">
        <f>IF(AND($A126&lt;&gt;0,$A126&lt;&gt;"",OR(RIGHT(Logic!B126,2)="C)",LEFT(Logic!B126,4)="CSD1")),Num_FETS*0.5*IM_RMS_120*VDC_AVG*Z126*n*MOT_ELEC_FREQ/GDR_SINK,"")</f>
        <v/>
      </c>
      <c r="AG126" s="127" t="str">
        <f>IF(AND($A126&lt;&gt;0,$A126&lt;&gt;"",OR(RIGHT(Logic!B126,2)="T)",LEFT(Logic!B126,4)="CSD1")),DUTY*IM_RMS_120^2*V126*m/3/Num_FETS,"")</f>
        <v/>
      </c>
      <c r="AH126" s="127" t="str">
        <f>IF(AND($A126&lt;&gt;0,$A126&lt;&gt;"",OR(RIGHT(Logic!B126,2)="T)",LEFT(Logic!B126,4)="CSD1")),Num_FETS*0.5*IM_RMS_120*VDC_AVG*Z126*n*FSW*k/GDR_SRC/3,"")</f>
        <v/>
      </c>
      <c r="AI126" s="127" t="str">
        <f>IF(AND($A126&lt;&gt;0,$A126&lt;&gt;"",OR(RIGHT(Logic!B126,2)="T)",LEFT(Logic!B126,4)="CSD1")),Num_FETS*0.5*IM_RMS_120*VDC_AVG*Z126*n*FSW*k/GDR_SINK/3,"")</f>
        <v/>
      </c>
      <c r="AJ126" s="127" t="str">
        <f t="shared" si="57"/>
        <v/>
      </c>
      <c r="AK126" s="127" t="str">
        <f t="shared" si="58"/>
        <v/>
      </c>
      <c r="AL126" s="127" t="str">
        <f t="shared" si="59"/>
        <v/>
      </c>
      <c r="AM126" s="127" t="str">
        <f t="shared" si="55"/>
        <v/>
      </c>
      <c r="AN126" s="127">
        <f>IF(AND($A126&lt;&gt;0,$A126&lt;&gt;"",OR(RIGHT(Logic!B126,2)="C)",LEFT(Logic!B126,4)="CSD1")),SUM(AD126:AF126)+(AJ126/3)+AK126+AL126/6+AM126/6,AN127)</f>
        <v>0</v>
      </c>
      <c r="AO126" s="127">
        <f>IF(AND($A126&lt;&gt;0,$A126&lt;&gt;"",OR(RIGHT(Logic!B126,2)="T)",LEFT(Logic!B126,4)="CSD1")),SUM(AG126:AI126)+(AJ126/3)+AL126/6+AM126/6,AO125)</f>
        <v>0.23887636588496741</v>
      </c>
      <c r="AP126" s="48" t="str">
        <f t="shared" si="56"/>
        <v/>
      </c>
      <c r="AQ126" s="35" t="str">
        <f>IF(AND(A126&lt;&gt;0,A126&lt;&gt;""),LOOKUP(A126,Discrete_NFET[PARTNUMBER],Discrete_NFET[TI_EQ_PACKAGE]),"")</f>
        <v/>
      </c>
      <c r="AR126" s="49" t="str">
        <f>IF(AND(A126&lt;&gt;0,A126&lt;&gt;""),LOOKUP(A126,Discrete_NFET[PARTNUMBER],Discrete_NFET[1KPRICE]),"")</f>
        <v/>
      </c>
      <c r="AS126" s="35" t="str">
        <f>IF(AND($A126&lt;&gt;0,$A126&lt;&gt;""),CONCATENATE(TEXT(AP126,"0.00"),"W, ",IF('User Input'!F$11="Single Discrete",A126,IF('User Input'!F$11="Dual/Power Block",LEFT(A126,FIND(")",A126)-7),A126)),", ",AQ126,", ",TEXT(AR126,"$0.00")),"Invalid Part")</f>
        <v>Invalid Part</v>
      </c>
      <c r="AT126"/>
      <c r="AW126"/>
    </row>
    <row r="127" spans="1:50" ht="15" customHeight="1" x14ac:dyDescent="0.25">
      <c r="A127" s="35" t="str">
        <f>IF(OR(AND(FET_config="Dual/Power Block",LEFT(Logic!B127,4)="CSD8"),AND(FET_config="Single Discrete",LEFT(Logic!B127,4)="CSD1")),Logic!B127,"")</f>
        <v/>
      </c>
      <c r="B127" s="37" t="str">
        <f>IF(OR($A127=0,$A127=""),"0",IF(LOOKUP($A127,Discrete_NFET[PARTNUMBER],Discrete_NFET[RDSON25])="(NULL)","0","1"))</f>
        <v>0</v>
      </c>
      <c r="C127" s="38" t="str">
        <f>IF(OR($A127=0,$A127=""),"0",IF(LOOKUP($A127,Discrete_NFET[PARTNUMBER],Discrete_NFET[RDSON3])="(NULL)","0","1"))</f>
        <v>0</v>
      </c>
      <c r="D127" s="40" t="str">
        <f>IF(OR($A127=0,$A127=""),"0",IF(LOOKUP($A127,Discrete_NFET[PARTNUMBER],Discrete_NFET[RDSON45])="(NULL)","0","1"))</f>
        <v>0</v>
      </c>
      <c r="E127" s="45" t="str">
        <f>IF(OR($A127=0,$A127=""),"0",IF(LOOKUP($A127,Discrete_NFET[PARTNUMBER],Discrete_NFET[RDSON6])="(NULL)","0","1"))</f>
        <v>0</v>
      </c>
      <c r="F127" s="34" t="str">
        <f>IF(OR($A127=0,$A127=""),"0",IF(LOOKUP($A127,Discrete_NFET[PARTNUMBER],Discrete_NFET[RDSON8])="(NULL)","0","1"))</f>
        <v>0</v>
      </c>
      <c r="G127" s="43" t="str">
        <f>IF(OR($A127=0,$A127=""),"0",IF(LOOKUP($A127,Discrete_NFET[PARTNUMBER],Discrete_NFET[RDSON10])="(NULL)","0","1"))</f>
        <v>0</v>
      </c>
      <c r="H127" s="36" t="b">
        <f t="shared" si="41"/>
        <v>0</v>
      </c>
      <c r="I127" s="39" t="b">
        <f t="shared" si="42"/>
        <v>0</v>
      </c>
      <c r="J127" s="41" t="b">
        <f t="shared" si="43"/>
        <v>0</v>
      </c>
      <c r="K127" s="46" t="b">
        <f t="shared" si="44"/>
        <v>0</v>
      </c>
      <c r="L127" s="42" t="b">
        <f t="shared" si="45"/>
        <v>0</v>
      </c>
      <c r="M127" s="44" t="b">
        <f t="shared" si="46"/>
        <v>0</v>
      </c>
      <c r="N127" s="47" t="b">
        <f t="shared" si="47"/>
        <v>0</v>
      </c>
      <c r="O127" s="36" t="b">
        <f t="shared" si="48"/>
        <v>0</v>
      </c>
      <c r="P127" s="39" t="b">
        <f t="shared" si="49"/>
        <v>0</v>
      </c>
      <c r="Q127" s="41" t="b">
        <f t="shared" si="50"/>
        <v>0</v>
      </c>
      <c r="R127" s="46" t="b">
        <f t="shared" si="51"/>
        <v>0</v>
      </c>
      <c r="S127" s="42" t="b">
        <f t="shared" si="52"/>
        <v>0</v>
      </c>
      <c r="T127" s="44" t="b">
        <f t="shared" si="53"/>
        <v>0</v>
      </c>
      <c r="U127" s="148" t="str">
        <f>IF(T127,LOOKUP(A127,Discrete_NFET[PARTNUMBER],Discrete_NFET[RDSON10])*1000,IF(S127,LOOKUP(A127,Discrete_NFET[PARTNUMBER],Discrete_NFET[RDSON8])*1000,IF(R127,LOOKUP(A127,Discrete_NFET[PARTNUMBER],Discrete_NFET[RDSON6])*1000,IF(Q127,LOOKUP(A127,Discrete_NFET[PARTNUMBER],Discrete_NFET[RDSON45])*1000,IF(P127,LOOKUP(A127,Discrete_NFET[PARTNUMBER],Discrete_NFET[RDSON3])*1000,IF(O127,LOOKUP(A127,Discrete_NFET[PARTNUMBER],Discrete_NFET[RDSON25])*1000,""))))))</f>
        <v/>
      </c>
      <c r="V127" s="48" t="str">
        <f>IF(AND(A127&lt;&gt;0,A127&lt;&gt;""),U127*(1+(Tj-25)*(LOOKUP(A127,Discrete_NFET[PARTNUMBER],Discrete_NFET[RDSDELTA])/((LOOKUP(A127,Discrete_NFET[PARTNUMBER],Discrete_NFET[TJMAX])-25)))),"")</f>
        <v/>
      </c>
      <c r="W127" s="35" t="str">
        <f>IF(AND($A127&lt;&gt;0,$A127&lt;&gt;""),LOOKUP($A127,Discrete_NFET[PARTNUMBER],Discrete_NFET[QGS]),"")</f>
        <v/>
      </c>
      <c r="X127" s="35" t="str">
        <f>IF(AND($A127&lt;&gt;0,$A127&lt;&gt;""),LOOKUP($A127,Discrete_NFET[PARTNUMBER],Discrete_NFET[QGD]),"")</f>
        <v/>
      </c>
      <c r="Y127" s="35" t="str">
        <f>IF(AND($A127&lt;&gt;0,$A127&lt;&gt;""),LOOKUP($A127,Discrete_NFET[PARTNUMBER],Discrete_NFET[QGTH]),"")</f>
        <v/>
      </c>
      <c r="Z127" s="35" t="str">
        <f t="shared" si="54"/>
        <v/>
      </c>
      <c r="AA127" s="35" t="str">
        <f>IF(AND($A127&lt;&gt;0,$A127&lt;&gt;""),LOOKUP($A127,Discrete_NFET[PARTNUMBER],Discrete_NFET[QOSSTYP]),"")</f>
        <v/>
      </c>
      <c r="AB127" s="35" t="str">
        <f>IF(AND($A127&lt;&gt;0,$A127&lt;&gt;""),LOOKUP($A127,Discrete_NFET[PARTNUMBER],Discrete_NFET[QRR]),"")</f>
        <v/>
      </c>
      <c r="AC127" s="35" t="str">
        <f>IF(AND(A127&lt;&gt;0,A127&lt;&gt;""),LOOKUP(A127,Discrete_NFET[PARTNUMBER],Discrete_NFET[VF_TYP]),"")</f>
        <v/>
      </c>
      <c r="AD127" s="127" t="str">
        <f>IF(AND($A127&lt;&gt;0,$A127&lt;&gt;"",OR(RIGHT(Logic!B127,2)="C)",LEFT(Logic!B127,4)="CSD1")),(1+(1-DUTY))*IM_RMS_120^2*V127*m/3/Num_FETS,"")</f>
        <v/>
      </c>
      <c r="AE127" s="127" t="str">
        <f>IF(AND($A127&lt;&gt;0,$A127&lt;&gt;"",OR(RIGHT(Logic!B127,2)="C)",LEFT(Logic!B127,4)="CSD1")),Num_FETS*0.5*IM_RMS_120*VDC_AVG*Z127*n*MOT_ELEC_FREQ/GDR_SRC,"")</f>
        <v/>
      </c>
      <c r="AF127" s="127" t="str">
        <f>IF(AND($A127&lt;&gt;0,$A127&lt;&gt;"",OR(RIGHT(Logic!B127,2)="C)",LEFT(Logic!B127,4)="CSD1")),Num_FETS*0.5*IM_RMS_120*VDC_AVG*Z127*n*MOT_ELEC_FREQ/GDR_SINK,"")</f>
        <v/>
      </c>
      <c r="AG127" s="127" t="str">
        <f>IF(AND($A127&lt;&gt;0,$A127&lt;&gt;"",OR(RIGHT(Logic!B127,2)="T)",LEFT(Logic!B127,4)="CSD1")),DUTY*IM_RMS_120^2*V127*m/3/Num_FETS,"")</f>
        <v/>
      </c>
      <c r="AH127" s="127" t="str">
        <f>IF(AND($A127&lt;&gt;0,$A127&lt;&gt;"",OR(RIGHT(Logic!B127,2)="T)",LEFT(Logic!B127,4)="CSD1")),Num_FETS*0.5*IM_RMS_120*VDC_AVG*Z127*n*FSW*k/GDR_SRC/3,"")</f>
        <v/>
      </c>
      <c r="AI127" s="127" t="str">
        <f>IF(AND($A127&lt;&gt;0,$A127&lt;&gt;"",OR(RIGHT(Logic!B127,2)="T)",LEFT(Logic!B127,4)="CSD1")),Num_FETS*0.5*IM_RMS_120*VDC_AVG*Z127*n*FSW*k/GDR_SINK/3,"")</f>
        <v/>
      </c>
      <c r="AJ127" s="127" t="str">
        <f t="shared" si="57"/>
        <v/>
      </c>
      <c r="AK127" s="127" t="str">
        <f t="shared" si="58"/>
        <v/>
      </c>
      <c r="AL127" s="127" t="str">
        <f t="shared" si="59"/>
        <v/>
      </c>
      <c r="AM127" s="127" t="str">
        <f t="shared" si="55"/>
        <v/>
      </c>
      <c r="AN127" s="127">
        <f>IF(AND($A127&lt;&gt;0,$A127&lt;&gt;"",OR(RIGHT(Logic!B127,2)="C)",LEFT(Logic!B127,4)="CSD1")),SUM(AD127:AF127)+(AJ127/3)+AK127+AL127/6+AM127/6,AN128)</f>
        <v>0</v>
      </c>
      <c r="AO127" s="127">
        <f>IF(AND($A127&lt;&gt;0,$A127&lt;&gt;"",OR(RIGHT(Logic!B127,2)="T)",LEFT(Logic!B127,4)="CSD1")),SUM(AG127:AI127)+(AJ127/3)+AL127/6+AM127/6,AO126)</f>
        <v>0.23887636588496741</v>
      </c>
      <c r="AP127" s="48" t="str">
        <f t="shared" si="56"/>
        <v/>
      </c>
      <c r="AQ127" s="35" t="str">
        <f>IF(AND(A127&lt;&gt;0,A127&lt;&gt;""),LOOKUP(A127,Discrete_NFET[PARTNUMBER],Discrete_NFET[TI_EQ_PACKAGE]),"")</f>
        <v/>
      </c>
      <c r="AR127" s="49" t="str">
        <f>IF(AND(A127&lt;&gt;0,A127&lt;&gt;""),LOOKUP(A127,Discrete_NFET[PARTNUMBER],Discrete_NFET[1KPRICE]),"")</f>
        <v/>
      </c>
      <c r="AS127" s="35" t="str">
        <f>IF(AND($A127&lt;&gt;0,$A127&lt;&gt;""),CONCATENATE(TEXT(AP127,"0.00"),"W, ",IF('User Input'!F$11="Single Discrete",A127,IF('User Input'!F$11="Dual/Power Block",LEFT(A127,FIND(")",A127)-7),A127)),", ",AQ127,", ",TEXT(AR127,"$0.00")),"Invalid Part")</f>
        <v>Invalid Part</v>
      </c>
      <c r="AT127"/>
      <c r="AW127"/>
    </row>
    <row r="128" spans="1:50" ht="15" customHeight="1" x14ac:dyDescent="0.25">
      <c r="A128" s="35" t="str">
        <f>IF(OR(AND(FET_config="Dual/Power Block",LEFT(Logic!B128,4)="CSD8"),AND(FET_config="Single Discrete",LEFT(Logic!B128,4)="CSD1")),Logic!B128,"")</f>
        <v/>
      </c>
      <c r="B128" s="37" t="str">
        <f>IF(OR($A128=0,$A128=""),"0",IF(LOOKUP($A128,Discrete_NFET[PARTNUMBER],Discrete_NFET[RDSON25])="(NULL)","0","1"))</f>
        <v>0</v>
      </c>
      <c r="C128" s="38" t="str">
        <f>IF(OR($A128=0,$A128=""),"0",IF(LOOKUP($A128,Discrete_NFET[PARTNUMBER],Discrete_NFET[RDSON3])="(NULL)","0","1"))</f>
        <v>0</v>
      </c>
      <c r="D128" s="40" t="str">
        <f>IF(OR($A128=0,$A128=""),"0",IF(LOOKUP($A128,Discrete_NFET[PARTNUMBER],Discrete_NFET[RDSON45])="(NULL)","0","1"))</f>
        <v>0</v>
      </c>
      <c r="E128" s="45" t="str">
        <f>IF(OR($A128=0,$A128=""),"0",IF(LOOKUP($A128,Discrete_NFET[PARTNUMBER],Discrete_NFET[RDSON6])="(NULL)","0","1"))</f>
        <v>0</v>
      </c>
      <c r="F128" s="34" t="str">
        <f>IF(OR($A128=0,$A128=""),"0",IF(LOOKUP($A128,Discrete_NFET[PARTNUMBER],Discrete_NFET[RDSON8])="(NULL)","0","1"))</f>
        <v>0</v>
      </c>
      <c r="G128" s="43" t="str">
        <f>IF(OR($A128=0,$A128=""),"0",IF(LOOKUP($A128,Discrete_NFET[PARTNUMBER],Discrete_NFET[RDSON10])="(NULL)","0","1"))</f>
        <v>0</v>
      </c>
      <c r="H128" s="36" t="b">
        <f t="shared" si="41"/>
        <v>0</v>
      </c>
      <c r="I128" s="39" t="b">
        <f t="shared" si="42"/>
        <v>0</v>
      </c>
      <c r="J128" s="41" t="b">
        <f t="shared" si="43"/>
        <v>0</v>
      </c>
      <c r="K128" s="46" t="b">
        <f t="shared" si="44"/>
        <v>0</v>
      </c>
      <c r="L128" s="42" t="b">
        <f t="shared" si="45"/>
        <v>0</v>
      </c>
      <c r="M128" s="44" t="b">
        <f t="shared" si="46"/>
        <v>0</v>
      </c>
      <c r="N128" s="47" t="b">
        <f t="shared" si="47"/>
        <v>0</v>
      </c>
      <c r="O128" s="36" t="b">
        <f t="shared" si="48"/>
        <v>0</v>
      </c>
      <c r="P128" s="39" t="b">
        <f t="shared" si="49"/>
        <v>0</v>
      </c>
      <c r="Q128" s="41" t="b">
        <f t="shared" si="50"/>
        <v>0</v>
      </c>
      <c r="R128" s="46" t="b">
        <f t="shared" si="51"/>
        <v>0</v>
      </c>
      <c r="S128" s="42" t="b">
        <f t="shared" si="52"/>
        <v>0</v>
      </c>
      <c r="T128" s="44" t="b">
        <f t="shared" si="53"/>
        <v>0</v>
      </c>
      <c r="U128" s="148" t="str">
        <f>IF(T128,LOOKUP(A128,Discrete_NFET[PARTNUMBER],Discrete_NFET[RDSON10])*1000,IF(S128,LOOKUP(A128,Discrete_NFET[PARTNUMBER],Discrete_NFET[RDSON8])*1000,IF(R128,LOOKUP(A128,Discrete_NFET[PARTNUMBER],Discrete_NFET[RDSON6])*1000,IF(Q128,LOOKUP(A128,Discrete_NFET[PARTNUMBER],Discrete_NFET[RDSON45])*1000,IF(P128,LOOKUP(A128,Discrete_NFET[PARTNUMBER],Discrete_NFET[RDSON3])*1000,IF(O128,LOOKUP(A128,Discrete_NFET[PARTNUMBER],Discrete_NFET[RDSON25])*1000,""))))))</f>
        <v/>
      </c>
      <c r="V128" s="48" t="str">
        <f>IF(AND(A128&lt;&gt;0,A128&lt;&gt;""),U128*(1+(Tj-25)*(LOOKUP(A128,Discrete_NFET[PARTNUMBER],Discrete_NFET[RDSDELTA])/((LOOKUP(A128,Discrete_NFET[PARTNUMBER],Discrete_NFET[TJMAX])-25)))),"")</f>
        <v/>
      </c>
      <c r="W128" s="35" t="str">
        <f>IF(AND($A128&lt;&gt;0,$A128&lt;&gt;""),LOOKUP($A128,Discrete_NFET[PARTNUMBER],Discrete_NFET[QGS]),"")</f>
        <v/>
      </c>
      <c r="X128" s="35" t="str">
        <f>IF(AND($A128&lt;&gt;0,$A128&lt;&gt;""),LOOKUP($A128,Discrete_NFET[PARTNUMBER],Discrete_NFET[QGD]),"")</f>
        <v/>
      </c>
      <c r="Y128" s="35" t="str">
        <f>IF(AND($A128&lt;&gt;0,$A128&lt;&gt;""),LOOKUP($A128,Discrete_NFET[PARTNUMBER],Discrete_NFET[QGTH]),"")</f>
        <v/>
      </c>
      <c r="Z128" s="35" t="str">
        <f t="shared" si="54"/>
        <v/>
      </c>
      <c r="AA128" s="35" t="str">
        <f>IF(AND($A128&lt;&gt;0,$A128&lt;&gt;""),LOOKUP($A128,Discrete_NFET[PARTNUMBER],Discrete_NFET[QOSSTYP]),"")</f>
        <v/>
      </c>
      <c r="AB128" s="35" t="str">
        <f>IF(AND($A128&lt;&gt;0,$A128&lt;&gt;""),LOOKUP($A128,Discrete_NFET[PARTNUMBER],Discrete_NFET[QRR]),"")</f>
        <v/>
      </c>
      <c r="AC128" s="35" t="str">
        <f>IF(AND(A128&lt;&gt;0,A128&lt;&gt;""),LOOKUP(A128,Discrete_NFET[PARTNUMBER],Discrete_NFET[VF_TYP]),"")</f>
        <v/>
      </c>
      <c r="AD128" s="127" t="str">
        <f>IF(AND($A128&lt;&gt;0,$A128&lt;&gt;"",OR(RIGHT(Logic!B128,2)="C)",LEFT(Logic!B128,4)="CSD1")),(1+(1-DUTY))*IM_RMS_120^2*V128*m/3/Num_FETS,"")</f>
        <v/>
      </c>
      <c r="AE128" s="127" t="str">
        <f>IF(AND($A128&lt;&gt;0,$A128&lt;&gt;"",OR(RIGHT(Logic!B128,2)="C)",LEFT(Logic!B128,4)="CSD1")),Num_FETS*0.5*IM_RMS_120*VDC_AVG*Z128*n*MOT_ELEC_FREQ/GDR_SRC,"")</f>
        <v/>
      </c>
      <c r="AF128" s="127" t="str">
        <f>IF(AND($A128&lt;&gt;0,$A128&lt;&gt;"",OR(RIGHT(Logic!B128,2)="C)",LEFT(Logic!B128,4)="CSD1")),Num_FETS*0.5*IM_RMS_120*VDC_AVG*Z128*n*MOT_ELEC_FREQ/GDR_SINK,"")</f>
        <v/>
      </c>
      <c r="AG128" s="127" t="str">
        <f>IF(AND($A128&lt;&gt;0,$A128&lt;&gt;"",OR(RIGHT(Logic!B128,2)="T)",LEFT(Logic!B128,4)="CSD1")),DUTY*IM_RMS_120^2*V128*m/3/Num_FETS,"")</f>
        <v/>
      </c>
      <c r="AH128" s="127" t="str">
        <f>IF(AND($A128&lt;&gt;0,$A128&lt;&gt;"",OR(RIGHT(Logic!B128,2)="T)",LEFT(Logic!B128,4)="CSD1")),Num_FETS*0.5*IM_RMS_120*VDC_AVG*Z128*n*FSW*k/GDR_SRC/3,"")</f>
        <v/>
      </c>
      <c r="AI128" s="127" t="str">
        <f>IF(AND($A128&lt;&gt;0,$A128&lt;&gt;"",OR(RIGHT(Logic!B128,2)="T)",LEFT(Logic!B128,4)="CSD1")),Num_FETS*0.5*IM_RMS_120*VDC_AVG*Z128*n*FSW*k/GDR_SINK/3,"")</f>
        <v/>
      </c>
      <c r="AJ128" s="127" t="str">
        <f t="shared" si="57"/>
        <v/>
      </c>
      <c r="AK128" s="127" t="str">
        <f t="shared" si="58"/>
        <v/>
      </c>
      <c r="AL128" s="127" t="str">
        <f t="shared" si="59"/>
        <v/>
      </c>
      <c r="AM128" s="127" t="str">
        <f t="shared" si="55"/>
        <v/>
      </c>
      <c r="AN128" s="127">
        <f>IF(AND($A128&lt;&gt;0,$A128&lt;&gt;"",OR(RIGHT(Logic!B128,2)="C)",LEFT(Logic!B128,4)="CSD1")),SUM(AD128:AF128)+(AJ128/3)+AK128+AL128/6+AM128/6,AN129)</f>
        <v>0</v>
      </c>
      <c r="AO128" s="127">
        <f>IF(AND($A128&lt;&gt;0,$A128&lt;&gt;"",OR(RIGHT(Logic!B128,2)="T)",LEFT(Logic!B128,4)="CSD1")),SUM(AG128:AI128)+(AJ128/3)+AL128/6+AM128/6,AO127)</f>
        <v>0.23887636588496741</v>
      </c>
      <c r="AP128" s="48" t="str">
        <f t="shared" si="56"/>
        <v/>
      </c>
      <c r="AQ128" s="35" t="str">
        <f>IF(AND(A128&lt;&gt;0,A128&lt;&gt;""),LOOKUP(A128,Discrete_NFET[PARTNUMBER],Discrete_NFET[TI_EQ_PACKAGE]),"")</f>
        <v/>
      </c>
      <c r="AR128" s="49" t="str">
        <f>IF(AND(A128&lt;&gt;0,A128&lt;&gt;""),LOOKUP(A128,Discrete_NFET[PARTNUMBER],Discrete_NFET[1KPRICE]),"")</f>
        <v/>
      </c>
      <c r="AS128" s="35" t="str">
        <f>IF(AND($A128&lt;&gt;0,$A128&lt;&gt;""),CONCATENATE(TEXT(AP128,"0.00"),"W, ",IF('User Input'!F$11="Single Discrete",A128,IF('User Input'!F$11="Dual/Power Block",LEFT(A128,FIND(")",A128)-7),A128)),", ",AQ128,", ",TEXT(AR128,"$0.00")),"Invalid Part")</f>
        <v>Invalid Part</v>
      </c>
      <c r="AT128"/>
      <c r="AU128" s="35"/>
      <c r="AV128" s="35"/>
      <c r="AW128"/>
      <c r="AX128" s="35"/>
    </row>
    <row r="129" spans="1:50" s="17" customFormat="1" x14ac:dyDescent="0.25">
      <c r="A129" s="35" t="str">
        <f>IF(OR(AND(FET_config="Dual/Power Block",LEFT(Logic!B129,4)="CSD8"),AND(FET_config="Single Discrete",LEFT(Logic!B129,4)="CSD1")),Logic!B129,"")</f>
        <v/>
      </c>
      <c r="B129" s="37" t="str">
        <f>IF(OR($A129=0,$A129=""),"0",IF(LOOKUP($A129,Discrete_NFET[PARTNUMBER],Discrete_NFET[RDSON25])="(NULL)","0","1"))</f>
        <v>0</v>
      </c>
      <c r="C129" s="38" t="str">
        <f>IF(OR($A129=0,$A129=""),"0",IF(LOOKUP($A129,Discrete_NFET[PARTNUMBER],Discrete_NFET[RDSON3])="(NULL)","0","1"))</f>
        <v>0</v>
      </c>
      <c r="D129" s="40" t="str">
        <f>IF(OR($A129=0,$A129=""),"0",IF(LOOKUP($A129,Discrete_NFET[PARTNUMBER],Discrete_NFET[RDSON45])="(NULL)","0","1"))</f>
        <v>0</v>
      </c>
      <c r="E129" s="45" t="str">
        <f>IF(OR($A129=0,$A129=""),"0",IF(LOOKUP($A129,Discrete_NFET[PARTNUMBER],Discrete_NFET[RDSON6])="(NULL)","0","1"))</f>
        <v>0</v>
      </c>
      <c r="F129" s="34" t="str">
        <f>IF(OR($A129=0,$A129=""),"0",IF(LOOKUP($A129,Discrete_NFET[PARTNUMBER],Discrete_NFET[RDSON8])="(NULL)","0","1"))</f>
        <v>0</v>
      </c>
      <c r="G129" s="43" t="str">
        <f>IF(OR($A129=0,$A129=""),"0",IF(LOOKUP($A129,Discrete_NFET[PARTNUMBER],Discrete_NFET[RDSON10])="(NULL)","0","1"))</f>
        <v>0</v>
      </c>
      <c r="H129" s="36" t="b">
        <f t="shared" si="41"/>
        <v>0</v>
      </c>
      <c r="I129" s="39" t="b">
        <f t="shared" si="42"/>
        <v>0</v>
      </c>
      <c r="J129" s="41" t="b">
        <f t="shared" si="43"/>
        <v>0</v>
      </c>
      <c r="K129" s="46" t="b">
        <f t="shared" si="44"/>
        <v>0</v>
      </c>
      <c r="L129" s="42" t="b">
        <f t="shared" si="45"/>
        <v>0</v>
      </c>
      <c r="M129" s="44" t="b">
        <f t="shared" si="46"/>
        <v>0</v>
      </c>
      <c r="N129" s="47" t="b">
        <f t="shared" si="47"/>
        <v>0</v>
      </c>
      <c r="O129" s="36" t="b">
        <f t="shared" si="48"/>
        <v>0</v>
      </c>
      <c r="P129" s="39" t="b">
        <f t="shared" si="49"/>
        <v>0</v>
      </c>
      <c r="Q129" s="41" t="b">
        <f t="shared" si="50"/>
        <v>0</v>
      </c>
      <c r="R129" s="46" t="b">
        <f t="shared" si="51"/>
        <v>0</v>
      </c>
      <c r="S129" s="42" t="b">
        <f t="shared" si="52"/>
        <v>0</v>
      </c>
      <c r="T129" s="44" t="b">
        <f t="shared" si="53"/>
        <v>0</v>
      </c>
      <c r="U129" s="148" t="str">
        <f>IF(T129,LOOKUP(A129,Discrete_NFET[PARTNUMBER],Discrete_NFET[RDSON10])*1000,IF(S129,LOOKUP(A129,Discrete_NFET[PARTNUMBER],Discrete_NFET[RDSON8])*1000,IF(R129,LOOKUP(A129,Discrete_NFET[PARTNUMBER],Discrete_NFET[RDSON6])*1000,IF(Q129,LOOKUP(A129,Discrete_NFET[PARTNUMBER],Discrete_NFET[RDSON45])*1000,IF(P129,LOOKUP(A129,Discrete_NFET[PARTNUMBER],Discrete_NFET[RDSON3])*1000,IF(O129,LOOKUP(A129,Discrete_NFET[PARTNUMBER],Discrete_NFET[RDSON25])*1000,""))))))</f>
        <v/>
      </c>
      <c r="V129" s="48" t="str">
        <f>IF(AND(A129&lt;&gt;0,A129&lt;&gt;""),U129*(1+(Tj-25)*(LOOKUP(A129,Discrete_NFET[PARTNUMBER],Discrete_NFET[RDSDELTA])/((LOOKUP(A129,Discrete_NFET[PARTNUMBER],Discrete_NFET[TJMAX])-25)))),"")</f>
        <v/>
      </c>
      <c r="W129" s="35" t="str">
        <f>IF(AND($A129&lt;&gt;0,$A129&lt;&gt;""),LOOKUP($A129,Discrete_NFET[PARTNUMBER],Discrete_NFET[QGS]),"")</f>
        <v/>
      </c>
      <c r="X129" s="35" t="str">
        <f>IF(AND($A129&lt;&gt;0,$A129&lt;&gt;""),LOOKUP($A129,Discrete_NFET[PARTNUMBER],Discrete_NFET[QGD]),"")</f>
        <v/>
      </c>
      <c r="Y129" s="35" t="str">
        <f>IF(AND($A129&lt;&gt;0,$A129&lt;&gt;""),LOOKUP($A129,Discrete_NFET[PARTNUMBER],Discrete_NFET[QGTH]),"")</f>
        <v/>
      </c>
      <c r="Z129" s="35" t="str">
        <f t="shared" si="54"/>
        <v/>
      </c>
      <c r="AA129" s="35" t="str">
        <f>IF(AND($A129&lt;&gt;0,$A129&lt;&gt;""),LOOKUP($A129,Discrete_NFET[PARTNUMBER],Discrete_NFET[QOSSTYP]),"")</f>
        <v/>
      </c>
      <c r="AB129" s="35" t="str">
        <f>IF(AND($A129&lt;&gt;0,$A129&lt;&gt;""),LOOKUP($A129,Discrete_NFET[PARTNUMBER],Discrete_NFET[QRR]),"")</f>
        <v/>
      </c>
      <c r="AC129" s="35" t="str">
        <f>IF(AND(A129&lt;&gt;0,A129&lt;&gt;""),LOOKUP(A129,Discrete_NFET[PARTNUMBER],Discrete_NFET[VF_TYP]),"")</f>
        <v/>
      </c>
      <c r="AD129" s="127" t="str">
        <f>IF(AND($A129&lt;&gt;0,$A129&lt;&gt;"",OR(RIGHT(Logic!B129,2)="C)",LEFT(Logic!B129,4)="CSD1")),(1+(1-DUTY))*IM_RMS_120^2*V129*m/3/Num_FETS,"")</f>
        <v/>
      </c>
      <c r="AE129" s="127" t="str">
        <f>IF(AND($A129&lt;&gt;0,$A129&lt;&gt;"",OR(RIGHT(Logic!B129,2)="C)",LEFT(Logic!B129,4)="CSD1")),Num_FETS*0.5*IM_RMS_120*VDC_AVG*Z129*n*MOT_ELEC_FREQ/GDR_SRC,"")</f>
        <v/>
      </c>
      <c r="AF129" s="127" t="str">
        <f>IF(AND($A129&lt;&gt;0,$A129&lt;&gt;"",OR(RIGHT(Logic!B129,2)="C)",LEFT(Logic!B129,4)="CSD1")),Num_FETS*0.5*IM_RMS_120*VDC_AVG*Z129*n*MOT_ELEC_FREQ/GDR_SINK,"")</f>
        <v/>
      </c>
      <c r="AG129" s="127" t="str">
        <f>IF(AND($A129&lt;&gt;0,$A129&lt;&gt;"",OR(RIGHT(Logic!B129,2)="T)",LEFT(Logic!B129,4)="CSD1")),DUTY*IM_RMS_120^2*V129*m/3/Num_FETS,"")</f>
        <v/>
      </c>
      <c r="AH129" s="127" t="str">
        <f>IF(AND($A129&lt;&gt;0,$A129&lt;&gt;"",OR(RIGHT(Logic!B129,2)="T)",LEFT(Logic!B129,4)="CSD1")),Num_FETS*0.5*IM_RMS_120*VDC_AVG*Z129*n*FSW*k/GDR_SRC/3,"")</f>
        <v/>
      </c>
      <c r="AI129" s="127" t="str">
        <f>IF(AND($A129&lt;&gt;0,$A129&lt;&gt;"",OR(RIGHT(Logic!B129,2)="T)",LEFT(Logic!B129,4)="CSD1")),Num_FETS*0.5*IM_RMS_120*VDC_AVG*Z129*n*FSW*k/GDR_SINK/3,"")</f>
        <v/>
      </c>
      <c r="AJ129" s="127" t="str">
        <f t="shared" si="57"/>
        <v/>
      </c>
      <c r="AK129" s="127" t="str">
        <f t="shared" si="58"/>
        <v/>
      </c>
      <c r="AL129" s="127" t="str">
        <f t="shared" si="59"/>
        <v/>
      </c>
      <c r="AM129" s="127" t="str">
        <f t="shared" si="55"/>
        <v/>
      </c>
      <c r="AN129" s="127">
        <f>IF(AND($A129&lt;&gt;0,$A129&lt;&gt;"",OR(RIGHT(Logic!B129,2)="C)",LEFT(Logic!B129,4)="CSD1")),SUM(AD129:AF129)+(AJ129/3)+AK129+AL129/6+AM129/6,AN130)</f>
        <v>0</v>
      </c>
      <c r="AO129" s="127">
        <f>IF(AND($A129&lt;&gt;0,$A129&lt;&gt;"",OR(RIGHT(Logic!B129,2)="T)",LEFT(Logic!B129,4)="CSD1")),SUM(AG129:AI129)+(AJ129/3)+AL129/6+AM129/6,AO128)</f>
        <v>0.23887636588496741</v>
      </c>
      <c r="AP129" s="48" t="str">
        <f t="shared" si="56"/>
        <v/>
      </c>
      <c r="AQ129" s="35" t="str">
        <f>IF(AND(A129&lt;&gt;0,A129&lt;&gt;""),LOOKUP(A129,Discrete_NFET[PARTNUMBER],Discrete_NFET[TI_EQ_PACKAGE]),"")</f>
        <v/>
      </c>
      <c r="AR129" s="49" t="str">
        <f>IF(AND(A129&lt;&gt;0,A129&lt;&gt;""),LOOKUP(A129,Discrete_NFET[PARTNUMBER],Discrete_NFET[1KPRICE]),"")</f>
        <v/>
      </c>
      <c r="AS129" s="35" t="str">
        <f>IF(AND($A129&lt;&gt;0,$A129&lt;&gt;""),CONCATENATE(TEXT(AP129,"0.00"),"W, ",IF('User Input'!F$11="Single Discrete",A129,IF('User Input'!F$11="Dual/Power Block",LEFT(A129,FIND(")",A129)-7),A129)),", ",AQ129,", ",TEXT(AR129,"$0.00")),"Invalid Part")</f>
        <v>Invalid Part</v>
      </c>
      <c r="AT129"/>
      <c r="AU129" s="16"/>
      <c r="AV129" s="16"/>
      <c r="AX129" s="16"/>
    </row>
    <row r="130" spans="1:50" x14ac:dyDescent="0.25">
      <c r="A130" s="35" t="str">
        <f>IF(OR(AND(FET_config="Dual/Power Block",LEFT(Logic!B130,4)="CSD8"),AND(FET_config="Single Discrete",LEFT(Logic!B130,4)="CSD1")),Logic!B130,"")</f>
        <v/>
      </c>
      <c r="B130" s="37" t="str">
        <f>IF(OR($A130=0,$A130=""),"0",IF(LOOKUP($A130,Discrete_NFET[PARTNUMBER],Discrete_NFET[RDSON25])="(NULL)","0","1"))</f>
        <v>0</v>
      </c>
      <c r="C130" s="38" t="str">
        <f>IF(OR($A130=0,$A130=""),"0",IF(LOOKUP($A130,Discrete_NFET[PARTNUMBER],Discrete_NFET[RDSON3])="(NULL)","0","1"))</f>
        <v>0</v>
      </c>
      <c r="D130" s="40" t="str">
        <f>IF(OR($A130=0,$A130=""),"0",IF(LOOKUP($A130,Discrete_NFET[PARTNUMBER],Discrete_NFET[RDSON45])="(NULL)","0","1"))</f>
        <v>0</v>
      </c>
      <c r="E130" s="45" t="str">
        <f>IF(OR($A130=0,$A130=""),"0",IF(LOOKUP($A130,Discrete_NFET[PARTNUMBER],Discrete_NFET[RDSON6])="(NULL)","0","1"))</f>
        <v>0</v>
      </c>
      <c r="F130" s="34" t="str">
        <f>IF(OR($A130=0,$A130=""),"0",IF(LOOKUP($A130,Discrete_NFET[PARTNUMBER],Discrete_NFET[RDSON8])="(NULL)","0","1"))</f>
        <v>0</v>
      </c>
      <c r="G130" s="43" t="str">
        <f>IF(OR($A130=0,$A130=""),"0",IF(LOOKUP($A130,Discrete_NFET[PARTNUMBER],Discrete_NFET[RDSON10])="(NULL)","0","1"))</f>
        <v>0</v>
      </c>
      <c r="H130" s="36" t="b">
        <f t="shared" si="41"/>
        <v>0</v>
      </c>
      <c r="I130" s="39" t="b">
        <f t="shared" si="42"/>
        <v>0</v>
      </c>
      <c r="J130" s="41" t="b">
        <f t="shared" si="43"/>
        <v>0</v>
      </c>
      <c r="K130" s="46" t="b">
        <f t="shared" si="44"/>
        <v>0</v>
      </c>
      <c r="L130" s="42" t="b">
        <f t="shared" si="45"/>
        <v>0</v>
      </c>
      <c r="M130" s="44" t="b">
        <f t="shared" si="46"/>
        <v>0</v>
      </c>
      <c r="N130" s="47" t="b">
        <f t="shared" si="47"/>
        <v>0</v>
      </c>
      <c r="O130" s="36" t="b">
        <f t="shared" si="48"/>
        <v>0</v>
      </c>
      <c r="P130" s="39" t="b">
        <f t="shared" si="49"/>
        <v>0</v>
      </c>
      <c r="Q130" s="41" t="b">
        <f t="shared" si="50"/>
        <v>0</v>
      </c>
      <c r="R130" s="46" t="b">
        <f t="shared" si="51"/>
        <v>0</v>
      </c>
      <c r="S130" s="42" t="b">
        <f t="shared" si="52"/>
        <v>0</v>
      </c>
      <c r="T130" s="44" t="b">
        <f t="shared" si="53"/>
        <v>0</v>
      </c>
      <c r="U130" s="148" t="str">
        <f>IF(T130,LOOKUP(A130,Discrete_NFET[PARTNUMBER],Discrete_NFET[RDSON10])*1000,IF(S130,LOOKUP(A130,Discrete_NFET[PARTNUMBER],Discrete_NFET[RDSON8])*1000,IF(R130,LOOKUP(A130,Discrete_NFET[PARTNUMBER],Discrete_NFET[RDSON6])*1000,IF(Q130,LOOKUP(A130,Discrete_NFET[PARTNUMBER],Discrete_NFET[RDSON45])*1000,IF(P130,LOOKUP(A130,Discrete_NFET[PARTNUMBER],Discrete_NFET[RDSON3])*1000,IF(O130,LOOKUP(A130,Discrete_NFET[PARTNUMBER],Discrete_NFET[RDSON25])*1000,""))))))</f>
        <v/>
      </c>
      <c r="V130" s="48" t="str">
        <f>IF(AND(A130&lt;&gt;0,A130&lt;&gt;""),U130*(1+(Tj-25)*(LOOKUP(A130,Discrete_NFET[PARTNUMBER],Discrete_NFET[RDSDELTA])/((LOOKUP(A130,Discrete_NFET[PARTNUMBER],Discrete_NFET[TJMAX])-25)))),"")</f>
        <v/>
      </c>
      <c r="W130" s="35" t="str">
        <f>IF(AND($A130&lt;&gt;0,$A130&lt;&gt;""),LOOKUP($A130,Discrete_NFET[PARTNUMBER],Discrete_NFET[QGS]),"")</f>
        <v/>
      </c>
      <c r="X130" s="35" t="str">
        <f>IF(AND($A130&lt;&gt;0,$A130&lt;&gt;""),LOOKUP($A130,Discrete_NFET[PARTNUMBER],Discrete_NFET[QGD]),"")</f>
        <v/>
      </c>
      <c r="Y130" s="35" t="str">
        <f>IF(AND($A130&lt;&gt;0,$A130&lt;&gt;""),LOOKUP($A130,Discrete_NFET[PARTNUMBER],Discrete_NFET[QGTH]),"")</f>
        <v/>
      </c>
      <c r="Z130" s="35" t="str">
        <f t="shared" si="54"/>
        <v/>
      </c>
      <c r="AA130" s="35" t="str">
        <f>IF(AND($A130&lt;&gt;0,$A130&lt;&gt;""),LOOKUP($A130,Discrete_NFET[PARTNUMBER],Discrete_NFET[QOSSTYP]),"")</f>
        <v/>
      </c>
      <c r="AB130" s="35" t="str">
        <f>IF(AND($A130&lt;&gt;0,$A130&lt;&gt;""),LOOKUP($A130,Discrete_NFET[PARTNUMBER],Discrete_NFET[QRR]),"")</f>
        <v/>
      </c>
      <c r="AC130" s="35" t="str">
        <f>IF(AND(A130&lt;&gt;0,A130&lt;&gt;""),LOOKUP(A130,Discrete_NFET[PARTNUMBER],Discrete_NFET[VF_TYP]),"")</f>
        <v/>
      </c>
      <c r="AD130" s="127" t="str">
        <f>IF(AND($A130&lt;&gt;0,$A130&lt;&gt;"",OR(RIGHT(Logic!B130,2)="C)",LEFT(Logic!B130,4)="CSD1")),(1+(1-DUTY))*IM_RMS_120^2*V130*m/3/Num_FETS,"")</f>
        <v/>
      </c>
      <c r="AE130" s="127" t="str">
        <f>IF(AND($A130&lt;&gt;0,$A130&lt;&gt;"",OR(RIGHT(Logic!B130,2)="C)",LEFT(Logic!B130,4)="CSD1")),Num_FETS*0.5*IM_RMS_120*VDC_AVG*Z130*n*MOT_ELEC_FREQ/GDR_SRC,"")</f>
        <v/>
      </c>
      <c r="AF130" s="127" t="str">
        <f>IF(AND($A130&lt;&gt;0,$A130&lt;&gt;"",OR(RIGHT(Logic!B130,2)="C)",LEFT(Logic!B130,4)="CSD1")),Num_FETS*0.5*IM_RMS_120*VDC_AVG*Z130*n*MOT_ELEC_FREQ/GDR_SINK,"")</f>
        <v/>
      </c>
      <c r="AG130" s="127" t="str">
        <f>IF(AND($A130&lt;&gt;0,$A130&lt;&gt;"",OR(RIGHT(Logic!B130,2)="T)",LEFT(Logic!B130,4)="CSD1")),DUTY*IM_RMS_120^2*V130*m/3/Num_FETS,"")</f>
        <v/>
      </c>
      <c r="AH130" s="127" t="str">
        <f>IF(AND($A130&lt;&gt;0,$A130&lt;&gt;"",OR(RIGHT(Logic!B130,2)="T)",LEFT(Logic!B130,4)="CSD1")),Num_FETS*0.5*IM_RMS_120*VDC_AVG*Z130*n*FSW*k/GDR_SRC/3,"")</f>
        <v/>
      </c>
      <c r="AI130" s="127" t="str">
        <f>IF(AND($A130&lt;&gt;0,$A130&lt;&gt;"",OR(RIGHT(Logic!B130,2)="T)",LEFT(Logic!B130,4)="CSD1")),Num_FETS*0.5*IM_RMS_120*VDC_AVG*Z130*n*FSW*k/GDR_SINK/3,"")</f>
        <v/>
      </c>
      <c r="AJ130" s="127" t="str">
        <f t="shared" ref="AJ130:AJ144" si="60">IF(AND($A130&lt;&gt;0,$A130&lt;&gt;""),Num_FETS*((AA130*VDC_AVG)*((FSW*k)))*n/2,"")</f>
        <v/>
      </c>
      <c r="AK130" s="127" t="str">
        <f t="shared" ref="AK130:AK144" si="61">IF(AND($A130&lt;&gt;0,$A130&lt;&gt;""),2*T_DEAD*n*AC130*IM_PEAK*(FSW*k)/3,"")</f>
        <v/>
      </c>
      <c r="AL130" s="127" t="str">
        <f t="shared" ref="AL130:AL144" si="62">IF(AND($A130&lt;&gt;0,$A130&lt;&gt;""),Num_FETS*((AB130*VDC_AVG)*((MOT_ELEC_FREQ+FSW*k)))*n,"")</f>
        <v/>
      </c>
      <c r="AM130" s="127" t="str">
        <f t="shared" si="55"/>
        <v/>
      </c>
      <c r="AN130" s="127">
        <f>IF(AND($A130&lt;&gt;0,$A130&lt;&gt;"",OR(RIGHT(Logic!B130,2)="C)",LEFT(Logic!B130,4)="CSD1")),SUM(AD130:AF130)+(AJ130/3)+AK130+AL130/6+AM130/6,AN131)</f>
        <v>0</v>
      </c>
      <c r="AO130" s="127">
        <f>IF(AND($A130&lt;&gt;0,$A130&lt;&gt;"",OR(RIGHT(Logic!B130,2)="T)",LEFT(Logic!B130,4)="CSD1")),SUM(AG130:AI130)+(AJ130/3)+AL130/6+AM130/6,AO129)</f>
        <v>0.23887636588496741</v>
      </c>
      <c r="AP130" s="48" t="str">
        <f t="shared" si="56"/>
        <v/>
      </c>
      <c r="AQ130" s="35" t="str">
        <f>IF(AND(A130&lt;&gt;0,A130&lt;&gt;""),LOOKUP(A130,Discrete_NFET[PARTNUMBER],Discrete_NFET[TI_EQ_PACKAGE]),"")</f>
        <v/>
      </c>
      <c r="AR130" s="49" t="str">
        <f>IF(AND(A130&lt;&gt;0,A130&lt;&gt;""),LOOKUP(A130,Discrete_NFET[PARTNUMBER],Discrete_NFET[1KPRICE]),"")</f>
        <v/>
      </c>
      <c r="AS130" s="35" t="str">
        <f>IF(AND($A130&lt;&gt;0,$A130&lt;&gt;""),CONCATENATE(TEXT(AP130,"0.00"),"W, ",IF('User Input'!F$11="Single Discrete",A130,IF('User Input'!F$11="Dual/Power Block",LEFT(A130,FIND(")",A130)-7),A130)),", ",AQ130,", ",TEXT(AR130,"$0.00")),"Invalid Part")</f>
        <v>Invalid Part</v>
      </c>
      <c r="AT130"/>
      <c r="AU130" s="142"/>
      <c r="AV130" s="142"/>
      <c r="AW130" s="142"/>
      <c r="AX130" s="142"/>
    </row>
    <row r="131" spans="1:50" x14ac:dyDescent="0.25">
      <c r="A131" s="35" t="str">
        <f>IF(OR(AND(FET_config="Dual/Power Block",LEFT(Logic!B131,4)="CSD8"),AND(FET_config="Single Discrete",LEFT(Logic!B131,4)="CSD1")),Logic!B131,"")</f>
        <v/>
      </c>
      <c r="B131" s="37" t="str">
        <f>IF(OR($A131=0,$A131=""),"0",IF(LOOKUP($A131,Discrete_NFET[PARTNUMBER],Discrete_NFET[RDSON25])="(NULL)","0","1"))</f>
        <v>0</v>
      </c>
      <c r="C131" s="38" t="str">
        <f>IF(OR($A131=0,$A131=""),"0",IF(LOOKUP($A131,Discrete_NFET[PARTNUMBER],Discrete_NFET[RDSON3])="(NULL)","0","1"))</f>
        <v>0</v>
      </c>
      <c r="D131" s="40" t="str">
        <f>IF(OR($A131=0,$A131=""),"0",IF(LOOKUP($A131,Discrete_NFET[PARTNUMBER],Discrete_NFET[RDSON45])="(NULL)","0","1"))</f>
        <v>0</v>
      </c>
      <c r="E131" s="45" t="str">
        <f>IF(OR($A131=0,$A131=""),"0",IF(LOOKUP($A131,Discrete_NFET[PARTNUMBER],Discrete_NFET[RDSON6])="(NULL)","0","1"))</f>
        <v>0</v>
      </c>
      <c r="F131" s="34" t="str">
        <f>IF(OR($A131=0,$A131=""),"0",IF(LOOKUP($A131,Discrete_NFET[PARTNUMBER],Discrete_NFET[RDSON8])="(NULL)","0","1"))</f>
        <v>0</v>
      </c>
      <c r="G131" s="43" t="str">
        <f>IF(OR($A131=0,$A131=""),"0",IF(LOOKUP($A131,Discrete_NFET[PARTNUMBER],Discrete_NFET[RDSON10])="(NULL)","0","1"))</f>
        <v>0</v>
      </c>
      <c r="H131" s="36" t="b">
        <f t="shared" si="41"/>
        <v>0</v>
      </c>
      <c r="I131" s="39" t="b">
        <f t="shared" si="42"/>
        <v>0</v>
      </c>
      <c r="J131" s="41" t="b">
        <f t="shared" si="43"/>
        <v>0</v>
      </c>
      <c r="K131" s="46" t="b">
        <f t="shared" si="44"/>
        <v>0</v>
      </c>
      <c r="L131" s="42" t="b">
        <f t="shared" si="45"/>
        <v>0</v>
      </c>
      <c r="M131" s="44" t="b">
        <f t="shared" si="46"/>
        <v>0</v>
      </c>
      <c r="N131" s="47" t="b">
        <f t="shared" si="47"/>
        <v>0</v>
      </c>
      <c r="O131" s="36" t="b">
        <f t="shared" si="48"/>
        <v>0</v>
      </c>
      <c r="P131" s="39" t="b">
        <f t="shared" si="49"/>
        <v>0</v>
      </c>
      <c r="Q131" s="41" t="b">
        <f t="shared" si="50"/>
        <v>0</v>
      </c>
      <c r="R131" s="46" t="b">
        <f t="shared" si="51"/>
        <v>0</v>
      </c>
      <c r="S131" s="42" t="b">
        <f t="shared" si="52"/>
        <v>0</v>
      </c>
      <c r="T131" s="44" t="b">
        <f t="shared" si="53"/>
        <v>0</v>
      </c>
      <c r="U131" s="148" t="str">
        <f>IF(T131,LOOKUP(A131,Discrete_NFET[PARTNUMBER],Discrete_NFET[RDSON10])*1000,IF(S131,LOOKUP(A131,Discrete_NFET[PARTNUMBER],Discrete_NFET[RDSON8])*1000,IF(R131,LOOKUP(A131,Discrete_NFET[PARTNUMBER],Discrete_NFET[RDSON6])*1000,IF(Q131,LOOKUP(A131,Discrete_NFET[PARTNUMBER],Discrete_NFET[RDSON45])*1000,IF(P131,LOOKUP(A131,Discrete_NFET[PARTNUMBER],Discrete_NFET[RDSON3])*1000,IF(O131,LOOKUP(A131,Discrete_NFET[PARTNUMBER],Discrete_NFET[RDSON25])*1000,""))))))</f>
        <v/>
      </c>
      <c r="V131" s="48" t="str">
        <f>IF(AND(A131&lt;&gt;0,A131&lt;&gt;""),U131*(1+(Tj-25)*(LOOKUP(A131,Discrete_NFET[PARTNUMBER],Discrete_NFET[RDSDELTA])/((LOOKUP(A131,Discrete_NFET[PARTNUMBER],Discrete_NFET[TJMAX])-25)))),"")</f>
        <v/>
      </c>
      <c r="W131" s="35" t="str">
        <f>IF(AND($A131&lt;&gt;0,$A131&lt;&gt;""),LOOKUP($A131,Discrete_NFET[PARTNUMBER],Discrete_NFET[QGS]),"")</f>
        <v/>
      </c>
      <c r="X131" s="35" t="str">
        <f>IF(AND($A131&lt;&gt;0,$A131&lt;&gt;""),LOOKUP($A131,Discrete_NFET[PARTNUMBER],Discrete_NFET[QGD]),"")</f>
        <v/>
      </c>
      <c r="Y131" s="35" t="str">
        <f>IF(AND($A131&lt;&gt;0,$A131&lt;&gt;""),LOOKUP($A131,Discrete_NFET[PARTNUMBER],Discrete_NFET[QGTH]),"")</f>
        <v/>
      </c>
      <c r="Z131" s="35" t="str">
        <f t="shared" si="54"/>
        <v/>
      </c>
      <c r="AA131" s="35" t="str">
        <f>IF(AND($A131&lt;&gt;0,$A131&lt;&gt;""),LOOKUP($A131,Discrete_NFET[PARTNUMBER],Discrete_NFET[QOSSTYP]),"")</f>
        <v/>
      </c>
      <c r="AB131" s="35" t="str">
        <f>IF(AND($A131&lt;&gt;0,$A131&lt;&gt;""),LOOKUP($A131,Discrete_NFET[PARTNUMBER],Discrete_NFET[QRR]),"")</f>
        <v/>
      </c>
      <c r="AC131" s="35" t="str">
        <f>IF(AND(A131&lt;&gt;0,A131&lt;&gt;""),LOOKUP(A131,Discrete_NFET[PARTNUMBER],Discrete_NFET[VF_TYP]),"")</f>
        <v/>
      </c>
      <c r="AD131" s="127" t="str">
        <f>IF(AND($A131&lt;&gt;0,$A131&lt;&gt;"",OR(RIGHT(Logic!B131,2)="C)",LEFT(Logic!B131,4)="CSD1")),(1+(1-DUTY))*IM_RMS_120^2*V131*m/3/Num_FETS,"")</f>
        <v/>
      </c>
      <c r="AE131" s="127" t="str">
        <f>IF(AND($A131&lt;&gt;0,$A131&lt;&gt;"",OR(RIGHT(Logic!B131,2)="C)",LEFT(Logic!B131,4)="CSD1")),Num_FETS*0.5*IM_RMS_120*VDC_AVG*Z131*n*MOT_ELEC_FREQ/GDR_SRC,"")</f>
        <v/>
      </c>
      <c r="AF131" s="127" t="str">
        <f>IF(AND($A131&lt;&gt;0,$A131&lt;&gt;"",OR(RIGHT(Logic!B131,2)="C)",LEFT(Logic!B131,4)="CSD1")),Num_FETS*0.5*IM_RMS_120*VDC_AVG*Z131*n*MOT_ELEC_FREQ/GDR_SINK,"")</f>
        <v/>
      </c>
      <c r="AG131" s="127" t="str">
        <f>IF(AND($A131&lt;&gt;0,$A131&lt;&gt;"",OR(RIGHT(Logic!B131,2)="T)",LEFT(Logic!B131,4)="CSD1")),DUTY*IM_RMS_120^2*V131*m/3/Num_FETS,"")</f>
        <v/>
      </c>
      <c r="AH131" s="127" t="str">
        <f>IF(AND($A131&lt;&gt;0,$A131&lt;&gt;"",OR(RIGHT(Logic!B131,2)="T)",LEFT(Logic!B131,4)="CSD1")),Num_FETS*0.5*IM_RMS_120*VDC_AVG*Z131*n*FSW*k/GDR_SRC/3,"")</f>
        <v/>
      </c>
      <c r="AI131" s="127" t="str">
        <f>IF(AND($A131&lt;&gt;0,$A131&lt;&gt;"",OR(RIGHT(Logic!B131,2)="T)",LEFT(Logic!B131,4)="CSD1")),Num_FETS*0.5*IM_RMS_120*VDC_AVG*Z131*n*FSW*k/GDR_SINK/3,"")</f>
        <v/>
      </c>
      <c r="AJ131" s="127" t="str">
        <f t="shared" si="60"/>
        <v/>
      </c>
      <c r="AK131" s="127" t="str">
        <f t="shared" si="61"/>
        <v/>
      </c>
      <c r="AL131" s="127" t="str">
        <f t="shared" si="62"/>
        <v/>
      </c>
      <c r="AM131" s="127" t="str">
        <f t="shared" si="55"/>
        <v/>
      </c>
      <c r="AN131" s="127">
        <f>IF(AND($A131&lt;&gt;0,$A131&lt;&gt;"",OR(RIGHT(Logic!B131,2)="C)",LEFT(Logic!B131,4)="CSD1")),SUM(AD131:AF131)+(AJ131/3)+AK131+AL131/6+AM131/6,AN132)</f>
        <v>0</v>
      </c>
      <c r="AO131" s="127">
        <f>IF(AND($A131&lt;&gt;0,$A131&lt;&gt;"",OR(RIGHT(Logic!B131,2)="T)",LEFT(Logic!B131,4)="CSD1")),SUM(AG131:AI131)+(AJ131/3)+AL131/6+AM131/6,AO130)</f>
        <v>0.23887636588496741</v>
      </c>
      <c r="AP131" s="48" t="str">
        <f t="shared" si="56"/>
        <v/>
      </c>
      <c r="AQ131" s="35" t="str">
        <f>IF(AND(A131&lt;&gt;0,A131&lt;&gt;""),LOOKUP(A131,Discrete_NFET[PARTNUMBER],Discrete_NFET[TI_EQ_PACKAGE]),"")</f>
        <v/>
      </c>
      <c r="AR131" s="49" t="str">
        <f>IF(AND(A131&lt;&gt;0,A131&lt;&gt;""),LOOKUP(A131,Discrete_NFET[PARTNUMBER],Discrete_NFET[1KPRICE]),"")</f>
        <v/>
      </c>
      <c r="AS131" s="35" t="str">
        <f>IF(AND($A131&lt;&gt;0,$A131&lt;&gt;""),CONCATENATE(TEXT(AP131,"0.00"),"W, ",IF('User Input'!F$11="Single Discrete",A131,IF('User Input'!F$11="Dual/Power Block",LEFT(A131,FIND(")",A131)-7),A131)),", ",AQ131,", ",TEXT(AR131,"$0.00")),"Invalid Part")</f>
        <v>Invalid Part</v>
      </c>
      <c r="AT131"/>
    </row>
    <row r="132" spans="1:50" x14ac:dyDescent="0.25">
      <c r="A132" s="35" t="str">
        <f>IF(OR(AND(FET_config="Dual/Power Block",LEFT(Logic!B132,4)="CSD8"),AND(FET_config="Single Discrete",LEFT(Logic!B132,4)="CSD1")),Logic!B132,"")</f>
        <v/>
      </c>
      <c r="B132" s="37" t="str">
        <f>IF(OR($A132=0,$A132=""),"0",IF(LOOKUP($A132,Discrete_NFET[PARTNUMBER],Discrete_NFET[RDSON25])="(NULL)","0","1"))</f>
        <v>0</v>
      </c>
      <c r="C132" s="38" t="str">
        <f>IF(OR($A132=0,$A132=""),"0",IF(LOOKUP($A132,Discrete_NFET[PARTNUMBER],Discrete_NFET[RDSON3])="(NULL)","0","1"))</f>
        <v>0</v>
      </c>
      <c r="D132" s="40" t="str">
        <f>IF(OR($A132=0,$A132=""),"0",IF(LOOKUP($A132,Discrete_NFET[PARTNUMBER],Discrete_NFET[RDSON45])="(NULL)","0","1"))</f>
        <v>0</v>
      </c>
      <c r="E132" s="45" t="str">
        <f>IF(OR($A132=0,$A132=""),"0",IF(LOOKUP($A132,Discrete_NFET[PARTNUMBER],Discrete_NFET[RDSON6])="(NULL)","0","1"))</f>
        <v>0</v>
      </c>
      <c r="F132" s="34" t="str">
        <f>IF(OR($A132=0,$A132=""),"0",IF(LOOKUP($A132,Discrete_NFET[PARTNUMBER],Discrete_NFET[RDSON8])="(NULL)","0","1"))</f>
        <v>0</v>
      </c>
      <c r="G132" s="43" t="str">
        <f>IF(OR($A132=0,$A132=""),"0",IF(LOOKUP($A132,Discrete_NFET[PARTNUMBER],Discrete_NFET[RDSON10])="(NULL)","0","1"))</f>
        <v>0</v>
      </c>
      <c r="H132" s="36" t="b">
        <f t="shared" ref="H132:H142" si="63">AND(AV$2,B132="1")</f>
        <v>0</v>
      </c>
      <c r="I132" s="39" t="b">
        <f t="shared" ref="I132:I142" si="64">AND(AW$2,C132="1")</f>
        <v>0</v>
      </c>
      <c r="J132" s="41" t="b">
        <f t="shared" ref="J132:J142" si="65">AND(AX$2,D132="1")</f>
        <v>0</v>
      </c>
      <c r="K132" s="46" t="b">
        <f t="shared" ref="K132:K142" si="66">AND(AY$2,E132="1")</f>
        <v>0</v>
      </c>
      <c r="L132" s="42" t="b">
        <f t="shared" ref="L132:L142" si="67">AND(AZ$2,F132="1")</f>
        <v>0</v>
      </c>
      <c r="M132" s="44" t="b">
        <f t="shared" ref="M132:M142" si="68">AND(BA$2,G132="1")</f>
        <v>0</v>
      </c>
      <c r="N132" s="47" t="b">
        <f t="shared" ref="N132:N142" si="69">OR(H132:M132)</f>
        <v>0</v>
      </c>
      <c r="O132" s="36" t="b">
        <f t="shared" ref="O132:O142" si="70">IF($N132,H132,IF((B132="1"),OR($AU$2,$AU$9)))</f>
        <v>0</v>
      </c>
      <c r="P132" s="39" t="b">
        <f t="shared" ref="P132:P142" si="71">IF($N132,I132,IF((C132="1"),OR(AU$2,AU$9,AX$2,J132)))</f>
        <v>0</v>
      </c>
      <c r="Q132" s="41" t="b">
        <f t="shared" ref="Q132:Q142" si="72">IF($N132,J132,IF((D132="1"),OR(AW$2,I132,AY$2,K132)))</f>
        <v>0</v>
      </c>
      <c r="R132" s="46" t="b">
        <f t="shared" ref="R132:R142" si="73">IF($N132,K132,IF((E132="1"),OR(AX$2,J132,AZ$2,L132)))</f>
        <v>0</v>
      </c>
      <c r="S132" s="42" t="b">
        <f t="shared" ref="S132:S142" si="74">IF($N132,L132,IF((F132="1"),OR(AY$2,K132,BA$2,M132)))</f>
        <v>0</v>
      </c>
      <c r="T132" s="44" t="b">
        <f t="shared" ref="T132:T142" si="75">IF($N132,M132,IF((G132="1"),OR(AZ$2,L132)))</f>
        <v>0</v>
      </c>
      <c r="U132" s="148" t="str">
        <f>IF(T132,LOOKUP(A132,Discrete_NFET[PARTNUMBER],Discrete_NFET[RDSON10])*1000,IF(S132,LOOKUP(A132,Discrete_NFET[PARTNUMBER],Discrete_NFET[RDSON8])*1000,IF(R132,LOOKUP(A132,Discrete_NFET[PARTNUMBER],Discrete_NFET[RDSON6])*1000,IF(Q132,LOOKUP(A132,Discrete_NFET[PARTNUMBER],Discrete_NFET[RDSON45])*1000,IF(P132,LOOKUP(A132,Discrete_NFET[PARTNUMBER],Discrete_NFET[RDSON3])*1000,IF(O132,LOOKUP(A132,Discrete_NFET[PARTNUMBER],Discrete_NFET[RDSON25])*1000,""))))))</f>
        <v/>
      </c>
      <c r="V132" s="48" t="str">
        <f>IF(AND(A132&lt;&gt;0,A132&lt;&gt;""),U132*(1+(Tj-25)*(LOOKUP(A132,Discrete_NFET[PARTNUMBER],Discrete_NFET[RDSDELTA])/((LOOKUP(A132,Discrete_NFET[PARTNUMBER],Discrete_NFET[TJMAX])-25)))),"")</f>
        <v/>
      </c>
      <c r="W132" s="35" t="str">
        <f>IF(AND($A132&lt;&gt;0,$A132&lt;&gt;""),LOOKUP($A132,Discrete_NFET[PARTNUMBER],Discrete_NFET[QGS]),"")</f>
        <v/>
      </c>
      <c r="X132" s="35" t="str">
        <f>IF(AND($A132&lt;&gt;0,$A132&lt;&gt;""),LOOKUP($A132,Discrete_NFET[PARTNUMBER],Discrete_NFET[QGD]),"")</f>
        <v/>
      </c>
      <c r="Y132" s="35" t="str">
        <f>IF(AND($A132&lt;&gt;0,$A132&lt;&gt;""),LOOKUP($A132,Discrete_NFET[PARTNUMBER],Discrete_NFET[QGTH]),"")</f>
        <v/>
      </c>
      <c r="Z132" s="35" t="str">
        <f t="shared" ref="Z132:Z142" si="76">IF(AND(A132&lt;&gt;0,A132&lt;&gt;""),W132+X132-Y132,"")</f>
        <v/>
      </c>
      <c r="AA132" s="35" t="str">
        <f>IF(AND($A132&lt;&gt;0,$A132&lt;&gt;""),LOOKUP($A132,Discrete_NFET[PARTNUMBER],Discrete_NFET[QOSSTYP]),"")</f>
        <v/>
      </c>
      <c r="AB132" s="35" t="str">
        <f>IF(AND($A132&lt;&gt;0,$A132&lt;&gt;""),LOOKUP($A132,Discrete_NFET[PARTNUMBER],Discrete_NFET[QRR]),"")</f>
        <v/>
      </c>
      <c r="AC132" s="35" t="str">
        <f>IF(AND(A132&lt;&gt;0,A132&lt;&gt;""),LOOKUP(A132,Discrete_NFET[PARTNUMBER],Discrete_NFET[VF_TYP]),"")</f>
        <v/>
      </c>
      <c r="AD132" s="127" t="str">
        <f>IF(AND($A132&lt;&gt;0,$A132&lt;&gt;"",OR(RIGHT(Logic!B132,2)="C)",LEFT(Logic!B132,4)="CSD1")),(1+(1-DUTY))*IM_RMS_120^2*V132*m/3/Num_FETS,"")</f>
        <v/>
      </c>
      <c r="AE132" s="127" t="str">
        <f>IF(AND($A132&lt;&gt;0,$A132&lt;&gt;"",OR(RIGHT(Logic!B132,2)="C)",LEFT(Logic!B132,4)="CSD1")),Num_FETS*0.5*IM_RMS_120*VDC_AVG*Z132*n*MOT_ELEC_FREQ/GDR_SRC,"")</f>
        <v/>
      </c>
      <c r="AF132" s="127" t="str">
        <f>IF(AND($A132&lt;&gt;0,$A132&lt;&gt;"",OR(RIGHT(Logic!B132,2)="C)",LEFT(Logic!B132,4)="CSD1")),Num_FETS*0.5*IM_RMS_120*VDC_AVG*Z132*n*MOT_ELEC_FREQ/GDR_SINK,"")</f>
        <v/>
      </c>
      <c r="AG132" s="127" t="str">
        <f>IF(AND($A132&lt;&gt;0,$A132&lt;&gt;"",OR(RIGHT(Logic!B132,2)="T)",LEFT(Logic!B132,4)="CSD1")),DUTY*IM_RMS_120^2*V132*m/3/Num_FETS,"")</f>
        <v/>
      </c>
      <c r="AH132" s="127" t="str">
        <f>IF(AND($A132&lt;&gt;0,$A132&lt;&gt;"",OR(RIGHT(Logic!B132,2)="T)",LEFT(Logic!B132,4)="CSD1")),Num_FETS*0.5*IM_RMS_120*VDC_AVG*Z132*n*FSW*k/GDR_SRC/3,"")</f>
        <v/>
      </c>
      <c r="AI132" s="127" t="str">
        <f>IF(AND($A132&lt;&gt;0,$A132&lt;&gt;"",OR(RIGHT(Logic!B132,2)="T)",LEFT(Logic!B132,4)="CSD1")),Num_FETS*0.5*IM_RMS_120*VDC_AVG*Z132*n*FSW*k/GDR_SINK/3,"")</f>
        <v/>
      </c>
      <c r="AJ132" s="127" t="str">
        <f t="shared" si="60"/>
        <v/>
      </c>
      <c r="AK132" s="127" t="str">
        <f t="shared" si="61"/>
        <v/>
      </c>
      <c r="AL132" s="127" t="str">
        <f t="shared" si="62"/>
        <v/>
      </c>
      <c r="AM132" s="127" t="str">
        <f t="shared" ref="AM132:AM142" si="77">IF(AND($A132&lt;&gt;0,$A132&lt;&gt;""),6*0.5*AC132*IM_PEAK*MOT_COM_TIME*m*MOT_ELEC_FREQ,"")</f>
        <v/>
      </c>
      <c r="AN132" s="127">
        <f>IF(AND($A132&lt;&gt;0,$A132&lt;&gt;"",OR(RIGHT(Logic!B132,2)="C)",LEFT(Logic!B132,4)="CSD1")),SUM(AD132:AF132)+(AJ132/3)+AK132+AL132/6+AM132/6,AN133)</f>
        <v>0</v>
      </c>
      <c r="AO132" s="127">
        <f>IF(AND($A132&lt;&gt;0,$A132&lt;&gt;"",OR(RIGHT(Logic!B132,2)="T)",LEFT(Logic!B132,4)="CSD1")),SUM(AG132:AI132)+(AJ132/3)+AL132/6+AM132/6,AO131)</f>
        <v>0.23887636588496741</v>
      </c>
      <c r="AP132" s="48" t="str">
        <f t="shared" ref="AP132:AP142" si="78">IF(AND($A132&lt;&gt;0,$A132&lt;&gt;""),ROUND(SUM(AN132:AO132),2),"")</f>
        <v/>
      </c>
      <c r="AQ132" s="35" t="str">
        <f>IF(AND(A132&lt;&gt;0,A132&lt;&gt;""),LOOKUP(A132,Discrete_NFET[PARTNUMBER],Discrete_NFET[TI_EQ_PACKAGE]),"")</f>
        <v/>
      </c>
      <c r="AR132" s="49" t="str">
        <f>IF(AND(A132&lt;&gt;0,A132&lt;&gt;""),LOOKUP(A132,Discrete_NFET[PARTNUMBER],Discrete_NFET[1KPRICE]),"")</f>
        <v/>
      </c>
      <c r="AS132" s="35" t="str">
        <f>IF(AND($A132&lt;&gt;0,$A132&lt;&gt;""),CONCATENATE(TEXT(AP132,"0.00"),"W, ",IF('User Input'!F$11="Single Discrete",A132,IF('User Input'!F$11="Dual/Power Block",LEFT(A132,FIND(")",A132)-7),A132)),", ",AQ132,", ",TEXT(AR132,"$0.00")),"Invalid Part")</f>
        <v>Invalid Part</v>
      </c>
      <c r="AT132"/>
    </row>
    <row r="133" spans="1:50" x14ac:dyDescent="0.25">
      <c r="A133" s="35" t="str">
        <f>IF(OR(AND(FET_config="Dual/Power Block",LEFT(Logic!B133,4)="CSD8"),AND(FET_config="Single Discrete",LEFT(Logic!B133,4)="CSD1")),Logic!B133,"")</f>
        <v/>
      </c>
      <c r="B133" s="37" t="str">
        <f>IF(OR($A133=0,$A133=""),"0",IF(LOOKUP($A133,Discrete_NFET[PARTNUMBER],Discrete_NFET[RDSON25])="(NULL)","0","1"))</f>
        <v>0</v>
      </c>
      <c r="C133" s="38" t="str">
        <f>IF(OR($A133=0,$A133=""),"0",IF(LOOKUP($A133,Discrete_NFET[PARTNUMBER],Discrete_NFET[RDSON3])="(NULL)","0","1"))</f>
        <v>0</v>
      </c>
      <c r="D133" s="40" t="str">
        <f>IF(OR($A133=0,$A133=""),"0",IF(LOOKUP($A133,Discrete_NFET[PARTNUMBER],Discrete_NFET[RDSON45])="(NULL)","0","1"))</f>
        <v>0</v>
      </c>
      <c r="E133" s="45" t="str">
        <f>IF(OR($A133=0,$A133=""),"0",IF(LOOKUP($A133,Discrete_NFET[PARTNUMBER],Discrete_NFET[RDSON6])="(NULL)","0","1"))</f>
        <v>0</v>
      </c>
      <c r="F133" s="34" t="str">
        <f>IF(OR($A133=0,$A133=""),"0",IF(LOOKUP($A133,Discrete_NFET[PARTNUMBER],Discrete_NFET[RDSON8])="(NULL)","0","1"))</f>
        <v>0</v>
      </c>
      <c r="G133" s="43" t="str">
        <f>IF(OR($A133=0,$A133=""),"0",IF(LOOKUP($A133,Discrete_NFET[PARTNUMBER],Discrete_NFET[RDSON10])="(NULL)","0","1"))</f>
        <v>0</v>
      </c>
      <c r="H133" s="36" t="b">
        <f t="shared" si="63"/>
        <v>0</v>
      </c>
      <c r="I133" s="39" t="b">
        <f t="shared" si="64"/>
        <v>0</v>
      </c>
      <c r="J133" s="41" t="b">
        <f t="shared" si="65"/>
        <v>0</v>
      </c>
      <c r="K133" s="46" t="b">
        <f t="shared" si="66"/>
        <v>0</v>
      </c>
      <c r="L133" s="42" t="b">
        <f t="shared" si="67"/>
        <v>0</v>
      </c>
      <c r="M133" s="44" t="b">
        <f t="shared" si="68"/>
        <v>0</v>
      </c>
      <c r="N133" s="47" t="b">
        <f t="shared" si="69"/>
        <v>0</v>
      </c>
      <c r="O133" s="36" t="b">
        <f t="shared" si="70"/>
        <v>0</v>
      </c>
      <c r="P133" s="39" t="b">
        <f t="shared" si="71"/>
        <v>0</v>
      </c>
      <c r="Q133" s="41" t="b">
        <f t="shared" si="72"/>
        <v>0</v>
      </c>
      <c r="R133" s="46" t="b">
        <f t="shared" si="73"/>
        <v>0</v>
      </c>
      <c r="S133" s="42" t="b">
        <f t="shared" si="74"/>
        <v>0</v>
      </c>
      <c r="T133" s="44" t="b">
        <f t="shared" si="75"/>
        <v>0</v>
      </c>
      <c r="U133" s="148" t="str">
        <f>IF(T133,LOOKUP(A133,Discrete_NFET[PARTNUMBER],Discrete_NFET[RDSON10])*1000,IF(S133,LOOKUP(A133,Discrete_NFET[PARTNUMBER],Discrete_NFET[RDSON8])*1000,IF(R133,LOOKUP(A133,Discrete_NFET[PARTNUMBER],Discrete_NFET[RDSON6])*1000,IF(Q133,LOOKUP(A133,Discrete_NFET[PARTNUMBER],Discrete_NFET[RDSON45])*1000,IF(P133,LOOKUP(A133,Discrete_NFET[PARTNUMBER],Discrete_NFET[RDSON3])*1000,IF(O133,LOOKUP(A133,Discrete_NFET[PARTNUMBER],Discrete_NFET[RDSON25])*1000,""))))))</f>
        <v/>
      </c>
      <c r="V133" s="48" t="str">
        <f>IF(AND(A133&lt;&gt;0,A133&lt;&gt;""),U133*(1+(Tj-25)*(LOOKUP(A133,Discrete_NFET[PARTNUMBER],Discrete_NFET[RDSDELTA])/((LOOKUP(A133,Discrete_NFET[PARTNUMBER],Discrete_NFET[TJMAX])-25)))),"")</f>
        <v/>
      </c>
      <c r="W133" s="35" t="str">
        <f>IF(AND($A133&lt;&gt;0,$A133&lt;&gt;""),LOOKUP($A133,Discrete_NFET[PARTNUMBER],Discrete_NFET[QGS]),"")</f>
        <v/>
      </c>
      <c r="X133" s="35" t="str">
        <f>IF(AND($A133&lt;&gt;0,$A133&lt;&gt;""),LOOKUP($A133,Discrete_NFET[PARTNUMBER],Discrete_NFET[QGD]),"")</f>
        <v/>
      </c>
      <c r="Y133" s="35" t="str">
        <f>IF(AND($A133&lt;&gt;0,$A133&lt;&gt;""),LOOKUP($A133,Discrete_NFET[PARTNUMBER],Discrete_NFET[QGTH]),"")</f>
        <v/>
      </c>
      <c r="Z133" s="35" t="str">
        <f t="shared" si="76"/>
        <v/>
      </c>
      <c r="AA133" s="35" t="str">
        <f>IF(AND($A133&lt;&gt;0,$A133&lt;&gt;""),LOOKUP($A133,Discrete_NFET[PARTNUMBER],Discrete_NFET[QOSSTYP]),"")</f>
        <v/>
      </c>
      <c r="AB133" s="35" t="str">
        <f>IF(AND($A133&lt;&gt;0,$A133&lt;&gt;""),LOOKUP($A133,Discrete_NFET[PARTNUMBER],Discrete_NFET[QRR]),"")</f>
        <v/>
      </c>
      <c r="AC133" s="35" t="str">
        <f>IF(AND(A133&lt;&gt;0,A133&lt;&gt;""),LOOKUP(A133,Discrete_NFET[PARTNUMBER],Discrete_NFET[VF_TYP]),"")</f>
        <v/>
      </c>
      <c r="AD133" s="127" t="str">
        <f>IF(AND($A133&lt;&gt;0,$A133&lt;&gt;"",OR(RIGHT(Logic!B133,2)="C)",LEFT(Logic!B133,4)="CSD1")),(1+(1-DUTY))*IM_RMS_120^2*V133*m/3/Num_FETS,"")</f>
        <v/>
      </c>
      <c r="AE133" s="127" t="str">
        <f>IF(AND($A133&lt;&gt;0,$A133&lt;&gt;"",OR(RIGHT(Logic!B133,2)="C)",LEFT(Logic!B133,4)="CSD1")),Num_FETS*0.5*IM_RMS_120*VDC_AVG*Z133*n*MOT_ELEC_FREQ/GDR_SRC,"")</f>
        <v/>
      </c>
      <c r="AF133" s="127" t="str">
        <f>IF(AND($A133&lt;&gt;0,$A133&lt;&gt;"",OR(RIGHT(Logic!B133,2)="C)",LEFT(Logic!B133,4)="CSD1")),Num_FETS*0.5*IM_RMS_120*VDC_AVG*Z133*n*MOT_ELEC_FREQ/GDR_SINK,"")</f>
        <v/>
      </c>
      <c r="AG133" s="127" t="str">
        <f>IF(AND($A133&lt;&gt;0,$A133&lt;&gt;"",OR(RIGHT(Logic!B133,2)="T)",LEFT(Logic!B133,4)="CSD1")),DUTY*IM_RMS_120^2*V133*m/3/Num_FETS,"")</f>
        <v/>
      </c>
      <c r="AH133" s="127" t="str">
        <f>IF(AND($A133&lt;&gt;0,$A133&lt;&gt;"",OR(RIGHT(Logic!B133,2)="T)",LEFT(Logic!B133,4)="CSD1")),Num_FETS*0.5*IM_RMS_120*VDC_AVG*Z133*n*FSW*k/GDR_SRC/3,"")</f>
        <v/>
      </c>
      <c r="AI133" s="127" t="str">
        <f>IF(AND($A133&lt;&gt;0,$A133&lt;&gt;"",OR(RIGHT(Logic!B133,2)="T)",LEFT(Logic!B133,4)="CSD1")),Num_FETS*0.5*IM_RMS_120*VDC_AVG*Z133*n*FSW*k/GDR_SINK/3,"")</f>
        <v/>
      </c>
      <c r="AJ133" s="127" t="str">
        <f t="shared" si="60"/>
        <v/>
      </c>
      <c r="AK133" s="127" t="str">
        <f t="shared" si="61"/>
        <v/>
      </c>
      <c r="AL133" s="127" t="str">
        <f t="shared" si="62"/>
        <v/>
      </c>
      <c r="AM133" s="127" t="str">
        <f t="shared" si="77"/>
        <v/>
      </c>
      <c r="AN133" s="127">
        <f>IF(AND($A133&lt;&gt;0,$A133&lt;&gt;"",OR(RIGHT(Logic!B133,2)="C)",LEFT(Logic!B133,4)="CSD1")),SUM(AD133:AF133)+(AJ133/3)+AK133+AL133/6+AM133/6,AN134)</f>
        <v>0</v>
      </c>
      <c r="AO133" s="127">
        <f>IF(AND($A133&lt;&gt;0,$A133&lt;&gt;"",OR(RIGHT(Logic!B133,2)="T)",LEFT(Logic!B133,4)="CSD1")),SUM(AG133:AI133)+(AJ133/3)+AL133/6+AM133/6,AO132)</f>
        <v>0.23887636588496741</v>
      </c>
      <c r="AP133" s="48" t="str">
        <f t="shared" si="78"/>
        <v/>
      </c>
      <c r="AQ133" s="35" t="str">
        <f>IF(AND(A133&lt;&gt;0,A133&lt;&gt;""),LOOKUP(A133,Discrete_NFET[PARTNUMBER],Discrete_NFET[TI_EQ_PACKAGE]),"")</f>
        <v/>
      </c>
      <c r="AR133" s="49" t="str">
        <f>IF(AND(A133&lt;&gt;0,A133&lt;&gt;""),LOOKUP(A133,Discrete_NFET[PARTNUMBER],Discrete_NFET[1KPRICE]),"")</f>
        <v/>
      </c>
      <c r="AS133" s="35" t="str">
        <f>IF(AND($A133&lt;&gt;0,$A133&lt;&gt;""),CONCATENATE(TEXT(AP133,"0.00"),"W, ",IF('User Input'!F$11="Single Discrete",A133,IF('User Input'!F$11="Dual/Power Block",LEFT(A133,FIND(")",A133)-7),A133)),", ",AQ133,", ",TEXT(AR133,"$0.00")),"Invalid Part")</f>
        <v>Invalid Part</v>
      </c>
      <c r="AT133"/>
    </row>
    <row r="134" spans="1:50" x14ac:dyDescent="0.25">
      <c r="A134" s="35" t="str">
        <f>IF(OR(AND(FET_config="Dual/Power Block",LEFT(Logic!B134,4)="CSD8"),AND(FET_config="Single Discrete",LEFT(Logic!B134,4)="CSD1")),Logic!B134,"")</f>
        <v/>
      </c>
      <c r="B134" s="37" t="str">
        <f>IF(OR($A134=0,$A134=""),"0",IF(LOOKUP($A134,Discrete_NFET[PARTNUMBER],Discrete_NFET[RDSON25])="(NULL)","0","1"))</f>
        <v>0</v>
      </c>
      <c r="C134" s="38" t="str">
        <f>IF(OR($A134=0,$A134=""),"0",IF(LOOKUP($A134,Discrete_NFET[PARTNUMBER],Discrete_NFET[RDSON3])="(NULL)","0","1"))</f>
        <v>0</v>
      </c>
      <c r="D134" s="40" t="str">
        <f>IF(OR($A134=0,$A134=""),"0",IF(LOOKUP($A134,Discrete_NFET[PARTNUMBER],Discrete_NFET[RDSON45])="(NULL)","0","1"))</f>
        <v>0</v>
      </c>
      <c r="E134" s="45" t="str">
        <f>IF(OR($A134=0,$A134=""),"0",IF(LOOKUP($A134,Discrete_NFET[PARTNUMBER],Discrete_NFET[RDSON6])="(NULL)","0","1"))</f>
        <v>0</v>
      </c>
      <c r="F134" s="34" t="str">
        <f>IF(OR($A134=0,$A134=""),"0",IF(LOOKUP($A134,Discrete_NFET[PARTNUMBER],Discrete_NFET[RDSON8])="(NULL)","0","1"))</f>
        <v>0</v>
      </c>
      <c r="G134" s="43" t="str">
        <f>IF(OR($A134=0,$A134=""),"0",IF(LOOKUP($A134,Discrete_NFET[PARTNUMBER],Discrete_NFET[RDSON10])="(NULL)","0","1"))</f>
        <v>0</v>
      </c>
      <c r="H134" s="36" t="b">
        <f t="shared" si="63"/>
        <v>0</v>
      </c>
      <c r="I134" s="39" t="b">
        <f t="shared" si="64"/>
        <v>0</v>
      </c>
      <c r="J134" s="41" t="b">
        <f t="shared" si="65"/>
        <v>0</v>
      </c>
      <c r="K134" s="46" t="b">
        <f t="shared" si="66"/>
        <v>0</v>
      </c>
      <c r="L134" s="42" t="b">
        <f t="shared" si="67"/>
        <v>0</v>
      </c>
      <c r="M134" s="44" t="b">
        <f t="shared" si="68"/>
        <v>0</v>
      </c>
      <c r="N134" s="47" t="b">
        <f t="shared" si="69"/>
        <v>0</v>
      </c>
      <c r="O134" s="36" t="b">
        <f t="shared" si="70"/>
        <v>0</v>
      </c>
      <c r="P134" s="39" t="b">
        <f t="shared" si="71"/>
        <v>0</v>
      </c>
      <c r="Q134" s="41" t="b">
        <f t="shared" si="72"/>
        <v>0</v>
      </c>
      <c r="R134" s="46" t="b">
        <f t="shared" si="73"/>
        <v>0</v>
      </c>
      <c r="S134" s="42" t="b">
        <f t="shared" si="74"/>
        <v>0</v>
      </c>
      <c r="T134" s="44" t="b">
        <f t="shared" si="75"/>
        <v>0</v>
      </c>
      <c r="U134" s="148" t="str">
        <f>IF(T134,LOOKUP(A134,Discrete_NFET[PARTNUMBER],Discrete_NFET[RDSON10])*1000,IF(S134,LOOKUP(A134,Discrete_NFET[PARTNUMBER],Discrete_NFET[RDSON8])*1000,IF(R134,LOOKUP(A134,Discrete_NFET[PARTNUMBER],Discrete_NFET[RDSON6])*1000,IF(Q134,LOOKUP(A134,Discrete_NFET[PARTNUMBER],Discrete_NFET[RDSON45])*1000,IF(P134,LOOKUP(A134,Discrete_NFET[PARTNUMBER],Discrete_NFET[RDSON3])*1000,IF(O134,LOOKUP(A134,Discrete_NFET[PARTNUMBER],Discrete_NFET[RDSON25])*1000,""))))))</f>
        <v/>
      </c>
      <c r="V134" s="48" t="str">
        <f>IF(AND(A134&lt;&gt;0,A134&lt;&gt;""),U134*(1+(Tj-25)*(LOOKUP(A134,Discrete_NFET[PARTNUMBER],Discrete_NFET[RDSDELTA])/((LOOKUP(A134,Discrete_NFET[PARTNUMBER],Discrete_NFET[TJMAX])-25)))),"")</f>
        <v/>
      </c>
      <c r="W134" s="35" t="str">
        <f>IF(AND($A134&lt;&gt;0,$A134&lt;&gt;""),LOOKUP($A134,Discrete_NFET[PARTNUMBER],Discrete_NFET[QGS]),"")</f>
        <v/>
      </c>
      <c r="X134" s="35" t="str">
        <f>IF(AND($A134&lt;&gt;0,$A134&lt;&gt;""),LOOKUP($A134,Discrete_NFET[PARTNUMBER],Discrete_NFET[QGD]),"")</f>
        <v/>
      </c>
      <c r="Y134" s="35" t="str">
        <f>IF(AND($A134&lt;&gt;0,$A134&lt;&gt;""),LOOKUP($A134,Discrete_NFET[PARTNUMBER],Discrete_NFET[QGTH]),"")</f>
        <v/>
      </c>
      <c r="Z134" s="35" t="str">
        <f t="shared" si="76"/>
        <v/>
      </c>
      <c r="AA134" s="35" t="str">
        <f>IF(AND($A134&lt;&gt;0,$A134&lt;&gt;""),LOOKUP($A134,Discrete_NFET[PARTNUMBER],Discrete_NFET[QOSSTYP]),"")</f>
        <v/>
      </c>
      <c r="AB134" s="35" t="str">
        <f>IF(AND($A134&lt;&gt;0,$A134&lt;&gt;""),LOOKUP($A134,Discrete_NFET[PARTNUMBER],Discrete_NFET[QRR]),"")</f>
        <v/>
      </c>
      <c r="AC134" s="35" t="str">
        <f>IF(AND(A134&lt;&gt;0,A134&lt;&gt;""),LOOKUP(A134,Discrete_NFET[PARTNUMBER],Discrete_NFET[VF_TYP]),"")</f>
        <v/>
      </c>
      <c r="AD134" s="127" t="str">
        <f>IF(AND($A134&lt;&gt;0,$A134&lt;&gt;"",OR(RIGHT(Logic!B134,2)="C)",LEFT(Logic!B134,4)="CSD1")),(1+(1-DUTY))*IM_RMS_120^2*V134*m/3/Num_FETS,"")</f>
        <v/>
      </c>
      <c r="AE134" s="127" t="str">
        <f>IF(AND($A134&lt;&gt;0,$A134&lt;&gt;"",OR(RIGHT(Logic!B134,2)="C)",LEFT(Logic!B134,4)="CSD1")),Num_FETS*0.5*IM_RMS_120*VDC_AVG*Z134*n*MOT_ELEC_FREQ/GDR_SRC,"")</f>
        <v/>
      </c>
      <c r="AF134" s="127" t="str">
        <f>IF(AND($A134&lt;&gt;0,$A134&lt;&gt;"",OR(RIGHT(Logic!B134,2)="C)",LEFT(Logic!B134,4)="CSD1")),Num_FETS*0.5*IM_RMS_120*VDC_AVG*Z134*n*MOT_ELEC_FREQ/GDR_SINK,"")</f>
        <v/>
      </c>
      <c r="AG134" s="127" t="str">
        <f>IF(AND($A134&lt;&gt;0,$A134&lt;&gt;"",OR(RIGHT(Logic!B134,2)="T)",LEFT(Logic!B134,4)="CSD1")),DUTY*IM_RMS_120^2*V134*m/3/Num_FETS,"")</f>
        <v/>
      </c>
      <c r="AH134" s="127" t="str">
        <f>IF(AND($A134&lt;&gt;0,$A134&lt;&gt;"",OR(RIGHT(Logic!B134,2)="T)",LEFT(Logic!B134,4)="CSD1")),Num_FETS*0.5*IM_RMS_120*VDC_AVG*Z134*n*FSW*k/GDR_SRC/3,"")</f>
        <v/>
      </c>
      <c r="AI134" s="127" t="str">
        <f>IF(AND($A134&lt;&gt;0,$A134&lt;&gt;"",OR(RIGHT(Logic!B134,2)="T)",LEFT(Logic!B134,4)="CSD1")),Num_FETS*0.5*IM_RMS_120*VDC_AVG*Z134*n*FSW*k/GDR_SINK/3,"")</f>
        <v/>
      </c>
      <c r="AJ134" s="127" t="str">
        <f t="shared" si="60"/>
        <v/>
      </c>
      <c r="AK134" s="127" t="str">
        <f t="shared" si="61"/>
        <v/>
      </c>
      <c r="AL134" s="127" t="str">
        <f t="shared" si="62"/>
        <v/>
      </c>
      <c r="AM134" s="127" t="str">
        <f t="shared" si="77"/>
        <v/>
      </c>
      <c r="AN134" s="127">
        <f>IF(AND($A134&lt;&gt;0,$A134&lt;&gt;"",OR(RIGHT(Logic!B134,2)="C)",LEFT(Logic!B134,4)="CSD1")),SUM(AD134:AF134)+(AJ134/3)+AK134+AL134/6+AM134/6,AN135)</f>
        <v>0</v>
      </c>
      <c r="AO134" s="127">
        <f>IF(AND($A134&lt;&gt;0,$A134&lt;&gt;"",OR(RIGHT(Logic!B134,2)="T)",LEFT(Logic!B134,4)="CSD1")),SUM(AG134:AI134)+(AJ134/3)+AL134/6+AM134/6,AO133)</f>
        <v>0.23887636588496741</v>
      </c>
      <c r="AP134" s="48" t="str">
        <f t="shared" si="78"/>
        <v/>
      </c>
      <c r="AQ134" s="35" t="str">
        <f>IF(AND(A134&lt;&gt;0,A134&lt;&gt;""),LOOKUP(A134,Discrete_NFET[PARTNUMBER],Discrete_NFET[TI_EQ_PACKAGE]),"")</f>
        <v/>
      </c>
      <c r="AR134" s="49" t="str">
        <f>IF(AND(A134&lt;&gt;0,A134&lt;&gt;""),LOOKUP(A134,Discrete_NFET[PARTNUMBER],Discrete_NFET[1KPRICE]),"")</f>
        <v/>
      </c>
      <c r="AS134" s="35" t="str">
        <f>IF(AND($A134&lt;&gt;0,$A134&lt;&gt;""),CONCATENATE(TEXT(AP134,"0.00"),"W, ",IF('User Input'!F$11="Single Discrete",A134,IF('User Input'!F$11="Dual/Power Block",LEFT(A134,FIND(")",A134)-7),A134)),", ",AQ134,", ",TEXT(AR134,"$0.00")),"Invalid Part")</f>
        <v>Invalid Part</v>
      </c>
      <c r="AT134"/>
    </row>
    <row r="135" spans="1:50" x14ac:dyDescent="0.25">
      <c r="A135" s="35" t="str">
        <f>IF(OR(AND(FET_config="Dual/Power Block",LEFT(Logic!B135,4)="CSD8"),AND(FET_config="Single Discrete",LEFT(Logic!B135,4)="CSD1")),Logic!B135,"")</f>
        <v/>
      </c>
      <c r="B135" s="37" t="str">
        <f>IF(OR($A135=0,$A135=""),"0",IF(LOOKUP($A135,Discrete_NFET[PARTNUMBER],Discrete_NFET[RDSON25])="(NULL)","0","1"))</f>
        <v>0</v>
      </c>
      <c r="C135" s="38" t="str">
        <f>IF(OR($A135=0,$A135=""),"0",IF(LOOKUP($A135,Discrete_NFET[PARTNUMBER],Discrete_NFET[RDSON3])="(NULL)","0","1"))</f>
        <v>0</v>
      </c>
      <c r="D135" s="40" t="str">
        <f>IF(OR($A135=0,$A135=""),"0",IF(LOOKUP($A135,Discrete_NFET[PARTNUMBER],Discrete_NFET[RDSON45])="(NULL)","0","1"))</f>
        <v>0</v>
      </c>
      <c r="E135" s="45" t="str">
        <f>IF(OR($A135=0,$A135=""),"0",IF(LOOKUP($A135,Discrete_NFET[PARTNUMBER],Discrete_NFET[RDSON6])="(NULL)","0","1"))</f>
        <v>0</v>
      </c>
      <c r="F135" s="34" t="str">
        <f>IF(OR($A135=0,$A135=""),"0",IF(LOOKUP($A135,Discrete_NFET[PARTNUMBER],Discrete_NFET[RDSON8])="(NULL)","0","1"))</f>
        <v>0</v>
      </c>
      <c r="G135" s="43" t="str">
        <f>IF(OR($A135=0,$A135=""),"0",IF(LOOKUP($A135,Discrete_NFET[PARTNUMBER],Discrete_NFET[RDSON10])="(NULL)","0","1"))</f>
        <v>0</v>
      </c>
      <c r="H135" s="36" t="b">
        <f t="shared" si="63"/>
        <v>0</v>
      </c>
      <c r="I135" s="39" t="b">
        <f t="shared" si="64"/>
        <v>0</v>
      </c>
      <c r="J135" s="41" t="b">
        <f t="shared" si="65"/>
        <v>0</v>
      </c>
      <c r="K135" s="46" t="b">
        <f t="shared" si="66"/>
        <v>0</v>
      </c>
      <c r="L135" s="42" t="b">
        <f t="shared" si="67"/>
        <v>0</v>
      </c>
      <c r="M135" s="44" t="b">
        <f t="shared" si="68"/>
        <v>0</v>
      </c>
      <c r="N135" s="47" t="b">
        <f t="shared" si="69"/>
        <v>0</v>
      </c>
      <c r="O135" s="36" t="b">
        <f t="shared" si="70"/>
        <v>0</v>
      </c>
      <c r="P135" s="39" t="b">
        <f t="shared" si="71"/>
        <v>0</v>
      </c>
      <c r="Q135" s="41" t="b">
        <f t="shared" si="72"/>
        <v>0</v>
      </c>
      <c r="R135" s="46" t="b">
        <f t="shared" si="73"/>
        <v>0</v>
      </c>
      <c r="S135" s="42" t="b">
        <f t="shared" si="74"/>
        <v>0</v>
      </c>
      <c r="T135" s="44" t="b">
        <f t="shared" si="75"/>
        <v>0</v>
      </c>
      <c r="U135" s="148" t="str">
        <f>IF(T135,LOOKUP(A135,Discrete_NFET[PARTNUMBER],Discrete_NFET[RDSON10])*1000,IF(S135,LOOKUP(A135,Discrete_NFET[PARTNUMBER],Discrete_NFET[RDSON8])*1000,IF(R135,LOOKUP(A135,Discrete_NFET[PARTNUMBER],Discrete_NFET[RDSON6])*1000,IF(Q135,LOOKUP(A135,Discrete_NFET[PARTNUMBER],Discrete_NFET[RDSON45])*1000,IF(P135,LOOKUP(A135,Discrete_NFET[PARTNUMBER],Discrete_NFET[RDSON3])*1000,IF(O135,LOOKUP(A135,Discrete_NFET[PARTNUMBER],Discrete_NFET[RDSON25])*1000,""))))))</f>
        <v/>
      </c>
      <c r="V135" s="48" t="str">
        <f>IF(AND(A135&lt;&gt;0,A135&lt;&gt;""),U135*(1+(Tj-25)*(LOOKUP(A135,Discrete_NFET[PARTNUMBER],Discrete_NFET[RDSDELTA])/((LOOKUP(A135,Discrete_NFET[PARTNUMBER],Discrete_NFET[TJMAX])-25)))),"")</f>
        <v/>
      </c>
      <c r="W135" s="35" t="str">
        <f>IF(AND($A135&lt;&gt;0,$A135&lt;&gt;""),LOOKUP($A135,Discrete_NFET[PARTNUMBER],Discrete_NFET[QGS]),"")</f>
        <v/>
      </c>
      <c r="X135" s="35" t="str">
        <f>IF(AND($A135&lt;&gt;0,$A135&lt;&gt;""),LOOKUP($A135,Discrete_NFET[PARTNUMBER],Discrete_NFET[QGD]),"")</f>
        <v/>
      </c>
      <c r="Y135" s="35" t="str">
        <f>IF(AND($A135&lt;&gt;0,$A135&lt;&gt;""),LOOKUP($A135,Discrete_NFET[PARTNUMBER],Discrete_NFET[QGTH]),"")</f>
        <v/>
      </c>
      <c r="Z135" s="35" t="str">
        <f t="shared" si="76"/>
        <v/>
      </c>
      <c r="AA135" s="35" t="str">
        <f>IF(AND($A135&lt;&gt;0,$A135&lt;&gt;""),LOOKUP($A135,Discrete_NFET[PARTNUMBER],Discrete_NFET[QOSSTYP]),"")</f>
        <v/>
      </c>
      <c r="AB135" s="35" t="str">
        <f>IF(AND($A135&lt;&gt;0,$A135&lt;&gt;""),LOOKUP($A135,Discrete_NFET[PARTNUMBER],Discrete_NFET[QRR]),"")</f>
        <v/>
      </c>
      <c r="AC135" s="35" t="str">
        <f>IF(AND(A135&lt;&gt;0,A135&lt;&gt;""),LOOKUP(A135,Discrete_NFET[PARTNUMBER],Discrete_NFET[VF_TYP]),"")</f>
        <v/>
      </c>
      <c r="AD135" s="127" t="str">
        <f>IF(AND($A135&lt;&gt;0,$A135&lt;&gt;"",OR(RIGHT(Logic!B135,2)="C)",LEFT(Logic!B135,4)="CSD1")),(1+(1-DUTY))*IM_RMS_120^2*V135*m/3/Num_FETS,"")</f>
        <v/>
      </c>
      <c r="AE135" s="127" t="str">
        <f>IF(AND($A135&lt;&gt;0,$A135&lt;&gt;"",OR(RIGHT(Logic!B135,2)="C)",LEFT(Logic!B135,4)="CSD1")),Num_FETS*0.5*IM_RMS_120*VDC_AVG*Z135*n*MOT_ELEC_FREQ/GDR_SRC,"")</f>
        <v/>
      </c>
      <c r="AF135" s="127" t="str">
        <f>IF(AND($A135&lt;&gt;0,$A135&lt;&gt;"",OR(RIGHT(Logic!B135,2)="C)",LEFT(Logic!B135,4)="CSD1")),Num_FETS*0.5*IM_RMS_120*VDC_AVG*Z135*n*MOT_ELEC_FREQ/GDR_SINK,"")</f>
        <v/>
      </c>
      <c r="AG135" s="127" t="str">
        <f>IF(AND($A135&lt;&gt;0,$A135&lt;&gt;"",OR(RIGHT(Logic!B135,2)="T)",LEFT(Logic!B135,4)="CSD1")),DUTY*IM_RMS_120^2*V135*m/3/Num_FETS,"")</f>
        <v/>
      </c>
      <c r="AH135" s="127" t="str">
        <f>IF(AND($A135&lt;&gt;0,$A135&lt;&gt;"",OR(RIGHT(Logic!B135,2)="T)",LEFT(Logic!B135,4)="CSD1")),Num_FETS*0.5*IM_RMS_120*VDC_AVG*Z135*n*FSW*k/GDR_SRC/3,"")</f>
        <v/>
      </c>
      <c r="AI135" s="127" t="str">
        <f>IF(AND($A135&lt;&gt;0,$A135&lt;&gt;"",OR(RIGHT(Logic!B135,2)="T)",LEFT(Logic!B135,4)="CSD1")),Num_FETS*0.5*IM_RMS_120*VDC_AVG*Z135*n*FSW*k/GDR_SINK/3,"")</f>
        <v/>
      </c>
      <c r="AJ135" s="127" t="str">
        <f t="shared" si="60"/>
        <v/>
      </c>
      <c r="AK135" s="127" t="str">
        <f t="shared" si="61"/>
        <v/>
      </c>
      <c r="AL135" s="127" t="str">
        <f t="shared" si="62"/>
        <v/>
      </c>
      <c r="AM135" s="127" t="str">
        <f t="shared" si="77"/>
        <v/>
      </c>
      <c r="AN135" s="127">
        <f>IF(AND($A135&lt;&gt;0,$A135&lt;&gt;"",OR(RIGHT(Logic!B135,2)="C)",LEFT(Logic!B135,4)="CSD1")),SUM(AD135:AF135)+(AJ135/3)+AK135+AL135/6+AM135/6,AN136)</f>
        <v>0</v>
      </c>
      <c r="AO135" s="127">
        <f>IF(AND($A135&lt;&gt;0,$A135&lt;&gt;"",OR(RIGHT(Logic!B135,2)="T)",LEFT(Logic!B135,4)="CSD1")),SUM(AG135:AI135)+(AJ135/3)+AL135/6+AM135/6,AO134)</f>
        <v>0.23887636588496741</v>
      </c>
      <c r="AP135" s="48" t="str">
        <f t="shared" si="78"/>
        <v/>
      </c>
      <c r="AQ135" s="35" t="str">
        <f>IF(AND(A135&lt;&gt;0,A135&lt;&gt;""),LOOKUP(A135,Discrete_NFET[PARTNUMBER],Discrete_NFET[TI_EQ_PACKAGE]),"")</f>
        <v/>
      </c>
      <c r="AR135" s="49" t="str">
        <f>IF(AND(A135&lt;&gt;0,A135&lt;&gt;""),LOOKUP(A135,Discrete_NFET[PARTNUMBER],Discrete_NFET[1KPRICE]),"")</f>
        <v/>
      </c>
      <c r="AS135" s="35" t="str">
        <f>IF(AND($A135&lt;&gt;0,$A135&lt;&gt;""),CONCATENATE(TEXT(AP135,"0.00"),"W, ",IF('User Input'!F$11="Single Discrete",A135,IF('User Input'!F$11="Dual/Power Block",LEFT(A135,FIND(")",A135)-7),A135)),", ",AQ135,", ",TEXT(AR135,"$0.00")),"Invalid Part")</f>
        <v>Invalid Part</v>
      </c>
      <c r="AT135"/>
    </row>
    <row r="136" spans="1:50" x14ac:dyDescent="0.25">
      <c r="A136" s="35" t="str">
        <f>IF(OR(AND(FET_config="Dual/Power Block",LEFT(Logic!B136,4)="CSD8"),AND(FET_config="Single Discrete",LEFT(Logic!B136,4)="CSD1")),Logic!B136,"")</f>
        <v/>
      </c>
      <c r="B136" s="37" t="str">
        <f>IF(OR($A136=0,$A136=""),"0",IF(LOOKUP($A136,Discrete_NFET[PARTNUMBER],Discrete_NFET[RDSON25])="(NULL)","0","1"))</f>
        <v>0</v>
      </c>
      <c r="C136" s="38" t="str">
        <f>IF(OR($A136=0,$A136=""),"0",IF(LOOKUP($A136,Discrete_NFET[PARTNUMBER],Discrete_NFET[RDSON3])="(NULL)","0","1"))</f>
        <v>0</v>
      </c>
      <c r="D136" s="40" t="str">
        <f>IF(OR($A136=0,$A136=""),"0",IF(LOOKUP($A136,Discrete_NFET[PARTNUMBER],Discrete_NFET[RDSON45])="(NULL)","0","1"))</f>
        <v>0</v>
      </c>
      <c r="E136" s="45" t="str">
        <f>IF(OR($A136=0,$A136=""),"0",IF(LOOKUP($A136,Discrete_NFET[PARTNUMBER],Discrete_NFET[RDSON6])="(NULL)","0","1"))</f>
        <v>0</v>
      </c>
      <c r="F136" s="34" t="str">
        <f>IF(OR($A136=0,$A136=""),"0",IF(LOOKUP($A136,Discrete_NFET[PARTNUMBER],Discrete_NFET[RDSON8])="(NULL)","0","1"))</f>
        <v>0</v>
      </c>
      <c r="G136" s="43" t="str">
        <f>IF(OR($A136=0,$A136=""),"0",IF(LOOKUP($A136,Discrete_NFET[PARTNUMBER],Discrete_NFET[RDSON10])="(NULL)","0","1"))</f>
        <v>0</v>
      </c>
      <c r="H136" s="36" t="b">
        <f t="shared" si="63"/>
        <v>0</v>
      </c>
      <c r="I136" s="39" t="b">
        <f t="shared" si="64"/>
        <v>0</v>
      </c>
      <c r="J136" s="41" t="b">
        <f t="shared" si="65"/>
        <v>0</v>
      </c>
      <c r="K136" s="46" t="b">
        <f t="shared" si="66"/>
        <v>0</v>
      </c>
      <c r="L136" s="42" t="b">
        <f t="shared" si="67"/>
        <v>0</v>
      </c>
      <c r="M136" s="44" t="b">
        <f t="shared" si="68"/>
        <v>0</v>
      </c>
      <c r="N136" s="47" t="b">
        <f t="shared" si="69"/>
        <v>0</v>
      </c>
      <c r="O136" s="36" t="b">
        <f t="shared" si="70"/>
        <v>0</v>
      </c>
      <c r="P136" s="39" t="b">
        <f t="shared" si="71"/>
        <v>0</v>
      </c>
      <c r="Q136" s="41" t="b">
        <f t="shared" si="72"/>
        <v>0</v>
      </c>
      <c r="R136" s="46" t="b">
        <f t="shared" si="73"/>
        <v>0</v>
      </c>
      <c r="S136" s="42" t="b">
        <f t="shared" si="74"/>
        <v>0</v>
      </c>
      <c r="T136" s="44" t="b">
        <f t="shared" si="75"/>
        <v>0</v>
      </c>
      <c r="U136" s="148" t="str">
        <f>IF(T136,LOOKUP(A136,Discrete_NFET[PARTNUMBER],Discrete_NFET[RDSON10])*1000,IF(S136,LOOKUP(A136,Discrete_NFET[PARTNUMBER],Discrete_NFET[RDSON8])*1000,IF(R136,LOOKUP(A136,Discrete_NFET[PARTNUMBER],Discrete_NFET[RDSON6])*1000,IF(Q136,LOOKUP(A136,Discrete_NFET[PARTNUMBER],Discrete_NFET[RDSON45])*1000,IF(P136,LOOKUP(A136,Discrete_NFET[PARTNUMBER],Discrete_NFET[RDSON3])*1000,IF(O136,LOOKUP(A136,Discrete_NFET[PARTNUMBER],Discrete_NFET[RDSON25])*1000,""))))))</f>
        <v/>
      </c>
      <c r="V136" s="48" t="str">
        <f>IF(AND(A136&lt;&gt;0,A136&lt;&gt;""),U136*(1+(Tj-25)*(LOOKUP(A136,Discrete_NFET[PARTNUMBER],Discrete_NFET[RDSDELTA])/((LOOKUP(A136,Discrete_NFET[PARTNUMBER],Discrete_NFET[TJMAX])-25)))),"")</f>
        <v/>
      </c>
      <c r="W136" s="35" t="str">
        <f>IF(AND($A136&lt;&gt;0,$A136&lt;&gt;""),LOOKUP($A136,Discrete_NFET[PARTNUMBER],Discrete_NFET[QGS]),"")</f>
        <v/>
      </c>
      <c r="X136" s="35" t="str">
        <f>IF(AND($A136&lt;&gt;0,$A136&lt;&gt;""),LOOKUP($A136,Discrete_NFET[PARTNUMBER],Discrete_NFET[QGD]),"")</f>
        <v/>
      </c>
      <c r="Y136" s="35" t="str">
        <f>IF(AND($A136&lt;&gt;0,$A136&lt;&gt;""),LOOKUP($A136,Discrete_NFET[PARTNUMBER],Discrete_NFET[QGTH]),"")</f>
        <v/>
      </c>
      <c r="Z136" s="35" t="str">
        <f t="shared" si="76"/>
        <v/>
      </c>
      <c r="AA136" s="35" t="str">
        <f>IF(AND($A136&lt;&gt;0,$A136&lt;&gt;""),LOOKUP($A136,Discrete_NFET[PARTNUMBER],Discrete_NFET[QOSSTYP]),"")</f>
        <v/>
      </c>
      <c r="AB136" s="35" t="str">
        <f>IF(AND($A136&lt;&gt;0,$A136&lt;&gt;""),LOOKUP($A136,Discrete_NFET[PARTNUMBER],Discrete_NFET[QRR]),"")</f>
        <v/>
      </c>
      <c r="AC136" s="35" t="str">
        <f>IF(AND(A136&lt;&gt;0,A136&lt;&gt;""),LOOKUP(A136,Discrete_NFET[PARTNUMBER],Discrete_NFET[VF_TYP]),"")</f>
        <v/>
      </c>
      <c r="AD136" s="127" t="str">
        <f>IF(AND($A136&lt;&gt;0,$A136&lt;&gt;"",OR(RIGHT(Logic!B136,2)="C)",LEFT(Logic!B136,4)="CSD1")),(1+(1-DUTY))*IM_RMS_120^2*V136*m/3/Num_FETS,"")</f>
        <v/>
      </c>
      <c r="AE136" s="127" t="str">
        <f>IF(AND($A136&lt;&gt;0,$A136&lt;&gt;"",OR(RIGHT(Logic!B136,2)="C)",LEFT(Logic!B136,4)="CSD1")),Num_FETS*0.5*IM_RMS_120*VDC_AVG*Z136*n*MOT_ELEC_FREQ/GDR_SRC,"")</f>
        <v/>
      </c>
      <c r="AF136" s="127" t="str">
        <f>IF(AND($A136&lt;&gt;0,$A136&lt;&gt;"",OR(RIGHT(Logic!B136,2)="C)",LEFT(Logic!B136,4)="CSD1")),Num_FETS*0.5*IM_RMS_120*VDC_AVG*Z136*n*MOT_ELEC_FREQ/GDR_SINK,"")</f>
        <v/>
      </c>
      <c r="AG136" s="127" t="str">
        <f>IF(AND($A136&lt;&gt;0,$A136&lt;&gt;"",OR(RIGHT(Logic!B136,2)="T)",LEFT(Logic!B136,4)="CSD1")),DUTY*IM_RMS_120^2*V136*m/3/Num_FETS,"")</f>
        <v/>
      </c>
      <c r="AH136" s="127" t="str">
        <f>IF(AND($A136&lt;&gt;0,$A136&lt;&gt;"",OR(RIGHT(Logic!B136,2)="T)",LEFT(Logic!B136,4)="CSD1")),Num_FETS*0.5*IM_RMS_120*VDC_AVG*Z136*n*FSW*k/GDR_SRC/3,"")</f>
        <v/>
      </c>
      <c r="AI136" s="127" t="str">
        <f>IF(AND($A136&lt;&gt;0,$A136&lt;&gt;"",OR(RIGHT(Logic!B136,2)="T)",LEFT(Logic!B136,4)="CSD1")),Num_FETS*0.5*IM_RMS_120*VDC_AVG*Z136*n*FSW*k/GDR_SINK/3,"")</f>
        <v/>
      </c>
      <c r="AJ136" s="127" t="str">
        <f t="shared" si="60"/>
        <v/>
      </c>
      <c r="AK136" s="127" t="str">
        <f t="shared" si="61"/>
        <v/>
      </c>
      <c r="AL136" s="127" t="str">
        <f t="shared" si="62"/>
        <v/>
      </c>
      <c r="AM136" s="127" t="str">
        <f t="shared" si="77"/>
        <v/>
      </c>
      <c r="AN136" s="127">
        <f>IF(AND($A136&lt;&gt;0,$A136&lt;&gt;"",OR(RIGHT(Logic!B136,2)="C)",LEFT(Logic!B136,4)="CSD1")),SUM(AD136:AF136)+(AJ136/3)+AK136+AL136/6+AM136/6,AN137)</f>
        <v>0</v>
      </c>
      <c r="AO136" s="127">
        <f>IF(AND($A136&lt;&gt;0,$A136&lt;&gt;"",OR(RIGHT(Logic!B136,2)="T)",LEFT(Logic!B136,4)="CSD1")),SUM(AG136:AI136)+(AJ136/3)+AL136/6+AM136/6,AO135)</f>
        <v>0.23887636588496741</v>
      </c>
      <c r="AP136" s="48" t="str">
        <f t="shared" si="78"/>
        <v/>
      </c>
      <c r="AQ136" s="35" t="str">
        <f>IF(AND(A136&lt;&gt;0,A136&lt;&gt;""),LOOKUP(A136,Discrete_NFET[PARTNUMBER],Discrete_NFET[TI_EQ_PACKAGE]),"")</f>
        <v/>
      </c>
      <c r="AR136" s="49" t="str">
        <f>IF(AND(A136&lt;&gt;0,A136&lt;&gt;""),LOOKUP(A136,Discrete_NFET[PARTNUMBER],Discrete_NFET[1KPRICE]),"")</f>
        <v/>
      </c>
      <c r="AS136" s="35" t="str">
        <f>IF(AND($A136&lt;&gt;0,$A136&lt;&gt;""),CONCATENATE(TEXT(AP136,"0.00"),"W, ",IF('User Input'!F$11="Single Discrete",A136,IF('User Input'!F$11="Dual/Power Block",LEFT(A136,FIND(")",A136)-7),A136)),", ",AQ136,", ",TEXT(AR136,"$0.00")),"Invalid Part")</f>
        <v>Invalid Part</v>
      </c>
      <c r="AT136"/>
    </row>
    <row r="137" spans="1:50" x14ac:dyDescent="0.25">
      <c r="A137" s="35" t="str">
        <f>IF(OR(AND(FET_config="Dual/Power Block",LEFT(Logic!B137,4)="CSD8"),AND(FET_config="Single Discrete",LEFT(Logic!B137,4)="CSD1")),Logic!B137,"")</f>
        <v/>
      </c>
      <c r="B137" s="37" t="str">
        <f>IF(OR($A137=0,$A137=""),"0",IF(LOOKUP($A137,Discrete_NFET[PARTNUMBER],Discrete_NFET[RDSON25])="(NULL)","0","1"))</f>
        <v>0</v>
      </c>
      <c r="C137" s="38" t="str">
        <f>IF(OR($A137=0,$A137=""),"0",IF(LOOKUP($A137,Discrete_NFET[PARTNUMBER],Discrete_NFET[RDSON3])="(NULL)","0","1"))</f>
        <v>0</v>
      </c>
      <c r="D137" s="40" t="str">
        <f>IF(OR($A137=0,$A137=""),"0",IF(LOOKUP($A137,Discrete_NFET[PARTNUMBER],Discrete_NFET[RDSON45])="(NULL)","0","1"))</f>
        <v>0</v>
      </c>
      <c r="E137" s="45" t="str">
        <f>IF(OR($A137=0,$A137=""),"0",IF(LOOKUP($A137,Discrete_NFET[PARTNUMBER],Discrete_NFET[RDSON6])="(NULL)","0","1"))</f>
        <v>0</v>
      </c>
      <c r="F137" s="34" t="str">
        <f>IF(OR($A137=0,$A137=""),"0",IF(LOOKUP($A137,Discrete_NFET[PARTNUMBER],Discrete_NFET[RDSON8])="(NULL)","0","1"))</f>
        <v>0</v>
      </c>
      <c r="G137" s="43" t="str">
        <f>IF(OR($A137=0,$A137=""),"0",IF(LOOKUP($A137,Discrete_NFET[PARTNUMBER],Discrete_NFET[RDSON10])="(NULL)","0","1"))</f>
        <v>0</v>
      </c>
      <c r="H137" s="36" t="b">
        <f t="shared" si="63"/>
        <v>0</v>
      </c>
      <c r="I137" s="39" t="b">
        <f t="shared" si="64"/>
        <v>0</v>
      </c>
      <c r="J137" s="41" t="b">
        <f t="shared" si="65"/>
        <v>0</v>
      </c>
      <c r="K137" s="46" t="b">
        <f t="shared" si="66"/>
        <v>0</v>
      </c>
      <c r="L137" s="42" t="b">
        <f t="shared" si="67"/>
        <v>0</v>
      </c>
      <c r="M137" s="44" t="b">
        <f t="shared" si="68"/>
        <v>0</v>
      </c>
      <c r="N137" s="47" t="b">
        <f t="shared" si="69"/>
        <v>0</v>
      </c>
      <c r="O137" s="36" t="b">
        <f t="shared" si="70"/>
        <v>0</v>
      </c>
      <c r="P137" s="39" t="b">
        <f t="shared" si="71"/>
        <v>0</v>
      </c>
      <c r="Q137" s="41" t="b">
        <f t="shared" si="72"/>
        <v>0</v>
      </c>
      <c r="R137" s="46" t="b">
        <f t="shared" si="73"/>
        <v>0</v>
      </c>
      <c r="S137" s="42" t="b">
        <f t="shared" si="74"/>
        <v>0</v>
      </c>
      <c r="T137" s="44" t="b">
        <f t="shared" si="75"/>
        <v>0</v>
      </c>
      <c r="U137" s="148" t="str">
        <f>IF(T137,LOOKUP(A137,Discrete_NFET[PARTNUMBER],Discrete_NFET[RDSON10])*1000,IF(S137,LOOKUP(A137,Discrete_NFET[PARTNUMBER],Discrete_NFET[RDSON8])*1000,IF(R137,LOOKUP(A137,Discrete_NFET[PARTNUMBER],Discrete_NFET[RDSON6])*1000,IF(Q137,LOOKUP(A137,Discrete_NFET[PARTNUMBER],Discrete_NFET[RDSON45])*1000,IF(P137,LOOKUP(A137,Discrete_NFET[PARTNUMBER],Discrete_NFET[RDSON3])*1000,IF(O137,LOOKUP(A137,Discrete_NFET[PARTNUMBER],Discrete_NFET[RDSON25])*1000,""))))))</f>
        <v/>
      </c>
      <c r="V137" s="48" t="str">
        <f>IF(AND(A137&lt;&gt;0,A137&lt;&gt;""),U137*(1+(Tj-25)*(LOOKUP(A137,Discrete_NFET[PARTNUMBER],Discrete_NFET[RDSDELTA])/((LOOKUP(A137,Discrete_NFET[PARTNUMBER],Discrete_NFET[TJMAX])-25)))),"")</f>
        <v/>
      </c>
      <c r="W137" s="35" t="str">
        <f>IF(AND($A137&lt;&gt;0,$A137&lt;&gt;""),LOOKUP($A137,Discrete_NFET[PARTNUMBER],Discrete_NFET[QGS]),"")</f>
        <v/>
      </c>
      <c r="X137" s="35" t="str">
        <f>IF(AND($A137&lt;&gt;0,$A137&lt;&gt;""),LOOKUP($A137,Discrete_NFET[PARTNUMBER],Discrete_NFET[QGD]),"")</f>
        <v/>
      </c>
      <c r="Y137" s="35" t="str">
        <f>IF(AND($A137&lt;&gt;0,$A137&lt;&gt;""),LOOKUP($A137,Discrete_NFET[PARTNUMBER],Discrete_NFET[QGTH]),"")</f>
        <v/>
      </c>
      <c r="Z137" s="35" t="str">
        <f t="shared" si="76"/>
        <v/>
      </c>
      <c r="AA137" s="35" t="str">
        <f>IF(AND($A137&lt;&gt;0,$A137&lt;&gt;""),LOOKUP($A137,Discrete_NFET[PARTNUMBER],Discrete_NFET[QOSSTYP]),"")</f>
        <v/>
      </c>
      <c r="AB137" s="35" t="str">
        <f>IF(AND($A137&lt;&gt;0,$A137&lt;&gt;""),LOOKUP($A137,Discrete_NFET[PARTNUMBER],Discrete_NFET[QRR]),"")</f>
        <v/>
      </c>
      <c r="AC137" s="35" t="str">
        <f>IF(AND(A137&lt;&gt;0,A137&lt;&gt;""),LOOKUP(A137,Discrete_NFET[PARTNUMBER],Discrete_NFET[VF_TYP]),"")</f>
        <v/>
      </c>
      <c r="AD137" s="127" t="str">
        <f>IF(AND($A137&lt;&gt;0,$A137&lt;&gt;"",OR(RIGHT(Logic!B137,2)="C)",LEFT(Logic!B137,4)="CSD1")),(1+(1-DUTY))*IM_RMS_120^2*V137*m/3/Num_FETS,"")</f>
        <v/>
      </c>
      <c r="AE137" s="127" t="str">
        <f>IF(AND($A137&lt;&gt;0,$A137&lt;&gt;"",OR(RIGHT(Logic!B137,2)="C)",LEFT(Logic!B137,4)="CSD1")),Num_FETS*0.5*IM_RMS_120*VDC_AVG*Z137*n*MOT_ELEC_FREQ/GDR_SRC,"")</f>
        <v/>
      </c>
      <c r="AF137" s="127" t="str">
        <f>IF(AND($A137&lt;&gt;0,$A137&lt;&gt;"",OR(RIGHT(Logic!B137,2)="C)",LEFT(Logic!B137,4)="CSD1")),Num_FETS*0.5*IM_RMS_120*VDC_AVG*Z137*n*MOT_ELEC_FREQ/GDR_SINK,"")</f>
        <v/>
      </c>
      <c r="AG137" s="127" t="str">
        <f>IF(AND($A137&lt;&gt;0,$A137&lt;&gt;"",OR(RIGHT(Logic!B137,2)="T)",LEFT(Logic!B137,4)="CSD1")),DUTY*IM_RMS_120^2*V137*m/3/Num_FETS,"")</f>
        <v/>
      </c>
      <c r="AH137" s="127" t="str">
        <f>IF(AND($A137&lt;&gt;0,$A137&lt;&gt;"",OR(RIGHT(Logic!B137,2)="T)",LEFT(Logic!B137,4)="CSD1")),Num_FETS*0.5*IM_RMS_120*VDC_AVG*Z137*n*FSW*k/GDR_SRC/3,"")</f>
        <v/>
      </c>
      <c r="AI137" s="127" t="str">
        <f>IF(AND($A137&lt;&gt;0,$A137&lt;&gt;"",OR(RIGHT(Logic!B137,2)="T)",LEFT(Logic!B137,4)="CSD1")),Num_FETS*0.5*IM_RMS_120*VDC_AVG*Z137*n*FSW*k/GDR_SINK/3,"")</f>
        <v/>
      </c>
      <c r="AJ137" s="127" t="str">
        <f t="shared" si="60"/>
        <v/>
      </c>
      <c r="AK137" s="127" t="str">
        <f t="shared" si="61"/>
        <v/>
      </c>
      <c r="AL137" s="127" t="str">
        <f t="shared" si="62"/>
        <v/>
      </c>
      <c r="AM137" s="127" t="str">
        <f t="shared" si="77"/>
        <v/>
      </c>
      <c r="AN137" s="127">
        <f>IF(AND($A137&lt;&gt;0,$A137&lt;&gt;"",OR(RIGHT(Logic!B137,2)="C)",LEFT(Logic!B137,4)="CSD1")),SUM(AD137:AF137)+(AJ137/3)+AK137+AL137/6+AM137/6,AN138)</f>
        <v>0</v>
      </c>
      <c r="AO137" s="127">
        <f>IF(AND($A137&lt;&gt;0,$A137&lt;&gt;"",OR(RIGHT(Logic!B137,2)="T)",LEFT(Logic!B137,4)="CSD1")),SUM(AG137:AI137)+(AJ137/3)+AL137/6+AM137/6,AO136)</f>
        <v>0.23887636588496741</v>
      </c>
      <c r="AP137" s="48" t="str">
        <f t="shared" si="78"/>
        <v/>
      </c>
      <c r="AQ137" s="35" t="str">
        <f>IF(AND(A137&lt;&gt;0,A137&lt;&gt;""),LOOKUP(A137,Discrete_NFET[PARTNUMBER],Discrete_NFET[TI_EQ_PACKAGE]),"")</f>
        <v/>
      </c>
      <c r="AR137" s="49" t="str">
        <f>IF(AND(A137&lt;&gt;0,A137&lt;&gt;""),LOOKUP(A137,Discrete_NFET[PARTNUMBER],Discrete_NFET[1KPRICE]),"")</f>
        <v/>
      </c>
      <c r="AS137" s="35" t="str">
        <f>IF(AND($A137&lt;&gt;0,$A137&lt;&gt;""),CONCATENATE(TEXT(AP137,"0.00"),"W, ",IF('User Input'!F$11="Single Discrete",A137,IF('User Input'!F$11="Dual/Power Block",LEFT(A137,FIND(")",A137)-7),A137)),", ",AQ137,", ",TEXT(AR137,"$0.00")),"Invalid Part")</f>
        <v>Invalid Part</v>
      </c>
      <c r="AT137"/>
    </row>
    <row r="138" spans="1:50" x14ac:dyDescent="0.25">
      <c r="A138" s="35" t="str">
        <f>IF(OR(AND(FET_config="Dual/Power Block",LEFT(Logic!B138,4)="CSD8"),AND(FET_config="Single Discrete",LEFT(Logic!B138,4)="CSD1")),Logic!B138,"")</f>
        <v/>
      </c>
      <c r="B138" s="37" t="str">
        <f>IF(OR($A138=0,$A138=""),"0",IF(LOOKUP($A138,Discrete_NFET[PARTNUMBER],Discrete_NFET[RDSON25])="(NULL)","0","1"))</f>
        <v>0</v>
      </c>
      <c r="C138" s="38" t="str">
        <f>IF(OR($A138=0,$A138=""),"0",IF(LOOKUP($A138,Discrete_NFET[PARTNUMBER],Discrete_NFET[RDSON3])="(NULL)","0","1"))</f>
        <v>0</v>
      </c>
      <c r="D138" s="40" t="str">
        <f>IF(OR($A138=0,$A138=""),"0",IF(LOOKUP($A138,Discrete_NFET[PARTNUMBER],Discrete_NFET[RDSON45])="(NULL)","0","1"))</f>
        <v>0</v>
      </c>
      <c r="E138" s="45" t="str">
        <f>IF(OR($A138=0,$A138=""),"0",IF(LOOKUP($A138,Discrete_NFET[PARTNUMBER],Discrete_NFET[RDSON6])="(NULL)","0","1"))</f>
        <v>0</v>
      </c>
      <c r="F138" s="34" t="str">
        <f>IF(OR($A138=0,$A138=""),"0",IF(LOOKUP($A138,Discrete_NFET[PARTNUMBER],Discrete_NFET[RDSON8])="(NULL)","0","1"))</f>
        <v>0</v>
      </c>
      <c r="G138" s="43" t="str">
        <f>IF(OR($A138=0,$A138=""),"0",IF(LOOKUP($A138,Discrete_NFET[PARTNUMBER],Discrete_NFET[RDSON10])="(NULL)","0","1"))</f>
        <v>0</v>
      </c>
      <c r="H138" s="36" t="b">
        <f t="shared" si="63"/>
        <v>0</v>
      </c>
      <c r="I138" s="39" t="b">
        <f t="shared" si="64"/>
        <v>0</v>
      </c>
      <c r="J138" s="41" t="b">
        <f t="shared" si="65"/>
        <v>0</v>
      </c>
      <c r="K138" s="46" t="b">
        <f t="shared" si="66"/>
        <v>0</v>
      </c>
      <c r="L138" s="42" t="b">
        <f t="shared" si="67"/>
        <v>0</v>
      </c>
      <c r="M138" s="44" t="b">
        <f t="shared" si="68"/>
        <v>0</v>
      </c>
      <c r="N138" s="47" t="b">
        <f t="shared" si="69"/>
        <v>0</v>
      </c>
      <c r="O138" s="36" t="b">
        <f t="shared" si="70"/>
        <v>0</v>
      </c>
      <c r="P138" s="39" t="b">
        <f t="shared" si="71"/>
        <v>0</v>
      </c>
      <c r="Q138" s="41" t="b">
        <f t="shared" si="72"/>
        <v>0</v>
      </c>
      <c r="R138" s="46" t="b">
        <f t="shared" si="73"/>
        <v>0</v>
      </c>
      <c r="S138" s="42" t="b">
        <f t="shared" si="74"/>
        <v>0</v>
      </c>
      <c r="T138" s="44" t="b">
        <f t="shared" si="75"/>
        <v>0</v>
      </c>
      <c r="U138" s="148" t="str">
        <f>IF(T138,LOOKUP(A138,Discrete_NFET[PARTNUMBER],Discrete_NFET[RDSON10])*1000,IF(S138,LOOKUP(A138,Discrete_NFET[PARTNUMBER],Discrete_NFET[RDSON8])*1000,IF(R138,LOOKUP(A138,Discrete_NFET[PARTNUMBER],Discrete_NFET[RDSON6])*1000,IF(Q138,LOOKUP(A138,Discrete_NFET[PARTNUMBER],Discrete_NFET[RDSON45])*1000,IF(P138,LOOKUP(A138,Discrete_NFET[PARTNUMBER],Discrete_NFET[RDSON3])*1000,IF(O138,LOOKUP(A138,Discrete_NFET[PARTNUMBER],Discrete_NFET[RDSON25])*1000,""))))))</f>
        <v/>
      </c>
      <c r="V138" s="48" t="str">
        <f>IF(AND(A138&lt;&gt;0,A138&lt;&gt;""),U138*(1+(Tj-25)*(LOOKUP(A138,Discrete_NFET[PARTNUMBER],Discrete_NFET[RDSDELTA])/((LOOKUP(A138,Discrete_NFET[PARTNUMBER],Discrete_NFET[TJMAX])-25)))),"")</f>
        <v/>
      </c>
      <c r="W138" s="35" t="str">
        <f>IF(AND($A138&lt;&gt;0,$A138&lt;&gt;""),LOOKUP($A138,Discrete_NFET[PARTNUMBER],Discrete_NFET[QGS]),"")</f>
        <v/>
      </c>
      <c r="X138" s="35" t="str">
        <f>IF(AND($A138&lt;&gt;0,$A138&lt;&gt;""),LOOKUP($A138,Discrete_NFET[PARTNUMBER],Discrete_NFET[QGD]),"")</f>
        <v/>
      </c>
      <c r="Y138" s="35" t="str">
        <f>IF(AND($A138&lt;&gt;0,$A138&lt;&gt;""),LOOKUP($A138,Discrete_NFET[PARTNUMBER],Discrete_NFET[QGTH]),"")</f>
        <v/>
      </c>
      <c r="Z138" s="35" t="str">
        <f t="shared" si="76"/>
        <v/>
      </c>
      <c r="AA138" s="35" t="str">
        <f>IF(AND($A138&lt;&gt;0,$A138&lt;&gt;""),LOOKUP($A138,Discrete_NFET[PARTNUMBER],Discrete_NFET[QOSSTYP]),"")</f>
        <v/>
      </c>
      <c r="AB138" s="35" t="str">
        <f>IF(AND($A138&lt;&gt;0,$A138&lt;&gt;""),LOOKUP($A138,Discrete_NFET[PARTNUMBER],Discrete_NFET[QRR]),"")</f>
        <v/>
      </c>
      <c r="AC138" s="35" t="str">
        <f>IF(AND(A138&lt;&gt;0,A138&lt;&gt;""),LOOKUP(A138,Discrete_NFET[PARTNUMBER],Discrete_NFET[VF_TYP]),"")</f>
        <v/>
      </c>
      <c r="AD138" s="127" t="str">
        <f>IF(AND($A138&lt;&gt;0,$A138&lt;&gt;"",OR(RIGHT(Logic!B138,2)="C)",LEFT(Logic!B138,4)="CSD1")),(1+(1-DUTY))*IM_RMS_120^2*V138*m/3/Num_FETS,"")</f>
        <v/>
      </c>
      <c r="AE138" s="127" t="str">
        <f>IF(AND($A138&lt;&gt;0,$A138&lt;&gt;"",OR(RIGHT(Logic!B138,2)="C)",LEFT(Logic!B138,4)="CSD1")),Num_FETS*0.5*IM_RMS_120*VDC_AVG*Z138*n*MOT_ELEC_FREQ/GDR_SRC,"")</f>
        <v/>
      </c>
      <c r="AF138" s="127" t="str">
        <f>IF(AND($A138&lt;&gt;0,$A138&lt;&gt;"",OR(RIGHT(Logic!B138,2)="C)",LEFT(Logic!B138,4)="CSD1")),Num_FETS*0.5*IM_RMS_120*VDC_AVG*Z138*n*MOT_ELEC_FREQ/GDR_SINK,"")</f>
        <v/>
      </c>
      <c r="AG138" s="127" t="str">
        <f>IF(AND($A138&lt;&gt;0,$A138&lt;&gt;"",OR(RIGHT(Logic!B138,2)="T)",LEFT(Logic!B138,4)="CSD1")),DUTY*IM_RMS_120^2*V138*m/3/Num_FETS,"")</f>
        <v/>
      </c>
      <c r="AH138" s="127" t="str">
        <f>IF(AND($A138&lt;&gt;0,$A138&lt;&gt;"",OR(RIGHT(Logic!B138,2)="T)",LEFT(Logic!B138,4)="CSD1")),Num_FETS*0.5*IM_RMS_120*VDC_AVG*Z138*n*FSW*k/GDR_SRC/3,"")</f>
        <v/>
      </c>
      <c r="AI138" s="127" t="str">
        <f>IF(AND($A138&lt;&gt;0,$A138&lt;&gt;"",OR(RIGHT(Logic!B138,2)="T)",LEFT(Logic!B138,4)="CSD1")),Num_FETS*0.5*IM_RMS_120*VDC_AVG*Z138*n*FSW*k/GDR_SINK/3,"")</f>
        <v/>
      </c>
      <c r="AJ138" s="127" t="str">
        <f t="shared" si="60"/>
        <v/>
      </c>
      <c r="AK138" s="127" t="str">
        <f t="shared" si="61"/>
        <v/>
      </c>
      <c r="AL138" s="127" t="str">
        <f t="shared" si="62"/>
        <v/>
      </c>
      <c r="AM138" s="127" t="str">
        <f t="shared" si="77"/>
        <v/>
      </c>
      <c r="AN138" s="127">
        <f>IF(AND($A138&lt;&gt;0,$A138&lt;&gt;"",OR(RIGHT(Logic!B138,2)="C)",LEFT(Logic!B138,4)="CSD1")),SUM(AD138:AF138)+(AJ138/3)+AK138+AL138/6+AM138/6,AN139)</f>
        <v>0</v>
      </c>
      <c r="AO138" s="127">
        <f>IF(AND($A138&lt;&gt;0,$A138&lt;&gt;"",OR(RIGHT(Logic!B138,2)="T)",LEFT(Logic!B138,4)="CSD1")),SUM(AG138:AI138)+(AJ138/3)+AL138/6+AM138/6,AO137)</f>
        <v>0.23887636588496741</v>
      </c>
      <c r="AP138" s="48" t="str">
        <f t="shared" si="78"/>
        <v/>
      </c>
      <c r="AQ138" s="35" t="str">
        <f>IF(AND(A138&lt;&gt;0,A138&lt;&gt;""),LOOKUP(A138,Discrete_NFET[PARTNUMBER],Discrete_NFET[TI_EQ_PACKAGE]),"")</f>
        <v/>
      </c>
      <c r="AR138" s="49" t="str">
        <f>IF(AND(A138&lt;&gt;0,A138&lt;&gt;""),LOOKUP(A138,Discrete_NFET[PARTNUMBER],Discrete_NFET[1KPRICE]),"")</f>
        <v/>
      </c>
      <c r="AS138" s="35" t="str">
        <f>IF(AND($A138&lt;&gt;0,$A138&lt;&gt;""),CONCATENATE(TEXT(AP138,"0.00"),"W, ",IF('User Input'!F$11="Single Discrete",A138,IF('User Input'!F$11="Dual/Power Block",LEFT(A138,FIND(")",A138)-7),A138)),", ",AQ138,", ",TEXT(AR138,"$0.00")),"Invalid Part")</f>
        <v>Invalid Part</v>
      </c>
      <c r="AT138"/>
    </row>
    <row r="139" spans="1:50" x14ac:dyDescent="0.25">
      <c r="A139" s="35" t="str">
        <f>IF(OR(AND(FET_config="Dual/Power Block",LEFT(Logic!B139,4)="CSD8"),AND(FET_config="Single Discrete",LEFT(Logic!B139,4)="CSD1")),Logic!B139,"")</f>
        <v/>
      </c>
      <c r="B139" s="37" t="str">
        <f>IF(OR($A139=0,$A139=""),"0",IF(LOOKUP($A139,Discrete_NFET[PARTNUMBER],Discrete_NFET[RDSON25])="(NULL)","0","1"))</f>
        <v>0</v>
      </c>
      <c r="C139" s="38" t="str">
        <f>IF(OR($A139=0,$A139=""),"0",IF(LOOKUP($A139,Discrete_NFET[PARTNUMBER],Discrete_NFET[RDSON3])="(NULL)","0","1"))</f>
        <v>0</v>
      </c>
      <c r="D139" s="40" t="str">
        <f>IF(OR($A139=0,$A139=""),"0",IF(LOOKUP($A139,Discrete_NFET[PARTNUMBER],Discrete_NFET[RDSON45])="(NULL)","0","1"))</f>
        <v>0</v>
      </c>
      <c r="E139" s="45" t="str">
        <f>IF(OR($A139=0,$A139=""),"0",IF(LOOKUP($A139,Discrete_NFET[PARTNUMBER],Discrete_NFET[RDSON6])="(NULL)","0","1"))</f>
        <v>0</v>
      </c>
      <c r="F139" s="34" t="str">
        <f>IF(OR($A139=0,$A139=""),"0",IF(LOOKUP($A139,Discrete_NFET[PARTNUMBER],Discrete_NFET[RDSON8])="(NULL)","0","1"))</f>
        <v>0</v>
      </c>
      <c r="G139" s="43" t="str">
        <f>IF(OR($A139=0,$A139=""),"0",IF(LOOKUP($A139,Discrete_NFET[PARTNUMBER],Discrete_NFET[RDSON10])="(NULL)","0","1"))</f>
        <v>0</v>
      </c>
      <c r="H139" s="36" t="b">
        <f t="shared" si="63"/>
        <v>0</v>
      </c>
      <c r="I139" s="39" t="b">
        <f t="shared" si="64"/>
        <v>0</v>
      </c>
      <c r="J139" s="41" t="b">
        <f t="shared" si="65"/>
        <v>0</v>
      </c>
      <c r="K139" s="46" t="b">
        <f t="shared" si="66"/>
        <v>0</v>
      </c>
      <c r="L139" s="42" t="b">
        <f t="shared" si="67"/>
        <v>0</v>
      </c>
      <c r="M139" s="44" t="b">
        <f t="shared" si="68"/>
        <v>0</v>
      </c>
      <c r="N139" s="47" t="b">
        <f t="shared" si="69"/>
        <v>0</v>
      </c>
      <c r="O139" s="36" t="b">
        <f t="shared" si="70"/>
        <v>0</v>
      </c>
      <c r="P139" s="39" t="b">
        <f t="shared" si="71"/>
        <v>0</v>
      </c>
      <c r="Q139" s="41" t="b">
        <f t="shared" si="72"/>
        <v>0</v>
      </c>
      <c r="R139" s="46" t="b">
        <f t="shared" si="73"/>
        <v>0</v>
      </c>
      <c r="S139" s="42" t="b">
        <f t="shared" si="74"/>
        <v>0</v>
      </c>
      <c r="T139" s="44" t="b">
        <f t="shared" si="75"/>
        <v>0</v>
      </c>
      <c r="U139" s="148" t="str">
        <f>IF(T139,LOOKUP(A139,Discrete_NFET[PARTNUMBER],Discrete_NFET[RDSON10])*1000,IF(S139,LOOKUP(A139,Discrete_NFET[PARTNUMBER],Discrete_NFET[RDSON8])*1000,IF(R139,LOOKUP(A139,Discrete_NFET[PARTNUMBER],Discrete_NFET[RDSON6])*1000,IF(Q139,LOOKUP(A139,Discrete_NFET[PARTNUMBER],Discrete_NFET[RDSON45])*1000,IF(P139,LOOKUP(A139,Discrete_NFET[PARTNUMBER],Discrete_NFET[RDSON3])*1000,IF(O139,LOOKUP(A139,Discrete_NFET[PARTNUMBER],Discrete_NFET[RDSON25])*1000,""))))))</f>
        <v/>
      </c>
      <c r="V139" s="48" t="str">
        <f>IF(AND(A139&lt;&gt;0,A139&lt;&gt;""),U139*(1+(Tj-25)*(LOOKUP(A139,Discrete_NFET[PARTNUMBER],Discrete_NFET[RDSDELTA])/((LOOKUP(A139,Discrete_NFET[PARTNUMBER],Discrete_NFET[TJMAX])-25)))),"")</f>
        <v/>
      </c>
      <c r="W139" s="35" t="str">
        <f>IF(AND($A139&lt;&gt;0,$A139&lt;&gt;""),LOOKUP($A139,Discrete_NFET[PARTNUMBER],Discrete_NFET[QGS]),"")</f>
        <v/>
      </c>
      <c r="X139" s="35" t="str">
        <f>IF(AND($A139&lt;&gt;0,$A139&lt;&gt;""),LOOKUP($A139,Discrete_NFET[PARTNUMBER],Discrete_NFET[QGD]),"")</f>
        <v/>
      </c>
      <c r="Y139" s="35" t="str">
        <f>IF(AND($A139&lt;&gt;0,$A139&lt;&gt;""),LOOKUP($A139,Discrete_NFET[PARTNUMBER],Discrete_NFET[QGTH]),"")</f>
        <v/>
      </c>
      <c r="Z139" s="35" t="str">
        <f t="shared" si="76"/>
        <v/>
      </c>
      <c r="AA139" s="35" t="str">
        <f>IF(AND($A139&lt;&gt;0,$A139&lt;&gt;""),LOOKUP($A139,Discrete_NFET[PARTNUMBER],Discrete_NFET[QOSSTYP]),"")</f>
        <v/>
      </c>
      <c r="AB139" s="35" t="str">
        <f>IF(AND($A139&lt;&gt;0,$A139&lt;&gt;""),LOOKUP($A139,Discrete_NFET[PARTNUMBER],Discrete_NFET[QRR]),"")</f>
        <v/>
      </c>
      <c r="AC139" s="35" t="str">
        <f>IF(AND(A139&lt;&gt;0,A139&lt;&gt;""),LOOKUP(A139,Discrete_NFET[PARTNUMBER],Discrete_NFET[VF_TYP]),"")</f>
        <v/>
      </c>
      <c r="AD139" s="127" t="str">
        <f>IF(AND($A139&lt;&gt;0,$A139&lt;&gt;"",OR(RIGHT(Logic!B139,2)="C)",LEFT(Logic!B139,4)="CSD1")),(1+(1-DUTY))*IM_RMS_120^2*V139*m/3/Num_FETS,"")</f>
        <v/>
      </c>
      <c r="AE139" s="127" t="str">
        <f>IF(AND($A139&lt;&gt;0,$A139&lt;&gt;"",OR(RIGHT(Logic!B139,2)="C)",LEFT(Logic!B139,4)="CSD1")),Num_FETS*0.5*IM_RMS_120*VDC_AVG*Z139*n*MOT_ELEC_FREQ/GDR_SRC,"")</f>
        <v/>
      </c>
      <c r="AF139" s="127" t="str">
        <f>IF(AND($A139&lt;&gt;0,$A139&lt;&gt;"",OR(RIGHT(Logic!B139,2)="C)",LEFT(Logic!B139,4)="CSD1")),Num_FETS*0.5*IM_RMS_120*VDC_AVG*Z139*n*MOT_ELEC_FREQ/GDR_SINK,"")</f>
        <v/>
      </c>
      <c r="AG139" s="127" t="str">
        <f>IF(AND($A139&lt;&gt;0,$A139&lt;&gt;"",OR(RIGHT(Logic!B139,2)="T)",LEFT(Logic!B139,4)="CSD1")),DUTY*IM_RMS_120^2*V139*m/3/Num_FETS,"")</f>
        <v/>
      </c>
      <c r="AH139" s="127" t="str">
        <f>IF(AND($A139&lt;&gt;0,$A139&lt;&gt;"",OR(RIGHT(Logic!B139,2)="T)",LEFT(Logic!B139,4)="CSD1")),Num_FETS*0.5*IM_RMS_120*VDC_AVG*Z139*n*FSW*k/GDR_SRC/3,"")</f>
        <v/>
      </c>
      <c r="AI139" s="127" t="str">
        <f>IF(AND($A139&lt;&gt;0,$A139&lt;&gt;"",OR(RIGHT(Logic!B139,2)="T)",LEFT(Logic!B139,4)="CSD1")),Num_FETS*0.5*IM_RMS_120*VDC_AVG*Z139*n*FSW*k/GDR_SINK/3,"")</f>
        <v/>
      </c>
      <c r="AJ139" s="127" t="str">
        <f t="shared" si="60"/>
        <v/>
      </c>
      <c r="AK139" s="127" t="str">
        <f t="shared" si="61"/>
        <v/>
      </c>
      <c r="AL139" s="127" t="str">
        <f t="shared" si="62"/>
        <v/>
      </c>
      <c r="AM139" s="127" t="str">
        <f t="shared" si="77"/>
        <v/>
      </c>
      <c r="AN139" s="127">
        <f>IF(AND($A139&lt;&gt;0,$A139&lt;&gt;"",OR(RIGHT(Logic!B139,2)="C)",LEFT(Logic!B139,4)="CSD1")),SUM(AD139:AF139)+(AJ139/3)+AK139+AL139/6+AM139/6,AN140)</f>
        <v>0</v>
      </c>
      <c r="AO139" s="127">
        <f>IF(AND($A139&lt;&gt;0,$A139&lt;&gt;"",OR(RIGHT(Logic!B139,2)="T)",LEFT(Logic!B139,4)="CSD1")),SUM(AG139:AI139)+(AJ139/3)+AL139/6+AM139/6,AO138)</f>
        <v>0.23887636588496741</v>
      </c>
      <c r="AP139" s="48" t="str">
        <f t="shared" si="78"/>
        <v/>
      </c>
      <c r="AQ139" s="35" t="str">
        <f>IF(AND(A139&lt;&gt;0,A139&lt;&gt;""),LOOKUP(A139,Discrete_NFET[PARTNUMBER],Discrete_NFET[TI_EQ_PACKAGE]),"")</f>
        <v/>
      </c>
      <c r="AR139" s="49" t="str">
        <f>IF(AND(A139&lt;&gt;0,A139&lt;&gt;""),LOOKUP(A139,Discrete_NFET[PARTNUMBER],Discrete_NFET[1KPRICE]),"")</f>
        <v/>
      </c>
      <c r="AS139" s="35" t="str">
        <f>IF(AND($A139&lt;&gt;0,$A139&lt;&gt;""),CONCATENATE(TEXT(AP139,"0.00"),"W, ",IF('User Input'!F$11="Single Discrete",A139,IF('User Input'!F$11="Dual/Power Block",LEFT(A139,FIND(")",A139)-7),A139)),", ",AQ139,", ",TEXT(AR139,"$0.00")),"Invalid Part")</f>
        <v>Invalid Part</v>
      </c>
      <c r="AT139"/>
    </row>
    <row r="140" spans="1:50" x14ac:dyDescent="0.25">
      <c r="A140" s="35" t="str">
        <f>IF(OR(AND(FET_config="Dual/Power Block",LEFT(Logic!B140,4)="CSD8"),AND(FET_config="Single Discrete",LEFT(Logic!B140,4)="CSD1")),Logic!B140,"")</f>
        <v/>
      </c>
      <c r="B140" s="37" t="str">
        <f>IF(OR($A140=0,$A140=""),"0",IF(LOOKUP($A140,Discrete_NFET[PARTNUMBER],Discrete_NFET[RDSON25])="(NULL)","0","1"))</f>
        <v>0</v>
      </c>
      <c r="C140" s="38" t="str">
        <f>IF(OR($A140=0,$A140=""),"0",IF(LOOKUP($A140,Discrete_NFET[PARTNUMBER],Discrete_NFET[RDSON3])="(NULL)","0","1"))</f>
        <v>0</v>
      </c>
      <c r="D140" s="40" t="str">
        <f>IF(OR($A140=0,$A140=""),"0",IF(LOOKUP($A140,Discrete_NFET[PARTNUMBER],Discrete_NFET[RDSON45])="(NULL)","0","1"))</f>
        <v>0</v>
      </c>
      <c r="E140" s="45" t="str">
        <f>IF(OR($A140=0,$A140=""),"0",IF(LOOKUP($A140,Discrete_NFET[PARTNUMBER],Discrete_NFET[RDSON6])="(NULL)","0","1"))</f>
        <v>0</v>
      </c>
      <c r="F140" s="34" t="str">
        <f>IF(OR($A140=0,$A140=""),"0",IF(LOOKUP($A140,Discrete_NFET[PARTNUMBER],Discrete_NFET[RDSON8])="(NULL)","0","1"))</f>
        <v>0</v>
      </c>
      <c r="G140" s="43" t="str">
        <f>IF(OR($A140=0,$A140=""),"0",IF(LOOKUP($A140,Discrete_NFET[PARTNUMBER],Discrete_NFET[RDSON10])="(NULL)","0","1"))</f>
        <v>0</v>
      </c>
      <c r="H140" s="36" t="b">
        <f t="shared" si="63"/>
        <v>0</v>
      </c>
      <c r="I140" s="39" t="b">
        <f t="shared" si="64"/>
        <v>0</v>
      </c>
      <c r="J140" s="41" t="b">
        <f t="shared" si="65"/>
        <v>0</v>
      </c>
      <c r="K140" s="46" t="b">
        <f t="shared" si="66"/>
        <v>0</v>
      </c>
      <c r="L140" s="42" t="b">
        <f t="shared" si="67"/>
        <v>0</v>
      </c>
      <c r="M140" s="44" t="b">
        <f t="shared" si="68"/>
        <v>0</v>
      </c>
      <c r="N140" s="47" t="b">
        <f t="shared" si="69"/>
        <v>0</v>
      </c>
      <c r="O140" s="36" t="b">
        <f t="shared" si="70"/>
        <v>0</v>
      </c>
      <c r="P140" s="39" t="b">
        <f t="shared" si="71"/>
        <v>0</v>
      </c>
      <c r="Q140" s="41" t="b">
        <f t="shared" si="72"/>
        <v>0</v>
      </c>
      <c r="R140" s="46" t="b">
        <f t="shared" si="73"/>
        <v>0</v>
      </c>
      <c r="S140" s="42" t="b">
        <f t="shared" si="74"/>
        <v>0</v>
      </c>
      <c r="T140" s="44" t="b">
        <f t="shared" si="75"/>
        <v>0</v>
      </c>
      <c r="U140" s="148" t="str">
        <f>IF(T140,LOOKUP(A140,Discrete_NFET[PARTNUMBER],Discrete_NFET[RDSON10])*1000,IF(S140,LOOKUP(A140,Discrete_NFET[PARTNUMBER],Discrete_NFET[RDSON8])*1000,IF(R140,LOOKUP(A140,Discrete_NFET[PARTNUMBER],Discrete_NFET[RDSON6])*1000,IF(Q140,LOOKUP(A140,Discrete_NFET[PARTNUMBER],Discrete_NFET[RDSON45])*1000,IF(P140,LOOKUP(A140,Discrete_NFET[PARTNUMBER],Discrete_NFET[RDSON3])*1000,IF(O140,LOOKUP(A140,Discrete_NFET[PARTNUMBER],Discrete_NFET[RDSON25])*1000,""))))))</f>
        <v/>
      </c>
      <c r="V140" s="48" t="str">
        <f>IF(AND(A140&lt;&gt;0,A140&lt;&gt;""),U140*(1+(Tj-25)*(LOOKUP(A140,Discrete_NFET[PARTNUMBER],Discrete_NFET[RDSDELTA])/((LOOKUP(A140,Discrete_NFET[PARTNUMBER],Discrete_NFET[TJMAX])-25)))),"")</f>
        <v/>
      </c>
      <c r="W140" s="35" t="str">
        <f>IF(AND($A140&lt;&gt;0,$A140&lt;&gt;""),LOOKUP($A140,Discrete_NFET[PARTNUMBER],Discrete_NFET[QGS]),"")</f>
        <v/>
      </c>
      <c r="X140" s="35" t="str">
        <f>IF(AND($A140&lt;&gt;0,$A140&lt;&gt;""),LOOKUP($A140,Discrete_NFET[PARTNUMBER],Discrete_NFET[QGD]),"")</f>
        <v/>
      </c>
      <c r="Y140" s="35" t="str">
        <f>IF(AND($A140&lt;&gt;0,$A140&lt;&gt;""),LOOKUP($A140,Discrete_NFET[PARTNUMBER],Discrete_NFET[QGTH]),"")</f>
        <v/>
      </c>
      <c r="Z140" s="35" t="str">
        <f t="shared" si="76"/>
        <v/>
      </c>
      <c r="AA140" s="35" t="str">
        <f>IF(AND($A140&lt;&gt;0,$A140&lt;&gt;""),LOOKUP($A140,Discrete_NFET[PARTNUMBER],Discrete_NFET[QOSSTYP]),"")</f>
        <v/>
      </c>
      <c r="AB140" s="35" t="str">
        <f>IF(AND($A140&lt;&gt;0,$A140&lt;&gt;""),LOOKUP($A140,Discrete_NFET[PARTNUMBER],Discrete_NFET[QRR]),"")</f>
        <v/>
      </c>
      <c r="AC140" s="35" t="str">
        <f>IF(AND(A140&lt;&gt;0,A140&lt;&gt;""),LOOKUP(A140,Discrete_NFET[PARTNUMBER],Discrete_NFET[VF_TYP]),"")</f>
        <v/>
      </c>
      <c r="AD140" s="127" t="str">
        <f>IF(AND($A140&lt;&gt;0,$A140&lt;&gt;"",OR(RIGHT(Logic!B140,2)="C)",LEFT(Logic!B140,4)="CSD1")),(1+(1-DUTY))*IM_RMS_120^2*V140*m/3/Num_FETS,"")</f>
        <v/>
      </c>
      <c r="AE140" s="127" t="str">
        <f>IF(AND($A140&lt;&gt;0,$A140&lt;&gt;"",OR(RIGHT(Logic!B140,2)="C)",LEFT(Logic!B140,4)="CSD1")),Num_FETS*0.5*IM_RMS_120*VDC_AVG*Z140*n*MOT_ELEC_FREQ/GDR_SRC,"")</f>
        <v/>
      </c>
      <c r="AF140" s="127" t="str">
        <f>IF(AND($A140&lt;&gt;0,$A140&lt;&gt;"",OR(RIGHT(Logic!B140,2)="C)",LEFT(Logic!B140,4)="CSD1")),Num_FETS*0.5*IM_RMS_120*VDC_AVG*Z140*n*MOT_ELEC_FREQ/GDR_SINK,"")</f>
        <v/>
      </c>
      <c r="AG140" s="127" t="str">
        <f>IF(AND($A140&lt;&gt;0,$A140&lt;&gt;"",OR(RIGHT(Logic!B140,2)="T)",LEFT(Logic!B140,4)="CSD1")),DUTY*IM_RMS_120^2*V140*m/3/Num_FETS,"")</f>
        <v/>
      </c>
      <c r="AH140" s="127" t="str">
        <f>IF(AND($A140&lt;&gt;0,$A140&lt;&gt;"",OR(RIGHT(Logic!B140,2)="T)",LEFT(Logic!B140,4)="CSD1")),Num_FETS*0.5*IM_RMS_120*VDC_AVG*Z140*n*FSW*k/GDR_SRC/3,"")</f>
        <v/>
      </c>
      <c r="AI140" s="127" t="str">
        <f>IF(AND($A140&lt;&gt;0,$A140&lt;&gt;"",OR(RIGHT(Logic!B140,2)="T)",LEFT(Logic!B140,4)="CSD1")),Num_FETS*0.5*IM_RMS_120*VDC_AVG*Z140*n*FSW*k/GDR_SINK/3,"")</f>
        <v/>
      </c>
      <c r="AJ140" s="127" t="str">
        <f t="shared" si="60"/>
        <v/>
      </c>
      <c r="AK140" s="127" t="str">
        <f t="shared" si="61"/>
        <v/>
      </c>
      <c r="AL140" s="127" t="str">
        <f t="shared" si="62"/>
        <v/>
      </c>
      <c r="AM140" s="127" t="str">
        <f t="shared" si="77"/>
        <v/>
      </c>
      <c r="AN140" s="127">
        <f>IF(AND($A140&lt;&gt;0,$A140&lt;&gt;"",OR(RIGHT(Logic!B140,2)="C)",LEFT(Logic!B140,4)="CSD1")),SUM(AD140:AF140)+(AJ140/3)+AK140+AL140/6+AM140/6,AN141)</f>
        <v>0</v>
      </c>
      <c r="AO140" s="127">
        <f>IF(AND($A140&lt;&gt;0,$A140&lt;&gt;"",OR(RIGHT(Logic!B140,2)="T)",LEFT(Logic!B140,4)="CSD1")),SUM(AG140:AI140)+(AJ140/3)+AL140/6+AM140/6,AO139)</f>
        <v>0.23887636588496741</v>
      </c>
      <c r="AP140" s="48" t="str">
        <f t="shared" si="78"/>
        <v/>
      </c>
      <c r="AQ140" s="35" t="str">
        <f>IF(AND(A140&lt;&gt;0,A140&lt;&gt;""),LOOKUP(A140,Discrete_NFET[PARTNUMBER],Discrete_NFET[TI_EQ_PACKAGE]),"")</f>
        <v/>
      </c>
      <c r="AR140" s="49" t="str">
        <f>IF(AND(A140&lt;&gt;0,A140&lt;&gt;""),LOOKUP(A140,Discrete_NFET[PARTNUMBER],Discrete_NFET[1KPRICE]),"")</f>
        <v/>
      </c>
      <c r="AS140" s="35" t="str">
        <f>IF(AND($A140&lt;&gt;0,$A140&lt;&gt;""),CONCATENATE(TEXT(AP140,"0.00"),"W, ",IF('User Input'!F$11="Single Discrete",A140,IF('User Input'!F$11="Dual/Power Block",LEFT(A140,FIND(")",A140)-7),A140)),", ",AQ140,", ",TEXT(AR140,"$0.00")),"Invalid Part")</f>
        <v>Invalid Part</v>
      </c>
      <c r="AT140"/>
    </row>
    <row r="141" spans="1:50" x14ac:dyDescent="0.25">
      <c r="A141" s="35" t="str">
        <f>IF(OR(AND(FET_config="Dual/Power Block",LEFT(Logic!B141,4)="CSD8"),AND(FET_config="Single Discrete",LEFT(Logic!B141,4)="CSD1")),Logic!B141,"")</f>
        <v/>
      </c>
      <c r="B141" s="37" t="str">
        <f>IF(OR($A141=0,$A141=""),"0",IF(LOOKUP($A141,Discrete_NFET[PARTNUMBER],Discrete_NFET[RDSON25])="(NULL)","0","1"))</f>
        <v>0</v>
      </c>
      <c r="C141" s="38" t="str">
        <f>IF(OR($A141=0,$A141=""),"0",IF(LOOKUP($A141,Discrete_NFET[PARTNUMBER],Discrete_NFET[RDSON3])="(NULL)","0","1"))</f>
        <v>0</v>
      </c>
      <c r="D141" s="40" t="str">
        <f>IF(OR($A141=0,$A141=""),"0",IF(LOOKUP($A141,Discrete_NFET[PARTNUMBER],Discrete_NFET[RDSON45])="(NULL)","0","1"))</f>
        <v>0</v>
      </c>
      <c r="E141" s="45" t="str">
        <f>IF(OR($A141=0,$A141=""),"0",IF(LOOKUP($A141,Discrete_NFET[PARTNUMBER],Discrete_NFET[RDSON6])="(NULL)","0","1"))</f>
        <v>0</v>
      </c>
      <c r="F141" s="34" t="str">
        <f>IF(OR($A141=0,$A141=""),"0",IF(LOOKUP($A141,Discrete_NFET[PARTNUMBER],Discrete_NFET[RDSON8])="(NULL)","0","1"))</f>
        <v>0</v>
      </c>
      <c r="G141" s="43" t="str">
        <f>IF(OR($A141=0,$A141=""),"0",IF(LOOKUP($A141,Discrete_NFET[PARTNUMBER],Discrete_NFET[RDSON10])="(NULL)","0","1"))</f>
        <v>0</v>
      </c>
      <c r="H141" s="36" t="b">
        <f t="shared" si="63"/>
        <v>0</v>
      </c>
      <c r="I141" s="39" t="b">
        <f t="shared" si="64"/>
        <v>0</v>
      </c>
      <c r="J141" s="41" t="b">
        <f t="shared" si="65"/>
        <v>0</v>
      </c>
      <c r="K141" s="46" t="b">
        <f t="shared" si="66"/>
        <v>0</v>
      </c>
      <c r="L141" s="42" t="b">
        <f t="shared" si="67"/>
        <v>0</v>
      </c>
      <c r="M141" s="44" t="b">
        <f t="shared" si="68"/>
        <v>0</v>
      </c>
      <c r="N141" s="47" t="b">
        <f t="shared" si="69"/>
        <v>0</v>
      </c>
      <c r="O141" s="36" t="b">
        <f t="shared" si="70"/>
        <v>0</v>
      </c>
      <c r="P141" s="39" t="b">
        <f t="shared" si="71"/>
        <v>0</v>
      </c>
      <c r="Q141" s="41" t="b">
        <f t="shared" si="72"/>
        <v>0</v>
      </c>
      <c r="R141" s="46" t="b">
        <f t="shared" si="73"/>
        <v>0</v>
      </c>
      <c r="S141" s="42" t="b">
        <f t="shared" si="74"/>
        <v>0</v>
      </c>
      <c r="T141" s="44" t="b">
        <f t="shared" si="75"/>
        <v>0</v>
      </c>
      <c r="U141" s="148" t="str">
        <f>IF(T141,LOOKUP(A141,Discrete_NFET[PARTNUMBER],Discrete_NFET[RDSON10])*1000,IF(S141,LOOKUP(A141,Discrete_NFET[PARTNUMBER],Discrete_NFET[RDSON8])*1000,IF(R141,LOOKUP(A141,Discrete_NFET[PARTNUMBER],Discrete_NFET[RDSON6])*1000,IF(Q141,LOOKUP(A141,Discrete_NFET[PARTNUMBER],Discrete_NFET[RDSON45])*1000,IF(P141,LOOKUP(A141,Discrete_NFET[PARTNUMBER],Discrete_NFET[RDSON3])*1000,IF(O141,LOOKUP(A141,Discrete_NFET[PARTNUMBER],Discrete_NFET[RDSON25])*1000,""))))))</f>
        <v/>
      </c>
      <c r="V141" s="48" t="str">
        <f>IF(AND(A141&lt;&gt;0,A141&lt;&gt;""),U141*(1+(Tj-25)*(LOOKUP(A141,Discrete_NFET[PARTNUMBER],Discrete_NFET[RDSDELTA])/((LOOKUP(A141,Discrete_NFET[PARTNUMBER],Discrete_NFET[TJMAX])-25)))),"")</f>
        <v/>
      </c>
      <c r="W141" s="35" t="str">
        <f>IF(AND($A141&lt;&gt;0,$A141&lt;&gt;""),LOOKUP($A141,Discrete_NFET[PARTNUMBER],Discrete_NFET[QGS]),"")</f>
        <v/>
      </c>
      <c r="X141" s="35" t="str">
        <f>IF(AND($A141&lt;&gt;0,$A141&lt;&gt;""),LOOKUP($A141,Discrete_NFET[PARTNUMBER],Discrete_NFET[QGD]),"")</f>
        <v/>
      </c>
      <c r="Y141" s="35" t="str">
        <f>IF(AND($A141&lt;&gt;0,$A141&lt;&gt;""),LOOKUP($A141,Discrete_NFET[PARTNUMBER],Discrete_NFET[QGTH]),"")</f>
        <v/>
      </c>
      <c r="Z141" s="35" t="str">
        <f t="shared" si="76"/>
        <v/>
      </c>
      <c r="AA141" s="35" t="str">
        <f>IF(AND($A141&lt;&gt;0,$A141&lt;&gt;""),LOOKUP($A141,Discrete_NFET[PARTNUMBER],Discrete_NFET[QOSSTYP]),"")</f>
        <v/>
      </c>
      <c r="AB141" s="35" t="str">
        <f>IF(AND($A141&lt;&gt;0,$A141&lt;&gt;""),LOOKUP($A141,Discrete_NFET[PARTNUMBER],Discrete_NFET[QRR]),"")</f>
        <v/>
      </c>
      <c r="AC141" s="35" t="str">
        <f>IF(AND(A141&lt;&gt;0,A141&lt;&gt;""),LOOKUP(A141,Discrete_NFET[PARTNUMBER],Discrete_NFET[VF_TYP]),"")</f>
        <v/>
      </c>
      <c r="AD141" s="127" t="str">
        <f>IF(AND($A141&lt;&gt;0,$A141&lt;&gt;"",OR(RIGHT(Logic!B141,2)="C)",LEFT(Logic!B141,4)="CSD1")),(1+(1-DUTY))*IM_RMS_120^2*V141*m/3/Num_FETS,"")</f>
        <v/>
      </c>
      <c r="AE141" s="127" t="str">
        <f>IF(AND($A141&lt;&gt;0,$A141&lt;&gt;"",OR(RIGHT(Logic!B141,2)="C)",LEFT(Logic!B141,4)="CSD1")),Num_FETS*0.5*IM_RMS_120*VDC_AVG*Z141*n*MOT_ELEC_FREQ/GDR_SRC,"")</f>
        <v/>
      </c>
      <c r="AF141" s="127" t="str">
        <f>IF(AND($A141&lt;&gt;0,$A141&lt;&gt;"",OR(RIGHT(Logic!B141,2)="C)",LEFT(Logic!B141,4)="CSD1")),Num_FETS*0.5*IM_RMS_120*VDC_AVG*Z141*n*MOT_ELEC_FREQ/GDR_SINK,"")</f>
        <v/>
      </c>
      <c r="AG141" s="127" t="str">
        <f>IF(AND($A141&lt;&gt;0,$A141&lt;&gt;"",OR(RIGHT(Logic!B141,2)="T)",LEFT(Logic!B141,4)="CSD1")),DUTY*IM_RMS_120^2*V141*m/3/Num_FETS,"")</f>
        <v/>
      </c>
      <c r="AH141" s="127" t="str">
        <f>IF(AND($A141&lt;&gt;0,$A141&lt;&gt;"",OR(RIGHT(Logic!B141,2)="T)",LEFT(Logic!B141,4)="CSD1")),Num_FETS*0.5*IM_RMS_120*VDC_AVG*Z141*n*FSW*k/GDR_SRC/3,"")</f>
        <v/>
      </c>
      <c r="AI141" s="127" t="str">
        <f>IF(AND($A141&lt;&gt;0,$A141&lt;&gt;"",OR(RIGHT(Logic!B141,2)="T)",LEFT(Logic!B141,4)="CSD1")),Num_FETS*0.5*IM_RMS_120*VDC_AVG*Z141*n*FSW*k/GDR_SINK/3,"")</f>
        <v/>
      </c>
      <c r="AJ141" s="127" t="str">
        <f t="shared" si="60"/>
        <v/>
      </c>
      <c r="AK141" s="127" t="str">
        <f t="shared" si="61"/>
        <v/>
      </c>
      <c r="AL141" s="127" t="str">
        <f t="shared" si="62"/>
        <v/>
      </c>
      <c r="AM141" s="127" t="str">
        <f t="shared" si="77"/>
        <v/>
      </c>
      <c r="AN141" s="127">
        <f>IF(AND($A141&lt;&gt;0,$A141&lt;&gt;"",OR(RIGHT(Logic!B141,2)="C)",LEFT(Logic!B141,4)="CSD1")),SUM(AD141:AF141)+(AJ141/3)+AK141+AL141/6+AM141/6,AN142)</f>
        <v>0</v>
      </c>
      <c r="AO141" s="127">
        <f>IF(AND($A141&lt;&gt;0,$A141&lt;&gt;"",OR(RIGHT(Logic!B141,2)="T)",LEFT(Logic!B141,4)="CSD1")),SUM(AG141:AI141)+(AJ141/3)+AL141/6+AM141/6,AO140)</f>
        <v>0.23887636588496741</v>
      </c>
      <c r="AP141" s="48" t="str">
        <f t="shared" si="78"/>
        <v/>
      </c>
      <c r="AQ141" s="35" t="str">
        <f>IF(AND(A141&lt;&gt;0,A141&lt;&gt;""),LOOKUP(A141,Discrete_NFET[PARTNUMBER],Discrete_NFET[TI_EQ_PACKAGE]),"")</f>
        <v/>
      </c>
      <c r="AR141" s="49" t="str">
        <f>IF(AND(A141&lt;&gt;0,A141&lt;&gt;""),LOOKUP(A141,Discrete_NFET[PARTNUMBER],Discrete_NFET[1KPRICE]),"")</f>
        <v/>
      </c>
      <c r="AS141" s="35" t="str">
        <f>IF(AND($A141&lt;&gt;0,$A141&lt;&gt;""),CONCATENATE(TEXT(AP141,"0.00"),"W, ",IF('User Input'!F$11="Single Discrete",A141,IF('User Input'!F$11="Dual/Power Block",LEFT(A141,FIND(")",A141)-7),A141)),", ",AQ141,", ",TEXT(AR141,"$0.00")),"Invalid Part")</f>
        <v>Invalid Part</v>
      </c>
      <c r="AT141"/>
    </row>
    <row r="142" spans="1:50" x14ac:dyDescent="0.25">
      <c r="A142" s="35" t="str">
        <f>IF(OR(AND(FET_config="Dual/Power Block",LEFT(Logic!B142,4)="CSD8"),AND(FET_config="Single Discrete",LEFT(Logic!B142,4)="CSD1")),Logic!B142,"")</f>
        <v/>
      </c>
      <c r="B142" s="37" t="str">
        <f>IF(OR($A142=0,$A142=""),"0",IF(LOOKUP($A142,Discrete_NFET[PARTNUMBER],Discrete_NFET[RDSON25])="(NULL)","0","1"))</f>
        <v>0</v>
      </c>
      <c r="C142" s="38" t="str">
        <f>IF(OR($A142=0,$A142=""),"0",IF(LOOKUP($A142,Discrete_NFET[PARTNUMBER],Discrete_NFET[RDSON3])="(NULL)","0","1"))</f>
        <v>0</v>
      </c>
      <c r="D142" s="40" t="str">
        <f>IF(OR($A142=0,$A142=""),"0",IF(LOOKUP($A142,Discrete_NFET[PARTNUMBER],Discrete_NFET[RDSON45])="(NULL)","0","1"))</f>
        <v>0</v>
      </c>
      <c r="E142" s="45" t="str">
        <f>IF(OR($A142=0,$A142=""),"0",IF(LOOKUP($A142,Discrete_NFET[PARTNUMBER],Discrete_NFET[RDSON6])="(NULL)","0","1"))</f>
        <v>0</v>
      </c>
      <c r="F142" s="34" t="str">
        <f>IF(OR($A142=0,$A142=""),"0",IF(LOOKUP($A142,Discrete_NFET[PARTNUMBER],Discrete_NFET[RDSON8])="(NULL)","0","1"))</f>
        <v>0</v>
      </c>
      <c r="G142" s="43" t="str">
        <f>IF(OR($A142=0,$A142=""),"0",IF(LOOKUP($A142,Discrete_NFET[PARTNUMBER],Discrete_NFET[RDSON10])="(NULL)","0","1"))</f>
        <v>0</v>
      </c>
      <c r="H142" s="36" t="b">
        <f t="shared" si="63"/>
        <v>0</v>
      </c>
      <c r="I142" s="39" t="b">
        <f t="shared" si="64"/>
        <v>0</v>
      </c>
      <c r="J142" s="41" t="b">
        <f t="shared" si="65"/>
        <v>0</v>
      </c>
      <c r="K142" s="46" t="b">
        <f t="shared" si="66"/>
        <v>0</v>
      </c>
      <c r="L142" s="42" t="b">
        <f t="shared" si="67"/>
        <v>0</v>
      </c>
      <c r="M142" s="44" t="b">
        <f t="shared" si="68"/>
        <v>0</v>
      </c>
      <c r="N142" s="47" t="b">
        <f t="shared" si="69"/>
        <v>0</v>
      </c>
      <c r="O142" s="36" t="b">
        <f t="shared" si="70"/>
        <v>0</v>
      </c>
      <c r="P142" s="39" t="b">
        <f t="shared" si="71"/>
        <v>0</v>
      </c>
      <c r="Q142" s="41" t="b">
        <f t="shared" si="72"/>
        <v>0</v>
      </c>
      <c r="R142" s="46" t="b">
        <f t="shared" si="73"/>
        <v>0</v>
      </c>
      <c r="S142" s="42" t="b">
        <f t="shared" si="74"/>
        <v>0</v>
      </c>
      <c r="T142" s="44" t="b">
        <f t="shared" si="75"/>
        <v>0</v>
      </c>
      <c r="U142" s="148" t="str">
        <f>IF(T142,LOOKUP(A142,Discrete_NFET[PARTNUMBER],Discrete_NFET[RDSON10])*1000,IF(S142,LOOKUP(A142,Discrete_NFET[PARTNUMBER],Discrete_NFET[RDSON8])*1000,IF(R142,LOOKUP(A142,Discrete_NFET[PARTNUMBER],Discrete_NFET[RDSON6])*1000,IF(Q142,LOOKUP(A142,Discrete_NFET[PARTNUMBER],Discrete_NFET[RDSON45])*1000,IF(P142,LOOKUP(A142,Discrete_NFET[PARTNUMBER],Discrete_NFET[RDSON3])*1000,IF(O142,LOOKUP(A142,Discrete_NFET[PARTNUMBER],Discrete_NFET[RDSON25])*1000,""))))))</f>
        <v/>
      </c>
      <c r="V142" s="48" t="str">
        <f>IF(AND(A142&lt;&gt;0,A142&lt;&gt;""),U142*(1+(Tj-25)*(LOOKUP(A142,Discrete_NFET[PARTNUMBER],Discrete_NFET[RDSDELTA])/((LOOKUP(A142,Discrete_NFET[PARTNUMBER],Discrete_NFET[TJMAX])-25)))),"")</f>
        <v/>
      </c>
      <c r="W142" s="35" t="str">
        <f>IF(AND($A142&lt;&gt;0,$A142&lt;&gt;""),LOOKUP($A142,Discrete_NFET[PARTNUMBER],Discrete_NFET[QGS]),"")</f>
        <v/>
      </c>
      <c r="X142" s="35" t="str">
        <f>IF(AND($A142&lt;&gt;0,$A142&lt;&gt;""),LOOKUP($A142,Discrete_NFET[PARTNUMBER],Discrete_NFET[QGD]),"")</f>
        <v/>
      </c>
      <c r="Y142" s="35" t="str">
        <f>IF(AND($A142&lt;&gt;0,$A142&lt;&gt;""),LOOKUP($A142,Discrete_NFET[PARTNUMBER],Discrete_NFET[QGTH]),"")</f>
        <v/>
      </c>
      <c r="Z142" s="35" t="str">
        <f t="shared" si="76"/>
        <v/>
      </c>
      <c r="AA142" s="35" t="str">
        <f>IF(AND($A142&lt;&gt;0,$A142&lt;&gt;""),LOOKUP($A142,Discrete_NFET[PARTNUMBER],Discrete_NFET[QOSSTYP]),"")</f>
        <v/>
      </c>
      <c r="AB142" s="35" t="str">
        <f>IF(AND($A142&lt;&gt;0,$A142&lt;&gt;""),LOOKUP($A142,Discrete_NFET[PARTNUMBER],Discrete_NFET[QRR]),"")</f>
        <v/>
      </c>
      <c r="AC142" s="35" t="str">
        <f>IF(AND(A142&lt;&gt;0,A142&lt;&gt;""),LOOKUP(A142,Discrete_NFET[PARTNUMBER],Discrete_NFET[VF_TYP]),"")</f>
        <v/>
      </c>
      <c r="AD142" s="127" t="str">
        <f>IF(AND($A142&lt;&gt;0,$A142&lt;&gt;"",OR(RIGHT(Logic!B142,2)="C)",LEFT(Logic!B142,4)="CSD1")),(1+(1-DUTY))*IM_RMS_120^2*V142*m/3/Num_FETS,"")</f>
        <v/>
      </c>
      <c r="AE142" s="127" t="str">
        <f>IF(AND($A142&lt;&gt;0,$A142&lt;&gt;"",OR(RIGHT(Logic!B142,2)="C)",LEFT(Logic!B142,4)="CSD1")),Num_FETS*0.5*IM_RMS_120*VDC_AVG*Z142*n*MOT_ELEC_FREQ/GDR_SRC,"")</f>
        <v/>
      </c>
      <c r="AF142" s="127" t="str">
        <f>IF(AND($A142&lt;&gt;0,$A142&lt;&gt;"",OR(RIGHT(Logic!B142,2)="C)",LEFT(Logic!B142,4)="CSD1")),Num_FETS*0.5*IM_RMS_120*VDC_AVG*Z142*n*MOT_ELEC_FREQ/GDR_SINK,"")</f>
        <v/>
      </c>
      <c r="AG142" s="127" t="str">
        <f>IF(AND($A142&lt;&gt;0,$A142&lt;&gt;"",OR(RIGHT(Logic!B142,2)="T)",LEFT(Logic!B142,4)="CSD1")),DUTY*IM_RMS_120^2*V142*m/3/Num_FETS,"")</f>
        <v/>
      </c>
      <c r="AH142" s="127" t="str">
        <f>IF(AND($A142&lt;&gt;0,$A142&lt;&gt;"",OR(RIGHT(Logic!B142,2)="T)",LEFT(Logic!B142,4)="CSD1")),Num_FETS*0.5*IM_RMS_120*VDC_AVG*Z142*n*FSW*k/GDR_SRC/3,"")</f>
        <v/>
      </c>
      <c r="AI142" s="127" t="str">
        <f>IF(AND($A142&lt;&gt;0,$A142&lt;&gt;"",OR(RIGHT(Logic!B142,2)="T)",LEFT(Logic!B142,4)="CSD1")),Num_FETS*0.5*IM_RMS_120*VDC_AVG*Z142*n*FSW*k/GDR_SINK/3,"")</f>
        <v/>
      </c>
      <c r="AJ142" s="127" t="str">
        <f t="shared" si="60"/>
        <v/>
      </c>
      <c r="AK142" s="127" t="str">
        <f t="shared" si="61"/>
        <v/>
      </c>
      <c r="AL142" s="127" t="str">
        <f t="shared" si="62"/>
        <v/>
      </c>
      <c r="AM142" s="127" t="str">
        <f t="shared" si="77"/>
        <v/>
      </c>
      <c r="AN142" s="127">
        <f>IF(AND($A142&lt;&gt;0,$A142&lt;&gt;"",OR(RIGHT(Logic!B142,2)="C)",LEFT(Logic!B142,4)="CSD1")),SUM(AD142:AF142)+(AJ142/3)+AK142+AL142/6+AM142/6,AN143)</f>
        <v>0</v>
      </c>
      <c r="AO142" s="127">
        <f>IF(AND($A142&lt;&gt;0,$A142&lt;&gt;"",OR(RIGHT(Logic!B142,2)="T)",LEFT(Logic!B142,4)="CSD1")),SUM(AG142:AI142)+(AJ142/3)+AL142/6+AM142/6,AO141)</f>
        <v>0.23887636588496741</v>
      </c>
      <c r="AP142" s="48" t="str">
        <f t="shared" si="78"/>
        <v/>
      </c>
      <c r="AQ142" s="35" t="str">
        <f>IF(AND(A142&lt;&gt;0,A142&lt;&gt;""),LOOKUP(A142,Discrete_NFET[PARTNUMBER],Discrete_NFET[TI_EQ_PACKAGE]),"")</f>
        <v/>
      </c>
      <c r="AR142" s="49" t="str">
        <f>IF(AND(A142&lt;&gt;0,A142&lt;&gt;""),LOOKUP(A142,Discrete_NFET[PARTNUMBER],Discrete_NFET[1KPRICE]),"")</f>
        <v/>
      </c>
      <c r="AS142" s="35" t="str">
        <f>IF(AND($A142&lt;&gt;0,$A142&lt;&gt;""),CONCATENATE(TEXT(AP142,"0.00"),"W, ",IF('User Input'!F$11="Single Discrete",A142,IF('User Input'!F$11="Dual/Power Block",LEFT(A142,FIND(")",A142)-7),A142)),", ",AQ142,", ",TEXT(AR142,"$0.00")),"Invalid Part")</f>
        <v>Invalid Part</v>
      </c>
      <c r="AT142"/>
    </row>
    <row r="143" spans="1:50" x14ac:dyDescent="0.25">
      <c r="A143" s="35" t="str">
        <f>IF(OR(AND(FET_config="Dual/Power Block",LEFT(Logic!B143,4)="CSD8"),AND(FET_config="Single Discrete",LEFT(Logic!B143,4)="CSD1")),Logic!B143,"")</f>
        <v/>
      </c>
      <c r="B143" s="37" t="str">
        <f>IF(OR($A143=0,$A143=""),"0",IF(LOOKUP($A143,Discrete_NFET[PARTNUMBER],Discrete_NFET[RDSON25])="(NULL)","0","1"))</f>
        <v>0</v>
      </c>
      <c r="C143" s="38" t="str">
        <f>IF(OR($A143=0,$A143=""),"0",IF(LOOKUP($A143,Discrete_NFET[PARTNUMBER],Discrete_NFET[RDSON3])="(NULL)","0","1"))</f>
        <v>0</v>
      </c>
      <c r="D143" s="40" t="str">
        <f>IF(OR($A143=0,$A143=""),"0",IF(LOOKUP($A143,Discrete_NFET[PARTNUMBER],Discrete_NFET[RDSON45])="(NULL)","0","1"))</f>
        <v>0</v>
      </c>
      <c r="E143" s="45" t="str">
        <f>IF(OR($A143=0,$A143=""),"0",IF(LOOKUP($A143,Discrete_NFET[PARTNUMBER],Discrete_NFET[RDSON6])="(NULL)","0","1"))</f>
        <v>0</v>
      </c>
      <c r="F143" s="34" t="str">
        <f>IF(OR($A143=0,$A143=""),"0",IF(LOOKUP($A143,Discrete_NFET[PARTNUMBER],Discrete_NFET[RDSON8])="(NULL)","0","1"))</f>
        <v>0</v>
      </c>
      <c r="G143" s="43" t="str">
        <f>IF(OR($A143=0,$A143=""),"0",IF(LOOKUP($A143,Discrete_NFET[PARTNUMBER],Discrete_NFET[RDSON10])="(NULL)","0","1"))</f>
        <v>0</v>
      </c>
      <c r="H143" s="36" t="b">
        <f t="shared" ref="H143:H144" si="79">AND(AV$2,B143="1")</f>
        <v>0</v>
      </c>
      <c r="I143" s="39" t="b">
        <f t="shared" ref="I143:I144" si="80">AND(AW$2,C143="1")</f>
        <v>0</v>
      </c>
      <c r="J143" s="41" t="b">
        <f t="shared" ref="J143:J144" si="81">AND(AX$2,D143="1")</f>
        <v>0</v>
      </c>
      <c r="K143" s="46" t="b">
        <f t="shared" ref="K143:K144" si="82">AND(AY$2,E143="1")</f>
        <v>0</v>
      </c>
      <c r="L143" s="42" t="b">
        <f t="shared" ref="L143:L144" si="83">AND(AZ$2,F143="1")</f>
        <v>0</v>
      </c>
      <c r="M143" s="44" t="b">
        <f t="shared" ref="M143:M144" si="84">AND(BA$2,G143="1")</f>
        <v>0</v>
      </c>
      <c r="N143" s="47" t="b">
        <f t="shared" ref="N143:N144" si="85">OR(H143:M143)</f>
        <v>0</v>
      </c>
      <c r="O143" s="36" t="b">
        <f t="shared" ref="O143:O144" si="86">IF($N143,H143,IF((B143="1"),OR($AU$2,$AU$9)))</f>
        <v>0</v>
      </c>
      <c r="P143" s="39" t="b">
        <f t="shared" ref="P143:P144" si="87">IF($N143,I143,IF((C143="1"),OR(AU$2,AU$9,AX$2,J143)))</f>
        <v>0</v>
      </c>
      <c r="Q143" s="41" t="b">
        <f t="shared" ref="Q143:Q144" si="88">IF($N143,J143,IF((D143="1"),OR(AW$2,I143,AY$2,K143)))</f>
        <v>0</v>
      </c>
      <c r="R143" s="46" t="b">
        <f t="shared" ref="R143:R144" si="89">IF($N143,K143,IF((E143="1"),OR(AX$2,J143,AZ$2,L143)))</f>
        <v>0</v>
      </c>
      <c r="S143" s="42" t="b">
        <f t="shared" ref="S143:S144" si="90">IF($N143,L143,IF((F143="1"),OR(AY$2,K143,BA$2,M143)))</f>
        <v>0</v>
      </c>
      <c r="T143" s="44" t="b">
        <f t="shared" ref="T143:T144" si="91">IF($N143,M143,IF((G143="1"),OR(AZ$2,L143)))</f>
        <v>0</v>
      </c>
      <c r="U143" s="148" t="str">
        <f>IF(T143,LOOKUP(A143,Discrete_NFET[PARTNUMBER],Discrete_NFET[RDSON10])*1000,IF(S143,LOOKUP(A143,Discrete_NFET[PARTNUMBER],Discrete_NFET[RDSON8])*1000,IF(R143,LOOKUP(A143,Discrete_NFET[PARTNUMBER],Discrete_NFET[RDSON6])*1000,IF(Q143,LOOKUP(A143,Discrete_NFET[PARTNUMBER],Discrete_NFET[RDSON45])*1000,IF(P143,LOOKUP(A143,Discrete_NFET[PARTNUMBER],Discrete_NFET[RDSON3])*1000,IF(O143,LOOKUP(A143,Discrete_NFET[PARTNUMBER],Discrete_NFET[RDSON25])*1000,""))))))</f>
        <v/>
      </c>
      <c r="V143" s="48" t="str">
        <f>IF(AND(A143&lt;&gt;0,A143&lt;&gt;""),U143*(1+(Tj-25)*(LOOKUP(A143,Discrete_NFET[PARTNUMBER],Discrete_NFET[RDSDELTA])/((LOOKUP(A143,Discrete_NFET[PARTNUMBER],Discrete_NFET[TJMAX])-25)))),"")</f>
        <v/>
      </c>
      <c r="W143" s="35" t="str">
        <f>IF(AND($A143&lt;&gt;0,$A143&lt;&gt;""),LOOKUP($A143,Discrete_NFET[PARTNUMBER],Discrete_NFET[QGS]),"")</f>
        <v/>
      </c>
      <c r="X143" s="35" t="str">
        <f>IF(AND($A143&lt;&gt;0,$A143&lt;&gt;""),LOOKUP($A143,Discrete_NFET[PARTNUMBER],Discrete_NFET[QGD]),"")</f>
        <v/>
      </c>
      <c r="Y143" s="35" t="str">
        <f>IF(AND($A143&lt;&gt;0,$A143&lt;&gt;""),LOOKUP($A143,Discrete_NFET[PARTNUMBER],Discrete_NFET[QGTH]),"")</f>
        <v/>
      </c>
      <c r="Z143" s="35" t="str">
        <f t="shared" ref="Z143:Z144" si="92">IF(AND(A143&lt;&gt;0,A143&lt;&gt;""),W143+X143-Y143,"")</f>
        <v/>
      </c>
      <c r="AA143" s="35" t="str">
        <f>IF(AND($A143&lt;&gt;0,$A143&lt;&gt;""),LOOKUP($A143,Discrete_NFET[PARTNUMBER],Discrete_NFET[QOSSTYP]),"")</f>
        <v/>
      </c>
      <c r="AB143" s="35" t="str">
        <f>IF(AND($A143&lt;&gt;0,$A143&lt;&gt;""),LOOKUP($A143,Discrete_NFET[PARTNUMBER],Discrete_NFET[QRR]),"")</f>
        <v/>
      </c>
      <c r="AC143" s="35" t="str">
        <f>IF(AND(A143&lt;&gt;0,A143&lt;&gt;""),LOOKUP(A143,Discrete_NFET[PARTNUMBER],Discrete_NFET[VF_TYP]),"")</f>
        <v/>
      </c>
      <c r="AD143" s="127" t="str">
        <f>IF(AND($A143&lt;&gt;0,$A143&lt;&gt;"",OR(RIGHT(Logic!B143,2)="C)",LEFT(Logic!B143,4)="CSD1")),(1+(1-DUTY))*IM_RMS_120^2*V143*m/3/Num_FETS,"")</f>
        <v/>
      </c>
      <c r="AE143" s="127" t="str">
        <f>IF(AND($A143&lt;&gt;0,$A143&lt;&gt;"",OR(RIGHT(Logic!B143,2)="C)",LEFT(Logic!B143,4)="CSD1")),Num_FETS*0.5*IM_RMS_120*VDC_AVG*Z143*n*MOT_ELEC_FREQ/GDR_SRC,"")</f>
        <v/>
      </c>
      <c r="AF143" s="127" t="str">
        <f>IF(AND($A143&lt;&gt;0,$A143&lt;&gt;"",OR(RIGHT(Logic!B143,2)="C)",LEFT(Logic!B143,4)="CSD1")),Num_FETS*0.5*IM_RMS_120*VDC_AVG*Z143*n*MOT_ELEC_FREQ/GDR_SINK,"")</f>
        <v/>
      </c>
      <c r="AG143" s="127" t="str">
        <f>IF(AND($A143&lt;&gt;0,$A143&lt;&gt;"",OR(RIGHT(Logic!B143,2)="T)",LEFT(Logic!B143,4)="CSD1")),DUTY*IM_RMS_120^2*V143*m/3/Num_FETS,"")</f>
        <v/>
      </c>
      <c r="AH143" s="127" t="str">
        <f>IF(AND($A143&lt;&gt;0,$A143&lt;&gt;"",OR(RIGHT(Logic!B143,2)="T)",LEFT(Logic!B143,4)="CSD1")),Num_FETS*0.5*IM_RMS_120*VDC_AVG*Z143*n*FSW*k/GDR_SRC/3,"")</f>
        <v/>
      </c>
      <c r="AI143" s="127" t="str">
        <f>IF(AND($A143&lt;&gt;0,$A143&lt;&gt;"",OR(RIGHT(Logic!B143,2)="T)",LEFT(Logic!B143,4)="CSD1")),Num_FETS*0.5*IM_RMS_120*VDC_AVG*Z143*n*FSW*k/GDR_SINK/3,"")</f>
        <v/>
      </c>
      <c r="AJ143" s="127" t="str">
        <f t="shared" si="60"/>
        <v/>
      </c>
      <c r="AK143" s="127" t="str">
        <f t="shared" si="61"/>
        <v/>
      </c>
      <c r="AL143" s="127" t="str">
        <f t="shared" si="62"/>
        <v/>
      </c>
      <c r="AM143" s="127" t="str">
        <f t="shared" ref="AM143:AM144" si="93">IF(AND($A143&lt;&gt;0,$A143&lt;&gt;""),6*0.5*AC143*IM_PEAK*MOT_COM_TIME*m*MOT_ELEC_FREQ,"")</f>
        <v/>
      </c>
      <c r="AN143" s="127">
        <f>IF(AND($A143&lt;&gt;0,$A143&lt;&gt;"",OR(RIGHT(Logic!B143,2)="C)",LEFT(Logic!B143,4)="CSD1")),SUM(AD143:AF143)+(AJ143/3)+AK143+AL143/6+AM143/6,AN144)</f>
        <v>0</v>
      </c>
      <c r="AO143" s="127">
        <f>IF(AND($A143&lt;&gt;0,$A143&lt;&gt;"",OR(RIGHT(Logic!B143,2)="T)",LEFT(Logic!B143,4)="CSD1")),SUM(AG143:AI143)+(AJ143/3)+AL143/6+AM143/6,AO142)</f>
        <v>0.23887636588496741</v>
      </c>
      <c r="AP143" s="48" t="str">
        <f t="shared" ref="AP143:AP144" si="94">IF(AND($A143&lt;&gt;0,$A143&lt;&gt;""),ROUND(SUM(AN143:AO143),2),"")</f>
        <v/>
      </c>
      <c r="AQ143" s="35" t="str">
        <f>IF(AND(A143&lt;&gt;0,A143&lt;&gt;""),LOOKUP(A143,Discrete_NFET[PARTNUMBER],Discrete_NFET[TI_EQ_PACKAGE]),"")</f>
        <v/>
      </c>
      <c r="AR143" s="49" t="str">
        <f>IF(AND(A143&lt;&gt;0,A143&lt;&gt;""),LOOKUP(A143,Discrete_NFET[PARTNUMBER],Discrete_NFET[1KPRICE]),"")</f>
        <v/>
      </c>
      <c r="AS143" s="35" t="str">
        <f>IF(AND($A143&lt;&gt;0,$A143&lt;&gt;""),CONCATENATE(TEXT(AP143,"0.00"),"W, ",IF('User Input'!F$11="Single Discrete",A143,IF('User Input'!F$11="Dual/Power Block",LEFT(A143,FIND(")",A143)-7),A143)),", ",AQ143,", ",TEXT(AR143,"$0.00")),"Invalid Part")</f>
        <v>Invalid Part</v>
      </c>
      <c r="AT143"/>
    </row>
    <row r="144" spans="1:50" x14ac:dyDescent="0.25">
      <c r="A144" s="35" t="str">
        <f>IF(OR(AND(FET_config="Dual/Power Block",LEFT(Logic!B144,4)="CSD8"),AND(FET_config="Single Discrete",LEFT(Logic!B144,4)="CSD1")),Logic!B144,"")</f>
        <v/>
      </c>
      <c r="B144" s="37" t="str">
        <f>IF(OR($A144=0,$A144=""),"0",IF(LOOKUP($A144,Discrete_NFET[PARTNUMBER],Discrete_NFET[RDSON25])="(NULL)","0","1"))</f>
        <v>0</v>
      </c>
      <c r="C144" s="38" t="str">
        <f>IF(OR($A144=0,$A144=""),"0",IF(LOOKUP($A144,Discrete_NFET[PARTNUMBER],Discrete_NFET[RDSON3])="(NULL)","0","1"))</f>
        <v>0</v>
      </c>
      <c r="D144" s="40" t="str">
        <f>IF(OR($A144=0,$A144=""),"0",IF(LOOKUP($A144,Discrete_NFET[PARTNUMBER],Discrete_NFET[RDSON45])="(NULL)","0","1"))</f>
        <v>0</v>
      </c>
      <c r="E144" s="45" t="str">
        <f>IF(OR($A144=0,$A144=""),"0",IF(LOOKUP($A144,Discrete_NFET[PARTNUMBER],Discrete_NFET[RDSON6])="(NULL)","0","1"))</f>
        <v>0</v>
      </c>
      <c r="F144" s="34" t="str">
        <f>IF(OR($A144=0,$A144=""),"0",IF(LOOKUP($A144,Discrete_NFET[PARTNUMBER],Discrete_NFET[RDSON8])="(NULL)","0","1"))</f>
        <v>0</v>
      </c>
      <c r="G144" s="43" t="str">
        <f>IF(OR($A144=0,$A144=""),"0",IF(LOOKUP($A144,Discrete_NFET[PARTNUMBER],Discrete_NFET[RDSON10])="(NULL)","0","1"))</f>
        <v>0</v>
      </c>
      <c r="H144" s="36" t="b">
        <f t="shared" si="79"/>
        <v>0</v>
      </c>
      <c r="I144" s="39" t="b">
        <f t="shared" si="80"/>
        <v>0</v>
      </c>
      <c r="J144" s="41" t="b">
        <f t="shared" si="81"/>
        <v>0</v>
      </c>
      <c r="K144" s="46" t="b">
        <f t="shared" si="82"/>
        <v>0</v>
      </c>
      <c r="L144" s="42" t="b">
        <f t="shared" si="83"/>
        <v>0</v>
      </c>
      <c r="M144" s="44" t="b">
        <f t="shared" si="84"/>
        <v>0</v>
      </c>
      <c r="N144" s="47" t="b">
        <f t="shared" si="85"/>
        <v>0</v>
      </c>
      <c r="O144" s="36" t="b">
        <f t="shared" si="86"/>
        <v>0</v>
      </c>
      <c r="P144" s="39" t="b">
        <f t="shared" si="87"/>
        <v>0</v>
      </c>
      <c r="Q144" s="41" t="b">
        <f t="shared" si="88"/>
        <v>0</v>
      </c>
      <c r="R144" s="46" t="b">
        <f t="shared" si="89"/>
        <v>0</v>
      </c>
      <c r="S144" s="42" t="b">
        <f t="shared" si="90"/>
        <v>0</v>
      </c>
      <c r="T144" s="44" t="b">
        <f t="shared" si="91"/>
        <v>0</v>
      </c>
      <c r="U144" s="148" t="str">
        <f>IF(T144,LOOKUP(A144,Discrete_NFET[PARTNUMBER],Discrete_NFET[RDSON10])*1000,IF(S144,LOOKUP(A144,Discrete_NFET[PARTNUMBER],Discrete_NFET[RDSON8])*1000,IF(R144,LOOKUP(A144,Discrete_NFET[PARTNUMBER],Discrete_NFET[RDSON6])*1000,IF(Q144,LOOKUP(A144,Discrete_NFET[PARTNUMBER],Discrete_NFET[RDSON45])*1000,IF(P144,LOOKUP(A144,Discrete_NFET[PARTNUMBER],Discrete_NFET[RDSON3])*1000,IF(O144,LOOKUP(A144,Discrete_NFET[PARTNUMBER],Discrete_NFET[RDSON25])*1000,""))))))</f>
        <v/>
      </c>
      <c r="V144" s="48" t="str">
        <f>IF(AND(A144&lt;&gt;0,A144&lt;&gt;""),U144*(1+(Tj-25)*(LOOKUP(A144,Discrete_NFET[PARTNUMBER],Discrete_NFET[RDSDELTA])/((LOOKUP(A144,Discrete_NFET[PARTNUMBER],Discrete_NFET[TJMAX])-25)))),"")</f>
        <v/>
      </c>
      <c r="W144" s="35" t="str">
        <f>IF(AND($A144&lt;&gt;0,$A144&lt;&gt;""),LOOKUP($A144,Discrete_NFET[PARTNUMBER],Discrete_NFET[QGS]),"")</f>
        <v/>
      </c>
      <c r="X144" s="35" t="str">
        <f>IF(AND($A144&lt;&gt;0,$A144&lt;&gt;""),LOOKUP($A144,Discrete_NFET[PARTNUMBER],Discrete_NFET[QGD]),"")</f>
        <v/>
      </c>
      <c r="Y144" s="35" t="str">
        <f>IF(AND($A144&lt;&gt;0,$A144&lt;&gt;""),LOOKUP($A144,Discrete_NFET[PARTNUMBER],Discrete_NFET[QGTH]),"")</f>
        <v/>
      </c>
      <c r="Z144" s="35" t="str">
        <f t="shared" si="92"/>
        <v/>
      </c>
      <c r="AA144" s="35" t="str">
        <f>IF(AND($A144&lt;&gt;0,$A144&lt;&gt;""),LOOKUP($A144,Discrete_NFET[PARTNUMBER],Discrete_NFET[QOSSTYP]),"")</f>
        <v/>
      </c>
      <c r="AB144" s="35" t="str">
        <f>IF(AND($A144&lt;&gt;0,$A144&lt;&gt;""),LOOKUP($A144,Discrete_NFET[PARTNUMBER],Discrete_NFET[QRR]),"")</f>
        <v/>
      </c>
      <c r="AC144" s="35" t="str">
        <f>IF(AND(A144&lt;&gt;0,A144&lt;&gt;""),LOOKUP(A144,Discrete_NFET[PARTNUMBER],Discrete_NFET[VF_TYP]),"")</f>
        <v/>
      </c>
      <c r="AD144" s="127" t="str">
        <f>IF(AND($A144&lt;&gt;0,$A144&lt;&gt;"",OR(RIGHT(Logic!B144,2)="C)",LEFT(Logic!B144,4)="CSD1")),(1+(1-DUTY))*IM_RMS_120^2*V144*m/3/Num_FETS,"")</f>
        <v/>
      </c>
      <c r="AE144" s="127" t="str">
        <f>IF(AND($A144&lt;&gt;0,$A144&lt;&gt;"",OR(RIGHT(Logic!B144,2)="C)",LEFT(Logic!B144,4)="CSD1")),Num_FETS*0.5*IM_RMS_120*VDC_AVG*Z144*n*MOT_ELEC_FREQ/GDR_SRC,"")</f>
        <v/>
      </c>
      <c r="AF144" s="127" t="str">
        <f>IF(AND($A144&lt;&gt;0,$A144&lt;&gt;"",OR(RIGHT(Logic!B144,2)="C)",LEFT(Logic!B144,4)="CSD1")),Num_FETS*0.5*IM_RMS_120*VDC_AVG*Z144*n*MOT_ELEC_FREQ/GDR_SINK,"")</f>
        <v/>
      </c>
      <c r="AG144" s="127" t="str">
        <f>IF(AND($A144&lt;&gt;0,$A144&lt;&gt;"",OR(RIGHT(Logic!B144,2)="T)",LEFT(Logic!B144,4)="CSD1")),DUTY*IM_RMS_120^2*V144*m/3/Num_FETS,"")</f>
        <v/>
      </c>
      <c r="AH144" s="127" t="str">
        <f>IF(AND($A144&lt;&gt;0,$A144&lt;&gt;"",OR(RIGHT(Logic!B144,2)="T)",LEFT(Logic!B144,4)="CSD1")),Num_FETS*0.5*IM_RMS_120*VDC_AVG*Z144*n*FSW*k/GDR_SRC/3,"")</f>
        <v/>
      </c>
      <c r="AI144" s="127" t="str">
        <f>IF(AND($A144&lt;&gt;0,$A144&lt;&gt;"",OR(RIGHT(Logic!B144,2)="T)",LEFT(Logic!B144,4)="CSD1")),Num_FETS*0.5*IM_RMS_120*VDC_AVG*Z144*n*FSW*k/GDR_SINK/3,"")</f>
        <v/>
      </c>
      <c r="AJ144" s="127" t="str">
        <f t="shared" si="60"/>
        <v/>
      </c>
      <c r="AK144" s="127" t="str">
        <f t="shared" si="61"/>
        <v/>
      </c>
      <c r="AL144" s="127" t="str">
        <f t="shared" si="62"/>
        <v/>
      </c>
      <c r="AM144" s="127" t="str">
        <f t="shared" si="93"/>
        <v/>
      </c>
      <c r="AN144" s="127">
        <f>IF(AND($A144&lt;&gt;0,$A144&lt;&gt;"",OR(RIGHT(Logic!B144,2)="C)",LEFT(Logic!B144,4)="CSD1")),SUM(AD144:AF144)+(AJ144/3)+AK144+AL144/6+AM144/6,AN145)</f>
        <v>0</v>
      </c>
      <c r="AO144" s="127">
        <f>IF(AND($A144&lt;&gt;0,$A144&lt;&gt;"",OR(RIGHT(Logic!B144,2)="T)",LEFT(Logic!B144,4)="CSD1")),SUM(AG144:AI144)+(AJ144/3)+AL144/6+AM144/6,AO143)</f>
        <v>0.23887636588496741</v>
      </c>
      <c r="AP144" s="48" t="str">
        <f t="shared" si="94"/>
        <v/>
      </c>
      <c r="AQ144" s="35" t="str">
        <f>IF(AND(A144&lt;&gt;0,A144&lt;&gt;""),LOOKUP(A144,Discrete_NFET[PARTNUMBER],Discrete_NFET[TI_EQ_PACKAGE]),"")</f>
        <v/>
      </c>
      <c r="AR144" s="49" t="str">
        <f>IF(AND(A144&lt;&gt;0,A144&lt;&gt;""),LOOKUP(A144,Discrete_NFET[PARTNUMBER],Discrete_NFET[1KPRICE]),"")</f>
        <v/>
      </c>
      <c r="AS144" s="35" t="str">
        <f>IF(AND($A144&lt;&gt;0,$A144&lt;&gt;""),CONCATENATE(TEXT(AP144,"0.00"),"W, ",IF('User Input'!F$11="Single Discrete",A144,IF('User Input'!F$11="Dual/Power Block",LEFT(A144,FIND(")",A144)-7),A144)),", ",AQ144,", ",TEXT(AR144,"$0.00")),"Invalid Part")</f>
        <v>Invalid Part</v>
      </c>
      <c r="AT144"/>
    </row>
    <row r="145" spans="45:46" x14ac:dyDescent="0.25">
      <c r="AS145" s="35"/>
      <c r="AT145"/>
    </row>
    <row r="146" spans="45:46" x14ac:dyDescent="0.25">
      <c r="AS146" s="35"/>
      <c r="AT146"/>
    </row>
    <row r="147" spans="45:46" x14ac:dyDescent="0.25">
      <c r="AT147"/>
    </row>
    <row r="148" spans="45:46" x14ac:dyDescent="0.25">
      <c r="AT148"/>
    </row>
    <row r="149" spans="45:46" x14ac:dyDescent="0.25">
      <c r="AT149"/>
    </row>
    <row r="150" spans="45:46" x14ac:dyDescent="0.25">
      <c r="AT150"/>
    </row>
    <row r="151" spans="45:46" x14ac:dyDescent="0.25">
      <c r="AT151"/>
    </row>
    <row r="152" spans="45:46" x14ac:dyDescent="0.25">
      <c r="AT152"/>
    </row>
    <row r="153" spans="45:46" x14ac:dyDescent="0.25">
      <c r="AT153"/>
    </row>
    <row r="154" spans="45:46" x14ac:dyDescent="0.25">
      <c r="AT154"/>
    </row>
    <row r="155" spans="45:46" x14ac:dyDescent="0.25">
      <c r="AT155"/>
    </row>
    <row r="156" spans="45:46" x14ac:dyDescent="0.25">
      <c r="AT156"/>
    </row>
    <row r="157" spans="45:46" x14ac:dyDescent="0.25">
      <c r="AT157"/>
    </row>
    <row r="158" spans="45:46" x14ac:dyDescent="0.25">
      <c r="AT158"/>
    </row>
    <row r="159" spans="45:46" x14ac:dyDescent="0.25">
      <c r="AT159"/>
    </row>
    <row r="160" spans="45:46" x14ac:dyDescent="0.25">
      <c r="AT160"/>
    </row>
    <row r="161" spans="46:46" x14ac:dyDescent="0.25">
      <c r="AT161"/>
    </row>
    <row r="162" spans="46:46" x14ac:dyDescent="0.25">
      <c r="AT162"/>
    </row>
    <row r="163" spans="46:46" x14ac:dyDescent="0.25">
      <c r="AT163"/>
    </row>
    <row r="164" spans="46:46" x14ac:dyDescent="0.25">
      <c r="AT164"/>
    </row>
    <row r="165" spans="46:46" x14ac:dyDescent="0.25">
      <c r="AT165"/>
    </row>
    <row r="166" spans="46:46" x14ac:dyDescent="0.25">
      <c r="AT166"/>
    </row>
    <row r="167" spans="46:46" x14ac:dyDescent="0.25">
      <c r="AT167"/>
    </row>
    <row r="168" spans="46:46" x14ac:dyDescent="0.25">
      <c r="AT168"/>
    </row>
    <row r="169" spans="46:46" x14ac:dyDescent="0.25">
      <c r="AT169"/>
    </row>
    <row r="170" spans="46:46" x14ac:dyDescent="0.25">
      <c r="AT170"/>
    </row>
    <row r="171" spans="46:46" x14ac:dyDescent="0.25">
      <c r="AT171"/>
    </row>
    <row r="172" spans="46:46" x14ac:dyDescent="0.25">
      <c r="AT172"/>
    </row>
    <row r="173" spans="46:46" x14ac:dyDescent="0.25">
      <c r="AT173"/>
    </row>
    <row r="174" spans="46:46" x14ac:dyDescent="0.25">
      <c r="AT174"/>
    </row>
    <row r="175" spans="46:46" x14ac:dyDescent="0.25">
      <c r="AT175"/>
    </row>
    <row r="176" spans="46:46" x14ac:dyDescent="0.25">
      <c r="AT176"/>
    </row>
    <row r="177" spans="46:46" x14ac:dyDescent="0.25">
      <c r="AT177"/>
    </row>
  </sheetData>
  <sortState xmlns:xlrd2="http://schemas.microsoft.com/office/spreadsheetml/2017/richdata2" ref="AT4:AT177">
    <sortCondition ref="AT3"/>
  </sortState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BB177"/>
  <sheetViews>
    <sheetView workbookViewId="0">
      <pane xSplit="1" topLeftCell="AO1" activePane="topRight" state="frozen"/>
      <selection pane="topRight" activeCell="AS3" sqref="AS3:AS176"/>
    </sheetView>
  </sheetViews>
  <sheetFormatPr defaultRowHeight="15" x14ac:dyDescent="0.25"/>
  <cols>
    <col min="1" max="1" width="20.85546875" style="35" bestFit="1" customWidth="1"/>
    <col min="2" max="2" width="13.140625" style="36" bestFit="1" customWidth="1"/>
    <col min="3" max="3" width="11.42578125" style="39" bestFit="1" customWidth="1"/>
    <col min="4" max="4" width="13.140625" style="41" bestFit="1" customWidth="1"/>
    <col min="5" max="5" width="11.85546875" style="46" bestFit="1" customWidth="1"/>
    <col min="6" max="6" width="9.140625" style="42"/>
    <col min="7" max="7" width="9.140625" style="44"/>
    <col min="8" max="8" width="9.140625" style="36"/>
    <col min="9" max="9" width="9.140625" style="39"/>
    <col min="10" max="10" width="9.140625" style="41"/>
    <col min="11" max="11" width="9.140625" style="46"/>
    <col min="12" max="12" width="9.140625" style="42"/>
    <col min="13" max="13" width="9.140625" style="44"/>
    <col min="14" max="14" width="9.140625" style="47"/>
    <col min="15" max="15" width="9.140625" style="36"/>
    <col min="16" max="16" width="9.140625" style="39"/>
    <col min="17" max="17" width="9.140625" style="41"/>
    <col min="18" max="18" width="9.140625" style="46"/>
    <col min="19" max="19" width="9.140625" style="42"/>
    <col min="20" max="20" width="9.140625" style="44"/>
    <col min="21" max="21" width="9.140625" style="149"/>
    <col min="22" max="22" width="9.140625" style="48"/>
    <col min="23" max="29" width="9.140625" style="35"/>
    <col min="30" max="30" width="9.5703125" style="127" bestFit="1" customWidth="1"/>
    <col min="31" max="37" width="9.140625" style="127"/>
    <col min="38" max="38" width="9.5703125" style="127" bestFit="1" customWidth="1"/>
    <col min="39" max="41" width="9.5703125" style="127" customWidth="1"/>
    <col min="42" max="42" width="9.140625" style="48"/>
    <col min="43" max="43" width="9.28515625" style="35" bestFit="1" customWidth="1"/>
    <col min="44" max="44" width="9.28515625" style="49" customWidth="1"/>
    <col min="45" max="46" width="34" style="35" bestFit="1" customWidth="1"/>
    <col min="47" max="47" width="12.7109375" style="35" bestFit="1" customWidth="1"/>
    <col min="48" max="49" width="9.140625" style="35"/>
    <col min="50" max="50" width="13.28515625" style="35" bestFit="1" customWidth="1"/>
    <col min="51" max="51" width="7.85546875" bestFit="1" customWidth="1"/>
  </cols>
  <sheetData>
    <row r="1" spans="1:54" ht="60" x14ac:dyDescent="0.25">
      <c r="A1" s="35" t="str">
        <f>Logic!B1</f>
        <v>MOST BLANKS REMOVED ROW2 BLANK</v>
      </c>
      <c r="B1" s="128" t="s">
        <v>437</v>
      </c>
      <c r="C1" s="129" t="s">
        <v>438</v>
      </c>
      <c r="D1" s="130" t="s">
        <v>439</v>
      </c>
      <c r="E1" s="131" t="s">
        <v>440</v>
      </c>
      <c r="F1" s="132" t="s">
        <v>441</v>
      </c>
      <c r="G1" s="133" t="s">
        <v>442</v>
      </c>
      <c r="H1" s="134" t="s">
        <v>443</v>
      </c>
      <c r="I1" s="135" t="s">
        <v>410</v>
      </c>
      <c r="J1" s="136" t="s">
        <v>444</v>
      </c>
      <c r="K1" s="137" t="s">
        <v>412</v>
      </c>
      <c r="L1" s="138" t="s">
        <v>413</v>
      </c>
      <c r="M1" s="139" t="s">
        <v>414</v>
      </c>
      <c r="N1" s="140" t="s">
        <v>445</v>
      </c>
      <c r="O1" s="134" t="s">
        <v>446</v>
      </c>
      <c r="P1" s="135" t="s">
        <v>447</v>
      </c>
      <c r="Q1" s="136" t="s">
        <v>448</v>
      </c>
      <c r="R1" s="137" t="s">
        <v>449</v>
      </c>
      <c r="S1" s="138" t="s">
        <v>450</v>
      </c>
      <c r="T1" s="139" t="s">
        <v>451</v>
      </c>
      <c r="U1" s="147" t="s">
        <v>374</v>
      </c>
      <c r="V1" s="141" t="s">
        <v>452</v>
      </c>
      <c r="W1" s="142" t="s">
        <v>84</v>
      </c>
      <c r="X1" s="142" t="s">
        <v>83</v>
      </c>
      <c r="Y1" s="142" t="s">
        <v>456</v>
      </c>
      <c r="Z1" s="142" t="s">
        <v>453</v>
      </c>
      <c r="AA1" s="142" t="s">
        <v>500</v>
      </c>
      <c r="AB1" s="35" t="s">
        <v>82</v>
      </c>
      <c r="AC1" s="142" t="s">
        <v>501</v>
      </c>
      <c r="AD1" s="127" t="s">
        <v>575</v>
      </c>
      <c r="AE1" s="127" t="s">
        <v>576</v>
      </c>
      <c r="AF1" s="127" t="s">
        <v>577</v>
      </c>
      <c r="AG1" s="127" t="s">
        <v>578</v>
      </c>
      <c r="AH1" s="127" t="s">
        <v>579</v>
      </c>
      <c r="AI1" s="127" t="s">
        <v>580</v>
      </c>
      <c r="AJ1" s="127" t="s">
        <v>581</v>
      </c>
      <c r="AK1" s="127" t="s">
        <v>571</v>
      </c>
      <c r="AL1" s="127" t="s">
        <v>572</v>
      </c>
      <c r="AM1" s="127" t="s">
        <v>573</v>
      </c>
      <c r="AN1" s="127" t="s">
        <v>582</v>
      </c>
      <c r="AO1" s="127" t="s">
        <v>583</v>
      </c>
      <c r="AP1" s="48" t="s">
        <v>454</v>
      </c>
      <c r="AQ1" s="142" t="s">
        <v>75</v>
      </c>
      <c r="AR1" s="143" t="s">
        <v>496</v>
      </c>
      <c r="AV1" s="35" t="s">
        <v>431</v>
      </c>
      <c r="AW1" s="35" t="s">
        <v>432</v>
      </c>
      <c r="AX1" s="35" t="s">
        <v>434</v>
      </c>
      <c r="AY1" s="35" t="s">
        <v>433</v>
      </c>
      <c r="AZ1" s="35" t="s">
        <v>435</v>
      </c>
      <c r="BA1" s="35" t="s">
        <v>436</v>
      </c>
      <c r="BB1" t="s">
        <v>374</v>
      </c>
    </row>
    <row r="2" spans="1:54" ht="15" customHeight="1" x14ac:dyDescent="0.25">
      <c r="A2" s="35" t="str">
        <f>IF(OR(AND(FET_config2="Dual/Power Block",LEFT(Logic!B2,4)="CSD8"),AND(FET_config2="Single Discrete",LEFT(Logic!B2,4)="CSD1")),Logic!B2,"")</f>
        <v/>
      </c>
      <c r="B2" s="37" t="str">
        <f>IF(OR($A2=0,$A2=""),"0",IF(LOOKUP($A2,Discrete_NFET[PARTNUMBER],Discrete_NFET[RDSON25])="(NULL)","0","1"))</f>
        <v>0</v>
      </c>
      <c r="C2" s="38" t="str">
        <f>IF(OR($A2=0,$A2=""),"0",IF(LOOKUP($A2,Discrete_NFET[PARTNUMBER],Discrete_NFET[RDSON3])="(NULL)","0","1"))</f>
        <v>0</v>
      </c>
      <c r="D2" s="40" t="str">
        <f>IF(OR($A2=0,$A2=""),"0",IF(LOOKUP($A2,Discrete_NFET[PARTNUMBER],Discrete_NFET[RDSON45])="(NULL)","0","1"))</f>
        <v>0</v>
      </c>
      <c r="E2" s="45" t="str">
        <f>IF(OR($A2=0,$A2=""),"0",IF(LOOKUP($A2,Discrete_NFET[PARTNUMBER],Discrete_NFET[RDSON6])="(NULL)","0","1"))</f>
        <v>0</v>
      </c>
      <c r="F2" s="34" t="str">
        <f>IF(OR($A2=0,$A2=""),"0",IF(LOOKUP($A2,Discrete_NFET[PARTNUMBER],Discrete_NFET[RDSON8])="(NULL)","0","1"))</f>
        <v>0</v>
      </c>
      <c r="G2" s="43" t="str">
        <f>IF(OR($A2=0,$A2=""),"0",IF(LOOKUP($A2,Discrete_NFET[PARTNUMBER],Discrete_NFET[RDSON10])="(NULL)","0","1"))</f>
        <v>0</v>
      </c>
      <c r="H2" s="36" t="b">
        <f t="shared" ref="H2:M3" si="0">AND(AV$2,B2="1")</f>
        <v>0</v>
      </c>
      <c r="I2" s="39" t="b">
        <f t="shared" si="0"/>
        <v>0</v>
      </c>
      <c r="J2" s="41" t="b">
        <f t="shared" si="0"/>
        <v>0</v>
      </c>
      <c r="K2" s="46" t="b">
        <f t="shared" si="0"/>
        <v>0</v>
      </c>
      <c r="L2" s="42" t="b">
        <f t="shared" si="0"/>
        <v>0</v>
      </c>
      <c r="M2" s="44" t="b">
        <f t="shared" si="0"/>
        <v>0</v>
      </c>
      <c r="N2" s="47" t="b">
        <f t="shared" ref="N2:N3" si="1">OR(H2:M2)</f>
        <v>0</v>
      </c>
      <c r="O2" s="36" t="b">
        <f t="shared" ref="O2:O3" si="2">IF($N2,H2,IF((B2="1"),OR($AU$2,$AU$9)))</f>
        <v>0</v>
      </c>
      <c r="P2" s="39" t="b">
        <f t="shared" ref="P2:P3" si="3">IF($N2,I2,IF((C2="1"),OR(AU$2,AU$9,AX$2,J2)))</f>
        <v>0</v>
      </c>
      <c r="Q2" s="41" t="b">
        <f t="shared" ref="Q2:S3" si="4">IF($N2,J2,IF((D2="1"),OR(AW$2,I2,AY$2,K2)))</f>
        <v>0</v>
      </c>
      <c r="R2" s="46" t="b">
        <f t="shared" si="4"/>
        <v>0</v>
      </c>
      <c r="S2" s="42" t="b">
        <f t="shared" si="4"/>
        <v>0</v>
      </c>
      <c r="T2" s="44" t="b">
        <f t="shared" ref="T2:T3" si="5">IF($N2,M2,IF((G2="1"),OR(AZ$2,L2)))</f>
        <v>0</v>
      </c>
      <c r="U2" s="148" t="str">
        <f>IF(T2,LOOKUP(A2,Discrete_NFET[PARTNUMBER],Discrete_NFET[RDSON10])*1000,IF(S2,LOOKUP(A2,Discrete_NFET[PARTNUMBER],Discrete_NFET[RDSON8])*1000,IF(R2,LOOKUP(A2,Discrete_NFET[PARTNUMBER],Discrete_NFET[RDSON6])*1000,IF(Q2,LOOKUP(A2,Discrete_NFET[PARTNUMBER],Discrete_NFET[RDSON45])*1000,IF(P2,LOOKUP(A2,Discrete_NFET[PARTNUMBER],Discrete_NFET[RDSON3])*1000,IF(O2,LOOKUP(A2,Discrete_NFET[PARTNUMBER],Discrete_NFET[RDSON25])*1000,""))))))</f>
        <v/>
      </c>
      <c r="V2" s="48" t="str">
        <f>IF(AND(A2&lt;&gt;0,A2&lt;&gt;""),U2*(1+(Tj-25)*(LOOKUP(A2,Discrete_NFET[PARTNUMBER],Discrete_NFET[RDSDELTA])/((LOOKUP(A2,Discrete_NFET[PARTNUMBER],Discrete_NFET[TJMAX])-25)))),"")</f>
        <v/>
      </c>
      <c r="W2" s="35" t="str">
        <f>IF(AND($A2&lt;&gt;0,$A2&lt;&gt;""),LOOKUP($A2,Discrete_NFET[PARTNUMBER],Discrete_NFET[QGS]),"")</f>
        <v/>
      </c>
      <c r="X2" s="35" t="str">
        <f>IF(AND($A2&lt;&gt;0,$A2&lt;&gt;""),LOOKUP($A2,Discrete_NFET[PARTNUMBER],Discrete_NFET[QGD]),"")</f>
        <v/>
      </c>
      <c r="Y2" s="35" t="str">
        <f>IF(AND($A2&lt;&gt;0,$A2&lt;&gt;""),LOOKUP($A2,Discrete_NFET[PARTNUMBER],Discrete_NFET[QGTH]),"")</f>
        <v/>
      </c>
      <c r="Z2" s="35" t="str">
        <f t="shared" ref="Z2:Z3" si="6">IF(AND(A2&lt;&gt;0,A2&lt;&gt;""),W2+X2-Y2,"")</f>
        <v/>
      </c>
      <c r="AA2" s="35" t="str">
        <f>IF(AND($A2&lt;&gt;0,$A2&lt;&gt;""),LOOKUP($A2,Discrete_NFET[PARTNUMBER],Discrete_NFET[QOSSTYP]),"")</f>
        <v/>
      </c>
      <c r="AB2" s="35" t="str">
        <f>IF(AND($A2&lt;&gt;0,$A2&lt;&gt;""),LOOKUP($A2,Discrete_NFET[PARTNUMBER],Discrete_NFET[QRR]),"")</f>
        <v/>
      </c>
      <c r="AC2" s="35" t="str">
        <f>IF(AND(A2&lt;&gt;0,A2&lt;&gt;""),LOOKUP(A2,Discrete_NFET[PARTNUMBER],Discrete_NFET[VF_TYP]),"")</f>
        <v/>
      </c>
      <c r="AD2" s="127" t="str">
        <f>IF(AND($A2&lt;&gt;0,$A2&lt;&gt;"",OR(RIGHT(Logic!B2,2)="C)",LEFT(Logic!B2,4)="CSD1")),(1+(1-DUTY))*IM_RMS_120^2*V2*m/3/Num_FETS2,"")</f>
        <v/>
      </c>
      <c r="AE2" s="127" t="str">
        <f>IF(AND($A2&lt;&gt;0,$A2&lt;&gt;"",OR(RIGHT(Logic!B2,2)="C)",LEFT(Logic!B2,4)="CSD1")),Num_FETS2*0.5*IM_RMS_120*VDC_AVG*Z2*n*MOT_ELEC_FREQ/GDR_SRC,"")</f>
        <v/>
      </c>
      <c r="AF2" s="127" t="str">
        <f>IF(AND($A2&lt;&gt;0,$A2&lt;&gt;"",OR(RIGHT(Logic!B2,2)="C)",LEFT(Logic!B2,4)="CSD1")),Num_FETS2*0.5*IM_RMS_120*VDC_AVG*Z2*n*MOT_ELEC_FREQ/GDR_SINK,"")</f>
        <v/>
      </c>
      <c r="AG2" s="127" t="str">
        <f>IF(AND($A2&lt;&gt;0,$A2&lt;&gt;"",OR(RIGHT(Logic!B2,2)="T)",LEFT(Logic!B2,4)="CSD1")),DUTY*IM_RMS_120^2*V2*m/3/Num_FETS2,"")</f>
        <v/>
      </c>
      <c r="AH2" s="127" t="str">
        <f>IF(AND($A2&lt;&gt;0,$A2&lt;&gt;"",OR(RIGHT(Logic!B2,2)="T)",LEFT(Logic!B2,4)="CSD1")),Num_FETS2*0.5*IM_RMS_120*VDC_AVG*Z2*n*FSW*k/GDR_SRC/3,"")</f>
        <v/>
      </c>
      <c r="AI2" s="127" t="str">
        <f>IF(AND($A2&lt;&gt;0,$A2&lt;&gt;"",OR(RIGHT(Logic!B2,2)="T)",LEFT(Logic!B2,4)="CSD1")),Num_FETS2*0.5*IM_RMS_120*VDC_AVG*Z2*n*FSW*k/GDR_SINK/3,"")</f>
        <v/>
      </c>
      <c r="AJ2" s="127" t="str">
        <f t="shared" ref="AJ2:AJ33" si="7">IF(AND($A2&lt;&gt;0,$A2&lt;&gt;""),Num_FETS2*((AA2*VDC_AVG)*((FSW*k)))*n/2,"")</f>
        <v/>
      </c>
      <c r="AK2" s="127" t="str">
        <f t="shared" ref="AK2" si="8">IF(AND($A2&lt;&gt;0,$A2&lt;&gt;""),2*T_DEAD*n*AC2*IM_PEAK*(FSW*k),"")</f>
        <v/>
      </c>
      <c r="AL2" s="127" t="str">
        <f t="shared" ref="AL2:AL33" si="9">IF(AND($A2&lt;&gt;0,$A2&lt;&gt;""),Num_FETS2*((AB2*VDC_AVG)*((MOT_ELEC_FREQ+FSW*k)))*n,"")</f>
        <v/>
      </c>
      <c r="AM2" s="127" t="str">
        <f t="shared" ref="AM2" si="10">IF(AND($A2&lt;&gt;0,$A2&lt;&gt;""),6*0.5*AC2*IM_PEAK*MOT_COM_TIME*m*MOT_ELEC_FREQ,"")</f>
        <v/>
      </c>
      <c r="AO2" s="127" t="str">
        <f>IF(AND($A2&lt;&gt;0,$A2&lt;&gt;"",OR(RIGHT(Logic!B2,2)="T)",LEFT(Logic!B2,4)="CSD1")),SUM(AG2:AI2)+(AJ2/3)+AK2/2+AL2/6+AM2/6,"")</f>
        <v/>
      </c>
      <c r="AP2" s="48" t="str">
        <f t="shared" ref="AP2" si="11">IF(AND($A2&lt;&gt;0,$A2&lt;&gt;""),ROUND(SUM(AN2:AO2),2),"")</f>
        <v/>
      </c>
      <c r="AQ2" s="35" t="str">
        <f>IF(AND(A2&lt;&gt;0,A2&lt;&gt;""),LOOKUP(A2,Discrete_NFET[PARTNUMBER],Discrete_NFET[TI_EQ_PACKAGE]),"")</f>
        <v/>
      </c>
      <c r="AR2" s="49" t="str">
        <f>IF(AND(A2&lt;&gt;0,A2&lt;&gt;""),LOOKUP(A2,Discrete_NFET[PARTNUMBER],Discrete_NFET[1KPRICE]),"")</f>
        <v/>
      </c>
      <c r="AU2" s="35" t="str">
        <f>IF(AND($A2&lt;&gt;0,$A2&lt;&gt;""),IF(VDC_RATED&gt;7,LOOKUP($A2,Discrete_NFET[PARTNUMBER],Discrete_NFET[QG10TYP]),LOOKUP($A2,Discrete_NFET[PARTNUMBER],Discrete_NFET[QG10TYP])),"")</f>
        <v/>
      </c>
      <c r="AV2" s="35" t="b">
        <f>(GDR_V&gt;=2.5)</f>
        <v>1</v>
      </c>
      <c r="AW2" s="35" t="b">
        <f>(GDR_V&gt;=3)</f>
        <v>1</v>
      </c>
      <c r="AX2" s="35" t="b">
        <f>(GDR_V&gt;=4)</f>
        <v>1</v>
      </c>
      <c r="AY2" t="b">
        <f>(GDR_V&gt;=5.5)</f>
        <v>1</v>
      </c>
      <c r="AZ2" t="b">
        <f>(GDR_V&gt;=7)</f>
        <v>1</v>
      </c>
      <c r="BA2" t="b">
        <f>(GDR_V&gt;=8.5)</f>
        <v>1</v>
      </c>
    </row>
    <row r="3" spans="1:54" ht="15" customHeight="1" x14ac:dyDescent="0.25">
      <c r="A3" s="35" t="str">
        <f>IF(OR(AND(FET_config2="Dual/Power Block",LEFT(Logic!B3,4)="CSD8"),AND(FET_config2="Single Discrete",LEFT(Logic!B3,4)="CSD1")),Logic!B3,"")</f>
        <v/>
      </c>
      <c r="B3" s="37" t="str">
        <f>IF(OR($A3=0,$A3=""),"0",IF(LOOKUP($A3,Discrete_NFET[PARTNUMBER],Discrete_NFET[RDSON25])="(NULL)","0","1"))</f>
        <v>0</v>
      </c>
      <c r="C3" s="38" t="str">
        <f>IF(OR($A3=0,$A3=""),"0",IF(LOOKUP($A3,Discrete_NFET[PARTNUMBER],Discrete_NFET[RDSON3])="(NULL)","0","1"))</f>
        <v>0</v>
      </c>
      <c r="D3" s="40" t="str">
        <f>IF(OR($A3=0,$A3=""),"0",IF(LOOKUP($A3,Discrete_NFET[PARTNUMBER],Discrete_NFET[RDSON45])="(NULL)","0","1"))</f>
        <v>0</v>
      </c>
      <c r="E3" s="45" t="str">
        <f>IF(OR($A3=0,$A3=""),"0",IF(LOOKUP($A3,Discrete_NFET[PARTNUMBER],Discrete_NFET[RDSON6])="(NULL)","0","1"))</f>
        <v>0</v>
      </c>
      <c r="F3" s="34" t="str">
        <f>IF(OR($A3=0,$A3=""),"0",IF(LOOKUP($A3,Discrete_NFET[PARTNUMBER],Discrete_NFET[RDSON8])="(NULL)","0","1"))</f>
        <v>0</v>
      </c>
      <c r="G3" s="43" t="str">
        <f>IF(OR($A3=0,$A3=""),"0",IF(LOOKUP($A3,Discrete_NFET[PARTNUMBER],Discrete_NFET[RDSON10])="(NULL)","0","1"))</f>
        <v>0</v>
      </c>
      <c r="H3" s="36" t="b">
        <f t="shared" si="0"/>
        <v>0</v>
      </c>
      <c r="I3" s="39" t="b">
        <f t="shared" si="0"/>
        <v>0</v>
      </c>
      <c r="J3" s="41" t="b">
        <f t="shared" si="0"/>
        <v>0</v>
      </c>
      <c r="K3" s="46" t="b">
        <f t="shared" si="0"/>
        <v>0</v>
      </c>
      <c r="L3" s="42" t="b">
        <f t="shared" si="0"/>
        <v>0</v>
      </c>
      <c r="M3" s="44" t="b">
        <f t="shared" si="0"/>
        <v>0</v>
      </c>
      <c r="N3" s="47" t="b">
        <f t="shared" si="1"/>
        <v>0</v>
      </c>
      <c r="O3" s="36" t="b">
        <f t="shared" si="2"/>
        <v>0</v>
      </c>
      <c r="P3" s="39" t="b">
        <f t="shared" si="3"/>
        <v>0</v>
      </c>
      <c r="Q3" s="41" t="b">
        <f t="shared" si="4"/>
        <v>0</v>
      </c>
      <c r="R3" s="46" t="b">
        <f t="shared" si="4"/>
        <v>0</v>
      </c>
      <c r="S3" s="42" t="b">
        <f t="shared" si="4"/>
        <v>0</v>
      </c>
      <c r="T3" s="44" t="b">
        <f t="shared" si="5"/>
        <v>0</v>
      </c>
      <c r="U3" s="148" t="str">
        <f>IF(T3,LOOKUP(A3,Discrete_NFET[PARTNUMBER],Discrete_NFET[RDSON10])*1000,IF(S3,LOOKUP(A3,Discrete_NFET[PARTNUMBER],Discrete_NFET[RDSON8])*1000,IF(R3,LOOKUP(A3,Discrete_NFET[PARTNUMBER],Discrete_NFET[RDSON6])*1000,IF(Q3,LOOKUP(A3,Discrete_NFET[PARTNUMBER],Discrete_NFET[RDSON45])*1000,IF(P3,LOOKUP(A3,Discrete_NFET[PARTNUMBER],Discrete_NFET[RDSON3])*1000,IF(O3,LOOKUP(A3,Discrete_NFET[PARTNUMBER],Discrete_NFET[RDSON25])*1000,""))))))</f>
        <v/>
      </c>
      <c r="V3" s="48" t="str">
        <f>IF(AND(A3&lt;&gt;0,A3&lt;&gt;""),U3*(1+(Tj-25)*(LOOKUP(A3,Discrete_NFET[PARTNUMBER],Discrete_NFET[RDSDELTA])/((LOOKUP(A3,Discrete_NFET[PARTNUMBER],Discrete_NFET[TJMAX])-25)))),"")</f>
        <v/>
      </c>
      <c r="W3" s="35" t="str">
        <f>IF(AND($A3&lt;&gt;0,$A3&lt;&gt;""),LOOKUP($A3,Discrete_NFET[PARTNUMBER],Discrete_NFET[QGS]),"")</f>
        <v/>
      </c>
      <c r="X3" s="35" t="str">
        <f>IF(AND($A3&lt;&gt;0,$A3&lt;&gt;""),LOOKUP($A3,Discrete_NFET[PARTNUMBER],Discrete_NFET[QGD]),"")</f>
        <v/>
      </c>
      <c r="Y3" s="35" t="str">
        <f>IF(AND($A3&lt;&gt;0,$A3&lt;&gt;""),LOOKUP($A3,Discrete_NFET[PARTNUMBER],Discrete_NFET[QGTH]),"")</f>
        <v/>
      </c>
      <c r="Z3" s="35" t="str">
        <f t="shared" si="6"/>
        <v/>
      </c>
      <c r="AA3" s="35" t="str">
        <f>IF(AND($A3&lt;&gt;0,$A3&lt;&gt;""),LOOKUP($A3,Discrete_NFET[PARTNUMBER],Discrete_NFET[QOSSTYP]),"")</f>
        <v/>
      </c>
      <c r="AB3" s="35" t="str">
        <f>IF(AND($A3&lt;&gt;0,$A3&lt;&gt;""),LOOKUP($A3,Discrete_NFET[PARTNUMBER],Discrete_NFET[QRR]),"")</f>
        <v/>
      </c>
      <c r="AC3" s="35" t="str">
        <f>IF(AND(A3&lt;&gt;0,A3&lt;&gt;""),LOOKUP(A3,Discrete_NFET[PARTNUMBER],Discrete_NFET[VF_TYP]),"")</f>
        <v/>
      </c>
      <c r="AD3" s="127" t="str">
        <f>IF(AND($A3&lt;&gt;0,$A3&lt;&gt;"",OR(RIGHT(Logic!B3,2)="C)",LEFT(Logic!B3,4)="CSD1")),(1+(1-DUTY))*IM_RMS_120^2*V3*m/3/Num_FETS2,"")</f>
        <v/>
      </c>
      <c r="AE3" s="127" t="str">
        <f>IF(AND($A3&lt;&gt;0,$A3&lt;&gt;"",OR(RIGHT(Logic!B3,2)="C)",LEFT(Logic!B3,4)="CSD1")),Num_FETS2*0.5*IM_RMS_120*VDC_AVG*Z3*n*MOT_ELEC_FREQ/GDR_SRC,"")</f>
        <v/>
      </c>
      <c r="AF3" s="127" t="str">
        <f>IF(AND($A3&lt;&gt;0,$A3&lt;&gt;"",OR(RIGHT(Logic!B3,2)="C)",LEFT(Logic!B3,4)="CSD1")),Num_FETS2*0.5*IM_RMS_120*VDC_AVG*Z3*n*MOT_ELEC_FREQ/GDR_SINK,"")</f>
        <v/>
      </c>
      <c r="AG3" s="127" t="str">
        <f>IF(AND($A3&lt;&gt;0,$A3&lt;&gt;"",OR(RIGHT(Logic!B3,2)="T)",LEFT(Logic!B3,4)="CSD1")),DUTY*IM_RMS_120^2*V3*m/3/Num_FETS2,"")</f>
        <v/>
      </c>
      <c r="AH3" s="127" t="str">
        <f>IF(AND($A3&lt;&gt;0,$A3&lt;&gt;"",OR(RIGHT(Logic!B3,2)="T)",LEFT(Logic!B3,4)="CSD1")),Num_FETS2*0.5*IM_RMS_120*VDC_AVG*Z3*n*FSW*k/GDR_SRC/3,"")</f>
        <v/>
      </c>
      <c r="AI3" s="127" t="str">
        <f>IF(AND($A3&lt;&gt;0,$A3&lt;&gt;"",OR(RIGHT(Logic!B3,2)="T)",LEFT(Logic!B3,4)="CSD1")),Num_FETS2*0.5*IM_RMS_120*VDC_AVG*Z3*n*FSW*k/GDR_SINK/3,"")</f>
        <v/>
      </c>
      <c r="AJ3" s="127" t="str">
        <f t="shared" si="7"/>
        <v/>
      </c>
      <c r="AK3" s="127" t="str">
        <f t="shared" ref="AK3:AK34" si="12">IF(AND($A3&lt;&gt;0,$A3&lt;&gt;""),2*T_DEAD*n*AC3*IM_PEAK*(FSW*k)/3,"")</f>
        <v/>
      </c>
      <c r="AL3" s="127" t="str">
        <f t="shared" si="9"/>
        <v/>
      </c>
      <c r="AM3" s="127" t="str">
        <f t="shared" ref="AM3" si="13">IF(AND($A3&lt;&gt;0,$A3&lt;&gt;""),6*0.5*AC3*IM_PEAK*MOT_COM_TIME*m*MOT_ELEC_FREQ,"")</f>
        <v/>
      </c>
      <c r="AN3" s="127">
        <f>IF(AND($A3&lt;&gt;0,$A3&lt;&gt;"",OR(RIGHT(Logic!B3,2)="C)",LEFT(Logic!B3,4)="CSD1")),SUM(AD3:AF3)+(AJ3/3)+AK3+AL3/6+AM3/6,AN4)</f>
        <v>0.20068572944577745</v>
      </c>
      <c r="AO3" s="127" t="str">
        <f>IF(AND($A3&lt;&gt;0,$A3&lt;&gt;"",OR(RIGHT(Logic!B3,2)="T)",LEFT(Logic!B3,4)="CSD1")),SUM(AG3:AI3)+(AJ3/3)+AL3/6+AM3/6,AO2)</f>
        <v/>
      </c>
      <c r="AP3" s="48" t="str">
        <f t="shared" ref="AP3" si="14">IF(AND($A3&lt;&gt;0,$A3&lt;&gt;""),ROUND(SUM(AN3:AO3),2),"")</f>
        <v/>
      </c>
      <c r="AQ3" s="35" t="str">
        <f>IF(AND(A3&lt;&gt;0,A3&lt;&gt;""),LOOKUP(A3,Discrete_NFET[PARTNUMBER],Discrete_NFET[TI_EQ_PACKAGE]),"")</f>
        <v/>
      </c>
      <c r="AR3" s="49" t="str">
        <f>IF(AND(A3&lt;&gt;0,A3&lt;&gt;""),LOOKUP(A3,Discrete_NFET[PARTNUMBER],Discrete_NFET[1KPRICE]),"")</f>
        <v/>
      </c>
      <c r="AS3" s="35" t="str">
        <f>IF(AND($A3&lt;&gt;0,$A3&lt;&gt;""),CONCATENATE(TEXT(AP3,"0.00"),"W, ",IF('User Input'!G$11="Single Discrete",A3,IF('User Input'!G$11="Dual/Power Block",LEFT(A3,FIND(")",A3)-7),A3)),", ",AQ3,", ",TEXT(AR3,"$0.00")),"Invalid Part")</f>
        <v>Invalid Part</v>
      </c>
      <c r="AT3" s="35" t="s">
        <v>574</v>
      </c>
      <c r="AU3" s="35" t="str">
        <f>IF(AND($A3&lt;&gt;0,$A3&lt;&gt;""),IF(VDC_RATED&gt;7,LOOKUP($A3,Discrete_NFET[PARTNUMBER],Discrete_NFET[QG10TYP]),LOOKUP($A3,Discrete_NFET[PARTNUMBER],Discrete_NFET[QG10TYP])),"")</f>
        <v/>
      </c>
      <c r="BB3" t="str">
        <f>IF(AV5,LOOKUP(Q2_Part_Number,Discrete_NFET[PARTNUMBER],#REF!)*1000,IF(AW5,LOOKUP(Q2_Part_Number,Discrete_NFET[PARTNUMBER],Discrete_NFET[RDSON18])*1000,IF(AZ5,LOOKUP(Q2_Part_Number,Discrete_NFET[PARTNUMBER],Discrete_NFET[RDSON45])*1000,IF(AY5,LOOKUP(Q2_Part_Number,Discrete_NFET[PARTNUMBER],Discrete_NFET[RDSON3])*1000,IF(AX5,LOOKUP(Q2_Part_Number,Discrete_NFET[PARTNUMBER],Discrete_NFET[RDSON25])*1000,IF(BA5,LOOKUP(Q2_Part_Number,Discrete_NFET[PARTNUMBER],Discrete_NFET[RDSON6])*1000,""))))))</f>
        <v/>
      </c>
    </row>
    <row r="4" spans="1:54" ht="15" customHeight="1" x14ac:dyDescent="0.25">
      <c r="A4" s="35" t="str">
        <f>IF(OR(AND(FET_config2="Dual/Power Block",LEFT(Logic!B4,4)="CSD8"),AND(FET_config2="Single Discrete",LEFT(Logic!B4,4)="CSD1")),Logic!B4,"")</f>
        <v>CSD17301Q5A</v>
      </c>
      <c r="B4" s="37" t="str">
        <f>IF(OR($A4=0,$A4=""),"0",IF(LOOKUP($A4,Discrete_NFET[PARTNUMBER],Discrete_NFET[RDSON25])="(NULL)","0","1"))</f>
        <v>0</v>
      </c>
      <c r="C4" s="38" t="str">
        <f>IF(OR($A4=0,$A4=""),"0",IF(LOOKUP($A4,Discrete_NFET[PARTNUMBER],Discrete_NFET[RDSON3])="(NULL)","0","1"))</f>
        <v>1</v>
      </c>
      <c r="D4" s="40" t="str">
        <f>IF(OR($A4=0,$A4=""),"0",IF(LOOKUP($A4,Discrete_NFET[PARTNUMBER],Discrete_NFET[RDSON45])="(NULL)","0","1"))</f>
        <v>1</v>
      </c>
      <c r="E4" s="45" t="str">
        <f>IF(OR($A4=0,$A4=""),"0",IF(LOOKUP($A4,Discrete_NFET[PARTNUMBER],Discrete_NFET[RDSON6])="(NULL)","0","1"))</f>
        <v>0</v>
      </c>
      <c r="F4" s="34" t="str">
        <f>IF(OR($A4=0,$A4=""),"0",IF(LOOKUP($A4,Discrete_NFET[PARTNUMBER],Discrete_NFET[RDSON8])="(NULL)","0","1"))</f>
        <v>1</v>
      </c>
      <c r="G4" s="43" t="str">
        <f>IF(OR($A4=0,$A4=""),"0",IF(LOOKUP($A4,Discrete_NFET[PARTNUMBER],Discrete_NFET[RDSON10])="(NULL)","0","1"))</f>
        <v>0</v>
      </c>
      <c r="H4" s="36" t="b">
        <f t="shared" ref="H4:H67" si="15">AND(AV$2,B4="1")</f>
        <v>0</v>
      </c>
      <c r="I4" s="39" t="b">
        <f t="shared" ref="I4:I67" si="16">AND(AW$2,C4="1")</f>
        <v>1</v>
      </c>
      <c r="J4" s="41" t="b">
        <f t="shared" ref="J4:J67" si="17">AND(AX$2,D4="1")</f>
        <v>1</v>
      </c>
      <c r="K4" s="46" t="b">
        <f t="shared" ref="K4:K67" si="18">AND(AY$2,E4="1")</f>
        <v>0</v>
      </c>
      <c r="L4" s="42" t="b">
        <f t="shared" ref="L4:L67" si="19">AND(AZ$2,F4="1")</f>
        <v>1</v>
      </c>
      <c r="M4" s="44" t="b">
        <f t="shared" ref="M4:M67" si="20">AND(BA$2,G4="1")</f>
        <v>0</v>
      </c>
      <c r="N4" s="47" t="b">
        <f t="shared" ref="N4:N67" si="21">OR(H4:M4)</f>
        <v>1</v>
      </c>
      <c r="O4" s="36" t="b">
        <f t="shared" ref="O4:O67" si="22">IF($N4,H4,IF((B4="1"),OR($AU$2,$AU$9)))</f>
        <v>0</v>
      </c>
      <c r="P4" s="39" t="b">
        <f t="shared" ref="P4:P67" si="23">IF($N4,I4,IF((C4="1"),OR(AU$2,AU$9,AX$2,J4)))</f>
        <v>1</v>
      </c>
      <c r="Q4" s="41" t="b">
        <f t="shared" ref="Q4:Q67" si="24">IF($N4,J4,IF((D4="1"),OR(AW$2,I4,AY$2,K4)))</f>
        <v>1</v>
      </c>
      <c r="R4" s="46" t="b">
        <f t="shared" ref="R4:R67" si="25">IF($N4,K4,IF((E4="1"),OR(AX$2,J4,AZ$2,L4)))</f>
        <v>0</v>
      </c>
      <c r="S4" s="42" t="b">
        <f t="shared" ref="S4:S67" si="26">IF($N4,L4,IF((F4="1"),OR(AY$2,K4,BA$2,M4)))</f>
        <v>1</v>
      </c>
      <c r="T4" s="44" t="b">
        <f t="shared" ref="T4:T67" si="27">IF($N4,M4,IF((G4="1"),OR(AZ$2,L4)))</f>
        <v>0</v>
      </c>
      <c r="U4" s="148">
        <f>IF(T4,LOOKUP(A4,Discrete_NFET[PARTNUMBER],Discrete_NFET[RDSON10])*1000,IF(S4,LOOKUP(A4,Discrete_NFET[PARTNUMBER],Discrete_NFET[RDSON8])*1000,IF(R4,LOOKUP(A4,Discrete_NFET[PARTNUMBER],Discrete_NFET[RDSON6])*1000,IF(Q4,LOOKUP(A4,Discrete_NFET[PARTNUMBER],Discrete_NFET[RDSON45])*1000,IF(P4,LOOKUP(A4,Discrete_NFET[PARTNUMBER],Discrete_NFET[RDSON3])*1000,IF(O4,LOOKUP(A4,Discrete_NFET[PARTNUMBER],Discrete_NFET[RDSON25])*1000,""))))))</f>
        <v>2.6</v>
      </c>
      <c r="V4" s="48">
        <f>IF(AND(A4&lt;&gt;0,A4&lt;&gt;""),U4*(1+(Tj-25)*(LOOKUP(A4,Discrete_NFET[PARTNUMBER],Discrete_NFET[RDSDELTA])/((LOOKUP(A4,Discrete_NFET[PARTNUMBER],Discrete_NFET[TJMAX])-25)))),"")</f>
        <v>2.9171999999999998</v>
      </c>
      <c r="W4" s="35">
        <f>IF(AND($A4&lt;&gt;0,$A4&lt;&gt;""),LOOKUP($A4,Discrete_NFET[PARTNUMBER],Discrete_NFET[QGS]),"")</f>
        <v>5.7</v>
      </c>
      <c r="X4" s="35">
        <f>IF(AND($A4&lt;&gt;0,$A4&lt;&gt;""),LOOKUP($A4,Discrete_NFET[PARTNUMBER],Discrete_NFET[QGD]),"")</f>
        <v>4.3</v>
      </c>
      <c r="Y4" s="35">
        <f>IF(AND($A4&lt;&gt;0,$A4&lt;&gt;""),LOOKUP($A4,Discrete_NFET[PARTNUMBER],Discrete_NFET[QGTH]),"")</f>
        <v>2.9</v>
      </c>
      <c r="Z4" s="35">
        <f t="shared" ref="Z4:Z67" si="28">IF(AND(A4&lt;&gt;0,A4&lt;&gt;""),W4+X4-Y4,"")</f>
        <v>7.1</v>
      </c>
      <c r="AA4" s="35">
        <f>IF(AND($A4&lt;&gt;0,$A4&lt;&gt;""),LOOKUP($A4,Discrete_NFET[PARTNUMBER],Discrete_NFET[QOSSTYP]),"")</f>
        <v>35</v>
      </c>
      <c r="AB4" s="35">
        <f>IF(AND($A4&lt;&gt;0,$A4&lt;&gt;""),LOOKUP($A4,Discrete_NFET[PARTNUMBER],Discrete_NFET[QRR]),"")</f>
        <v>50</v>
      </c>
      <c r="AC4" s="35">
        <f>IF(AND(A4&lt;&gt;0,A4&lt;&gt;""),LOOKUP(A4,Discrete_NFET[PARTNUMBER],Discrete_NFET[VF_TYP]),"")</f>
        <v>0.8</v>
      </c>
      <c r="AD4" s="127">
        <f>IF(AND($A4&lt;&gt;0,$A4&lt;&gt;"",OR(RIGHT(Logic!B4,2)="C)",LEFT(Logic!B4,4)="CSD1")),(1+(1-DUTY))*IM_RMS_120^2*V4*m/3/Num_FETS2,"")</f>
        <v>0.12275652123730375</v>
      </c>
      <c r="AE4" s="127">
        <f>IF(AND($A4&lt;&gt;0,$A4&lt;&gt;"",OR(RIGHT(Logic!B4,2)="C)",LEFT(Logic!B4,4)="CSD1")),Num_FETS2*0.5*IM_RMS_120*VDC_AVG*Z4*n*MOT_ELEC_FREQ/GDR_SRC,"")</f>
        <v>2.2897316821465423E-5</v>
      </c>
      <c r="AF4" s="127">
        <f>IF(AND($A4&lt;&gt;0,$A4&lt;&gt;"",OR(RIGHT(Logic!B4,2)="C)",LEFT(Logic!B4,4)="CSD1")),Num_FETS2*0.5*IM_RMS_120*VDC_AVG*Z4*n*MOT_ELEC_FREQ/GDR_SINK,"")</f>
        <v>1.557017543859649E-5</v>
      </c>
      <c r="AG4" s="127">
        <f>IF(AND($A4&lt;&gt;0,$A4&lt;&gt;"",OR(RIGHT(Logic!B4,2)="T)",LEFT(Logic!B4,4)="CSD1")),DUTY*IM_RMS_120^2*V4*m/3/Num_FETS2,"")</f>
        <v>0.11106542397660814</v>
      </c>
      <c r="AH4" s="127">
        <f>IF(AND($A4&lt;&gt;0,$A4&lt;&gt;"",OR(RIGHT(Logic!B4,2)="T)",LEFT(Logic!B4,4)="CSD1")),Num_FETS2*0.5*IM_RMS_120*VDC_AVG*Z4*n*FSW*k/GDR_SRC/3,"")</f>
        <v>4.5794633642930842E-3</v>
      </c>
      <c r="AI4" s="127">
        <f>IF(AND($A4&lt;&gt;0,$A4&lt;&gt;"",OR(RIGHT(Logic!B4,2)="T)",LEFT(Logic!B4,4)="CSD1")),Num_FETS2*0.5*IM_RMS_120*VDC_AVG*Z4*n*FSW*k/GDR_SINK/3,"")</f>
        <v>3.1140350877192978E-3</v>
      </c>
      <c r="AJ4" s="127">
        <f t="shared" si="7"/>
        <v>4.2000000000000006E-3</v>
      </c>
      <c r="AK4" s="127">
        <f t="shared" si="12"/>
        <v>1.2414567897146714E-2</v>
      </c>
      <c r="AL4" s="127">
        <f t="shared" si="9"/>
        <v>1.2020000000000001E-2</v>
      </c>
      <c r="AM4" s="127">
        <f t="shared" ref="AM4:AM67" si="29">IF(AND($A4&lt;&gt;0,$A4&lt;&gt;""),6*0.5*AC4*IM_PEAK*MOT_COM_TIME*m*MOT_ELEC_FREQ,"")</f>
        <v>0.37243703691440144</v>
      </c>
      <c r="AN4" s="127">
        <f>IF(AND($A4&lt;&gt;0,$A4&lt;&gt;"",OR(RIGHT(Logic!B4,2)="C)",LEFT(Logic!B4,4)="CSD1")),SUM(AD4:AF4)+(AJ4/3)+AK4+AL4/6+AM4/6,AN5)</f>
        <v>0.20068572944577745</v>
      </c>
      <c r="AO4" s="127">
        <f>IF(AND($A4&lt;&gt;0,$A4&lt;&gt;"",OR(RIGHT(Logic!B4,2)="T)",LEFT(Logic!B4,4)="CSD1")),SUM(AG4:AI4)+(AJ4/3)+AL4/6+AM4/6,AO3)</f>
        <v>0.18423509524768741</v>
      </c>
      <c r="AP4" s="48">
        <f t="shared" ref="AP4:AP67" si="30">IF(AND($A4&lt;&gt;0,$A4&lt;&gt;""),ROUND(SUM(AN4:AO4),2),"")</f>
        <v>0.38</v>
      </c>
      <c r="AQ4" s="35" t="str">
        <f>IF(AND(A4&lt;&gt;0,A4&lt;&gt;""),LOOKUP(A4,Discrete_NFET[PARTNUMBER],Discrete_NFET[TI_EQ_PACKAGE]),"")</f>
        <v>SON5X6</v>
      </c>
      <c r="AR4" s="49">
        <f>IF(AND(A4&lt;&gt;0,A4&lt;&gt;""),LOOKUP(A4,Discrete_NFET[PARTNUMBER],Discrete_NFET[1KPRICE]),"")</f>
        <v>0.51</v>
      </c>
      <c r="AS4" s="35" t="str">
        <f>IF(AND($A4&lt;&gt;0,$A4&lt;&gt;""),CONCATENATE(TEXT(AP4,"0.00"),"W, ",IF('User Input'!G$11="Single Discrete",A4,IF('User Input'!G$11="Dual/Power Block",LEFT(A4,FIND(")",A4)-7),A4)),", ",AQ4,", ",TEXT(AR4,"$0.00")),"Invalid Part")</f>
        <v>0.38W, CSD17301Q5A, SON5X6, $0.51</v>
      </c>
      <c r="AT4" t="s">
        <v>824</v>
      </c>
      <c r="AU4" s="35" t="e">
        <f>IF(AND($A4&lt;&gt;0,$A4&lt;&gt;""),IF(VDC_RATED&gt;7,LOOKUP($A4,Discrete_NFET[PARTNUMBER],Discrete_NFET[QG10TYP]),LOOKUP($A4,Discrete_NFET[PARTNUMBER],Discrete_NFET[QG10TYP])),"")</f>
        <v>#NAME?</v>
      </c>
      <c r="AW4"/>
    </row>
    <row r="5" spans="1:54" ht="15" customHeight="1" x14ac:dyDescent="0.25">
      <c r="A5" s="35" t="str">
        <f>IF(OR(AND(FET_config2="Dual/Power Block",LEFT(Logic!B5,4)="CSD8"),AND(FET_config2="Single Discrete",LEFT(Logic!B5,4)="CSD1")),Logic!B5,"")</f>
        <v>CSD17302Q5A</v>
      </c>
      <c r="B5" s="37" t="str">
        <f>IF(OR($A5=0,$A5=""),"0",IF(LOOKUP($A5,Discrete_NFET[PARTNUMBER],Discrete_NFET[RDSON25])="(NULL)","0","1"))</f>
        <v>0</v>
      </c>
      <c r="C5" s="38" t="str">
        <f>IF(OR($A5=0,$A5=""),"0",IF(LOOKUP($A5,Discrete_NFET[PARTNUMBER],Discrete_NFET[RDSON3])="(NULL)","0","1"))</f>
        <v>1</v>
      </c>
      <c r="D5" s="40" t="str">
        <f>IF(OR($A5=0,$A5=""),"0",IF(LOOKUP($A5,Discrete_NFET[PARTNUMBER],Discrete_NFET[RDSON45])="(NULL)","0","1"))</f>
        <v>1</v>
      </c>
      <c r="E5" s="45" t="str">
        <f>IF(OR($A5=0,$A5=""),"0",IF(LOOKUP($A5,Discrete_NFET[PARTNUMBER],Discrete_NFET[RDSON6])="(NULL)","0","1"))</f>
        <v>0</v>
      </c>
      <c r="F5" s="34" t="str">
        <f>IF(OR($A5=0,$A5=""),"0",IF(LOOKUP($A5,Discrete_NFET[PARTNUMBER],Discrete_NFET[RDSON8])="(NULL)","0","1"))</f>
        <v>1</v>
      </c>
      <c r="G5" s="43" t="str">
        <f>IF(OR($A5=0,$A5=""),"0",IF(LOOKUP($A5,Discrete_NFET[PARTNUMBER],Discrete_NFET[RDSON10])="(NULL)","0","1"))</f>
        <v>0</v>
      </c>
      <c r="H5" s="36" t="b">
        <f t="shared" si="15"/>
        <v>0</v>
      </c>
      <c r="I5" s="39" t="b">
        <f t="shared" si="16"/>
        <v>1</v>
      </c>
      <c r="J5" s="41" t="b">
        <f t="shared" si="17"/>
        <v>1</v>
      </c>
      <c r="K5" s="46" t="b">
        <f t="shared" si="18"/>
        <v>0</v>
      </c>
      <c r="L5" s="42" t="b">
        <f t="shared" si="19"/>
        <v>1</v>
      </c>
      <c r="M5" s="44" t="b">
        <f t="shared" si="20"/>
        <v>0</v>
      </c>
      <c r="N5" s="47" t="b">
        <f t="shared" si="21"/>
        <v>1</v>
      </c>
      <c r="O5" s="36" t="b">
        <f t="shared" si="22"/>
        <v>0</v>
      </c>
      <c r="P5" s="39" t="b">
        <f t="shared" si="23"/>
        <v>1</v>
      </c>
      <c r="Q5" s="41" t="b">
        <f t="shared" si="24"/>
        <v>1</v>
      </c>
      <c r="R5" s="46" t="b">
        <f t="shared" si="25"/>
        <v>0</v>
      </c>
      <c r="S5" s="42" t="b">
        <f t="shared" si="26"/>
        <v>1</v>
      </c>
      <c r="T5" s="44" t="b">
        <f t="shared" si="27"/>
        <v>0</v>
      </c>
      <c r="U5" s="148">
        <f>IF(T5,LOOKUP(A5,Discrete_NFET[PARTNUMBER],Discrete_NFET[RDSON10])*1000,IF(S5,LOOKUP(A5,Discrete_NFET[PARTNUMBER],Discrete_NFET[RDSON8])*1000,IF(R5,LOOKUP(A5,Discrete_NFET[PARTNUMBER],Discrete_NFET[RDSON6])*1000,IF(Q5,LOOKUP(A5,Discrete_NFET[PARTNUMBER],Discrete_NFET[RDSON45])*1000,IF(P5,LOOKUP(A5,Discrete_NFET[PARTNUMBER],Discrete_NFET[RDSON3])*1000,IF(O5,LOOKUP(A5,Discrete_NFET[PARTNUMBER],Discrete_NFET[RDSON25])*1000,""))))))</f>
        <v>7.9</v>
      </c>
      <c r="V5" s="48">
        <f>IF(AND(A5&lt;&gt;0,A5&lt;&gt;""),U5*(1+(Tj-25)*(LOOKUP(A5,Discrete_NFET[PARTNUMBER],Discrete_NFET[RDSDELTA])/((LOOKUP(A5,Discrete_NFET[PARTNUMBER],Discrete_NFET[TJMAX])-25)))),"")</f>
        <v>8.7848000000000006</v>
      </c>
      <c r="W5" s="35">
        <f>IF(AND($A5&lt;&gt;0,$A5&lt;&gt;""),LOOKUP($A5,Discrete_NFET[PARTNUMBER],Discrete_NFET[QGS]),"")</f>
        <v>1.7</v>
      </c>
      <c r="X5" s="35">
        <f>IF(AND($A5&lt;&gt;0,$A5&lt;&gt;""),LOOKUP($A5,Discrete_NFET[PARTNUMBER],Discrete_NFET[QGD]),"")</f>
        <v>1.2</v>
      </c>
      <c r="Y5" s="35">
        <f>IF(AND($A5&lt;&gt;0,$A5&lt;&gt;""),LOOKUP($A5,Discrete_NFET[PARTNUMBER],Discrete_NFET[QGTH]),"")</f>
        <v>0.9</v>
      </c>
      <c r="Z5" s="35">
        <f t="shared" si="28"/>
        <v>2</v>
      </c>
      <c r="AA5" s="35">
        <f>IF(AND($A5&lt;&gt;0,$A5&lt;&gt;""),LOOKUP($A5,Discrete_NFET[PARTNUMBER],Discrete_NFET[QOSSTYP]),"")</f>
        <v>9.5</v>
      </c>
      <c r="AB5" s="35">
        <f>IF(AND($A5&lt;&gt;0,$A5&lt;&gt;""),LOOKUP($A5,Discrete_NFET[PARTNUMBER],Discrete_NFET[QRR]),"")</f>
        <v>15.4</v>
      </c>
      <c r="AC5" s="35">
        <f>IF(AND(A5&lt;&gt;0,A5&lt;&gt;""),LOOKUP(A5,Discrete_NFET[PARTNUMBER],Discrete_NFET[VF_TYP]),"")</f>
        <v>0.85</v>
      </c>
      <c r="AD5" s="127">
        <f>IF(AND($A5&lt;&gt;0,$A5&lt;&gt;"",OR(RIGHT(Logic!B5,2)="C)",LEFT(Logic!B5,4)="CSD1")),(1+(1-DUTY))*IM_RMS_120^2*V5*m/3/Num_FETS2,"")</f>
        <v>0.36966662819329027</v>
      </c>
      <c r="AE5" s="127">
        <f>IF(AND($A5&lt;&gt;0,$A5&lt;&gt;"",OR(RIGHT(Logic!B5,2)="C)",LEFT(Logic!B5,4)="CSD1")),Num_FETS2*0.5*IM_RMS_120*VDC_AVG*Z5*n*MOT_ELEC_FREQ/GDR_SRC,"")</f>
        <v>6.4499484004127957E-6</v>
      </c>
      <c r="AF5" s="127">
        <f>IF(AND($A5&lt;&gt;0,$A5&lt;&gt;"",OR(RIGHT(Logic!B5,2)="C)",LEFT(Logic!B5,4)="CSD1")),Num_FETS2*0.5*IM_RMS_120*VDC_AVG*Z5*n*MOT_ELEC_FREQ/GDR_SINK,"")</f>
        <v>4.3859649122807014E-6</v>
      </c>
      <c r="AG5" s="127">
        <f>IF(AND($A5&lt;&gt;0,$A5&lt;&gt;"",OR(RIGHT(Logic!B5,2)="T)",LEFT(Logic!B5,4)="CSD1")),DUTY*IM_RMS_120^2*V5*m/3/Num_FETS2,"")</f>
        <v>0.33446028265107208</v>
      </c>
      <c r="AH5" s="127">
        <f>IF(AND($A5&lt;&gt;0,$A5&lt;&gt;"",OR(RIGHT(Logic!B5,2)="T)",LEFT(Logic!B5,4)="CSD1")),Num_FETS2*0.5*IM_RMS_120*VDC_AVG*Z5*n*FSW*k/GDR_SRC/3,"")</f>
        <v>1.2899896800825591E-3</v>
      </c>
      <c r="AI5" s="127">
        <f>IF(AND($A5&lt;&gt;0,$A5&lt;&gt;"",OR(RIGHT(Logic!B5,2)="T)",LEFT(Logic!B5,4)="CSD1")),Num_FETS2*0.5*IM_RMS_120*VDC_AVG*Z5*n*FSW*k/GDR_SINK/3,"")</f>
        <v>8.7719298245614015E-4</v>
      </c>
      <c r="AJ5" s="127">
        <f t="shared" si="7"/>
        <v>1.1400000000000002E-3</v>
      </c>
      <c r="AK5" s="127">
        <f t="shared" si="12"/>
        <v>1.3190478390718382E-2</v>
      </c>
      <c r="AL5" s="127">
        <f t="shared" si="9"/>
        <v>3.7021600000000003E-3</v>
      </c>
      <c r="AM5" s="127">
        <f t="shared" si="29"/>
        <v>0.39571435172155139</v>
      </c>
      <c r="AN5" s="127">
        <f>IF(AND($A5&lt;&gt;0,$A5&lt;&gt;"",OR(RIGHT(Logic!B5,2)="C)",LEFT(Logic!B5,4)="CSD1")),SUM(AD5:AF5)+(AJ5/3)+AK5+AL5/6+AM5/6,AN6)</f>
        <v>0.44981736111757997</v>
      </c>
      <c r="AO5" s="127">
        <f>IF(AND($A5&lt;&gt;0,$A5&lt;&gt;"",OR(RIGHT(Logic!B5,2)="T)",LEFT(Logic!B5,4)="CSD1")),SUM(AG5:AI5)+(AJ5/3)+AL5/6+AM5/6,AO4)</f>
        <v>0.40357688393386937</v>
      </c>
      <c r="AP5" s="48">
        <f t="shared" si="30"/>
        <v>0.85</v>
      </c>
      <c r="AQ5" s="35" t="str">
        <f>IF(AND(A5&lt;&gt;0,A5&lt;&gt;""),LOOKUP(A5,Discrete_NFET[PARTNUMBER],Discrete_NFET[TI_EQ_PACKAGE]),"")</f>
        <v>SON5X6</v>
      </c>
      <c r="AR5" s="49">
        <f>IF(AND(A5&lt;&gt;0,A5&lt;&gt;""),LOOKUP(A5,Discrete_NFET[PARTNUMBER],Discrete_NFET[1KPRICE]),"")</f>
        <v>0.28999999999999998</v>
      </c>
      <c r="AS5" s="35" t="str">
        <f>IF(AND($A5&lt;&gt;0,$A5&lt;&gt;""),CONCATENATE(TEXT(AP5,"0.00"),"W, ",IF('User Input'!G$11="Single Discrete",A5,IF('User Input'!G$11="Dual/Power Block",LEFT(A5,FIND(")",A5)-7),A5)),", ",AQ5,", ",TEXT(AR5,"$0.00")),"Invalid Part")</f>
        <v>0.85W, CSD17302Q5A, SON5X6, $0.29</v>
      </c>
      <c r="AT5" t="s">
        <v>826</v>
      </c>
      <c r="AW5"/>
    </row>
    <row r="6" spans="1:54" ht="15" customHeight="1" x14ac:dyDescent="0.25">
      <c r="A6" s="35" t="str">
        <f>IF(OR(AND(FET_config2="Dual/Power Block",LEFT(Logic!B6,4)="CSD8"),AND(FET_config2="Single Discrete",LEFT(Logic!B6,4)="CSD1")),Logic!B6,"")</f>
        <v>CSD17303Q5</v>
      </c>
      <c r="B6" s="37" t="str">
        <f>IF(OR($A6=0,$A6=""),"0",IF(LOOKUP($A6,Discrete_NFET[PARTNUMBER],Discrete_NFET[RDSON25])="(NULL)","0","1"))</f>
        <v>0</v>
      </c>
      <c r="C6" s="38" t="str">
        <f>IF(OR($A6=0,$A6=""),"0",IF(LOOKUP($A6,Discrete_NFET[PARTNUMBER],Discrete_NFET[RDSON3])="(NULL)","0","1"))</f>
        <v>1</v>
      </c>
      <c r="D6" s="40" t="str">
        <f>IF(OR($A6=0,$A6=""),"0",IF(LOOKUP($A6,Discrete_NFET[PARTNUMBER],Discrete_NFET[RDSON45])="(NULL)","0","1"))</f>
        <v>1</v>
      </c>
      <c r="E6" s="45" t="str">
        <f>IF(OR($A6=0,$A6=""),"0",IF(LOOKUP($A6,Discrete_NFET[PARTNUMBER],Discrete_NFET[RDSON6])="(NULL)","0","1"))</f>
        <v>0</v>
      </c>
      <c r="F6" s="34" t="str">
        <f>IF(OR($A6=0,$A6=""),"0",IF(LOOKUP($A6,Discrete_NFET[PARTNUMBER],Discrete_NFET[RDSON8])="(NULL)","0","1"))</f>
        <v>1</v>
      </c>
      <c r="G6" s="43" t="str">
        <f>IF(OR($A6=0,$A6=""),"0",IF(LOOKUP($A6,Discrete_NFET[PARTNUMBER],Discrete_NFET[RDSON10])="(NULL)","0","1"))</f>
        <v>0</v>
      </c>
      <c r="H6" s="36" t="b">
        <f t="shared" si="15"/>
        <v>0</v>
      </c>
      <c r="I6" s="39" t="b">
        <f t="shared" si="16"/>
        <v>1</v>
      </c>
      <c r="J6" s="41" t="b">
        <f t="shared" si="17"/>
        <v>1</v>
      </c>
      <c r="K6" s="46" t="b">
        <f t="shared" si="18"/>
        <v>0</v>
      </c>
      <c r="L6" s="42" t="b">
        <f t="shared" si="19"/>
        <v>1</v>
      </c>
      <c r="M6" s="44" t="b">
        <f t="shared" si="20"/>
        <v>0</v>
      </c>
      <c r="N6" s="47" t="b">
        <f t="shared" si="21"/>
        <v>1</v>
      </c>
      <c r="O6" s="36" t="b">
        <f t="shared" si="22"/>
        <v>0</v>
      </c>
      <c r="P6" s="39" t="b">
        <f t="shared" si="23"/>
        <v>1</v>
      </c>
      <c r="Q6" s="41" t="b">
        <f t="shared" si="24"/>
        <v>1</v>
      </c>
      <c r="R6" s="46" t="b">
        <f t="shared" si="25"/>
        <v>0</v>
      </c>
      <c r="S6" s="42" t="b">
        <f t="shared" si="26"/>
        <v>1</v>
      </c>
      <c r="T6" s="44" t="b">
        <f t="shared" si="27"/>
        <v>0</v>
      </c>
      <c r="U6" s="148">
        <f>IF(T6,LOOKUP(A6,Discrete_NFET[PARTNUMBER],Discrete_NFET[RDSON10])*1000,IF(S6,LOOKUP(A6,Discrete_NFET[PARTNUMBER],Discrete_NFET[RDSON8])*1000,IF(R6,LOOKUP(A6,Discrete_NFET[PARTNUMBER],Discrete_NFET[RDSON6])*1000,IF(Q6,LOOKUP(A6,Discrete_NFET[PARTNUMBER],Discrete_NFET[RDSON45])*1000,IF(P6,LOOKUP(A6,Discrete_NFET[PARTNUMBER],Discrete_NFET[RDSON3])*1000,IF(O6,LOOKUP(A6,Discrete_NFET[PARTNUMBER],Discrete_NFET[RDSON25])*1000,""))))))</f>
        <v>2.4</v>
      </c>
      <c r="V6" s="48">
        <f>IF(AND(A6&lt;&gt;0,A6&lt;&gt;""),U6*(1+(Tj-25)*(LOOKUP(A6,Discrete_NFET[PARTNUMBER],Discrete_NFET[RDSDELTA])/((LOOKUP(A6,Discrete_NFET[PARTNUMBER],Discrete_NFET[TJMAX])-25)))),"")</f>
        <v>2.6064000000000003</v>
      </c>
      <c r="W6" s="35">
        <f>IF(AND($A6&lt;&gt;0,$A6&lt;&gt;""),LOOKUP($A6,Discrete_NFET[PARTNUMBER],Discrete_NFET[QGS]),"")</f>
        <v>5.6</v>
      </c>
      <c r="X6" s="35">
        <f>IF(AND($A6&lt;&gt;0,$A6&lt;&gt;""),LOOKUP($A6,Discrete_NFET[PARTNUMBER],Discrete_NFET[QGD]),"")</f>
        <v>4</v>
      </c>
      <c r="Y6" s="35">
        <f>IF(AND($A6&lt;&gt;0,$A6&lt;&gt;""),LOOKUP($A6,Discrete_NFET[PARTNUMBER],Discrete_NFET[QGTH]),"")</f>
        <v>3</v>
      </c>
      <c r="Z6" s="35">
        <f t="shared" si="28"/>
        <v>6.6</v>
      </c>
      <c r="AA6" s="35">
        <f>IF(AND($A6&lt;&gt;0,$A6&lt;&gt;""),LOOKUP($A6,Discrete_NFET[PARTNUMBER],Discrete_NFET[QOSSTYP]),"")</f>
        <v>34</v>
      </c>
      <c r="AB6" s="35">
        <f>IF(AND($A6&lt;&gt;0,$A6&lt;&gt;""),LOOKUP($A6,Discrete_NFET[PARTNUMBER],Discrete_NFET[QRR]),"")</f>
        <v>50</v>
      </c>
      <c r="AC6" s="35">
        <f>IF(AND(A6&lt;&gt;0,A6&lt;&gt;""),LOOKUP(A6,Discrete_NFET[PARTNUMBER],Discrete_NFET[VF_TYP]),"")</f>
        <v>0.8</v>
      </c>
      <c r="AD6" s="127">
        <f>IF(AND($A6&lt;&gt;0,$A6&lt;&gt;"",OR(RIGHT(Logic!B6,2)="C)",LEFT(Logic!B6,4)="CSD1")),(1+(1-DUTY))*IM_RMS_120^2*V6*m/3/Num_FETS2,"")</f>
        <v>0.10967797783933518</v>
      </c>
      <c r="AE6" s="127">
        <f>IF(AND($A6&lt;&gt;0,$A6&lt;&gt;"",OR(RIGHT(Logic!B6,2)="C)",LEFT(Logic!B6,4)="CSD1")),Num_FETS2*0.5*IM_RMS_120*VDC_AVG*Z6*n*MOT_ELEC_FREQ/GDR_SRC,"")</f>
        <v>2.1284829721362229E-5</v>
      </c>
      <c r="AF6" s="127">
        <f>IF(AND($A6&lt;&gt;0,$A6&lt;&gt;"",OR(RIGHT(Logic!B6,2)="C)",LEFT(Logic!B6,4)="CSD1")),Num_FETS2*0.5*IM_RMS_120*VDC_AVG*Z6*n*MOT_ELEC_FREQ/GDR_SINK,"")</f>
        <v>1.4473684210526317E-5</v>
      </c>
      <c r="AG6" s="127">
        <f>IF(AND($A6&lt;&gt;0,$A6&lt;&gt;"",OR(RIGHT(Logic!B6,2)="T)",LEFT(Logic!B6,4)="CSD1")),DUTY*IM_RMS_120^2*V6*m/3/Num_FETS2,"")</f>
        <v>9.9232456140350866E-2</v>
      </c>
      <c r="AH6" s="127">
        <f>IF(AND($A6&lt;&gt;0,$A6&lt;&gt;"",OR(RIGHT(Logic!B6,2)="T)",LEFT(Logic!B6,4)="CSD1")),Num_FETS2*0.5*IM_RMS_120*VDC_AVG*Z6*n*FSW*k/GDR_SRC/3,"")</f>
        <v>4.2569659442724464E-3</v>
      </c>
      <c r="AI6" s="127">
        <f>IF(AND($A6&lt;&gt;0,$A6&lt;&gt;"",OR(RIGHT(Logic!B6,2)="T)",LEFT(Logic!B6,4)="CSD1")),Num_FETS2*0.5*IM_RMS_120*VDC_AVG*Z6*n*FSW*k/GDR_SINK/3,"")</f>
        <v>2.8947368421052637E-3</v>
      </c>
      <c r="AJ6" s="127">
        <f t="shared" si="7"/>
        <v>4.0800000000000003E-3</v>
      </c>
      <c r="AK6" s="127">
        <f t="shared" si="12"/>
        <v>1.2414567897146714E-2</v>
      </c>
      <c r="AL6" s="127">
        <f t="shared" si="9"/>
        <v>1.2020000000000001E-2</v>
      </c>
      <c r="AM6" s="127">
        <f t="shared" si="29"/>
        <v>0.37243703691440144</v>
      </c>
      <c r="AN6" s="127">
        <f>IF(AND($A6&lt;&gt;0,$A6&lt;&gt;"",OR(RIGHT(Logic!B6,2)="C)",LEFT(Logic!B6,4)="CSD1")),SUM(AD6:AF6)+(AJ6/3)+AK6+AL6/6+AM6/6,AN7)</f>
        <v>0.18756447706948071</v>
      </c>
      <c r="AO6" s="127">
        <f>IF(AND($A6&lt;&gt;0,$A6&lt;&gt;"",OR(RIGHT(Logic!B6,2)="T)",LEFT(Logic!B6,4)="CSD1")),SUM(AG6:AI6)+(AJ6/3)+AL6/6+AM6/6,AO5)</f>
        <v>0.17182033174579547</v>
      </c>
      <c r="AP6" s="48">
        <f t="shared" si="30"/>
        <v>0.36</v>
      </c>
      <c r="AQ6" s="35" t="str">
        <f>IF(AND(A6&lt;&gt;0,A6&lt;&gt;""),LOOKUP(A6,Discrete_NFET[PARTNUMBER],Discrete_NFET[TI_EQ_PACKAGE]),"")</f>
        <v>SON5X6</v>
      </c>
      <c r="AR6" s="49">
        <f>IF(AND(A6&lt;&gt;0,A6&lt;&gt;""),LOOKUP(A6,Discrete_NFET[PARTNUMBER],Discrete_NFET[1KPRICE]),"")</f>
        <v>0.56000000000000005</v>
      </c>
      <c r="AS6" s="35" t="str">
        <f>IF(AND($A6&lt;&gt;0,$A6&lt;&gt;""),CONCATENATE(TEXT(AP6,"0.00"),"W, ",IF('User Input'!G$11="Single Discrete",A6,IF('User Input'!G$11="Dual/Power Block",LEFT(A6,FIND(")",A6)-7),A6)),", ",AQ6,", ",TEXT(AR6,"$0.00")),"Invalid Part")</f>
        <v>0.36W, CSD17303Q5, SON5X6, $0.56</v>
      </c>
      <c r="AT6" t="s">
        <v>847</v>
      </c>
      <c r="AW6"/>
    </row>
    <row r="7" spans="1:54" ht="15" customHeight="1" x14ac:dyDescent="0.25">
      <c r="A7" s="35" t="str">
        <f>IF(OR(AND(FET_config2="Dual/Power Block",LEFT(Logic!B7,4)="CSD8"),AND(FET_config2="Single Discrete",LEFT(Logic!B7,4)="CSD1")),Logic!B7,"")</f>
        <v>CSD17304Q3</v>
      </c>
      <c r="B7" s="37" t="str">
        <f>IF(OR($A7=0,$A7=""),"0",IF(LOOKUP($A7,Discrete_NFET[PARTNUMBER],Discrete_NFET[RDSON25])="(NULL)","0","1"))</f>
        <v>0</v>
      </c>
      <c r="C7" s="38" t="str">
        <f>IF(OR($A7=0,$A7=""),"0",IF(LOOKUP($A7,Discrete_NFET[PARTNUMBER],Discrete_NFET[RDSON3])="(NULL)","0","1"))</f>
        <v>1</v>
      </c>
      <c r="D7" s="40" t="str">
        <f>IF(OR($A7=0,$A7=""),"0",IF(LOOKUP($A7,Discrete_NFET[PARTNUMBER],Discrete_NFET[RDSON45])="(NULL)","0","1"))</f>
        <v>1</v>
      </c>
      <c r="E7" s="45" t="str">
        <f>IF(OR($A7=0,$A7=""),"0",IF(LOOKUP($A7,Discrete_NFET[PARTNUMBER],Discrete_NFET[RDSON6])="(NULL)","0","1"))</f>
        <v>0</v>
      </c>
      <c r="F7" s="34" t="str">
        <f>IF(OR($A7=0,$A7=""),"0",IF(LOOKUP($A7,Discrete_NFET[PARTNUMBER],Discrete_NFET[RDSON8])="(NULL)","0","1"))</f>
        <v>1</v>
      </c>
      <c r="G7" s="43" t="str">
        <f>IF(OR($A7=0,$A7=""),"0",IF(LOOKUP($A7,Discrete_NFET[PARTNUMBER],Discrete_NFET[RDSON10])="(NULL)","0","1"))</f>
        <v>0</v>
      </c>
      <c r="H7" s="36" t="b">
        <f t="shared" si="15"/>
        <v>0</v>
      </c>
      <c r="I7" s="39" t="b">
        <f t="shared" si="16"/>
        <v>1</v>
      </c>
      <c r="J7" s="41" t="b">
        <f t="shared" si="17"/>
        <v>1</v>
      </c>
      <c r="K7" s="46" t="b">
        <f t="shared" si="18"/>
        <v>0</v>
      </c>
      <c r="L7" s="42" t="b">
        <f t="shared" si="19"/>
        <v>1</v>
      </c>
      <c r="M7" s="44" t="b">
        <f t="shared" si="20"/>
        <v>0</v>
      </c>
      <c r="N7" s="47" t="b">
        <f t="shared" si="21"/>
        <v>1</v>
      </c>
      <c r="O7" s="36" t="b">
        <f t="shared" si="22"/>
        <v>0</v>
      </c>
      <c r="P7" s="39" t="b">
        <f t="shared" si="23"/>
        <v>1</v>
      </c>
      <c r="Q7" s="41" t="b">
        <f t="shared" si="24"/>
        <v>1</v>
      </c>
      <c r="R7" s="46" t="b">
        <f t="shared" si="25"/>
        <v>0</v>
      </c>
      <c r="S7" s="42" t="b">
        <f t="shared" si="26"/>
        <v>1</v>
      </c>
      <c r="T7" s="44" t="b">
        <f t="shared" si="27"/>
        <v>0</v>
      </c>
      <c r="U7" s="148">
        <f>IF(T7,LOOKUP(A7,Discrete_NFET[PARTNUMBER],Discrete_NFET[RDSON10])*1000,IF(S7,LOOKUP(A7,Discrete_NFET[PARTNUMBER],Discrete_NFET[RDSON8])*1000,IF(R7,LOOKUP(A7,Discrete_NFET[PARTNUMBER],Discrete_NFET[RDSON6])*1000,IF(Q7,LOOKUP(A7,Discrete_NFET[PARTNUMBER],Discrete_NFET[RDSON45])*1000,IF(P7,LOOKUP(A7,Discrete_NFET[PARTNUMBER],Discrete_NFET[RDSON3])*1000,IF(O7,LOOKUP(A7,Discrete_NFET[PARTNUMBER],Discrete_NFET[RDSON25])*1000,""))))))</f>
        <v>7.5</v>
      </c>
      <c r="V7" s="48">
        <f>IF(AND(A7&lt;&gt;0,A7&lt;&gt;""),U7*(1+(Tj-25)*(LOOKUP(A7,Discrete_NFET[PARTNUMBER],Discrete_NFET[RDSDELTA])/((LOOKUP(A7,Discrete_NFET[PARTNUMBER],Discrete_NFET[TJMAX])-25)))),"")</f>
        <v>8.2650000000000006</v>
      </c>
      <c r="W7" s="35">
        <f>IF(AND($A7&lt;&gt;0,$A7&lt;&gt;""),LOOKUP($A7,Discrete_NFET[PARTNUMBER],Discrete_NFET[QGS]),"")</f>
        <v>1.8</v>
      </c>
      <c r="X7" s="35">
        <f>IF(AND($A7&lt;&gt;0,$A7&lt;&gt;""),LOOKUP($A7,Discrete_NFET[PARTNUMBER],Discrete_NFET[QGD]),"")</f>
        <v>1.1000000000000001</v>
      </c>
      <c r="Y7" s="35">
        <f>IF(AND($A7&lt;&gt;0,$A7&lt;&gt;""),LOOKUP($A7,Discrete_NFET[PARTNUMBER],Discrete_NFET[QGTH]),"")</f>
        <v>0.9</v>
      </c>
      <c r="Z7" s="35">
        <f t="shared" si="28"/>
        <v>2.0000000000000004</v>
      </c>
      <c r="AA7" s="35">
        <f>IF(AND($A7&lt;&gt;0,$A7&lt;&gt;""),LOOKUP($A7,Discrete_NFET[PARTNUMBER],Discrete_NFET[QOSSTYP]),"")</f>
        <v>9.9</v>
      </c>
      <c r="AB7" s="35">
        <f>IF(AND($A7&lt;&gt;0,$A7&lt;&gt;""),LOOKUP($A7,Discrete_NFET[PARTNUMBER],Discrete_NFET[QRR]),"")</f>
        <v>14.5</v>
      </c>
      <c r="AC7" s="35">
        <f>IF(AND(A7&lt;&gt;0,A7&lt;&gt;""),LOOKUP(A7,Discrete_NFET[PARTNUMBER],Discrete_NFET[VF_TYP]),"")</f>
        <v>0.85</v>
      </c>
      <c r="AD7" s="127">
        <f>IF(AND($A7&lt;&gt;0,$A7&lt;&gt;"",OR(RIGHT(Logic!B7,2)="C)",LEFT(Logic!B7,4)="CSD1")),(1+(1-DUTY))*IM_RMS_120^2*V7*m/3/Num_FETS2,"")</f>
        <v>0.34779331140350878</v>
      </c>
      <c r="AE7" s="127">
        <f>IF(AND($A7&lt;&gt;0,$A7&lt;&gt;"",OR(RIGHT(Logic!B7,2)="C)",LEFT(Logic!B7,4)="CSD1")),Num_FETS2*0.5*IM_RMS_120*VDC_AVG*Z7*n*MOT_ELEC_FREQ/GDR_SRC,"")</f>
        <v>6.4499484004127974E-6</v>
      </c>
      <c r="AF7" s="127">
        <f>IF(AND($A7&lt;&gt;0,$A7&lt;&gt;"",OR(RIGHT(Logic!B7,2)="C)",LEFT(Logic!B7,4)="CSD1")),Num_FETS2*0.5*IM_RMS_120*VDC_AVG*Z7*n*MOT_ELEC_FREQ/GDR_SINK,"")</f>
        <v>4.3859649122807023E-6</v>
      </c>
      <c r="AG7" s="127">
        <f>IF(AND($A7&lt;&gt;0,$A7&lt;&gt;"",OR(RIGHT(Logic!B7,2)="T)",LEFT(Logic!B7,4)="CSD1")),DUTY*IM_RMS_120^2*V7*m/3/Num_FETS2,"")</f>
        <v>0.31467013888888884</v>
      </c>
      <c r="AH7" s="127">
        <f>IF(AND($A7&lt;&gt;0,$A7&lt;&gt;"",OR(RIGHT(Logic!B7,2)="T)",LEFT(Logic!B7,4)="CSD1")),Num_FETS2*0.5*IM_RMS_120*VDC_AVG*Z7*n*FSW*k/GDR_SRC/3,"")</f>
        <v>1.2899896800825596E-3</v>
      </c>
      <c r="AI7" s="127">
        <f>IF(AND($A7&lt;&gt;0,$A7&lt;&gt;"",OR(RIGHT(Logic!B7,2)="T)",LEFT(Logic!B7,4)="CSD1")),Num_FETS2*0.5*IM_RMS_120*VDC_AVG*Z7*n*FSW*k/GDR_SINK/3,"")</f>
        <v>8.7719298245614048E-4</v>
      </c>
      <c r="AJ7" s="127">
        <f t="shared" si="7"/>
        <v>1.188E-3</v>
      </c>
      <c r="AK7" s="127">
        <f t="shared" si="12"/>
        <v>1.3190478390718382E-2</v>
      </c>
      <c r="AL7" s="127">
        <f t="shared" si="9"/>
        <v>3.4858000000000003E-3</v>
      </c>
      <c r="AM7" s="127">
        <f t="shared" si="29"/>
        <v>0.39571435172155139</v>
      </c>
      <c r="AN7" s="127">
        <f>IF(AND($A7&lt;&gt;0,$A7&lt;&gt;"",OR(RIGHT(Logic!B7,2)="C)",LEFT(Logic!B7,4)="CSD1")),SUM(AD7:AF7)+(AJ7/3)+AK7+AL7/6+AM7/6,AN8)</f>
        <v>0.42792398432779843</v>
      </c>
      <c r="AO7" s="127">
        <f>IF(AND($A7&lt;&gt;0,$A7&lt;&gt;"",OR(RIGHT(Logic!B7,2)="T)",LEFT(Logic!B7,4)="CSD1")),SUM(AG7:AI7)+(AJ7/3)+AL7/6+AM7/6,AO6)</f>
        <v>0.38376668017168614</v>
      </c>
      <c r="AP7" s="48">
        <f t="shared" si="30"/>
        <v>0.81</v>
      </c>
      <c r="AQ7" s="35" t="str">
        <f>IF(AND(A7&lt;&gt;0,A7&lt;&gt;""),LOOKUP(A7,Discrete_NFET[PARTNUMBER],Discrete_NFET[TI_EQ_PACKAGE]),"")</f>
        <v>SON3X3</v>
      </c>
      <c r="AR7" s="49">
        <f>IF(AND(A7&lt;&gt;0,A7&lt;&gt;""),LOOKUP(A7,Discrete_NFET[PARTNUMBER],Discrete_NFET[1KPRICE]),"")</f>
        <v>0.25</v>
      </c>
      <c r="AS7" s="35" t="str">
        <f>IF(AND($A7&lt;&gt;0,$A7&lt;&gt;""),CONCATENATE(TEXT(AP7,"0.00"),"W, ",IF('User Input'!G$11="Single Discrete",A7,IF('User Input'!G$11="Dual/Power Block",LEFT(A7,FIND(")",A7)-7),A7)),", ",AQ7,", ",TEXT(AR7,"$0.00")),"Invalid Part")</f>
        <v>0.81W, CSD17304Q3, SON3X3, $0.25</v>
      </c>
      <c r="AT7" t="s">
        <v>805</v>
      </c>
      <c r="AW7"/>
    </row>
    <row r="8" spans="1:54" ht="15" customHeight="1" x14ac:dyDescent="0.25">
      <c r="A8" s="35" t="str">
        <f>IF(OR(AND(FET_config2="Dual/Power Block",LEFT(Logic!B8,4)="CSD8"),AND(FET_config2="Single Discrete",LEFT(Logic!B8,4)="CSD1")),Logic!B8,"")</f>
        <v>CSD17305Q5A</v>
      </c>
      <c r="B8" s="37" t="str">
        <f>IF(OR($A8=0,$A8=""),"0",IF(LOOKUP($A8,Discrete_NFET[PARTNUMBER],Discrete_NFET[RDSON25])="(NULL)","0","1"))</f>
        <v>0</v>
      </c>
      <c r="C8" s="38" t="str">
        <f>IF(OR($A8=0,$A8=""),"0",IF(LOOKUP($A8,Discrete_NFET[PARTNUMBER],Discrete_NFET[RDSON3])="(NULL)","0","1"))</f>
        <v>1</v>
      </c>
      <c r="D8" s="40" t="str">
        <f>IF(OR($A8=0,$A8=""),"0",IF(LOOKUP($A8,Discrete_NFET[PARTNUMBER],Discrete_NFET[RDSON45])="(NULL)","0","1"))</f>
        <v>1</v>
      </c>
      <c r="E8" s="45" t="str">
        <f>IF(OR($A8=0,$A8=""),"0",IF(LOOKUP($A8,Discrete_NFET[PARTNUMBER],Discrete_NFET[RDSON6])="(NULL)","0","1"))</f>
        <v>0</v>
      </c>
      <c r="F8" s="34" t="str">
        <f>IF(OR($A8=0,$A8=""),"0",IF(LOOKUP($A8,Discrete_NFET[PARTNUMBER],Discrete_NFET[RDSON8])="(NULL)","0","1"))</f>
        <v>1</v>
      </c>
      <c r="G8" s="43" t="str">
        <f>IF(OR($A8=0,$A8=""),"0",IF(LOOKUP($A8,Discrete_NFET[PARTNUMBER],Discrete_NFET[RDSON10])="(NULL)","0","1"))</f>
        <v>0</v>
      </c>
      <c r="H8" s="36" t="b">
        <f t="shared" si="15"/>
        <v>0</v>
      </c>
      <c r="I8" s="39" t="b">
        <f t="shared" si="16"/>
        <v>1</v>
      </c>
      <c r="J8" s="41" t="b">
        <f t="shared" si="17"/>
        <v>1</v>
      </c>
      <c r="K8" s="46" t="b">
        <f t="shared" si="18"/>
        <v>0</v>
      </c>
      <c r="L8" s="42" t="b">
        <f t="shared" si="19"/>
        <v>1</v>
      </c>
      <c r="M8" s="44" t="b">
        <f t="shared" si="20"/>
        <v>0</v>
      </c>
      <c r="N8" s="47" t="b">
        <f t="shared" si="21"/>
        <v>1</v>
      </c>
      <c r="O8" s="36" t="b">
        <f t="shared" si="22"/>
        <v>0</v>
      </c>
      <c r="P8" s="39" t="b">
        <f t="shared" si="23"/>
        <v>1</v>
      </c>
      <c r="Q8" s="41" t="b">
        <f t="shared" si="24"/>
        <v>1</v>
      </c>
      <c r="R8" s="46" t="b">
        <f t="shared" si="25"/>
        <v>0</v>
      </c>
      <c r="S8" s="42" t="b">
        <f t="shared" si="26"/>
        <v>1</v>
      </c>
      <c r="T8" s="44" t="b">
        <f t="shared" si="27"/>
        <v>0</v>
      </c>
      <c r="U8" s="148">
        <f>IF(T8,LOOKUP(A8,Discrete_NFET[PARTNUMBER],Discrete_NFET[RDSON10])*1000,IF(S8,LOOKUP(A8,Discrete_NFET[PARTNUMBER],Discrete_NFET[RDSON8])*1000,IF(R8,LOOKUP(A8,Discrete_NFET[PARTNUMBER],Discrete_NFET[RDSON6])*1000,IF(Q8,LOOKUP(A8,Discrete_NFET[PARTNUMBER],Discrete_NFET[RDSON45])*1000,IF(P8,LOOKUP(A8,Discrete_NFET[PARTNUMBER],Discrete_NFET[RDSON3])*1000,IF(O8,LOOKUP(A8,Discrete_NFET[PARTNUMBER],Discrete_NFET[RDSON25])*1000,""))))))</f>
        <v>3.4</v>
      </c>
      <c r="V8" s="48">
        <f>IF(AND(A8&lt;&gt;0,A8&lt;&gt;""),U8*(1+(Tj-25)*(LOOKUP(A8,Discrete_NFET[PARTNUMBER],Discrete_NFET[RDSDELTA])/((LOOKUP(A8,Discrete_NFET[PARTNUMBER],Discrete_NFET[TJMAX])-25)))),"")</f>
        <v>3.7808000000000002</v>
      </c>
      <c r="W8" s="35">
        <f>IF(AND($A8&lt;&gt;0,$A8&lt;&gt;""),LOOKUP($A8,Discrete_NFET[PARTNUMBER],Discrete_NFET[QGS]),"")</f>
        <v>4.5</v>
      </c>
      <c r="X8" s="35">
        <f>IF(AND($A8&lt;&gt;0,$A8&lt;&gt;""),LOOKUP($A8,Discrete_NFET[PARTNUMBER],Discrete_NFET[QGD]),"")</f>
        <v>3</v>
      </c>
      <c r="Y8" s="35">
        <f>IF(AND($A8&lt;&gt;0,$A8&lt;&gt;""),LOOKUP($A8,Discrete_NFET[PARTNUMBER],Discrete_NFET[QGTH]),"")</f>
        <v>2.2000000000000002</v>
      </c>
      <c r="Z8" s="35">
        <f t="shared" si="28"/>
        <v>5.3</v>
      </c>
      <c r="AA8" s="35">
        <f>IF(AND($A8&lt;&gt;0,$A8&lt;&gt;""),LOOKUP($A8,Discrete_NFET[PARTNUMBER],Discrete_NFET[QOSSTYP]),"")</f>
        <v>27</v>
      </c>
      <c r="AB8" s="35">
        <f>IF(AND($A8&lt;&gt;0,$A8&lt;&gt;""),LOOKUP($A8,Discrete_NFET[PARTNUMBER],Discrete_NFET[QRR]),"")</f>
        <v>34</v>
      </c>
      <c r="AC8" s="35">
        <f>IF(AND(A8&lt;&gt;0,A8&lt;&gt;""),LOOKUP(A8,Discrete_NFET[PARTNUMBER],Discrete_NFET[VF_TYP]),"")</f>
        <v>0.85</v>
      </c>
      <c r="AD8" s="127">
        <f>IF(AND($A8&lt;&gt;0,$A8&lt;&gt;"",OR(RIGHT(Logic!B8,2)="C)",LEFT(Logic!B8,4)="CSD1")),(1+(1-DUTY))*IM_RMS_120^2*V8*m/3/Num_FETS2,"")</f>
        <v>0.15909702985534008</v>
      </c>
      <c r="AE8" s="127">
        <f>IF(AND($A8&lt;&gt;0,$A8&lt;&gt;"",OR(RIGHT(Logic!B8,2)="C)",LEFT(Logic!B8,4)="CSD1")),Num_FETS2*0.5*IM_RMS_120*VDC_AVG*Z8*n*MOT_ELEC_FREQ/GDR_SRC,"")</f>
        <v>1.7092363261093909E-5</v>
      </c>
      <c r="AF8" s="127">
        <f>IF(AND($A8&lt;&gt;0,$A8&lt;&gt;"",OR(RIGHT(Logic!B8,2)="C)",LEFT(Logic!B8,4)="CSD1")),Num_FETS2*0.5*IM_RMS_120*VDC_AVG*Z8*n*MOT_ELEC_FREQ/GDR_SINK,"")</f>
        <v>1.1622807017543859E-5</v>
      </c>
      <c r="AG8" s="127">
        <f>IF(AND($A8&lt;&gt;0,$A8&lt;&gt;"",OR(RIGHT(Logic!B8,2)="T)",LEFT(Logic!B8,4)="CSD1")),DUTY*IM_RMS_120^2*V8*m/3/Num_FETS2,"")</f>
        <v>0.1439449317738791</v>
      </c>
      <c r="AH8" s="127">
        <f>IF(AND($A8&lt;&gt;0,$A8&lt;&gt;"",OR(RIGHT(Logic!B8,2)="T)",LEFT(Logic!B8,4)="CSD1")),Num_FETS2*0.5*IM_RMS_120*VDC_AVG*Z8*n*FSW*k/GDR_SRC/3,"")</f>
        <v>3.4184726522187812E-3</v>
      </c>
      <c r="AI8" s="127">
        <f>IF(AND($A8&lt;&gt;0,$A8&lt;&gt;"",OR(RIGHT(Logic!B8,2)="T)",LEFT(Logic!B8,4)="CSD1")),Num_FETS2*0.5*IM_RMS_120*VDC_AVG*Z8*n*FSW*k/GDR_SINK/3,"")</f>
        <v>2.3245614035087713E-3</v>
      </c>
      <c r="AJ8" s="127">
        <f t="shared" si="7"/>
        <v>3.2400000000000003E-3</v>
      </c>
      <c r="AK8" s="127">
        <f t="shared" si="12"/>
        <v>1.3190478390718382E-2</v>
      </c>
      <c r="AL8" s="127">
        <f t="shared" si="9"/>
        <v>8.1735999999999996E-3</v>
      </c>
      <c r="AM8" s="127">
        <f t="shared" si="29"/>
        <v>0.39571435172155139</v>
      </c>
      <c r="AN8" s="127">
        <f>IF(AND($A8&lt;&gt;0,$A8&lt;&gt;"",OR(RIGHT(Logic!B8,2)="C)",LEFT(Logic!B8,4)="CSD1")),SUM(AD8:AF8)+(AJ8/3)+AK8+AL8/6+AM8/6,AN9)</f>
        <v>0.24071088203659566</v>
      </c>
      <c r="AO8" s="127">
        <f>IF(AND($A8&lt;&gt;0,$A8&lt;&gt;"",OR(RIGHT(Logic!B8,2)="T)",LEFT(Logic!B8,4)="CSD1")),SUM(AG8:AI8)+(AJ8/3)+AL8/6+AM8/6,AO7)</f>
        <v>0.21808262444986523</v>
      </c>
      <c r="AP8" s="48">
        <f t="shared" si="30"/>
        <v>0.46</v>
      </c>
      <c r="AQ8" s="35" t="str">
        <f>IF(AND(A8&lt;&gt;0,A8&lt;&gt;""),LOOKUP(A8,Discrete_NFET[PARTNUMBER],Discrete_NFET[TI_EQ_PACKAGE]),"")</f>
        <v>SON5X6</v>
      </c>
      <c r="AR8" s="49">
        <f>IF(AND(A8&lt;&gt;0,A8&lt;&gt;""),LOOKUP(A8,Discrete_NFET[PARTNUMBER],Discrete_NFET[1KPRICE]),"")</f>
        <v>0.45</v>
      </c>
      <c r="AS8" s="35" t="str">
        <f>IF(AND($A8&lt;&gt;0,$A8&lt;&gt;""),CONCATENATE(TEXT(AP8,"0.00"),"W, ",IF('User Input'!G$11="Single Discrete",A8,IF('User Input'!G$11="Dual/Power Block",LEFT(A8,FIND(")",A8)-7),A8)),", ",AQ8,", ",TEXT(AR8,"$0.00")),"Invalid Part")</f>
        <v>0.46W, CSD17305Q5A, SON5X6, $0.45</v>
      </c>
      <c r="AT8" t="s">
        <v>823</v>
      </c>
      <c r="AW8"/>
    </row>
    <row r="9" spans="1:54" ht="15" customHeight="1" x14ac:dyDescent="0.25">
      <c r="A9" s="35" t="str">
        <f>IF(OR(AND(FET_config2="Dual/Power Block",LEFT(Logic!B9,4)="CSD8"),AND(FET_config2="Single Discrete",LEFT(Logic!B9,4)="CSD1")),Logic!B9,"")</f>
        <v>CSD17306Q5A</v>
      </c>
      <c r="B9" s="37" t="str">
        <f>IF(OR($A9=0,$A9=""),"0",IF(LOOKUP($A9,Discrete_NFET[PARTNUMBER],Discrete_NFET[RDSON25])="(NULL)","0","1"))</f>
        <v>0</v>
      </c>
      <c r="C9" s="38" t="str">
        <f>IF(OR($A9=0,$A9=""),"0",IF(LOOKUP($A9,Discrete_NFET[PARTNUMBER],Discrete_NFET[RDSON3])="(NULL)","0","1"))</f>
        <v>1</v>
      </c>
      <c r="D9" s="40" t="str">
        <f>IF(OR($A9=0,$A9=""),"0",IF(LOOKUP($A9,Discrete_NFET[PARTNUMBER],Discrete_NFET[RDSON45])="(NULL)","0","1"))</f>
        <v>1</v>
      </c>
      <c r="E9" s="45" t="str">
        <f>IF(OR($A9=0,$A9=""),"0",IF(LOOKUP($A9,Discrete_NFET[PARTNUMBER],Discrete_NFET[RDSON6])="(NULL)","0","1"))</f>
        <v>0</v>
      </c>
      <c r="F9" s="34" t="str">
        <f>IF(OR($A9=0,$A9=""),"0",IF(LOOKUP($A9,Discrete_NFET[PARTNUMBER],Discrete_NFET[RDSON8])="(NULL)","0","1"))</f>
        <v>1</v>
      </c>
      <c r="G9" s="43" t="str">
        <f>IF(OR($A9=0,$A9=""),"0",IF(LOOKUP($A9,Discrete_NFET[PARTNUMBER],Discrete_NFET[RDSON10])="(NULL)","0","1"))</f>
        <v>0</v>
      </c>
      <c r="H9" s="36" t="b">
        <f t="shared" si="15"/>
        <v>0</v>
      </c>
      <c r="I9" s="39" t="b">
        <f t="shared" si="16"/>
        <v>1</v>
      </c>
      <c r="J9" s="41" t="b">
        <f t="shared" si="17"/>
        <v>1</v>
      </c>
      <c r="K9" s="46" t="b">
        <f t="shared" si="18"/>
        <v>0</v>
      </c>
      <c r="L9" s="42" t="b">
        <f t="shared" si="19"/>
        <v>1</v>
      </c>
      <c r="M9" s="44" t="b">
        <f t="shared" si="20"/>
        <v>0</v>
      </c>
      <c r="N9" s="47" t="b">
        <f t="shared" si="21"/>
        <v>1</v>
      </c>
      <c r="O9" s="36" t="b">
        <f t="shared" si="22"/>
        <v>0</v>
      </c>
      <c r="P9" s="39" t="b">
        <f t="shared" si="23"/>
        <v>1</v>
      </c>
      <c r="Q9" s="41" t="b">
        <f t="shared" si="24"/>
        <v>1</v>
      </c>
      <c r="R9" s="46" t="b">
        <f t="shared" si="25"/>
        <v>0</v>
      </c>
      <c r="S9" s="42" t="b">
        <f t="shared" si="26"/>
        <v>1</v>
      </c>
      <c r="T9" s="44" t="b">
        <f t="shared" si="27"/>
        <v>0</v>
      </c>
      <c r="U9" s="148">
        <f>IF(T9,LOOKUP(A9,Discrete_NFET[PARTNUMBER],Discrete_NFET[RDSON10])*1000,IF(S9,LOOKUP(A9,Discrete_NFET[PARTNUMBER],Discrete_NFET[RDSON8])*1000,IF(R9,LOOKUP(A9,Discrete_NFET[PARTNUMBER],Discrete_NFET[RDSON6])*1000,IF(Q9,LOOKUP(A9,Discrete_NFET[PARTNUMBER],Discrete_NFET[RDSON45])*1000,IF(P9,LOOKUP(A9,Discrete_NFET[PARTNUMBER],Discrete_NFET[RDSON3])*1000,IF(O9,LOOKUP(A9,Discrete_NFET[PARTNUMBER],Discrete_NFET[RDSON25])*1000,""))))))</f>
        <v>3.7</v>
      </c>
      <c r="V9" s="48">
        <f>IF(AND(A9&lt;&gt;0,A9&lt;&gt;""),U9*(1+(Tj-25)*(LOOKUP(A9,Discrete_NFET[PARTNUMBER],Discrete_NFET[RDSDELTA])/((LOOKUP(A9,Discrete_NFET[PARTNUMBER],Discrete_NFET[TJMAX])-25)))),"")</f>
        <v>4.0922000000000009</v>
      </c>
      <c r="W9" s="35">
        <f>IF(AND($A9&lt;&gt;0,$A9&lt;&gt;""),LOOKUP($A9,Discrete_NFET[PARTNUMBER],Discrete_NFET[QGS]),"")</f>
        <v>3.5</v>
      </c>
      <c r="X9" s="35">
        <f>IF(AND($A9&lt;&gt;0,$A9&lt;&gt;""),LOOKUP($A9,Discrete_NFET[PARTNUMBER],Discrete_NFET[QGD]),"")</f>
        <v>2.4</v>
      </c>
      <c r="Y9" s="35">
        <f>IF(AND($A9&lt;&gt;0,$A9&lt;&gt;""),LOOKUP($A9,Discrete_NFET[PARTNUMBER],Discrete_NFET[QGTH]),"")</f>
        <v>1.8</v>
      </c>
      <c r="Z9" s="35">
        <f t="shared" si="28"/>
        <v>4.1000000000000005</v>
      </c>
      <c r="AA9" s="35">
        <f>IF(AND($A9&lt;&gt;0,$A9&lt;&gt;""),LOOKUP($A9,Discrete_NFET[PARTNUMBER],Discrete_NFET[QOSSTYP]),"")</f>
        <v>23</v>
      </c>
      <c r="AB9" s="35">
        <f>IF(AND($A9&lt;&gt;0,$A9&lt;&gt;""),LOOKUP($A9,Discrete_NFET[PARTNUMBER],Discrete_NFET[QRR]),"")</f>
        <v>27</v>
      </c>
      <c r="AC9" s="35">
        <f>IF(AND(A9&lt;&gt;0,A9&lt;&gt;""),LOOKUP(A9,Discrete_NFET[PARTNUMBER],Discrete_NFET[VF_TYP]),"")</f>
        <v>0.85</v>
      </c>
      <c r="AD9" s="127">
        <f>IF(AND($A9&lt;&gt;0,$A9&lt;&gt;"",OR(RIGHT(Logic!B9,2)="C)",LEFT(Logic!B9,4)="CSD1")),(1+(1-DUTY))*IM_RMS_120^2*V9*m/3/Num_FETS2,"")</f>
        <v>0.17220082140658663</v>
      </c>
      <c r="AE9" s="127">
        <f>IF(AND($A9&lt;&gt;0,$A9&lt;&gt;"",OR(RIGHT(Logic!B9,2)="C)",LEFT(Logic!B9,4)="CSD1")),Num_FETS2*0.5*IM_RMS_120*VDC_AVG*Z9*n*MOT_ELEC_FREQ/GDR_SRC,"")</f>
        <v>1.3222394220846234E-5</v>
      </c>
      <c r="AF9" s="127">
        <f>IF(AND($A9&lt;&gt;0,$A9&lt;&gt;"",OR(RIGHT(Logic!B9,2)="C)",LEFT(Logic!B9,4)="CSD1")),Num_FETS2*0.5*IM_RMS_120*VDC_AVG*Z9*n*MOT_ELEC_FREQ/GDR_SINK,"")</f>
        <v>8.9912280701754391E-6</v>
      </c>
      <c r="AG9" s="127">
        <f>IF(AND($A9&lt;&gt;0,$A9&lt;&gt;"",OR(RIGHT(Logic!B9,2)="T)",LEFT(Logic!B9,4)="CSD1")),DUTY*IM_RMS_120^2*V9*m/3/Num_FETS2,"")</f>
        <v>0.15580074317738793</v>
      </c>
      <c r="AH9" s="127">
        <f>IF(AND($A9&lt;&gt;0,$A9&lt;&gt;"",OR(RIGHT(Logic!B9,2)="T)",LEFT(Logic!B9,4)="CSD1")),Num_FETS2*0.5*IM_RMS_120*VDC_AVG*Z9*n*FSW*k/GDR_SRC/3,"")</f>
        <v>2.6444788441692467E-3</v>
      </c>
      <c r="AI9" s="127">
        <f>IF(AND($A9&lt;&gt;0,$A9&lt;&gt;"",OR(RIGHT(Logic!B9,2)="T)",LEFT(Logic!B9,4)="CSD1")),Num_FETS2*0.5*IM_RMS_120*VDC_AVG*Z9*n*FSW*k/GDR_SINK/3,"")</f>
        <v>1.7982456140350877E-3</v>
      </c>
      <c r="AJ9" s="127">
        <f t="shared" si="7"/>
        <v>2.7600000000000003E-3</v>
      </c>
      <c r="AK9" s="127">
        <f t="shared" si="12"/>
        <v>1.3190478390718382E-2</v>
      </c>
      <c r="AL9" s="127">
        <f t="shared" si="9"/>
        <v>6.4908000000000006E-3</v>
      </c>
      <c r="AM9" s="127">
        <f t="shared" si="29"/>
        <v>0.39571435172155139</v>
      </c>
      <c r="AN9" s="127">
        <f>IF(AND($A9&lt;&gt;0,$A9&lt;&gt;"",OR(RIGHT(Logic!B9,2)="C)",LEFT(Logic!B9,4)="CSD1")),SUM(AD9:AF9)+(AJ9/3)+AK9+AL9/6+AM9/6,AN10)</f>
        <v>0.25336770537318798</v>
      </c>
      <c r="AO9" s="127">
        <f>IF(AND($A9&lt;&gt;0,$A9&lt;&gt;"",OR(RIGHT(Logic!B9,2)="T)",LEFT(Logic!B9,4)="CSD1")),SUM(AG9:AI9)+(AJ9/3)+AL9/6+AM9/6,AO8)</f>
        <v>0.22819765958918414</v>
      </c>
      <c r="AP9" s="48">
        <f t="shared" si="30"/>
        <v>0.48</v>
      </c>
      <c r="AQ9" s="35" t="str">
        <f>IF(AND(A9&lt;&gt;0,A9&lt;&gt;""),LOOKUP(A9,Discrete_NFET[PARTNUMBER],Discrete_NFET[TI_EQ_PACKAGE]),"")</f>
        <v>SON5X6</v>
      </c>
      <c r="AR9" s="49">
        <f>IF(AND(A9&lt;&gt;0,A9&lt;&gt;""),LOOKUP(A9,Discrete_NFET[PARTNUMBER],Discrete_NFET[1KPRICE]),"")</f>
        <v>0.39</v>
      </c>
      <c r="AS9" s="35" t="str">
        <f>IF(AND($A9&lt;&gt;0,$A9&lt;&gt;""),CONCATENATE(TEXT(AP9,"0.00"),"W, ",IF('User Input'!G$11="Single Discrete",A9,IF('User Input'!G$11="Dual/Power Block",LEFT(A9,FIND(")",A9)-7),A9)),", ",AQ9,", ",TEXT(AR9,"$0.00")),"Invalid Part")</f>
        <v>0.48W, CSD17306Q5A, SON5X6, $0.39</v>
      </c>
      <c r="AT9" t="s">
        <v>844</v>
      </c>
      <c r="AW9"/>
    </row>
    <row r="10" spans="1:54" ht="15" customHeight="1" x14ac:dyDescent="0.25">
      <c r="A10" s="35" t="str">
        <f>IF(OR(AND(FET_config2="Dual/Power Block",LEFT(Logic!B10,4)="CSD8"),AND(FET_config2="Single Discrete",LEFT(Logic!B10,4)="CSD1")),Logic!B10,"")</f>
        <v>CSD17307Q5A</v>
      </c>
      <c r="B10" s="37" t="str">
        <f>IF(OR($A10=0,$A10=""),"0",IF(LOOKUP($A10,Discrete_NFET[PARTNUMBER],Discrete_NFET[RDSON25])="(NULL)","0","1"))</f>
        <v>0</v>
      </c>
      <c r="C10" s="38" t="str">
        <f>IF(OR($A10=0,$A10=""),"0",IF(LOOKUP($A10,Discrete_NFET[PARTNUMBER],Discrete_NFET[RDSON3])="(NULL)","0","1"))</f>
        <v>1</v>
      </c>
      <c r="D10" s="40" t="str">
        <f>IF(OR($A10=0,$A10=""),"0",IF(LOOKUP($A10,Discrete_NFET[PARTNUMBER],Discrete_NFET[RDSON45])="(NULL)","0","1"))</f>
        <v>1</v>
      </c>
      <c r="E10" s="45" t="str">
        <f>IF(OR($A10=0,$A10=""),"0",IF(LOOKUP($A10,Discrete_NFET[PARTNUMBER],Discrete_NFET[RDSON6])="(NULL)","0","1"))</f>
        <v>0</v>
      </c>
      <c r="F10" s="34" t="str">
        <f>IF(OR($A10=0,$A10=""),"0",IF(LOOKUP($A10,Discrete_NFET[PARTNUMBER],Discrete_NFET[RDSON8])="(NULL)","0","1"))</f>
        <v>1</v>
      </c>
      <c r="G10" s="43" t="str">
        <f>IF(OR($A10=0,$A10=""),"0",IF(LOOKUP($A10,Discrete_NFET[PARTNUMBER],Discrete_NFET[RDSON10])="(NULL)","0","1"))</f>
        <v>0</v>
      </c>
      <c r="H10" s="36" t="b">
        <f t="shared" si="15"/>
        <v>0</v>
      </c>
      <c r="I10" s="39" t="b">
        <f t="shared" si="16"/>
        <v>1</v>
      </c>
      <c r="J10" s="41" t="b">
        <f t="shared" si="17"/>
        <v>1</v>
      </c>
      <c r="K10" s="46" t="b">
        <f t="shared" si="18"/>
        <v>0</v>
      </c>
      <c r="L10" s="42" t="b">
        <f t="shared" si="19"/>
        <v>1</v>
      </c>
      <c r="M10" s="44" t="b">
        <f t="shared" si="20"/>
        <v>0</v>
      </c>
      <c r="N10" s="47" t="b">
        <f t="shared" si="21"/>
        <v>1</v>
      </c>
      <c r="O10" s="36" t="b">
        <f t="shared" si="22"/>
        <v>0</v>
      </c>
      <c r="P10" s="39" t="b">
        <f t="shared" si="23"/>
        <v>1</v>
      </c>
      <c r="Q10" s="41" t="b">
        <f t="shared" si="24"/>
        <v>1</v>
      </c>
      <c r="R10" s="46" t="b">
        <f t="shared" si="25"/>
        <v>0</v>
      </c>
      <c r="S10" s="42" t="b">
        <f t="shared" si="26"/>
        <v>1</v>
      </c>
      <c r="T10" s="44" t="b">
        <f t="shared" si="27"/>
        <v>0</v>
      </c>
      <c r="U10" s="148">
        <f>IF(T10,LOOKUP(A10,Discrete_NFET[PARTNUMBER],Discrete_NFET[RDSON10])*1000,IF(S10,LOOKUP(A10,Discrete_NFET[PARTNUMBER],Discrete_NFET[RDSON8])*1000,IF(R10,LOOKUP(A10,Discrete_NFET[PARTNUMBER],Discrete_NFET[RDSON6])*1000,IF(Q10,LOOKUP(A10,Discrete_NFET[PARTNUMBER],Discrete_NFET[RDSON45])*1000,IF(P10,LOOKUP(A10,Discrete_NFET[PARTNUMBER],Discrete_NFET[RDSON3])*1000,IF(O10,LOOKUP(A10,Discrete_NFET[PARTNUMBER],Discrete_NFET[RDSON25])*1000,""))))))</f>
        <v>10.5</v>
      </c>
      <c r="V10" s="48">
        <f>IF(AND(A10&lt;&gt;0,A10&lt;&gt;""),U10*(1+(Tj-25)*(LOOKUP(A10,Discrete_NFET[PARTNUMBER],Discrete_NFET[RDSDELTA])/((LOOKUP(A10,Discrete_NFET[PARTNUMBER],Discrete_NFET[TJMAX])-25)))),"")</f>
        <v>11.696999999999999</v>
      </c>
      <c r="W10" s="35">
        <f>IF(AND($A10&lt;&gt;0,$A10&lt;&gt;""),LOOKUP($A10,Discrete_NFET[PARTNUMBER],Discrete_NFET[QGS]),"")</f>
        <v>1.3</v>
      </c>
      <c r="X10" s="35">
        <f>IF(AND($A10&lt;&gt;0,$A10&lt;&gt;""),LOOKUP($A10,Discrete_NFET[PARTNUMBER],Discrete_NFET[QGD]),"")</f>
        <v>1</v>
      </c>
      <c r="Y10" s="35">
        <f>IF(AND($A10&lt;&gt;0,$A10&lt;&gt;""),LOOKUP($A10,Discrete_NFET[PARTNUMBER],Discrete_NFET[QGTH]),"")</f>
        <v>0.65</v>
      </c>
      <c r="Z10" s="35">
        <f t="shared" si="28"/>
        <v>1.65</v>
      </c>
      <c r="AA10" s="35">
        <f>IF(AND($A10&lt;&gt;0,$A10&lt;&gt;""),LOOKUP($A10,Discrete_NFET[PARTNUMBER],Discrete_NFET[QOSSTYP]),"")</f>
        <v>7.3</v>
      </c>
      <c r="AB10" s="35">
        <f>IF(AND($A10&lt;&gt;0,$A10&lt;&gt;""),LOOKUP($A10,Discrete_NFET[PARTNUMBER],Discrete_NFET[QRR]),"")</f>
        <v>13</v>
      </c>
      <c r="AC10" s="35">
        <f>IF(AND(A10&lt;&gt;0,A10&lt;&gt;""),LOOKUP(A10,Discrete_NFET[PARTNUMBER],Discrete_NFET[VF_TYP]),"")</f>
        <v>0.85</v>
      </c>
      <c r="AD10" s="127">
        <f>IF(AND($A10&lt;&gt;0,$A10&lt;&gt;"",OR(RIGHT(Logic!B10,2)="C)",LEFT(Logic!B10,4)="CSD1")),(1+(1-DUTY))*IM_RMS_120^2*V10*m/3/Num_FETS2,"")</f>
        <v>0.49221274815327781</v>
      </c>
      <c r="AE10" s="127">
        <f>IF(AND($A10&lt;&gt;0,$A10&lt;&gt;"",OR(RIGHT(Logic!B10,2)="C)",LEFT(Logic!B10,4)="CSD1")),Num_FETS2*0.5*IM_RMS_120*VDC_AVG*Z10*n*MOT_ELEC_FREQ/GDR_SRC,"")</f>
        <v>5.3212074303405573E-6</v>
      </c>
      <c r="AF10" s="127">
        <f>IF(AND($A10&lt;&gt;0,$A10&lt;&gt;"",OR(RIGHT(Logic!B10,2)="C)",LEFT(Logic!B10,4)="CSD1")),Num_FETS2*0.5*IM_RMS_120*VDC_AVG*Z10*n*MOT_ELEC_FREQ/GDR_SINK,"")</f>
        <v>3.6184210526315792E-6</v>
      </c>
      <c r="AG10" s="127">
        <f>IF(AND($A10&lt;&gt;0,$A10&lt;&gt;"",OR(RIGHT(Logic!B10,2)="T)",LEFT(Logic!B10,4)="CSD1")),DUTY*IM_RMS_120^2*V10*m/3/Num_FETS2,"")</f>
        <v>0.4453353435672513</v>
      </c>
      <c r="AH10" s="127">
        <f>IF(AND($A10&lt;&gt;0,$A10&lt;&gt;"",OR(RIGHT(Logic!B10,2)="T)",LEFT(Logic!B10,4)="CSD1")),Num_FETS2*0.5*IM_RMS_120*VDC_AVG*Z10*n*FSW*k/GDR_SRC/3,"")</f>
        <v>1.0642414860681116E-3</v>
      </c>
      <c r="AI10" s="127">
        <f>IF(AND($A10&lt;&gt;0,$A10&lt;&gt;"",OR(RIGHT(Logic!B10,2)="T)",LEFT(Logic!B10,4)="CSD1")),Num_FETS2*0.5*IM_RMS_120*VDC_AVG*Z10*n*FSW*k/GDR_SINK/3,"")</f>
        <v>7.2368421052631594E-4</v>
      </c>
      <c r="AJ10" s="127">
        <f t="shared" si="7"/>
        <v>8.7600000000000004E-4</v>
      </c>
      <c r="AK10" s="127">
        <f t="shared" si="12"/>
        <v>1.3190478390718382E-2</v>
      </c>
      <c r="AL10" s="127">
        <f t="shared" si="9"/>
        <v>3.1252000000000003E-3</v>
      </c>
      <c r="AM10" s="127">
        <f t="shared" si="29"/>
        <v>0.39571435172155139</v>
      </c>
      <c r="AN10" s="127">
        <f>IF(AND($A10&lt;&gt;0,$A10&lt;&gt;"",OR(RIGHT(Logic!B10,2)="C)",LEFT(Logic!B10,4)="CSD1")),SUM(AD10:AF10)+(AJ10/3)+AK10+AL10/6+AM10/6,AN11)</f>
        <v>0.5721774247927377</v>
      </c>
      <c r="AO10" s="127">
        <f>IF(AND($A10&lt;&gt;0,$A10&lt;&gt;"",OR(RIGHT(Logic!B10,2)="T)",LEFT(Logic!B10,4)="CSD1")),SUM(AG10:AI10)+(AJ10/3)+AL10/6+AM10/6,AO9)</f>
        <v>0.51388852788410433</v>
      </c>
      <c r="AP10" s="48">
        <f t="shared" si="30"/>
        <v>1.0900000000000001</v>
      </c>
      <c r="AQ10" s="35" t="str">
        <f>IF(AND(A10&lt;&gt;0,A10&lt;&gt;""),LOOKUP(A10,Discrete_NFET[PARTNUMBER],Discrete_NFET[TI_EQ_PACKAGE]),"")</f>
        <v>SON5X6</v>
      </c>
      <c r="AR10" s="49">
        <f>IF(AND(A10&lt;&gt;0,A10&lt;&gt;""),LOOKUP(A10,Discrete_NFET[PARTNUMBER],Discrete_NFET[1KPRICE]),"")</f>
        <v>0.2</v>
      </c>
      <c r="AS10" s="35" t="str">
        <f>IF(AND($A10&lt;&gt;0,$A10&lt;&gt;""),CONCATENATE(TEXT(AP10,"0.00"),"W, ",IF('User Input'!G$11="Single Discrete",A10,IF('User Input'!G$11="Dual/Power Block",LEFT(A10,FIND(")",A10)-7),A10)),", ",AQ10,", ",TEXT(AR10,"$0.00")),"Invalid Part")</f>
        <v>1.09W, CSD17307Q5A, SON5X6, $0.20</v>
      </c>
      <c r="AT10" t="s">
        <v>845</v>
      </c>
      <c r="AW10"/>
    </row>
    <row r="11" spans="1:54" ht="15" customHeight="1" x14ac:dyDescent="0.25">
      <c r="A11" s="35" t="str">
        <f>IF(OR(AND(FET_config2="Dual/Power Block",LEFT(Logic!B11,4)="CSD8"),AND(FET_config2="Single Discrete",LEFT(Logic!B11,4)="CSD1")),Logic!B11,"")</f>
        <v>CSD17308Q3</v>
      </c>
      <c r="B11" s="37" t="str">
        <f>IF(OR($A11=0,$A11=""),"0",IF(LOOKUP($A11,Discrete_NFET[PARTNUMBER],Discrete_NFET[RDSON25])="(NULL)","0","1"))</f>
        <v>0</v>
      </c>
      <c r="C11" s="38" t="str">
        <f>IF(OR($A11=0,$A11=""),"0",IF(LOOKUP($A11,Discrete_NFET[PARTNUMBER],Discrete_NFET[RDSON3])="(NULL)","0","1"))</f>
        <v>1</v>
      </c>
      <c r="D11" s="40" t="str">
        <f>IF(OR($A11=0,$A11=""),"0",IF(LOOKUP($A11,Discrete_NFET[PARTNUMBER],Discrete_NFET[RDSON45])="(NULL)","0","1"))</f>
        <v>1</v>
      </c>
      <c r="E11" s="45" t="str">
        <f>IF(OR($A11=0,$A11=""),"0",IF(LOOKUP($A11,Discrete_NFET[PARTNUMBER],Discrete_NFET[RDSON6])="(NULL)","0","1"))</f>
        <v>0</v>
      </c>
      <c r="F11" s="34" t="str">
        <f>IF(OR($A11=0,$A11=""),"0",IF(LOOKUP($A11,Discrete_NFET[PARTNUMBER],Discrete_NFET[RDSON8])="(NULL)","0","1"))</f>
        <v>1</v>
      </c>
      <c r="G11" s="43" t="str">
        <f>IF(OR($A11=0,$A11=""),"0",IF(LOOKUP($A11,Discrete_NFET[PARTNUMBER],Discrete_NFET[RDSON10])="(NULL)","0","1"))</f>
        <v>0</v>
      </c>
      <c r="H11" s="36" t="b">
        <f t="shared" si="15"/>
        <v>0</v>
      </c>
      <c r="I11" s="39" t="b">
        <f t="shared" si="16"/>
        <v>1</v>
      </c>
      <c r="J11" s="41" t="b">
        <f t="shared" si="17"/>
        <v>1</v>
      </c>
      <c r="K11" s="46" t="b">
        <f t="shared" si="18"/>
        <v>0</v>
      </c>
      <c r="L11" s="42" t="b">
        <f t="shared" si="19"/>
        <v>1</v>
      </c>
      <c r="M11" s="44" t="b">
        <f t="shared" si="20"/>
        <v>0</v>
      </c>
      <c r="N11" s="47" t="b">
        <f t="shared" si="21"/>
        <v>1</v>
      </c>
      <c r="O11" s="36" t="b">
        <f t="shared" si="22"/>
        <v>0</v>
      </c>
      <c r="P11" s="39" t="b">
        <f t="shared" si="23"/>
        <v>1</v>
      </c>
      <c r="Q11" s="41" t="b">
        <f t="shared" si="24"/>
        <v>1</v>
      </c>
      <c r="R11" s="46" t="b">
        <f t="shared" si="25"/>
        <v>0</v>
      </c>
      <c r="S11" s="42" t="b">
        <f t="shared" si="26"/>
        <v>1</v>
      </c>
      <c r="T11" s="44" t="b">
        <f t="shared" si="27"/>
        <v>0</v>
      </c>
      <c r="U11" s="148">
        <f>IF(T11,LOOKUP(A11,Discrete_NFET[PARTNUMBER],Discrete_NFET[RDSON10])*1000,IF(S11,LOOKUP(A11,Discrete_NFET[PARTNUMBER],Discrete_NFET[RDSON8])*1000,IF(R11,LOOKUP(A11,Discrete_NFET[PARTNUMBER],Discrete_NFET[RDSON6])*1000,IF(Q11,LOOKUP(A11,Discrete_NFET[PARTNUMBER],Discrete_NFET[RDSON45])*1000,IF(P11,LOOKUP(A11,Discrete_NFET[PARTNUMBER],Discrete_NFET[RDSON3])*1000,IF(O11,LOOKUP(A11,Discrete_NFET[PARTNUMBER],Discrete_NFET[RDSON25])*1000,""))))))</f>
        <v>10.3</v>
      </c>
      <c r="V11" s="48">
        <f>IF(AND(A11&lt;&gt;0,A11&lt;&gt;""),U11*(1+(Tj-25)*(LOOKUP(A11,Discrete_NFET[PARTNUMBER],Discrete_NFET[RDSDELTA])/((LOOKUP(A11,Discrete_NFET[PARTNUMBER],Discrete_NFET[TJMAX])-25)))),"")</f>
        <v>11.144600000000002</v>
      </c>
      <c r="W11" s="35">
        <f>IF(AND($A11&lt;&gt;0,$A11&lt;&gt;""),LOOKUP($A11,Discrete_NFET[PARTNUMBER],Discrete_NFET[QGS]),"")</f>
        <v>1.3</v>
      </c>
      <c r="X11" s="35">
        <f>IF(AND($A11&lt;&gt;0,$A11&lt;&gt;""),LOOKUP($A11,Discrete_NFET[PARTNUMBER],Discrete_NFET[QGD]),"")</f>
        <v>0.8</v>
      </c>
      <c r="Y11" s="35">
        <f>IF(AND($A11&lt;&gt;0,$A11&lt;&gt;""),LOOKUP($A11,Discrete_NFET[PARTNUMBER],Discrete_NFET[QGTH]),"")</f>
        <v>0.7</v>
      </c>
      <c r="Z11" s="35">
        <f t="shared" si="28"/>
        <v>1.4000000000000001</v>
      </c>
      <c r="AA11" s="35">
        <f>IF(AND($A11&lt;&gt;0,$A11&lt;&gt;""),LOOKUP($A11,Discrete_NFET[PARTNUMBER],Discrete_NFET[QOSSTYP]),"")</f>
        <v>7.4</v>
      </c>
      <c r="AB11" s="35">
        <f>IF(AND($A11&lt;&gt;0,$A11&lt;&gt;""),LOOKUP($A11,Discrete_NFET[PARTNUMBER],Discrete_NFET[QRR]),"")</f>
        <v>9.3000000000000007</v>
      </c>
      <c r="AC11" s="35">
        <f>IF(AND(A11&lt;&gt;0,A11&lt;&gt;""),LOOKUP(A11,Discrete_NFET[PARTNUMBER],Discrete_NFET[VF_TYP]),"")</f>
        <v>0.85</v>
      </c>
      <c r="AD11" s="127">
        <f>IF(AND($A11&lt;&gt;0,$A11&lt;&gt;"",OR(RIGHT(Logic!B11,2)="C)",LEFT(Logic!B11,4)="CSD1")),(1+(1-DUTY))*IM_RMS_120^2*V11*m/3/Num_FETS2,"")</f>
        <v>0.46896761503539547</v>
      </c>
      <c r="AE11" s="127">
        <f>IF(AND($A11&lt;&gt;0,$A11&lt;&gt;"",OR(RIGHT(Logic!B11,2)="C)",LEFT(Logic!B11,4)="CSD1")),Num_FETS2*0.5*IM_RMS_120*VDC_AVG*Z11*n*MOT_ELEC_FREQ/GDR_SRC,"")</f>
        <v>4.5149638802889579E-6</v>
      </c>
      <c r="AF11" s="127">
        <f>IF(AND($A11&lt;&gt;0,$A11&lt;&gt;"",OR(RIGHT(Logic!B11,2)="C)",LEFT(Logic!B11,4)="CSD1")),Num_FETS2*0.5*IM_RMS_120*VDC_AVG*Z11*n*MOT_ELEC_FREQ/GDR_SINK,"")</f>
        <v>3.0701754385964915E-6</v>
      </c>
      <c r="AG11" s="127">
        <f>IF(AND($A11&lt;&gt;0,$A11&lt;&gt;"",OR(RIGHT(Logic!B11,2)="T)",LEFT(Logic!B11,4)="CSD1")),DUTY*IM_RMS_120^2*V11*m/3/Num_FETS2,"")</f>
        <v>0.42430403265107208</v>
      </c>
      <c r="AH11" s="127">
        <f>IF(AND($A11&lt;&gt;0,$A11&lt;&gt;"",OR(RIGHT(Logic!B11,2)="T)",LEFT(Logic!B11,4)="CSD1")),Num_FETS2*0.5*IM_RMS_120*VDC_AVG*Z11*n*FSW*k/GDR_SRC/3,"")</f>
        <v>9.0299277605779152E-4</v>
      </c>
      <c r="AI11" s="127">
        <f>IF(AND($A11&lt;&gt;0,$A11&lt;&gt;"",OR(RIGHT(Logic!B11,2)="T)",LEFT(Logic!B11,4)="CSD1")),Num_FETS2*0.5*IM_RMS_120*VDC_AVG*Z11*n*FSW*k/GDR_SINK/3,"")</f>
        <v>6.1403508771929827E-4</v>
      </c>
      <c r="AJ11" s="127">
        <f t="shared" si="7"/>
        <v>8.8800000000000023E-4</v>
      </c>
      <c r="AK11" s="127">
        <f t="shared" si="12"/>
        <v>1.3190478390718382E-2</v>
      </c>
      <c r="AL11" s="127">
        <f t="shared" si="9"/>
        <v>2.2357200000000001E-3</v>
      </c>
      <c r="AM11" s="127">
        <f t="shared" si="29"/>
        <v>0.39571435172155139</v>
      </c>
      <c r="AN11" s="127">
        <f>IF(AND($A11&lt;&gt;0,$A11&lt;&gt;"",OR(RIGHT(Logic!B11,2)="C)",LEFT(Logic!B11,4)="CSD1")),SUM(AD11:AF11)+(AJ11/3)+AK11+AL11/6+AM11/6,AN12)</f>
        <v>0.54878669051902462</v>
      </c>
      <c r="AO11" s="127">
        <f>IF(AND($A11&lt;&gt;0,$A11&lt;&gt;"",OR(RIGHT(Logic!B11,2)="T)",LEFT(Logic!B11,4)="CSD1")),SUM(AG11:AI11)+(AJ11/3)+AL11/6+AM11/6,AO10)</f>
        <v>0.49244207246844107</v>
      </c>
      <c r="AP11" s="48">
        <f t="shared" si="30"/>
        <v>1.04</v>
      </c>
      <c r="AQ11" s="35" t="str">
        <f>IF(AND(A11&lt;&gt;0,A11&lt;&gt;""),LOOKUP(A11,Discrete_NFET[PARTNUMBER],Discrete_NFET[TI_EQ_PACKAGE]),"")</f>
        <v>SON3X3</v>
      </c>
      <c r="AR11" s="49">
        <f>IF(AND(A11&lt;&gt;0,A11&lt;&gt;""),LOOKUP(A11,Discrete_NFET[PARTNUMBER],Discrete_NFET[1KPRICE]),"")</f>
        <v>0.22</v>
      </c>
      <c r="AS11" s="35" t="str">
        <f>IF(AND($A11&lt;&gt;0,$A11&lt;&gt;""),CONCATENATE(TEXT(AP11,"0.00"),"W, ",IF('User Input'!G$11="Single Discrete",A11,IF('User Input'!G$11="Dual/Power Block",LEFT(A11,FIND(")",A11)-7),A11)),", ",AQ11,", ",TEXT(AR11,"$0.00")),"Invalid Part")</f>
        <v>1.04W, CSD17308Q3, SON3X3, $0.22</v>
      </c>
      <c r="AT11" t="s">
        <v>846</v>
      </c>
      <c r="AW11"/>
    </row>
    <row r="12" spans="1:54" ht="15" customHeight="1" x14ac:dyDescent="0.25">
      <c r="A12" s="35" t="str">
        <f>IF(OR(AND(FET_config2="Dual/Power Block",LEFT(Logic!B12,4)="CSD8"),AND(FET_config2="Single Discrete",LEFT(Logic!B12,4)="CSD1")),Logic!B12,"")</f>
        <v>CSD17309Q3</v>
      </c>
      <c r="B12" s="37" t="str">
        <f>IF(OR($A12=0,$A12=""),"0",IF(LOOKUP($A12,Discrete_NFET[PARTNUMBER],Discrete_NFET[RDSON25])="(NULL)","0","1"))</f>
        <v>0</v>
      </c>
      <c r="C12" s="38" t="str">
        <f>IF(OR($A12=0,$A12=""),"0",IF(LOOKUP($A12,Discrete_NFET[PARTNUMBER],Discrete_NFET[RDSON3])="(NULL)","0","1"))</f>
        <v>1</v>
      </c>
      <c r="D12" s="40" t="str">
        <f>IF(OR($A12=0,$A12=""),"0",IF(LOOKUP($A12,Discrete_NFET[PARTNUMBER],Discrete_NFET[RDSON45])="(NULL)","0","1"))</f>
        <v>1</v>
      </c>
      <c r="E12" s="45" t="str">
        <f>IF(OR($A12=0,$A12=""),"0",IF(LOOKUP($A12,Discrete_NFET[PARTNUMBER],Discrete_NFET[RDSON6])="(NULL)","0","1"))</f>
        <v>0</v>
      </c>
      <c r="F12" s="34" t="str">
        <f>IF(OR($A12=0,$A12=""),"0",IF(LOOKUP($A12,Discrete_NFET[PARTNUMBER],Discrete_NFET[RDSON8])="(NULL)","0","1"))</f>
        <v>1</v>
      </c>
      <c r="G12" s="43" t="str">
        <f>IF(OR($A12=0,$A12=""),"0",IF(LOOKUP($A12,Discrete_NFET[PARTNUMBER],Discrete_NFET[RDSON10])="(NULL)","0","1"))</f>
        <v>0</v>
      </c>
      <c r="H12" s="36" t="b">
        <f t="shared" si="15"/>
        <v>0</v>
      </c>
      <c r="I12" s="39" t="b">
        <f t="shared" si="16"/>
        <v>1</v>
      </c>
      <c r="J12" s="41" t="b">
        <f t="shared" si="17"/>
        <v>1</v>
      </c>
      <c r="K12" s="46" t="b">
        <f t="shared" si="18"/>
        <v>0</v>
      </c>
      <c r="L12" s="42" t="b">
        <f t="shared" si="19"/>
        <v>1</v>
      </c>
      <c r="M12" s="44" t="b">
        <f t="shared" si="20"/>
        <v>0</v>
      </c>
      <c r="N12" s="47" t="b">
        <f t="shared" si="21"/>
        <v>1</v>
      </c>
      <c r="O12" s="36" t="b">
        <f t="shared" si="22"/>
        <v>0</v>
      </c>
      <c r="P12" s="39" t="b">
        <f t="shared" si="23"/>
        <v>1</v>
      </c>
      <c r="Q12" s="41" t="b">
        <f t="shared" si="24"/>
        <v>1</v>
      </c>
      <c r="R12" s="46" t="b">
        <f t="shared" si="25"/>
        <v>0</v>
      </c>
      <c r="S12" s="42" t="b">
        <f t="shared" si="26"/>
        <v>1</v>
      </c>
      <c r="T12" s="44" t="b">
        <f t="shared" si="27"/>
        <v>0</v>
      </c>
      <c r="U12" s="148">
        <f>IF(T12,LOOKUP(A12,Discrete_NFET[PARTNUMBER],Discrete_NFET[RDSON10])*1000,IF(S12,LOOKUP(A12,Discrete_NFET[PARTNUMBER],Discrete_NFET[RDSON8])*1000,IF(R12,LOOKUP(A12,Discrete_NFET[PARTNUMBER],Discrete_NFET[RDSON6])*1000,IF(Q12,LOOKUP(A12,Discrete_NFET[PARTNUMBER],Discrete_NFET[RDSON45])*1000,IF(P12,LOOKUP(A12,Discrete_NFET[PARTNUMBER],Discrete_NFET[RDSON3])*1000,IF(O12,LOOKUP(A12,Discrete_NFET[PARTNUMBER],Discrete_NFET[RDSON25])*1000,""))))))</f>
        <v>5.4</v>
      </c>
      <c r="V12" s="48">
        <f>IF(AND(A12&lt;&gt;0,A12&lt;&gt;""),U12*(1+(Tj-25)*(LOOKUP(A12,Discrete_NFET[PARTNUMBER],Discrete_NFET[RDSDELTA])/((LOOKUP(A12,Discrete_NFET[PARTNUMBER],Discrete_NFET[TJMAX])-25)))),"")</f>
        <v>5.821200000000001</v>
      </c>
      <c r="W12" s="35">
        <f>IF(AND($A12&lt;&gt;0,$A12&lt;&gt;""),LOOKUP($A12,Discrete_NFET[PARTNUMBER],Discrete_NFET[QGS]),"")</f>
        <v>2.5</v>
      </c>
      <c r="X12" s="35">
        <f>IF(AND($A12&lt;&gt;0,$A12&lt;&gt;""),LOOKUP($A12,Discrete_NFET[PARTNUMBER],Discrete_NFET[QGD]),"")</f>
        <v>1.7</v>
      </c>
      <c r="Y12" s="35">
        <f>IF(AND($A12&lt;&gt;0,$A12&lt;&gt;""),LOOKUP($A12,Discrete_NFET[PARTNUMBER],Discrete_NFET[QGTH]),"")</f>
        <v>1.3</v>
      </c>
      <c r="Z12" s="35">
        <f t="shared" si="28"/>
        <v>2.9000000000000004</v>
      </c>
      <c r="AA12" s="35">
        <f>IF(AND($A12&lt;&gt;0,$A12&lt;&gt;""),LOOKUP($A12,Discrete_NFET[PARTNUMBER],Discrete_NFET[QOSSTYP]),"")</f>
        <v>15</v>
      </c>
      <c r="AB12" s="35">
        <f>IF(AND($A12&lt;&gt;0,$A12&lt;&gt;""),LOOKUP($A12,Discrete_NFET[PARTNUMBER],Discrete_NFET[QRR]),"")</f>
        <v>30</v>
      </c>
      <c r="AC12" s="35">
        <f>IF(AND(A12&lt;&gt;0,A12&lt;&gt;""),LOOKUP(A12,Discrete_NFET[PARTNUMBER],Discrete_NFET[VF_TYP]),"")</f>
        <v>0.85</v>
      </c>
      <c r="AD12" s="127">
        <f>IF(AND($A12&lt;&gt;0,$A12&lt;&gt;"",OR(RIGHT(Logic!B12,2)="C)",LEFT(Logic!B12,4)="CSD1")),(1+(1-DUTY))*IM_RMS_120^2*V12*m/3/Num_FETS2,"")</f>
        <v>0.24495758310249308</v>
      </c>
      <c r="AE12" s="127">
        <f>IF(AND($A12&lt;&gt;0,$A12&lt;&gt;"",OR(RIGHT(Logic!B12,2)="C)",LEFT(Logic!B12,4)="CSD1")),Num_FETS2*0.5*IM_RMS_120*VDC_AVG*Z12*n*MOT_ELEC_FREQ/GDR_SRC,"")</f>
        <v>9.3524251805985566E-6</v>
      </c>
      <c r="AF12" s="127">
        <f>IF(AND($A12&lt;&gt;0,$A12&lt;&gt;"",OR(RIGHT(Logic!B12,2)="C)",LEFT(Logic!B12,4)="CSD1")),Num_FETS2*0.5*IM_RMS_120*VDC_AVG*Z12*n*MOT_ELEC_FREQ/GDR_SINK,"")</f>
        <v>6.3596491228070184E-6</v>
      </c>
      <c r="AG12" s="127">
        <f>IF(AND($A12&lt;&gt;0,$A12&lt;&gt;"",OR(RIGHT(Logic!B12,2)="T)",LEFT(Logic!B12,4)="CSD1")),DUTY*IM_RMS_120^2*V12*m/3/Num_FETS2,"")</f>
        <v>0.22162828947368421</v>
      </c>
      <c r="AH12" s="127">
        <f>IF(AND($A12&lt;&gt;0,$A12&lt;&gt;"",OR(RIGHT(Logic!B12,2)="T)",LEFT(Logic!B12,4)="CSD1")),Num_FETS2*0.5*IM_RMS_120*VDC_AVG*Z12*n*FSW*k/GDR_SRC/3,"")</f>
        <v>1.870485036119711E-3</v>
      </c>
      <c r="AI12" s="127">
        <f>IF(AND($A12&lt;&gt;0,$A12&lt;&gt;"",OR(RIGHT(Logic!B12,2)="T)",LEFT(Logic!B12,4)="CSD1")),Num_FETS2*0.5*IM_RMS_120*VDC_AVG*Z12*n*FSW*k/GDR_SINK/3,"")</f>
        <v>1.2719298245614035E-3</v>
      </c>
      <c r="AJ12" s="127">
        <f t="shared" si="7"/>
        <v>1.8000000000000002E-3</v>
      </c>
      <c r="AK12" s="127">
        <f t="shared" si="12"/>
        <v>1.3190478390718382E-2</v>
      </c>
      <c r="AL12" s="127">
        <f t="shared" si="9"/>
        <v>7.2120000000000005E-3</v>
      </c>
      <c r="AM12" s="127">
        <f t="shared" si="29"/>
        <v>0.39571435172155139</v>
      </c>
      <c r="AN12" s="127">
        <f>IF(AND($A12&lt;&gt;0,$A12&lt;&gt;"",OR(RIGHT(Logic!B12,2)="C)",LEFT(Logic!B12,4)="CSD1")),SUM(AD12:AF12)+(AJ12/3)+AK12+AL12/6+AM12/6,AN13)</f>
        <v>0.32591816552110675</v>
      </c>
      <c r="AO12" s="127">
        <f>IF(AND($A12&lt;&gt;0,$A12&lt;&gt;"",OR(RIGHT(Logic!B12,2)="T)",LEFT(Logic!B12,4)="CSD1")),SUM(AG12:AI12)+(AJ12/3)+AL12/6+AM12/6,AO11)</f>
        <v>0.2925250962879572</v>
      </c>
      <c r="AP12" s="48">
        <f t="shared" si="30"/>
        <v>0.62</v>
      </c>
      <c r="AQ12" s="35" t="str">
        <f>IF(AND(A12&lt;&gt;0,A12&lt;&gt;""),LOOKUP(A12,Discrete_NFET[PARTNUMBER],Discrete_NFET[TI_EQ_PACKAGE]),"")</f>
        <v>SON3X3</v>
      </c>
      <c r="AR12" s="49">
        <f>IF(AND(A12&lt;&gt;0,A12&lt;&gt;""),LOOKUP(A12,Discrete_NFET[PARTNUMBER],Discrete_NFET[1KPRICE]),"")</f>
        <v>0.33</v>
      </c>
      <c r="AS12" s="35" t="str">
        <f>IF(AND($A12&lt;&gt;0,$A12&lt;&gt;""),CONCATENATE(TEXT(AP12,"0.00"),"W, ",IF('User Input'!G$11="Single Discrete",A12,IF('User Input'!G$11="Dual/Power Block",LEFT(A12,FIND(")",A12)-7),A12)),", ",AQ12,", ",TEXT(AR12,"$0.00")),"Invalid Part")</f>
        <v>0.62W, CSD17309Q3, SON3X3, $0.33</v>
      </c>
      <c r="AT12" t="s">
        <v>827</v>
      </c>
      <c r="AW12"/>
    </row>
    <row r="13" spans="1:54" ht="15" customHeight="1" x14ac:dyDescent="0.25">
      <c r="A13" s="35" t="str">
        <f>IF(OR(AND(FET_config2="Dual/Power Block",LEFT(Logic!B13,4)="CSD8"),AND(FET_config2="Single Discrete",LEFT(Logic!B13,4)="CSD1")),Logic!B13,"")</f>
        <v>CSD17310Q5A</v>
      </c>
      <c r="B13" s="37" t="str">
        <f>IF(OR($A13=0,$A13=""),"0",IF(LOOKUP($A13,Discrete_NFET[PARTNUMBER],Discrete_NFET[RDSON25])="(NULL)","0","1"))</f>
        <v>0</v>
      </c>
      <c r="C13" s="38" t="str">
        <f>IF(OR($A13=0,$A13=""),"0",IF(LOOKUP($A13,Discrete_NFET[PARTNUMBER],Discrete_NFET[RDSON3])="(NULL)","0","1"))</f>
        <v>1</v>
      </c>
      <c r="D13" s="40" t="str">
        <f>IF(OR($A13=0,$A13=""),"0",IF(LOOKUP($A13,Discrete_NFET[PARTNUMBER],Discrete_NFET[RDSON45])="(NULL)","0","1"))</f>
        <v>1</v>
      </c>
      <c r="E13" s="45" t="str">
        <f>IF(OR($A13=0,$A13=""),"0",IF(LOOKUP($A13,Discrete_NFET[PARTNUMBER],Discrete_NFET[RDSON6])="(NULL)","0","1"))</f>
        <v>0</v>
      </c>
      <c r="F13" s="34" t="str">
        <f>IF(OR($A13=0,$A13=""),"0",IF(LOOKUP($A13,Discrete_NFET[PARTNUMBER],Discrete_NFET[RDSON8])="(NULL)","0","1"))</f>
        <v>1</v>
      </c>
      <c r="G13" s="43" t="str">
        <f>IF(OR($A13=0,$A13=""),"0",IF(LOOKUP($A13,Discrete_NFET[PARTNUMBER],Discrete_NFET[RDSON10])="(NULL)","0","1"))</f>
        <v>0</v>
      </c>
      <c r="H13" s="36" t="b">
        <f t="shared" si="15"/>
        <v>0</v>
      </c>
      <c r="I13" s="39" t="b">
        <f t="shared" si="16"/>
        <v>1</v>
      </c>
      <c r="J13" s="41" t="b">
        <f t="shared" si="17"/>
        <v>1</v>
      </c>
      <c r="K13" s="46" t="b">
        <f t="shared" si="18"/>
        <v>0</v>
      </c>
      <c r="L13" s="42" t="b">
        <f t="shared" si="19"/>
        <v>1</v>
      </c>
      <c r="M13" s="44" t="b">
        <f t="shared" si="20"/>
        <v>0</v>
      </c>
      <c r="N13" s="47" t="b">
        <f t="shared" si="21"/>
        <v>1</v>
      </c>
      <c r="O13" s="36" t="b">
        <f t="shared" si="22"/>
        <v>0</v>
      </c>
      <c r="P13" s="39" t="b">
        <f t="shared" si="23"/>
        <v>1</v>
      </c>
      <c r="Q13" s="41" t="b">
        <f t="shared" si="24"/>
        <v>1</v>
      </c>
      <c r="R13" s="46" t="b">
        <f t="shared" si="25"/>
        <v>0</v>
      </c>
      <c r="S13" s="42" t="b">
        <f t="shared" si="26"/>
        <v>1</v>
      </c>
      <c r="T13" s="44" t="b">
        <f t="shared" si="27"/>
        <v>0</v>
      </c>
      <c r="U13" s="148">
        <f>IF(T13,LOOKUP(A13,Discrete_NFET[PARTNUMBER],Discrete_NFET[RDSON10])*1000,IF(S13,LOOKUP(A13,Discrete_NFET[PARTNUMBER],Discrete_NFET[RDSON8])*1000,IF(R13,LOOKUP(A13,Discrete_NFET[PARTNUMBER],Discrete_NFET[RDSON6])*1000,IF(Q13,LOOKUP(A13,Discrete_NFET[PARTNUMBER],Discrete_NFET[RDSON45])*1000,IF(P13,LOOKUP(A13,Discrete_NFET[PARTNUMBER],Discrete_NFET[RDSON3])*1000,IF(O13,LOOKUP(A13,Discrete_NFET[PARTNUMBER],Discrete_NFET[RDSON25])*1000,""))))))</f>
        <v>5.1000000000000005</v>
      </c>
      <c r="V13" s="48">
        <f>IF(AND(A13&lt;&gt;0,A13&lt;&gt;""),U13*(1+(Tj-25)*(LOOKUP(A13,Discrete_NFET[PARTNUMBER],Discrete_NFET[RDSDELTA])/((LOOKUP(A13,Discrete_NFET[PARTNUMBER],Discrete_NFET[TJMAX])-25)))),"")</f>
        <v>5.5080000000000009</v>
      </c>
      <c r="W13" s="35">
        <f>IF(AND($A13&lt;&gt;0,$A13&lt;&gt;""),LOOKUP($A13,Discrete_NFET[PARTNUMBER],Discrete_NFET[QGS]),"")</f>
        <v>2.7</v>
      </c>
      <c r="X13" s="35">
        <f>IF(AND($A13&lt;&gt;0,$A13&lt;&gt;""),LOOKUP($A13,Discrete_NFET[PARTNUMBER],Discrete_NFET[QGD]),"")</f>
        <v>2.1</v>
      </c>
      <c r="Y13" s="35">
        <f>IF(AND($A13&lt;&gt;0,$A13&lt;&gt;""),LOOKUP($A13,Discrete_NFET[PARTNUMBER],Discrete_NFET[QGTH]),"")</f>
        <v>1.4</v>
      </c>
      <c r="Z13" s="35">
        <f t="shared" si="28"/>
        <v>3.4000000000000008</v>
      </c>
      <c r="AA13" s="35">
        <f>IF(AND($A13&lt;&gt;0,$A13&lt;&gt;""),LOOKUP($A13,Discrete_NFET[PARTNUMBER],Discrete_NFET[QOSSTYP]),"")</f>
        <v>15.9</v>
      </c>
      <c r="AB13" s="35">
        <f>IF(AND($A13&lt;&gt;0,$A13&lt;&gt;""),LOOKUP($A13,Discrete_NFET[PARTNUMBER],Discrete_NFET[QRR]),"")</f>
        <v>21</v>
      </c>
      <c r="AC13" s="35">
        <f>IF(AND(A13&lt;&gt;0,A13&lt;&gt;""),LOOKUP(A13,Discrete_NFET[PARTNUMBER],Discrete_NFET[VF_TYP]),"")</f>
        <v>0.85</v>
      </c>
      <c r="AD13" s="127">
        <f>IF(AND($A13&lt;&gt;0,$A13&lt;&gt;"",OR(RIGHT(Logic!B13,2)="C)",LEFT(Logic!B13,4)="CSD1")),(1+(1-DUTY))*IM_RMS_120^2*V13*m/3/Num_FETS2,"")</f>
        <v>0.23177804709141273</v>
      </c>
      <c r="AE13" s="127">
        <f>IF(AND($A13&lt;&gt;0,$A13&lt;&gt;"",OR(RIGHT(Logic!B13,2)="C)",LEFT(Logic!B13,4)="CSD1")),Num_FETS2*0.5*IM_RMS_120*VDC_AVG*Z13*n*MOT_ELEC_FREQ/GDR_SRC,"")</f>
        <v>1.0964912280701755E-5</v>
      </c>
      <c r="AF13" s="127">
        <f>IF(AND($A13&lt;&gt;0,$A13&lt;&gt;"",OR(RIGHT(Logic!B13,2)="C)",LEFT(Logic!B13,4)="CSD1")),Num_FETS2*0.5*IM_RMS_120*VDC_AVG*Z13*n*MOT_ELEC_FREQ/GDR_SINK,"")</f>
        <v>7.4561403508771946E-6</v>
      </c>
      <c r="AG13" s="127">
        <f>IF(AND($A13&lt;&gt;0,$A13&lt;&gt;"",OR(RIGHT(Logic!B13,2)="T)",LEFT(Logic!B13,4)="CSD1")),DUTY*IM_RMS_120^2*V13*m/3/Num_FETS2,"")</f>
        <v>0.20970394736842105</v>
      </c>
      <c r="AH13" s="127">
        <f>IF(AND($A13&lt;&gt;0,$A13&lt;&gt;"",OR(RIGHT(Logic!B13,2)="T)",LEFT(Logic!B13,4)="CSD1")),Num_FETS2*0.5*IM_RMS_120*VDC_AVG*Z13*n*FSW*k/GDR_SRC/3,"")</f>
        <v>2.1929824561403512E-3</v>
      </c>
      <c r="AI13" s="127">
        <f>IF(AND($A13&lt;&gt;0,$A13&lt;&gt;"",OR(RIGHT(Logic!B13,2)="T)",LEFT(Logic!B13,4)="CSD1")),Num_FETS2*0.5*IM_RMS_120*VDC_AVG*Z13*n*FSW*k/GDR_SINK/3,"")</f>
        <v>1.4912280701754391E-3</v>
      </c>
      <c r="AJ13" s="127">
        <f t="shared" si="7"/>
        <v>1.9080000000000002E-3</v>
      </c>
      <c r="AK13" s="127">
        <f t="shared" si="12"/>
        <v>1.3190478390718382E-2</v>
      </c>
      <c r="AL13" s="127">
        <f t="shared" si="9"/>
        <v>5.0484000000000006E-3</v>
      </c>
      <c r="AM13" s="127">
        <f t="shared" si="29"/>
        <v>0.39571435172155139</v>
      </c>
      <c r="AN13" s="127">
        <f>IF(AND($A13&lt;&gt;0,$A13&lt;&gt;"",OR(RIGHT(Logic!B13,2)="C)",LEFT(Logic!B13,4)="CSD1")),SUM(AD13:AF13)+(AJ13/3)+AK13+AL13/6+AM13/6,AN14)</f>
        <v>0.31241673848835461</v>
      </c>
      <c r="AO13" s="127">
        <f>IF(AND($A13&lt;&gt;0,$A13&lt;&gt;"",OR(RIGHT(Logic!B13,2)="T)",LEFT(Logic!B13,4)="CSD1")),SUM(AG13:AI13)+(AJ13/3)+AL13/6+AM13/6,AO12)</f>
        <v>0.28081794984832875</v>
      </c>
      <c r="AP13" s="48">
        <f t="shared" si="30"/>
        <v>0.59</v>
      </c>
      <c r="AQ13" s="35" t="str">
        <f>IF(AND(A13&lt;&gt;0,A13&lt;&gt;""),LOOKUP(A13,Discrete_NFET[PARTNUMBER],Discrete_NFET[TI_EQ_PACKAGE]),"")</f>
        <v>SON5X6</v>
      </c>
      <c r="AR13" s="49">
        <f>IF(AND(A13&lt;&gt;0,A13&lt;&gt;""),LOOKUP(A13,Discrete_NFET[PARTNUMBER],Discrete_NFET[1KPRICE]),"")</f>
        <v>0.28000000000000003</v>
      </c>
      <c r="AS13" s="35" t="str">
        <f>IF(AND($A13&lt;&gt;0,$A13&lt;&gt;""),CONCATENATE(TEXT(AP13,"0.00"),"W, ",IF('User Input'!G$11="Single Discrete",A13,IF('User Input'!G$11="Dual/Power Block",LEFT(A13,FIND(")",A13)-7),A13)),", ",AQ13,", ",TEXT(AR13,"$0.00")),"Invalid Part")</f>
        <v>0.59W, CSD17310Q5A, SON5X6, $0.28</v>
      </c>
      <c r="AT13" t="s">
        <v>804</v>
      </c>
      <c r="AW13"/>
    </row>
    <row r="14" spans="1:54" ht="15" customHeight="1" x14ac:dyDescent="0.25">
      <c r="A14" s="35" t="str">
        <f>IF(OR(AND(FET_config2="Dual/Power Block",LEFT(Logic!B14,4)="CSD8"),AND(FET_config2="Single Discrete",LEFT(Logic!B14,4)="CSD1")),Logic!B14,"")</f>
        <v>CSD17311Q5</v>
      </c>
      <c r="B14" s="37" t="str">
        <f>IF(OR($A14=0,$A14=""),"0",IF(LOOKUP($A14,Discrete_NFET[PARTNUMBER],Discrete_NFET[RDSON25])="(NULL)","0","1"))</f>
        <v>0</v>
      </c>
      <c r="C14" s="38" t="str">
        <f>IF(OR($A14=0,$A14=""),"0",IF(LOOKUP($A14,Discrete_NFET[PARTNUMBER],Discrete_NFET[RDSON3])="(NULL)","0","1"))</f>
        <v>1</v>
      </c>
      <c r="D14" s="40" t="str">
        <f>IF(OR($A14=0,$A14=""),"0",IF(LOOKUP($A14,Discrete_NFET[PARTNUMBER],Discrete_NFET[RDSON45])="(NULL)","0","1"))</f>
        <v>1</v>
      </c>
      <c r="E14" s="45" t="str">
        <f>IF(OR($A14=0,$A14=""),"0",IF(LOOKUP($A14,Discrete_NFET[PARTNUMBER],Discrete_NFET[RDSON6])="(NULL)","0","1"))</f>
        <v>0</v>
      </c>
      <c r="F14" s="34" t="str">
        <f>IF(OR($A14=0,$A14=""),"0",IF(LOOKUP($A14,Discrete_NFET[PARTNUMBER],Discrete_NFET[RDSON8])="(NULL)","0","1"))</f>
        <v>1</v>
      </c>
      <c r="G14" s="43" t="str">
        <f>IF(OR($A14=0,$A14=""),"0",IF(LOOKUP($A14,Discrete_NFET[PARTNUMBER],Discrete_NFET[RDSON10])="(NULL)","0","1"))</f>
        <v>0</v>
      </c>
      <c r="H14" s="36" t="b">
        <f t="shared" si="15"/>
        <v>0</v>
      </c>
      <c r="I14" s="39" t="b">
        <f t="shared" si="16"/>
        <v>1</v>
      </c>
      <c r="J14" s="41" t="b">
        <f t="shared" si="17"/>
        <v>1</v>
      </c>
      <c r="K14" s="46" t="b">
        <f t="shared" si="18"/>
        <v>0</v>
      </c>
      <c r="L14" s="42" t="b">
        <f t="shared" si="19"/>
        <v>1</v>
      </c>
      <c r="M14" s="44" t="b">
        <f t="shared" si="20"/>
        <v>0</v>
      </c>
      <c r="N14" s="47" t="b">
        <f t="shared" si="21"/>
        <v>1</v>
      </c>
      <c r="O14" s="36" t="b">
        <f t="shared" si="22"/>
        <v>0</v>
      </c>
      <c r="P14" s="39" t="b">
        <f t="shared" si="23"/>
        <v>1</v>
      </c>
      <c r="Q14" s="41" t="b">
        <f t="shared" si="24"/>
        <v>1</v>
      </c>
      <c r="R14" s="46" t="b">
        <f t="shared" si="25"/>
        <v>0</v>
      </c>
      <c r="S14" s="42" t="b">
        <f t="shared" si="26"/>
        <v>1</v>
      </c>
      <c r="T14" s="44" t="b">
        <f t="shared" si="27"/>
        <v>0</v>
      </c>
      <c r="U14" s="148">
        <f>IF(T14,LOOKUP(A14,Discrete_NFET[PARTNUMBER],Discrete_NFET[RDSON10])*1000,IF(S14,LOOKUP(A14,Discrete_NFET[PARTNUMBER],Discrete_NFET[RDSON8])*1000,IF(R14,LOOKUP(A14,Discrete_NFET[PARTNUMBER],Discrete_NFET[RDSON6])*1000,IF(Q14,LOOKUP(A14,Discrete_NFET[PARTNUMBER],Discrete_NFET[RDSON45])*1000,IF(P14,LOOKUP(A14,Discrete_NFET[PARTNUMBER],Discrete_NFET[RDSON3])*1000,IF(O14,LOOKUP(A14,Discrete_NFET[PARTNUMBER],Discrete_NFET[RDSON25])*1000,""))))))</f>
        <v>2</v>
      </c>
      <c r="V14" s="48">
        <f>IF(AND(A14&lt;&gt;0,A14&lt;&gt;""),U14*(1+(Tj-25)*(LOOKUP(A14,Discrete_NFET[PARTNUMBER],Discrete_NFET[RDSDELTA])/((LOOKUP(A14,Discrete_NFET[PARTNUMBER],Discrete_NFET[TJMAX])-25)))),"")</f>
        <v>2.2395999999999998</v>
      </c>
      <c r="W14" s="35">
        <f>IF(AND($A14&lt;&gt;0,$A14&lt;&gt;""),LOOKUP($A14,Discrete_NFET[PARTNUMBER],Discrete_NFET[QGS]),"")</f>
        <v>6.6</v>
      </c>
      <c r="X14" s="35">
        <f>IF(AND($A14&lt;&gt;0,$A14&lt;&gt;""),LOOKUP($A14,Discrete_NFET[PARTNUMBER],Discrete_NFET[QGD]),"")</f>
        <v>5.2</v>
      </c>
      <c r="Y14" s="35">
        <f>IF(AND($A14&lt;&gt;0,$A14&lt;&gt;""),LOOKUP($A14,Discrete_NFET[PARTNUMBER],Discrete_NFET[QGTH]),"")</f>
        <v>3.9</v>
      </c>
      <c r="Z14" s="35">
        <f t="shared" si="28"/>
        <v>7.9</v>
      </c>
      <c r="AA14" s="35">
        <f>IF(AND($A14&lt;&gt;0,$A14&lt;&gt;""),LOOKUP($A14,Discrete_NFET[PARTNUMBER],Discrete_NFET[QOSSTYP]),"")</f>
        <v>47</v>
      </c>
      <c r="AB14" s="35">
        <f>IF(AND($A14&lt;&gt;0,$A14&lt;&gt;""),LOOKUP($A14,Discrete_NFET[PARTNUMBER],Discrete_NFET[QRR]),"")</f>
        <v>74</v>
      </c>
      <c r="AC14" s="35">
        <f>IF(AND(A14&lt;&gt;0,A14&lt;&gt;""),LOOKUP(A14,Discrete_NFET[PARTNUMBER],Discrete_NFET[VF_TYP]),"")</f>
        <v>0.85</v>
      </c>
      <c r="AD14" s="127">
        <f>IF(AND($A14&lt;&gt;0,$A14&lt;&gt;"",OR(RIGHT(Logic!B14,2)="C)",LEFT(Logic!B14,4)="CSD1")),(1+(1-DUTY))*IM_RMS_120^2*V14*m/3/Num_FETS2,"")</f>
        <v>9.4242940135426265E-2</v>
      </c>
      <c r="AE14" s="127">
        <f>IF(AND($A14&lt;&gt;0,$A14&lt;&gt;"",OR(RIGHT(Logic!B14,2)="C)",LEFT(Logic!B14,4)="CSD1")),Num_FETS2*0.5*IM_RMS_120*VDC_AVG*Z14*n*MOT_ELEC_FREQ/GDR_SRC,"")</f>
        <v>2.5477296181630545E-5</v>
      </c>
      <c r="AF14" s="127">
        <f>IF(AND($A14&lt;&gt;0,$A14&lt;&gt;"",OR(RIGHT(Logic!B14,2)="C)",LEFT(Logic!B14,4)="CSD1")),Num_FETS2*0.5*IM_RMS_120*VDC_AVG*Z14*n*MOT_ELEC_FREQ/GDR_SINK,"")</f>
        <v>1.7324561403508773E-5</v>
      </c>
      <c r="AG14" s="127">
        <f>IF(AND($A14&lt;&gt;0,$A14&lt;&gt;"",OR(RIGHT(Logic!B14,2)="T)",LEFT(Logic!B14,4)="CSD1")),DUTY*IM_RMS_120^2*V14*m/3/Num_FETS2,"")</f>
        <v>8.5267422027290429E-2</v>
      </c>
      <c r="AH14" s="127">
        <f>IF(AND($A14&lt;&gt;0,$A14&lt;&gt;"",OR(RIGHT(Logic!B14,2)="T)",LEFT(Logic!B14,4)="CSD1")),Num_FETS2*0.5*IM_RMS_120*VDC_AVG*Z14*n*FSW*k/GDR_SRC/3,"")</f>
        <v>5.095459236326109E-3</v>
      </c>
      <c r="AI14" s="127">
        <f>IF(AND($A14&lt;&gt;0,$A14&lt;&gt;"",OR(RIGHT(Logic!B14,2)="T)",LEFT(Logic!B14,4)="CSD1")),Num_FETS2*0.5*IM_RMS_120*VDC_AVG*Z14*n*FSW*k/GDR_SINK/3,"")</f>
        <v>3.4649122807017541E-3</v>
      </c>
      <c r="AJ14" s="127">
        <f t="shared" si="7"/>
        <v>5.64E-3</v>
      </c>
      <c r="AK14" s="127">
        <f t="shared" si="12"/>
        <v>1.3190478390718382E-2</v>
      </c>
      <c r="AL14" s="127">
        <f t="shared" si="9"/>
        <v>1.7789600000000003E-2</v>
      </c>
      <c r="AM14" s="127">
        <f t="shared" si="29"/>
        <v>0.39571435172155139</v>
      </c>
      <c r="AN14" s="127">
        <f>IF(AND($A14&lt;&gt;0,$A14&lt;&gt;"",OR(RIGHT(Logic!B14,2)="C)",LEFT(Logic!B14,4)="CSD1")),SUM(AD14:AF14)+(AJ14/3)+AK14+AL14/6+AM14/6,AN15)</f>
        <v>0.17827354567065501</v>
      </c>
      <c r="AO14" s="127">
        <f>IF(AND($A14&lt;&gt;0,$A14&lt;&gt;"",OR(RIGHT(Logic!B14,2)="T)",LEFT(Logic!B14,4)="CSD1")),SUM(AG14:AI14)+(AJ14/3)+AL14/6+AM14/6,AO13)</f>
        <v>0.16462511883124353</v>
      </c>
      <c r="AP14" s="48">
        <f t="shared" si="30"/>
        <v>0.34</v>
      </c>
      <c r="AQ14" s="35" t="str">
        <f>IF(AND(A14&lt;&gt;0,A14&lt;&gt;""),LOOKUP(A14,Discrete_NFET[PARTNUMBER],Discrete_NFET[TI_EQ_PACKAGE]),"")</f>
        <v>SON5X6</v>
      </c>
      <c r="AR14" s="49">
        <f>IF(AND(A14&lt;&gt;0,A14&lt;&gt;""),LOOKUP(A14,Discrete_NFET[PARTNUMBER],Discrete_NFET[1KPRICE]),"")</f>
        <v>0.64</v>
      </c>
      <c r="AS14" s="35" t="str">
        <f>IF(AND($A14&lt;&gt;0,$A14&lt;&gt;""),CONCATENATE(TEXT(AP14,"0.00"),"W, ",IF('User Input'!G$11="Single Discrete",A14,IF('User Input'!G$11="Dual/Power Block",LEFT(A14,FIND(")",A14)-7),A14)),", ",AQ14,", ",TEXT(AR14,"$0.00")),"Invalid Part")</f>
        <v>0.34W, CSD17311Q5, SON5X6, $0.64</v>
      </c>
      <c r="AT14" t="s">
        <v>828</v>
      </c>
      <c r="AW14"/>
    </row>
    <row r="15" spans="1:54" ht="15" customHeight="1" x14ac:dyDescent="0.25">
      <c r="A15" s="35" t="str">
        <f>IF(OR(AND(FET_config2="Dual/Power Block",LEFT(Logic!B15,4)="CSD8"),AND(FET_config2="Single Discrete",LEFT(Logic!B15,4)="CSD1")),Logic!B15,"")</f>
        <v>CSD17312Q5</v>
      </c>
      <c r="B15" s="37" t="str">
        <f>IF(OR($A15=0,$A15=""),"0",IF(LOOKUP($A15,Discrete_NFET[PARTNUMBER],Discrete_NFET[RDSON25])="(NULL)","0","1"))</f>
        <v>0</v>
      </c>
      <c r="C15" s="38" t="str">
        <f>IF(OR($A15=0,$A15=""),"0",IF(LOOKUP($A15,Discrete_NFET[PARTNUMBER],Discrete_NFET[RDSON3])="(NULL)","0","1"))</f>
        <v>1</v>
      </c>
      <c r="D15" s="40" t="str">
        <f>IF(OR($A15=0,$A15=""),"0",IF(LOOKUP($A15,Discrete_NFET[PARTNUMBER],Discrete_NFET[RDSON45])="(NULL)","0","1"))</f>
        <v>1</v>
      </c>
      <c r="E15" s="45" t="str">
        <f>IF(OR($A15=0,$A15=""),"0",IF(LOOKUP($A15,Discrete_NFET[PARTNUMBER],Discrete_NFET[RDSON6])="(NULL)","0","1"))</f>
        <v>0</v>
      </c>
      <c r="F15" s="34" t="str">
        <f>IF(OR($A15=0,$A15=""),"0",IF(LOOKUP($A15,Discrete_NFET[PARTNUMBER],Discrete_NFET[RDSON8])="(NULL)","0","1"))</f>
        <v>1</v>
      </c>
      <c r="G15" s="43" t="str">
        <f>IF(OR($A15=0,$A15=""),"0",IF(LOOKUP($A15,Discrete_NFET[PARTNUMBER],Discrete_NFET[RDSON10])="(NULL)","0","1"))</f>
        <v>0</v>
      </c>
      <c r="H15" s="36" t="b">
        <f t="shared" si="15"/>
        <v>0</v>
      </c>
      <c r="I15" s="39" t="b">
        <f t="shared" si="16"/>
        <v>1</v>
      </c>
      <c r="J15" s="41" t="b">
        <f t="shared" si="17"/>
        <v>1</v>
      </c>
      <c r="K15" s="46" t="b">
        <f t="shared" si="18"/>
        <v>0</v>
      </c>
      <c r="L15" s="42" t="b">
        <f t="shared" si="19"/>
        <v>1</v>
      </c>
      <c r="M15" s="44" t="b">
        <f t="shared" si="20"/>
        <v>0</v>
      </c>
      <c r="N15" s="47" t="b">
        <f t="shared" si="21"/>
        <v>1</v>
      </c>
      <c r="O15" s="36" t="b">
        <f t="shared" si="22"/>
        <v>0</v>
      </c>
      <c r="P15" s="39" t="b">
        <f t="shared" si="23"/>
        <v>1</v>
      </c>
      <c r="Q15" s="41" t="b">
        <f t="shared" si="24"/>
        <v>1</v>
      </c>
      <c r="R15" s="46" t="b">
        <f t="shared" si="25"/>
        <v>0</v>
      </c>
      <c r="S15" s="42" t="b">
        <f t="shared" si="26"/>
        <v>1</v>
      </c>
      <c r="T15" s="44" t="b">
        <f t="shared" si="27"/>
        <v>0</v>
      </c>
      <c r="U15" s="148">
        <f>IF(T15,LOOKUP(A15,Discrete_NFET[PARTNUMBER],Discrete_NFET[RDSON10])*1000,IF(S15,LOOKUP(A15,Discrete_NFET[PARTNUMBER],Discrete_NFET[RDSON8])*1000,IF(R15,LOOKUP(A15,Discrete_NFET[PARTNUMBER],Discrete_NFET[RDSON6])*1000,IF(Q15,LOOKUP(A15,Discrete_NFET[PARTNUMBER],Discrete_NFET[RDSON45])*1000,IF(P15,LOOKUP(A15,Discrete_NFET[PARTNUMBER],Discrete_NFET[RDSON3])*1000,IF(O15,LOOKUP(A15,Discrete_NFET[PARTNUMBER],Discrete_NFET[RDSON25])*1000,""))))))</f>
        <v>1.5</v>
      </c>
      <c r="V15" s="48">
        <f>IF(AND(A15&lt;&gt;0,A15&lt;&gt;""),U15*(1+(Tj-25)*(LOOKUP(A15,Discrete_NFET[PARTNUMBER],Discrete_NFET[RDSDELTA])/((LOOKUP(A15,Discrete_NFET[PARTNUMBER],Discrete_NFET[TJMAX])-25)))),"")</f>
        <v>1.6797</v>
      </c>
      <c r="W15" s="35">
        <f>IF(AND($A15&lt;&gt;0,$A15&lt;&gt;""),LOOKUP($A15,Discrete_NFET[PARTNUMBER],Discrete_NFET[QGS]),"")</f>
        <v>8.4</v>
      </c>
      <c r="X15" s="35">
        <f>IF(AND($A15&lt;&gt;0,$A15&lt;&gt;""),LOOKUP($A15,Discrete_NFET[PARTNUMBER],Discrete_NFET[QGD]),"")</f>
        <v>6</v>
      </c>
      <c r="Y15" s="35">
        <f>IF(AND($A15&lt;&gt;0,$A15&lt;&gt;""),LOOKUP($A15,Discrete_NFET[PARTNUMBER],Discrete_NFET[QGTH]),"")</f>
        <v>4.4000000000000004</v>
      </c>
      <c r="Z15" s="35">
        <f t="shared" si="28"/>
        <v>10</v>
      </c>
      <c r="AA15" s="35">
        <f>IF(AND($A15&lt;&gt;0,$A15&lt;&gt;""),LOOKUP($A15,Discrete_NFET[PARTNUMBER],Discrete_NFET[QOSSTYP]),"")</f>
        <v>57</v>
      </c>
      <c r="AB15" s="35">
        <f>IF(AND($A15&lt;&gt;0,$A15&lt;&gt;""),LOOKUP($A15,Discrete_NFET[PARTNUMBER],Discrete_NFET[QRR]),"")</f>
        <v>88</v>
      </c>
      <c r="AC15" s="35">
        <f>IF(AND(A15&lt;&gt;0,A15&lt;&gt;""),LOOKUP(A15,Discrete_NFET[PARTNUMBER],Discrete_NFET[VF_TYP]),"")</f>
        <v>0.8</v>
      </c>
      <c r="AD15" s="127">
        <f>IF(AND($A15&lt;&gt;0,$A15&lt;&gt;"",OR(RIGHT(Logic!B15,2)="C)",LEFT(Logic!B15,4)="CSD1")),(1+(1-DUTY))*IM_RMS_120^2*V15*m/3/Num_FETS2,"")</f>
        <v>7.0682205101569695E-2</v>
      </c>
      <c r="AE15" s="127">
        <f>IF(AND($A15&lt;&gt;0,$A15&lt;&gt;"",OR(RIGHT(Logic!B15,2)="C)",LEFT(Logic!B15,4)="CSD1")),Num_FETS2*0.5*IM_RMS_120*VDC_AVG*Z15*n*MOT_ELEC_FREQ/GDR_SRC,"")</f>
        <v>3.2249742002063981E-5</v>
      </c>
      <c r="AF15" s="127">
        <f>IF(AND($A15&lt;&gt;0,$A15&lt;&gt;"",OR(RIGHT(Logic!B15,2)="C)",LEFT(Logic!B15,4)="CSD1")),Num_FETS2*0.5*IM_RMS_120*VDC_AVG*Z15*n*MOT_ELEC_FREQ/GDR_SINK,"")</f>
        <v>2.1929824561403511E-5</v>
      </c>
      <c r="AG15" s="127">
        <f>IF(AND($A15&lt;&gt;0,$A15&lt;&gt;"",OR(RIGHT(Logic!B15,2)="T)",LEFT(Logic!B15,4)="CSD1")),DUTY*IM_RMS_120^2*V15*m/3/Num_FETS2,"")</f>
        <v>6.3950566520467822E-2</v>
      </c>
      <c r="AH15" s="127">
        <f>IF(AND($A15&lt;&gt;0,$A15&lt;&gt;"",OR(RIGHT(Logic!B15,2)="T)",LEFT(Logic!B15,4)="CSD1")),Num_FETS2*0.5*IM_RMS_120*VDC_AVG*Z15*n*FSW*k/GDR_SRC/3,"")</f>
        <v>6.4499484004127972E-3</v>
      </c>
      <c r="AI15" s="127">
        <f>IF(AND($A15&lt;&gt;0,$A15&lt;&gt;"",OR(RIGHT(Logic!B15,2)="T)",LEFT(Logic!B15,4)="CSD1")),Num_FETS2*0.5*IM_RMS_120*VDC_AVG*Z15*n*FSW*k/GDR_SINK/3,"")</f>
        <v>4.3859649122807024E-3</v>
      </c>
      <c r="AJ15" s="127">
        <f t="shared" si="7"/>
        <v>6.8400000000000006E-3</v>
      </c>
      <c r="AK15" s="127">
        <f t="shared" si="12"/>
        <v>1.2414567897146714E-2</v>
      </c>
      <c r="AL15" s="127">
        <f t="shared" si="9"/>
        <v>2.1155200000000002E-2</v>
      </c>
      <c r="AM15" s="127">
        <f t="shared" si="29"/>
        <v>0.37243703691440144</v>
      </c>
      <c r="AN15" s="127">
        <f>IF(AND($A15&lt;&gt;0,$A15&lt;&gt;"",OR(RIGHT(Logic!B15,2)="C)",LEFT(Logic!B15,4)="CSD1")),SUM(AD15:AF15)+(AJ15/3)+AK15+AL15/6+AM15/6,AN16)</f>
        <v>0.15102965871768015</v>
      </c>
      <c r="AO15" s="127">
        <f>IF(AND($A15&lt;&gt;0,$A15&lt;&gt;"",OR(RIGHT(Logic!B15,2)="T)",LEFT(Logic!B15,4)="CSD1")),SUM(AG15:AI15)+(AJ15/3)+AL15/6+AM15/6,AO14)</f>
        <v>0.14266518598556158</v>
      </c>
      <c r="AP15" s="48">
        <f t="shared" si="30"/>
        <v>0.28999999999999998</v>
      </c>
      <c r="AQ15" s="35" t="str">
        <f>IF(AND(A15&lt;&gt;0,A15&lt;&gt;""),LOOKUP(A15,Discrete_NFET[PARTNUMBER],Discrete_NFET[TI_EQ_PACKAGE]),"")</f>
        <v>SON5X6</v>
      </c>
      <c r="AR15" s="49">
        <f>IF(AND(A15&lt;&gt;0,A15&lt;&gt;""),LOOKUP(A15,Discrete_NFET[PARTNUMBER],Discrete_NFET[1KPRICE]),"")</f>
        <v>0.73</v>
      </c>
      <c r="AS15" s="35" t="str">
        <f>IF(AND($A15&lt;&gt;0,$A15&lt;&gt;""),CONCATENATE(TEXT(AP15,"0.00"),"W, ",IF('User Input'!G$11="Single Discrete",A15,IF('User Input'!G$11="Dual/Power Block",LEFT(A15,FIND(")",A15)-7),A15)),", ",AQ15,", ",TEXT(AR15,"$0.00")),"Invalid Part")</f>
        <v>0.29W, CSD17312Q5, SON5X6, $0.73</v>
      </c>
      <c r="AT15" t="s">
        <v>851</v>
      </c>
      <c r="AW15"/>
    </row>
    <row r="16" spans="1:54" ht="15" customHeight="1" x14ac:dyDescent="0.25">
      <c r="A16" s="35" t="str">
        <f>IF(OR(AND(FET_config2="Dual/Power Block",LEFT(Logic!B16,4)="CSD8"),AND(FET_config2="Single Discrete",LEFT(Logic!B16,4)="CSD1")),Logic!B16,"")</f>
        <v>CSD17313Q2</v>
      </c>
      <c r="B16" s="37" t="str">
        <f>IF(OR($A16=0,$A16=""),"0",IF(LOOKUP($A16,Discrete_NFET[PARTNUMBER],Discrete_NFET[RDSON25])="(NULL)","0","1"))</f>
        <v>0</v>
      </c>
      <c r="C16" s="38" t="str">
        <f>IF(OR($A16=0,$A16=""),"0",IF(LOOKUP($A16,Discrete_NFET[PARTNUMBER],Discrete_NFET[RDSON3])="(NULL)","0","1"))</f>
        <v>1</v>
      </c>
      <c r="D16" s="40" t="str">
        <f>IF(OR($A16=0,$A16=""),"0",IF(LOOKUP($A16,Discrete_NFET[PARTNUMBER],Discrete_NFET[RDSON45])="(NULL)","0","1"))</f>
        <v>1</v>
      </c>
      <c r="E16" s="45" t="str">
        <f>IF(OR($A16=0,$A16=""),"0",IF(LOOKUP($A16,Discrete_NFET[PARTNUMBER],Discrete_NFET[RDSON6])="(NULL)","0","1"))</f>
        <v>0</v>
      </c>
      <c r="F16" s="34" t="str">
        <f>IF(OR($A16=0,$A16=""),"0",IF(LOOKUP($A16,Discrete_NFET[PARTNUMBER],Discrete_NFET[RDSON8])="(NULL)","0","1"))</f>
        <v>1</v>
      </c>
      <c r="G16" s="43" t="str">
        <f>IF(OR($A16=0,$A16=""),"0",IF(LOOKUP($A16,Discrete_NFET[PARTNUMBER],Discrete_NFET[RDSON10])="(NULL)","0","1"))</f>
        <v>0</v>
      </c>
      <c r="H16" s="36" t="b">
        <f t="shared" si="15"/>
        <v>0</v>
      </c>
      <c r="I16" s="39" t="b">
        <f t="shared" si="16"/>
        <v>1</v>
      </c>
      <c r="J16" s="41" t="b">
        <f t="shared" si="17"/>
        <v>1</v>
      </c>
      <c r="K16" s="46" t="b">
        <f t="shared" si="18"/>
        <v>0</v>
      </c>
      <c r="L16" s="42" t="b">
        <f t="shared" si="19"/>
        <v>1</v>
      </c>
      <c r="M16" s="44" t="b">
        <f t="shared" si="20"/>
        <v>0</v>
      </c>
      <c r="N16" s="47" t="b">
        <f t="shared" si="21"/>
        <v>1</v>
      </c>
      <c r="O16" s="36" t="b">
        <f t="shared" si="22"/>
        <v>0</v>
      </c>
      <c r="P16" s="39" t="b">
        <f t="shared" si="23"/>
        <v>1</v>
      </c>
      <c r="Q16" s="41" t="b">
        <f t="shared" si="24"/>
        <v>1</v>
      </c>
      <c r="R16" s="46" t="b">
        <f t="shared" si="25"/>
        <v>0</v>
      </c>
      <c r="S16" s="42" t="b">
        <f t="shared" si="26"/>
        <v>1</v>
      </c>
      <c r="T16" s="44" t="b">
        <f t="shared" si="27"/>
        <v>0</v>
      </c>
      <c r="U16" s="148">
        <f>IF(T16,LOOKUP(A16,Discrete_NFET[PARTNUMBER],Discrete_NFET[RDSON10])*1000,IF(S16,LOOKUP(A16,Discrete_NFET[PARTNUMBER],Discrete_NFET[RDSON8])*1000,IF(R16,LOOKUP(A16,Discrete_NFET[PARTNUMBER],Discrete_NFET[RDSON6])*1000,IF(Q16,LOOKUP(A16,Discrete_NFET[PARTNUMBER],Discrete_NFET[RDSON45])*1000,IF(P16,LOOKUP(A16,Discrete_NFET[PARTNUMBER],Discrete_NFET[RDSON3])*1000,IF(O16,LOOKUP(A16,Discrete_NFET[PARTNUMBER],Discrete_NFET[RDSON25])*1000,""))))))</f>
        <v>30</v>
      </c>
      <c r="V16" s="48">
        <f>IF(AND(A16&lt;&gt;0,A16&lt;&gt;""),U16*(1+(Tj-25)*(LOOKUP(A16,Discrete_NFET[PARTNUMBER],Discrete_NFET[RDSDELTA])/((LOOKUP(A16,Discrete_NFET[PARTNUMBER],Discrete_NFET[TJMAX])-25)))),"")</f>
        <v>32.880000000000003</v>
      </c>
      <c r="W16" s="35">
        <f>IF(AND($A16&lt;&gt;0,$A16&lt;&gt;""),LOOKUP($A16,Discrete_NFET[PARTNUMBER],Discrete_NFET[QGS]),"")</f>
        <v>0.7</v>
      </c>
      <c r="X16" s="35">
        <f>IF(AND($A16&lt;&gt;0,$A16&lt;&gt;""),LOOKUP($A16,Discrete_NFET[PARTNUMBER],Discrete_NFET[QGD]),"")</f>
        <v>0.4</v>
      </c>
      <c r="Y16" s="35">
        <f>IF(AND($A16&lt;&gt;0,$A16&lt;&gt;""),LOOKUP($A16,Discrete_NFET[PARTNUMBER],Discrete_NFET[QGTH]),"")</f>
        <v>0.3</v>
      </c>
      <c r="Z16" s="35">
        <f t="shared" si="28"/>
        <v>0.8</v>
      </c>
      <c r="AA16" s="35">
        <f>IF(AND($A16&lt;&gt;0,$A16&lt;&gt;""),LOOKUP($A16,Discrete_NFET[PARTNUMBER],Discrete_NFET[QOSSTYP]),"")</f>
        <v>3.8</v>
      </c>
      <c r="AB16" s="35">
        <f>IF(AND($A16&lt;&gt;0,$A16&lt;&gt;""),LOOKUP($A16,Discrete_NFET[PARTNUMBER],Discrete_NFET[QRR]),"")</f>
        <v>6.4</v>
      </c>
      <c r="AC16" s="35">
        <f>IF(AND(A16&lt;&gt;0,A16&lt;&gt;""),LOOKUP(A16,Discrete_NFET[PARTNUMBER],Discrete_NFET[VF_TYP]),"")</f>
        <v>0.85</v>
      </c>
      <c r="AD16" s="127">
        <f>IF(AND($A16&lt;&gt;0,$A16&lt;&gt;"",OR(RIGHT(Logic!B16,2)="C)",LEFT(Logic!B16,4)="CSD1")),(1+(1-DUTY))*IM_RMS_120^2*V16*m/3/Num_FETS2,"")</f>
        <v>1.3835987996306554</v>
      </c>
      <c r="AE16" s="127">
        <f>IF(AND($A16&lt;&gt;0,$A16&lt;&gt;"",OR(RIGHT(Logic!B16,2)="C)",LEFT(Logic!B16,4)="CSD1")),Num_FETS2*0.5*IM_RMS_120*VDC_AVG*Z16*n*MOT_ELEC_FREQ/GDR_SRC,"")</f>
        <v>2.5799793601651189E-6</v>
      </c>
      <c r="AF16" s="127">
        <f>IF(AND($A16&lt;&gt;0,$A16&lt;&gt;"",OR(RIGHT(Logic!B16,2)="C)",LEFT(Logic!B16,4)="CSD1")),Num_FETS2*0.5*IM_RMS_120*VDC_AVG*Z16*n*MOT_ELEC_FREQ/GDR_SINK,"")</f>
        <v>1.754385964912281E-6</v>
      </c>
      <c r="AG16" s="127">
        <f>IF(AND($A16&lt;&gt;0,$A16&lt;&gt;"",OR(RIGHT(Logic!B16,2)="T)",LEFT(Logic!B16,4)="CSD1")),DUTY*IM_RMS_120^2*V16*m/3/Num_FETS2,"")</f>
        <v>1.2518274853801168</v>
      </c>
      <c r="AH16" s="127">
        <f>IF(AND($A16&lt;&gt;0,$A16&lt;&gt;"",OR(RIGHT(Logic!B16,2)="T)",LEFT(Logic!B16,4)="CSD1")),Num_FETS2*0.5*IM_RMS_120*VDC_AVG*Z16*n*FSW*k/GDR_SRC/3,"")</f>
        <v>5.159958720330238E-4</v>
      </c>
      <c r="AI16" s="127">
        <f>IF(AND($A16&lt;&gt;0,$A16&lt;&gt;"",OR(RIGHT(Logic!B16,2)="T)",LEFT(Logic!B16,4)="CSD1")),Num_FETS2*0.5*IM_RMS_120*VDC_AVG*Z16*n*FSW*k/GDR_SINK/3,"")</f>
        <v>3.5087719298245622E-4</v>
      </c>
      <c r="AJ16" s="127">
        <f t="shared" si="7"/>
        <v>4.5599999999999997E-4</v>
      </c>
      <c r="AK16" s="127">
        <f t="shared" si="12"/>
        <v>1.3190478390718382E-2</v>
      </c>
      <c r="AL16" s="127">
        <f t="shared" si="9"/>
        <v>1.5385600000000002E-3</v>
      </c>
      <c r="AM16" s="127">
        <f t="shared" si="29"/>
        <v>0.39571435172155139</v>
      </c>
      <c r="AN16" s="127">
        <f>IF(AND($A16&lt;&gt;0,$A16&lt;&gt;"",OR(RIGHT(Logic!B16,2)="C)",LEFT(Logic!B16,4)="CSD1")),SUM(AD16:AF16)+(AJ16/3)+AK16+AL16/6+AM16/6,AN17)</f>
        <v>1.4631544310069573</v>
      </c>
      <c r="AO16" s="127">
        <f>IF(AND($A16&lt;&gt;0,$A16&lt;&gt;"",OR(RIGHT(Logic!B16,2)="T)",LEFT(Logic!B16,4)="CSD1")),SUM(AG16:AI16)+(AJ16/3)+AL16/6+AM16/6,AO15)</f>
        <v>1.3190551770653909</v>
      </c>
      <c r="AP16" s="48">
        <f t="shared" si="30"/>
        <v>2.78</v>
      </c>
      <c r="AQ16" s="35" t="str">
        <f>IF(AND(A16&lt;&gt;0,A16&lt;&gt;""),LOOKUP(A16,Discrete_NFET[PARTNUMBER],Discrete_NFET[TI_EQ_PACKAGE]),"")</f>
        <v>SON2X2</v>
      </c>
      <c r="AR16" s="49">
        <f>IF(AND(A16&lt;&gt;0,A16&lt;&gt;""),LOOKUP(A16,Discrete_NFET[PARTNUMBER],Discrete_NFET[1KPRICE]),"")</f>
        <v>0.13</v>
      </c>
      <c r="AS16" s="35" t="str">
        <f>IF(AND($A16&lt;&gt;0,$A16&lt;&gt;""),CONCATENATE(TEXT(AP16,"0.00"),"W, ",IF('User Input'!G$11="Single Discrete",A16,IF('User Input'!G$11="Dual/Power Block",LEFT(A16,FIND(")",A16)-7),A16)),", ",AQ16,", ",TEXT(AR16,"$0.00")),"Invalid Part")</f>
        <v>2.78W, CSD17313Q2, SON2X2, $0.13</v>
      </c>
      <c r="AT16" t="s">
        <v>796</v>
      </c>
      <c r="AW16"/>
    </row>
    <row r="17" spans="1:50" ht="15" customHeight="1" x14ac:dyDescent="0.25">
      <c r="A17" s="35" t="str">
        <f>IF(OR(AND(FET_config2="Dual/Power Block",LEFT(Logic!B17,4)="CSD8"),AND(FET_config2="Single Discrete",LEFT(Logic!B17,4)="CSD1")),Logic!B17,"")</f>
        <v>CSD17318Q2</v>
      </c>
      <c r="B17" s="37" t="str">
        <f>IF(OR($A17=0,$A17=""),"0",IF(LOOKUP($A17,Discrete_NFET[PARTNUMBER],Discrete_NFET[RDSON25])="(NULL)","0","1"))</f>
        <v>1</v>
      </c>
      <c r="C17" s="38" t="str">
        <f>IF(OR($A17=0,$A17=""),"0",IF(LOOKUP($A17,Discrete_NFET[PARTNUMBER],Discrete_NFET[RDSON3])="(NULL)","0","1"))</f>
        <v>0</v>
      </c>
      <c r="D17" s="40" t="str">
        <f>IF(OR($A17=0,$A17=""),"0",IF(LOOKUP($A17,Discrete_NFET[PARTNUMBER],Discrete_NFET[RDSON45])="(NULL)","0","1"))</f>
        <v>1</v>
      </c>
      <c r="E17" s="45" t="str">
        <f>IF(OR($A17=0,$A17=""),"0",IF(LOOKUP($A17,Discrete_NFET[PARTNUMBER],Discrete_NFET[RDSON6])="(NULL)","0","1"))</f>
        <v>0</v>
      </c>
      <c r="F17" s="34" t="str">
        <f>IF(OR($A17=0,$A17=""),"0",IF(LOOKUP($A17,Discrete_NFET[PARTNUMBER],Discrete_NFET[RDSON8])="(NULL)","0","1"))</f>
        <v>1</v>
      </c>
      <c r="G17" s="43" t="str">
        <f>IF(OR($A17=0,$A17=""),"0",IF(LOOKUP($A17,Discrete_NFET[PARTNUMBER],Discrete_NFET[RDSON10])="(NULL)","0","1"))</f>
        <v>0</v>
      </c>
      <c r="H17" s="36" t="b">
        <f t="shared" si="15"/>
        <v>1</v>
      </c>
      <c r="I17" s="39" t="b">
        <f t="shared" si="16"/>
        <v>0</v>
      </c>
      <c r="J17" s="41" t="b">
        <f t="shared" si="17"/>
        <v>1</v>
      </c>
      <c r="K17" s="46" t="b">
        <f t="shared" si="18"/>
        <v>0</v>
      </c>
      <c r="L17" s="42" t="b">
        <f t="shared" si="19"/>
        <v>1</v>
      </c>
      <c r="M17" s="44" t="b">
        <f t="shared" si="20"/>
        <v>0</v>
      </c>
      <c r="N17" s="47" t="b">
        <f t="shared" si="21"/>
        <v>1</v>
      </c>
      <c r="O17" s="36" t="b">
        <f t="shared" si="22"/>
        <v>1</v>
      </c>
      <c r="P17" s="39" t="b">
        <f t="shared" si="23"/>
        <v>0</v>
      </c>
      <c r="Q17" s="41" t="b">
        <f t="shared" si="24"/>
        <v>1</v>
      </c>
      <c r="R17" s="46" t="b">
        <f t="shared" si="25"/>
        <v>0</v>
      </c>
      <c r="S17" s="42" t="b">
        <f t="shared" si="26"/>
        <v>1</v>
      </c>
      <c r="T17" s="44" t="b">
        <f t="shared" si="27"/>
        <v>0</v>
      </c>
      <c r="U17" s="148">
        <f>IF(T17,LOOKUP(A17,Discrete_NFET[PARTNUMBER],Discrete_NFET[RDSON10])*1000,IF(S17,LOOKUP(A17,Discrete_NFET[PARTNUMBER],Discrete_NFET[RDSON8])*1000,IF(R17,LOOKUP(A17,Discrete_NFET[PARTNUMBER],Discrete_NFET[RDSON6])*1000,IF(Q17,LOOKUP(A17,Discrete_NFET[PARTNUMBER],Discrete_NFET[RDSON45])*1000,IF(P17,LOOKUP(A17,Discrete_NFET[PARTNUMBER],Discrete_NFET[RDSON3])*1000,IF(O17,LOOKUP(A17,Discrete_NFET[PARTNUMBER],Discrete_NFET[RDSON25])*1000,""))))))</f>
        <v>15.100000000000001</v>
      </c>
      <c r="V17" s="48">
        <f>IF(AND(A17&lt;&gt;0,A17&lt;&gt;""),U17*(1+(Tj-25)*(LOOKUP(A17,Discrete_NFET[PARTNUMBER],Discrete_NFET[RDSDELTA])/((LOOKUP(A17,Discrete_NFET[PARTNUMBER],Discrete_NFET[TJMAX])-25)))),"")</f>
        <v>17.062999999999999</v>
      </c>
      <c r="W17" s="35">
        <f>IF(AND($A17&lt;&gt;0,$A17&lt;&gt;""),LOOKUP($A17,Discrete_NFET[PARTNUMBER],Discrete_NFET[QGS]),"")</f>
        <v>1.5</v>
      </c>
      <c r="X17" s="35">
        <f>IF(AND($A17&lt;&gt;0,$A17&lt;&gt;""),LOOKUP($A17,Discrete_NFET[PARTNUMBER],Discrete_NFET[QGD]),"")</f>
        <v>1.3</v>
      </c>
      <c r="Y17" s="35">
        <f>IF(AND($A17&lt;&gt;0,$A17&lt;&gt;""),LOOKUP($A17,Discrete_NFET[PARTNUMBER],Discrete_NFET[QGTH]),"")</f>
        <v>0.7</v>
      </c>
      <c r="Z17" s="35">
        <f t="shared" si="28"/>
        <v>2.0999999999999996</v>
      </c>
      <c r="AA17" s="35">
        <f>IF(AND($A17&lt;&gt;0,$A17&lt;&gt;""),LOOKUP($A17,Discrete_NFET[PARTNUMBER],Discrete_NFET[QOSSTYP]),"")</f>
        <v>2.7</v>
      </c>
      <c r="AB17" s="35">
        <f>IF(AND($A17&lt;&gt;0,$A17&lt;&gt;""),LOOKUP($A17,Discrete_NFET[PARTNUMBER],Discrete_NFET[QRR]),"")</f>
        <v>2.9</v>
      </c>
      <c r="AC17" s="35">
        <f>IF(AND(A17&lt;&gt;0,A17&lt;&gt;""),LOOKUP(A17,Discrete_NFET[PARTNUMBER],Discrete_NFET[VF_TYP]),"")</f>
        <v>0.8</v>
      </c>
      <c r="AD17" s="127">
        <f>IF(AND($A17&lt;&gt;0,$A17&lt;&gt;"",OR(RIGHT(Logic!B17,2)="C)",LEFT(Logic!B17,4)="CSD1")),(1+(1-DUTY))*IM_RMS_120^2*V17*m/3/Num_FETS2,"")</f>
        <v>0.71801539896891331</v>
      </c>
      <c r="AE17" s="127">
        <f>IF(AND($A17&lt;&gt;0,$A17&lt;&gt;"",OR(RIGHT(Logic!B17,2)="C)",LEFT(Logic!B17,4)="CSD1")),Num_FETS2*0.5*IM_RMS_120*VDC_AVG*Z17*n*MOT_ELEC_FREQ/GDR_SRC,"")</f>
        <v>6.7724458204334364E-6</v>
      </c>
      <c r="AF17" s="127">
        <f>IF(AND($A17&lt;&gt;0,$A17&lt;&gt;"",OR(RIGHT(Logic!B17,2)="C)",LEFT(Logic!B17,4)="CSD1")),Num_FETS2*0.5*IM_RMS_120*VDC_AVG*Z17*n*MOT_ELEC_FREQ/GDR_SINK,"")</f>
        <v>4.6052631578947368E-6</v>
      </c>
      <c r="AG17" s="127">
        <f>IF(AND($A17&lt;&gt;0,$A17&lt;&gt;"",OR(RIGHT(Logic!B17,2)="T)",LEFT(Logic!B17,4)="CSD1")),DUTY*IM_RMS_120^2*V17*m/3/Num_FETS2,"")</f>
        <v>0.64963298001949299</v>
      </c>
      <c r="AH17" s="127">
        <f>IF(AND($A17&lt;&gt;0,$A17&lt;&gt;"",OR(RIGHT(Logic!B17,2)="T)",LEFT(Logic!B17,4)="CSD1")),Num_FETS2*0.5*IM_RMS_120*VDC_AVG*Z17*n*FSW*k/GDR_SRC/3,"")</f>
        <v>1.3544891640866871E-3</v>
      </c>
      <c r="AI17" s="127">
        <f>IF(AND($A17&lt;&gt;0,$A17&lt;&gt;"",OR(RIGHT(Logic!B17,2)="T)",LEFT(Logic!B17,4)="CSD1")),Num_FETS2*0.5*IM_RMS_120*VDC_AVG*Z17*n*FSW*k/GDR_SINK/3,"")</f>
        <v>9.2105263157894713E-4</v>
      </c>
      <c r="AJ17" s="127">
        <f t="shared" si="7"/>
        <v>3.2400000000000007E-4</v>
      </c>
      <c r="AK17" s="127">
        <f t="shared" si="12"/>
        <v>1.2414567897146714E-2</v>
      </c>
      <c r="AL17" s="127">
        <f t="shared" si="9"/>
        <v>6.9715999999999995E-4</v>
      </c>
      <c r="AM17" s="127">
        <f t="shared" si="29"/>
        <v>0.37243703691440144</v>
      </c>
      <c r="AN17" s="127">
        <f>IF(AND($A17&lt;&gt;0,$A17&lt;&gt;"",OR(RIGHT(Logic!B17,2)="C)",LEFT(Logic!B17,4)="CSD1")),SUM(AD17:AF17)+(AJ17/3)+AK17+AL17/6+AM17/6,AN18)</f>
        <v>0.79273837739410535</v>
      </c>
      <c r="AO17" s="127">
        <f>IF(AND($A17&lt;&gt;0,$A17&lt;&gt;"",OR(RIGHT(Logic!B17,2)="T)",LEFT(Logic!B17,4)="CSD1")),SUM(AG17:AI17)+(AJ17/3)+AL17/6+AM17/6,AO16)</f>
        <v>0.71420555463422553</v>
      </c>
      <c r="AP17" s="48">
        <f t="shared" si="30"/>
        <v>1.51</v>
      </c>
      <c r="AQ17" s="35" t="str">
        <f>IF(AND(A17&lt;&gt;0,A17&lt;&gt;""),LOOKUP(A17,Discrete_NFET[PARTNUMBER],Discrete_NFET[TI_EQ_PACKAGE]),"")</f>
        <v>SON2X2</v>
      </c>
      <c r="AR17" s="49">
        <f>IF(AND(A17&lt;&gt;0,A17&lt;&gt;""),LOOKUP(A17,Discrete_NFET[PARTNUMBER],Discrete_NFET[1KPRICE]),"")</f>
        <v>0.11</v>
      </c>
      <c r="AS17" s="35" t="str">
        <f>IF(AND($A17&lt;&gt;0,$A17&lt;&gt;""),CONCATENATE(TEXT(AP17,"0.00"),"W, ",IF('User Input'!G$11="Single Discrete",A17,IF('User Input'!G$11="Dual/Power Block",LEFT(A17,FIND(")",A17)-7),A17)),", ",AQ17,", ",TEXT(AR17,"$0.00")),"Invalid Part")</f>
        <v>1.51W, CSD17318Q2, SON2X2, $0.11</v>
      </c>
      <c r="AT17" t="s">
        <v>850</v>
      </c>
      <c r="AW17"/>
    </row>
    <row r="18" spans="1:50" ht="15" customHeight="1" x14ac:dyDescent="0.25">
      <c r="A18" s="35" t="str">
        <f>IF(OR(AND(FET_config2="Dual/Power Block",LEFT(Logic!B18,4)="CSD8"),AND(FET_config2="Single Discrete",LEFT(Logic!B18,4)="CSD1")),Logic!B18,"")</f>
        <v>CSD17322Q5A</v>
      </c>
      <c r="B18" s="37" t="str">
        <f>IF(OR($A18=0,$A18=""),"0",IF(LOOKUP($A18,Discrete_NFET[PARTNUMBER],Discrete_NFET[RDSON25])="(NULL)","0","1"))</f>
        <v>0</v>
      </c>
      <c r="C18" s="38" t="str">
        <f>IF(OR($A18=0,$A18=""),"0",IF(LOOKUP($A18,Discrete_NFET[PARTNUMBER],Discrete_NFET[RDSON3])="(NULL)","0","1"))</f>
        <v>0</v>
      </c>
      <c r="D18" s="40" t="str">
        <f>IF(OR($A18=0,$A18=""),"0",IF(LOOKUP($A18,Discrete_NFET[PARTNUMBER],Discrete_NFET[RDSON45])="(NULL)","0","1"))</f>
        <v>1</v>
      </c>
      <c r="E18" s="45" t="str">
        <f>IF(OR($A18=0,$A18=""),"0",IF(LOOKUP($A18,Discrete_NFET[PARTNUMBER],Discrete_NFET[RDSON6])="(NULL)","0","1"))</f>
        <v>0</v>
      </c>
      <c r="F18" s="34" t="str">
        <f>IF(OR($A18=0,$A18=""),"0",IF(LOOKUP($A18,Discrete_NFET[PARTNUMBER],Discrete_NFET[RDSON8])="(NULL)","0","1"))</f>
        <v>1</v>
      </c>
      <c r="G18" s="43" t="str">
        <f>IF(OR($A18=0,$A18=""),"0",IF(LOOKUP($A18,Discrete_NFET[PARTNUMBER],Discrete_NFET[RDSON10])="(NULL)","0","1"))</f>
        <v>0</v>
      </c>
      <c r="H18" s="36" t="b">
        <f t="shared" si="15"/>
        <v>0</v>
      </c>
      <c r="I18" s="39" t="b">
        <f t="shared" si="16"/>
        <v>0</v>
      </c>
      <c r="J18" s="41" t="b">
        <f t="shared" si="17"/>
        <v>1</v>
      </c>
      <c r="K18" s="46" t="b">
        <f t="shared" si="18"/>
        <v>0</v>
      </c>
      <c r="L18" s="42" t="b">
        <f t="shared" si="19"/>
        <v>1</v>
      </c>
      <c r="M18" s="44" t="b">
        <f t="shared" si="20"/>
        <v>0</v>
      </c>
      <c r="N18" s="47" t="b">
        <f t="shared" si="21"/>
        <v>1</v>
      </c>
      <c r="O18" s="36" t="b">
        <f t="shared" si="22"/>
        <v>0</v>
      </c>
      <c r="P18" s="39" t="b">
        <f t="shared" si="23"/>
        <v>0</v>
      </c>
      <c r="Q18" s="41" t="b">
        <f t="shared" si="24"/>
        <v>1</v>
      </c>
      <c r="R18" s="46" t="b">
        <f t="shared" si="25"/>
        <v>0</v>
      </c>
      <c r="S18" s="42" t="b">
        <f t="shared" si="26"/>
        <v>1</v>
      </c>
      <c r="T18" s="44" t="b">
        <f t="shared" si="27"/>
        <v>0</v>
      </c>
      <c r="U18" s="148">
        <f>IF(T18,LOOKUP(A18,Discrete_NFET[PARTNUMBER],Discrete_NFET[RDSON10])*1000,IF(S18,LOOKUP(A18,Discrete_NFET[PARTNUMBER],Discrete_NFET[RDSON8])*1000,IF(R18,LOOKUP(A18,Discrete_NFET[PARTNUMBER],Discrete_NFET[RDSON6])*1000,IF(Q18,LOOKUP(A18,Discrete_NFET[PARTNUMBER],Discrete_NFET[RDSON45])*1000,IF(P18,LOOKUP(A18,Discrete_NFET[PARTNUMBER],Discrete_NFET[RDSON3])*1000,IF(O18,LOOKUP(A18,Discrete_NFET[PARTNUMBER],Discrete_NFET[RDSON25])*1000,""))))))</f>
        <v>8.8000000000000007</v>
      </c>
      <c r="V18" s="48">
        <f>IF(AND(A18&lt;&gt;0,A18&lt;&gt;""),U18*(1+(Tj-25)*(LOOKUP(A18,Discrete_NFET[PARTNUMBER],Discrete_NFET[RDSDELTA])/((LOOKUP(A18,Discrete_NFET[PARTNUMBER],Discrete_NFET[TJMAX])-25)))),"")</f>
        <v>9.6800000000000015</v>
      </c>
      <c r="W18" s="35">
        <f>IF(AND($A18&lt;&gt;0,$A18&lt;&gt;""),LOOKUP($A18,Discrete_NFET[PARTNUMBER],Discrete_NFET[QGS]),"")</f>
        <v>1.6</v>
      </c>
      <c r="X18" s="35">
        <f>IF(AND($A18&lt;&gt;0,$A18&lt;&gt;""),LOOKUP($A18,Discrete_NFET[PARTNUMBER],Discrete_NFET[QGD]),"")</f>
        <v>1.1000000000000001</v>
      </c>
      <c r="Y18" s="35">
        <f>IF(AND($A18&lt;&gt;0,$A18&lt;&gt;""),LOOKUP($A18,Discrete_NFET[PARTNUMBER],Discrete_NFET[QGTH]),"")</f>
        <v>0.9</v>
      </c>
      <c r="Z18" s="35">
        <f t="shared" si="28"/>
        <v>1.8000000000000003</v>
      </c>
      <c r="AA18" s="35">
        <f>IF(AND($A18&lt;&gt;0,$A18&lt;&gt;""),LOOKUP($A18,Discrete_NFET[PARTNUMBER],Discrete_NFET[QOSSTYP]),"")</f>
        <v>8.6</v>
      </c>
      <c r="AB18" s="35">
        <f>IF(AND($A18&lt;&gt;0,$A18&lt;&gt;""),LOOKUP($A18,Discrete_NFET[PARTNUMBER],Discrete_NFET[QRR]),"")</f>
        <v>19.600000000000001</v>
      </c>
      <c r="AC18" s="35">
        <f>IF(AND(A18&lt;&gt;0,A18&lt;&gt;""),LOOKUP(A18,Discrete_NFET[PARTNUMBER],Discrete_NFET[VF_TYP]),"")</f>
        <v>0.85</v>
      </c>
      <c r="AD18" s="127">
        <f>IF(AND($A18&lt;&gt;0,$A18&lt;&gt;"",OR(RIGHT(Logic!B18,2)="C)",LEFT(Logic!B18,4)="CSD1")),(1+(1-DUTY))*IM_RMS_120^2*V18*m/3/Num_FETS2,"")</f>
        <v>0.40733687288396431</v>
      </c>
      <c r="AE18" s="127">
        <f>IF(AND($A18&lt;&gt;0,$A18&lt;&gt;"",OR(RIGHT(Logic!B18,2)="C)",LEFT(Logic!B18,4)="CSD1")),Num_FETS2*0.5*IM_RMS_120*VDC_AVG*Z18*n*MOT_ELEC_FREQ/GDR_SRC,"")</f>
        <v>5.8049535603715175E-6</v>
      </c>
      <c r="AF18" s="127">
        <f>IF(AND($A18&lt;&gt;0,$A18&lt;&gt;"",OR(RIGHT(Logic!B18,2)="C)",LEFT(Logic!B18,4)="CSD1")),Num_FETS2*0.5*IM_RMS_120*VDC_AVG*Z18*n*MOT_ELEC_FREQ/GDR_SINK,"")</f>
        <v>3.9473684210526323E-6</v>
      </c>
      <c r="AG18" s="127">
        <f>IF(AND($A18&lt;&gt;0,$A18&lt;&gt;"",OR(RIGHT(Logic!B18,2)="T)",LEFT(Logic!B18,4)="CSD1")),DUTY*IM_RMS_120^2*V18*m/3/Num_FETS2,"")</f>
        <v>0.36854288499025339</v>
      </c>
      <c r="AH18" s="127">
        <f>IF(AND($A18&lt;&gt;0,$A18&lt;&gt;"",OR(RIGHT(Logic!B18,2)="T)",LEFT(Logic!B18,4)="CSD1")),Num_FETS2*0.5*IM_RMS_120*VDC_AVG*Z18*n*FSW*k/GDR_SRC/3,"")</f>
        <v>1.1609907120743034E-3</v>
      </c>
      <c r="AI18" s="127">
        <f>IF(AND($A18&lt;&gt;0,$A18&lt;&gt;"",OR(RIGHT(Logic!B18,2)="T)",LEFT(Logic!B18,4)="CSD1")),Num_FETS2*0.5*IM_RMS_120*VDC_AVG*Z18*n*FSW*k/GDR_SINK/3,"")</f>
        <v>7.8947368421052641E-4</v>
      </c>
      <c r="AJ18" s="127">
        <f t="shared" si="7"/>
        <v>1.0319999999999999E-3</v>
      </c>
      <c r="AK18" s="127">
        <f t="shared" si="12"/>
        <v>1.3190478390718382E-2</v>
      </c>
      <c r="AL18" s="127">
        <f t="shared" si="9"/>
        <v>4.7118400000000001E-3</v>
      </c>
      <c r="AM18" s="127">
        <f t="shared" si="29"/>
        <v>0.39571435172155139</v>
      </c>
      <c r="AN18" s="127">
        <f>IF(AND($A18&lt;&gt;0,$A18&lt;&gt;"",OR(RIGHT(Logic!B18,2)="C)",LEFT(Logic!B18,4)="CSD1")),SUM(AD18:AF18)+(AJ18/3)+AK18+AL18/6+AM18/6,AN19)</f>
        <v>0.48761880221692278</v>
      </c>
      <c r="AO18" s="127">
        <f>IF(AND($A18&lt;&gt;0,$A18&lt;&gt;"",OR(RIGHT(Logic!B18,2)="T)",LEFT(Logic!B18,4)="CSD1")),SUM(AG18:AI18)+(AJ18/3)+AL18/6+AM18/6,AO17)</f>
        <v>0.43757504800679681</v>
      </c>
      <c r="AP18" s="48">
        <f t="shared" si="30"/>
        <v>0.93</v>
      </c>
      <c r="AQ18" s="35" t="str">
        <f>IF(AND(A18&lt;&gt;0,A18&lt;&gt;""),LOOKUP(A18,Discrete_NFET[PARTNUMBER],Discrete_NFET[TI_EQ_PACKAGE]),"")</f>
        <v>SON5X6</v>
      </c>
      <c r="AR18" s="49">
        <f>IF(AND(A18&lt;&gt;0,A18&lt;&gt;""),LOOKUP(A18,Discrete_NFET[PARTNUMBER],Discrete_NFET[1KPRICE]),"")</f>
        <v>0.3</v>
      </c>
      <c r="AS18" s="35" t="str">
        <f>IF(AND($A18&lt;&gt;0,$A18&lt;&gt;""),CONCATENATE(TEXT(AP18,"0.00"),"W, ",IF('User Input'!G$11="Single Discrete",A18,IF('User Input'!G$11="Dual/Power Block",LEFT(A18,FIND(")",A18)-7),A18)),", ",AQ18,", ",TEXT(AR18,"$0.00")),"Invalid Part")</f>
        <v>0.93W, CSD17322Q5A, SON5X6, $0.30</v>
      </c>
      <c r="AT18" t="s">
        <v>864</v>
      </c>
      <c r="AW18"/>
    </row>
    <row r="19" spans="1:50" ht="15" customHeight="1" x14ac:dyDescent="0.25">
      <c r="A19" s="35" t="str">
        <f>IF(OR(AND(FET_config2="Dual/Power Block",LEFT(Logic!B19,4)="CSD8"),AND(FET_config2="Single Discrete",LEFT(Logic!B19,4)="CSD1")),Logic!B19,"")</f>
        <v>CSD17327Q5A</v>
      </c>
      <c r="B19" s="37" t="str">
        <f>IF(OR($A19=0,$A19=""),"0",IF(LOOKUP($A19,Discrete_NFET[PARTNUMBER],Discrete_NFET[RDSON25])="(NULL)","0","1"))</f>
        <v>0</v>
      </c>
      <c r="C19" s="38" t="str">
        <f>IF(OR($A19=0,$A19=""),"0",IF(LOOKUP($A19,Discrete_NFET[PARTNUMBER],Discrete_NFET[RDSON3])="(NULL)","0","1"))</f>
        <v>0</v>
      </c>
      <c r="D19" s="40" t="str">
        <f>IF(OR($A19=0,$A19=""),"0",IF(LOOKUP($A19,Discrete_NFET[PARTNUMBER],Discrete_NFET[RDSON45])="(NULL)","0","1"))</f>
        <v>1</v>
      </c>
      <c r="E19" s="45" t="str">
        <f>IF(OR($A19=0,$A19=""),"0",IF(LOOKUP($A19,Discrete_NFET[PARTNUMBER],Discrete_NFET[RDSON6])="(NULL)","0","1"))</f>
        <v>0</v>
      </c>
      <c r="F19" s="34" t="str">
        <f>IF(OR($A19=0,$A19=""),"0",IF(LOOKUP($A19,Discrete_NFET[PARTNUMBER],Discrete_NFET[RDSON8])="(NULL)","0","1"))</f>
        <v>1</v>
      </c>
      <c r="G19" s="43" t="str">
        <f>IF(OR($A19=0,$A19=""),"0",IF(LOOKUP($A19,Discrete_NFET[PARTNUMBER],Discrete_NFET[RDSON10])="(NULL)","0","1"))</f>
        <v>0</v>
      </c>
      <c r="H19" s="36" t="b">
        <f t="shared" si="15"/>
        <v>0</v>
      </c>
      <c r="I19" s="39" t="b">
        <f t="shared" si="16"/>
        <v>0</v>
      </c>
      <c r="J19" s="41" t="b">
        <f t="shared" si="17"/>
        <v>1</v>
      </c>
      <c r="K19" s="46" t="b">
        <f t="shared" si="18"/>
        <v>0</v>
      </c>
      <c r="L19" s="42" t="b">
        <f t="shared" si="19"/>
        <v>1</v>
      </c>
      <c r="M19" s="44" t="b">
        <f t="shared" si="20"/>
        <v>0</v>
      </c>
      <c r="N19" s="47" t="b">
        <f t="shared" si="21"/>
        <v>1</v>
      </c>
      <c r="O19" s="36" t="b">
        <f t="shared" si="22"/>
        <v>0</v>
      </c>
      <c r="P19" s="39" t="b">
        <f t="shared" si="23"/>
        <v>0</v>
      </c>
      <c r="Q19" s="41" t="b">
        <f t="shared" si="24"/>
        <v>1</v>
      </c>
      <c r="R19" s="46" t="b">
        <f t="shared" si="25"/>
        <v>0</v>
      </c>
      <c r="S19" s="42" t="b">
        <f t="shared" si="26"/>
        <v>1</v>
      </c>
      <c r="T19" s="44" t="b">
        <f t="shared" si="27"/>
        <v>0</v>
      </c>
      <c r="U19" s="148">
        <f>IF(T19,LOOKUP(A19,Discrete_NFET[PARTNUMBER],Discrete_NFET[RDSON10])*1000,IF(S19,LOOKUP(A19,Discrete_NFET[PARTNUMBER],Discrete_NFET[RDSON8])*1000,IF(R19,LOOKUP(A19,Discrete_NFET[PARTNUMBER],Discrete_NFET[RDSON6])*1000,IF(Q19,LOOKUP(A19,Discrete_NFET[PARTNUMBER],Discrete_NFET[RDSON45])*1000,IF(P19,LOOKUP(A19,Discrete_NFET[PARTNUMBER],Discrete_NFET[RDSON3])*1000,IF(O19,LOOKUP(A19,Discrete_NFET[PARTNUMBER],Discrete_NFET[RDSON25])*1000,""))))))</f>
        <v>12.200000000000001</v>
      </c>
      <c r="V19" s="48">
        <f>IF(AND(A19&lt;&gt;0,A19&lt;&gt;""),U19*(1+(Tj-25)*(LOOKUP(A19,Discrete_NFET[PARTNUMBER],Discrete_NFET[RDSDELTA])/((LOOKUP(A19,Discrete_NFET[PARTNUMBER],Discrete_NFET[TJMAX])-25)))),"")</f>
        <v>13.371200000000002</v>
      </c>
      <c r="W19" s="35">
        <f>IF(AND($A19&lt;&gt;0,$A19&lt;&gt;""),LOOKUP($A19,Discrete_NFET[PARTNUMBER],Discrete_NFET[QGS]),"")</f>
        <v>1.2</v>
      </c>
      <c r="X19" s="35">
        <f>IF(AND($A19&lt;&gt;0,$A19&lt;&gt;""),LOOKUP($A19,Discrete_NFET[PARTNUMBER],Discrete_NFET[QGD]),"")</f>
        <v>0.8</v>
      </c>
      <c r="Y19" s="35">
        <f>IF(AND($A19&lt;&gt;0,$A19&lt;&gt;""),LOOKUP($A19,Discrete_NFET[PARTNUMBER],Discrete_NFET[QGTH]),"")</f>
        <v>0.6</v>
      </c>
      <c r="Z19" s="35">
        <f t="shared" si="28"/>
        <v>1.4</v>
      </c>
      <c r="AA19" s="35">
        <f>IF(AND($A19&lt;&gt;0,$A19&lt;&gt;""),LOOKUP($A19,Discrete_NFET[PARTNUMBER],Discrete_NFET[QOSSTYP]),"")</f>
        <v>6.8</v>
      </c>
      <c r="AB19" s="35">
        <f>IF(AND($A19&lt;&gt;0,$A19&lt;&gt;""),LOOKUP($A19,Discrete_NFET[PARTNUMBER],Discrete_NFET[QRR]),"")</f>
        <v>10.5</v>
      </c>
      <c r="AC19" s="35">
        <f>IF(AND(A19&lt;&gt;0,A19&lt;&gt;""),LOOKUP(A19,Discrete_NFET[PARTNUMBER],Discrete_NFET[VF_TYP]),"")</f>
        <v>0.85</v>
      </c>
      <c r="AD19" s="127">
        <f>IF(AND($A19&lt;&gt;0,$A19&lt;&gt;"",OR(RIGHT(Logic!B19,2)="C)",LEFT(Logic!B19,4)="CSD1")),(1+(1-DUTY))*IM_RMS_120^2*V19*m/3/Num_FETS2,"")</f>
        <v>0.5626635118497999</v>
      </c>
      <c r="AE19" s="127">
        <f>IF(AND($A19&lt;&gt;0,$A19&lt;&gt;"",OR(RIGHT(Logic!B19,2)="C)",LEFT(Logic!B19,4)="CSD1")),Num_FETS2*0.5*IM_RMS_120*VDC_AVG*Z19*n*MOT_ELEC_FREQ/GDR_SRC,"")</f>
        <v>4.5149638802889571E-6</v>
      </c>
      <c r="AF19" s="127">
        <f>IF(AND($A19&lt;&gt;0,$A19&lt;&gt;"",OR(RIGHT(Logic!B19,2)="C)",LEFT(Logic!B19,4)="CSD1")),Num_FETS2*0.5*IM_RMS_120*VDC_AVG*Z19*n*MOT_ELEC_FREQ/GDR_SINK,"")</f>
        <v>3.0701754385964911E-6</v>
      </c>
      <c r="AG19" s="127">
        <f>IF(AND($A19&lt;&gt;0,$A19&lt;&gt;"",OR(RIGHT(Logic!B19,2)="T)",LEFT(Logic!B19,4)="CSD1")),DUTY*IM_RMS_120^2*V19*m/3/Num_FETS2,"")</f>
        <v>0.50907651072124749</v>
      </c>
      <c r="AH19" s="127">
        <f>IF(AND($A19&lt;&gt;0,$A19&lt;&gt;"",OR(RIGHT(Logic!B19,2)="T)",LEFT(Logic!B19,4)="CSD1")),Num_FETS2*0.5*IM_RMS_120*VDC_AVG*Z19*n*FSW*k/GDR_SRC/3,"")</f>
        <v>9.0299277605779141E-4</v>
      </c>
      <c r="AI19" s="127">
        <f>IF(AND($A19&lt;&gt;0,$A19&lt;&gt;"",OR(RIGHT(Logic!B19,2)="T)",LEFT(Logic!B19,4)="CSD1")),Num_FETS2*0.5*IM_RMS_120*VDC_AVG*Z19*n*FSW*k/GDR_SINK/3,"")</f>
        <v>6.1403508771929827E-4</v>
      </c>
      <c r="AJ19" s="127">
        <f t="shared" si="7"/>
        <v>8.160000000000001E-4</v>
      </c>
      <c r="AK19" s="127">
        <f t="shared" si="12"/>
        <v>1.3190478390718382E-2</v>
      </c>
      <c r="AL19" s="127">
        <f t="shared" si="9"/>
        <v>2.5242000000000003E-3</v>
      </c>
      <c r="AM19" s="127">
        <f t="shared" si="29"/>
        <v>0.39571435172155139</v>
      </c>
      <c r="AN19" s="127">
        <f>IF(AND($A19&lt;&gt;0,$A19&lt;&gt;"",OR(RIGHT(Logic!B19,2)="C)",LEFT(Logic!B19,4)="CSD1")),SUM(AD19:AF19)+(AJ19/3)+AK19+AL19/6+AM19/6,AN20)</f>
        <v>0.6425066673334292</v>
      </c>
      <c r="AO19" s="127">
        <f>IF(AND($A19&lt;&gt;0,$A19&lt;&gt;"",OR(RIGHT(Logic!B19,2)="T)",LEFT(Logic!B19,4)="CSD1")),SUM(AG19:AI19)+(AJ19/3)+AL19/6+AM19/6,AO18)</f>
        <v>0.57723863053861657</v>
      </c>
      <c r="AP19" s="48">
        <f t="shared" si="30"/>
        <v>1.22</v>
      </c>
      <c r="AQ19" s="35" t="str">
        <f>IF(AND(A19&lt;&gt;0,A19&lt;&gt;""),LOOKUP(A19,Discrete_NFET[PARTNUMBER],Discrete_NFET[TI_EQ_PACKAGE]),"")</f>
        <v>SON5X6</v>
      </c>
      <c r="AR19" s="49">
        <f>IF(AND(A19&lt;&gt;0,A19&lt;&gt;""),LOOKUP(A19,Discrete_NFET[PARTNUMBER],Discrete_NFET[1KPRICE]),"")</f>
        <v>0.28000000000000003</v>
      </c>
      <c r="AS19" s="35" t="str">
        <f>IF(AND($A19&lt;&gt;0,$A19&lt;&gt;""),CONCATENATE(TEXT(AP19,"0.00"),"W, ",IF('User Input'!G$11="Single Discrete",A19,IF('User Input'!G$11="Dual/Power Block",LEFT(A19,FIND(")",A19)-7),A19)),", ",AQ19,", ",TEXT(AR19,"$0.00")),"Invalid Part")</f>
        <v>1.22W, CSD17327Q5A, SON5X6, $0.28</v>
      </c>
      <c r="AT19" t="s">
        <v>865</v>
      </c>
      <c r="AW19"/>
    </row>
    <row r="20" spans="1:50" ht="15" customHeight="1" x14ac:dyDescent="0.25">
      <c r="A20" s="35" t="str">
        <f>IF(OR(AND(FET_config2="Dual/Power Block",LEFT(Logic!B20,4)="CSD8"),AND(FET_config2="Single Discrete",LEFT(Logic!B20,4)="CSD1")),Logic!B20,"")</f>
        <v>CSD17501Q5A</v>
      </c>
      <c r="B20" s="37" t="str">
        <f>IF(OR($A20=0,$A20=""),"0",IF(LOOKUP($A20,Discrete_NFET[PARTNUMBER],Discrete_NFET[RDSON25])="(NULL)","0","1"))</f>
        <v>0</v>
      </c>
      <c r="C20" s="38" t="str">
        <f>IF(OR($A20=0,$A20=""),"0",IF(LOOKUP($A20,Discrete_NFET[PARTNUMBER],Discrete_NFET[RDSON3])="(NULL)","0","1"))</f>
        <v>0</v>
      </c>
      <c r="D20" s="40" t="str">
        <f>IF(OR($A20=0,$A20=""),"0",IF(LOOKUP($A20,Discrete_NFET[PARTNUMBER],Discrete_NFET[RDSON45])="(NULL)","0","1"))</f>
        <v>1</v>
      </c>
      <c r="E20" s="45" t="str">
        <f>IF(OR($A20=0,$A20=""),"0",IF(LOOKUP($A20,Discrete_NFET[PARTNUMBER],Discrete_NFET[RDSON6])="(NULL)","0","1"))</f>
        <v>0</v>
      </c>
      <c r="F20" s="34" t="str">
        <f>IF(OR($A20=0,$A20=""),"0",IF(LOOKUP($A20,Discrete_NFET[PARTNUMBER],Discrete_NFET[RDSON8])="(NULL)","0","1"))</f>
        <v>0</v>
      </c>
      <c r="G20" s="43" t="str">
        <f>IF(OR($A20=0,$A20=""),"0",IF(LOOKUP($A20,Discrete_NFET[PARTNUMBER],Discrete_NFET[RDSON10])="(NULL)","0","1"))</f>
        <v>1</v>
      </c>
      <c r="H20" s="36" t="b">
        <f t="shared" si="15"/>
        <v>0</v>
      </c>
      <c r="I20" s="39" t="b">
        <f t="shared" si="16"/>
        <v>0</v>
      </c>
      <c r="J20" s="41" t="b">
        <f t="shared" si="17"/>
        <v>1</v>
      </c>
      <c r="K20" s="46" t="b">
        <f t="shared" si="18"/>
        <v>0</v>
      </c>
      <c r="L20" s="42" t="b">
        <f t="shared" si="19"/>
        <v>0</v>
      </c>
      <c r="M20" s="44" t="b">
        <f t="shared" si="20"/>
        <v>1</v>
      </c>
      <c r="N20" s="47" t="b">
        <f t="shared" si="21"/>
        <v>1</v>
      </c>
      <c r="O20" s="36" t="b">
        <f t="shared" si="22"/>
        <v>0</v>
      </c>
      <c r="P20" s="39" t="b">
        <f t="shared" si="23"/>
        <v>0</v>
      </c>
      <c r="Q20" s="41" t="b">
        <f t="shared" si="24"/>
        <v>1</v>
      </c>
      <c r="R20" s="46" t="b">
        <f t="shared" si="25"/>
        <v>0</v>
      </c>
      <c r="S20" s="42" t="b">
        <f t="shared" si="26"/>
        <v>0</v>
      </c>
      <c r="T20" s="44" t="b">
        <f t="shared" si="27"/>
        <v>1</v>
      </c>
      <c r="U20" s="148">
        <f>IF(T20,LOOKUP(A20,Discrete_NFET[PARTNUMBER],Discrete_NFET[RDSON10])*1000,IF(S20,LOOKUP(A20,Discrete_NFET[PARTNUMBER],Discrete_NFET[RDSON8])*1000,IF(R20,LOOKUP(A20,Discrete_NFET[PARTNUMBER],Discrete_NFET[RDSON6])*1000,IF(Q20,LOOKUP(A20,Discrete_NFET[PARTNUMBER],Discrete_NFET[RDSON45])*1000,IF(P20,LOOKUP(A20,Discrete_NFET[PARTNUMBER],Discrete_NFET[RDSON3])*1000,IF(O20,LOOKUP(A20,Discrete_NFET[PARTNUMBER],Discrete_NFET[RDSON25])*1000,""))))))</f>
        <v>2.9</v>
      </c>
      <c r="V20" s="48">
        <f>IF(AND(A20&lt;&gt;0,A20&lt;&gt;""),U20*(1+(Tj-25)*(LOOKUP(A20,Discrete_NFET[PARTNUMBER],Discrete_NFET[RDSDELTA])/((LOOKUP(A20,Discrete_NFET[PARTNUMBER],Discrete_NFET[TJMAX])-25)))),"")</f>
        <v>3.161</v>
      </c>
      <c r="W20" s="35">
        <f>IF(AND($A20&lt;&gt;0,$A20&lt;&gt;""),LOOKUP($A20,Discrete_NFET[PARTNUMBER],Discrete_NFET[QGS]),"")</f>
        <v>5.4</v>
      </c>
      <c r="X20" s="35">
        <f>IF(AND($A20&lt;&gt;0,$A20&lt;&gt;""),LOOKUP($A20,Discrete_NFET[PARTNUMBER],Discrete_NFET[QGD]),"")</f>
        <v>3.5</v>
      </c>
      <c r="Y20" s="35">
        <f>IF(AND($A20&lt;&gt;0,$A20&lt;&gt;""),LOOKUP($A20,Discrete_NFET[PARTNUMBER],Discrete_NFET[QGTH]),"")</f>
        <v>2.9</v>
      </c>
      <c r="Z20" s="35">
        <f t="shared" si="28"/>
        <v>6</v>
      </c>
      <c r="AA20" s="35">
        <f>IF(AND($A20&lt;&gt;0,$A20&lt;&gt;""),LOOKUP($A20,Discrete_NFET[PARTNUMBER],Discrete_NFET[QOSSTYP]),"")</f>
        <v>35</v>
      </c>
      <c r="AB20" s="35">
        <f>IF(AND($A20&lt;&gt;0,$A20&lt;&gt;""),LOOKUP($A20,Discrete_NFET[PARTNUMBER],Discrete_NFET[QRR]),"")</f>
        <v>46</v>
      </c>
      <c r="AC20" s="35">
        <f>IF(AND(A20&lt;&gt;0,A20&lt;&gt;""),LOOKUP(A20,Discrete_NFET[PARTNUMBER],Discrete_NFET[VF_TYP]),"")</f>
        <v>0.8</v>
      </c>
      <c r="AD20" s="127">
        <f>IF(AND($A20&lt;&gt;0,$A20&lt;&gt;"",OR(RIGHT(Logic!B20,2)="C)",LEFT(Logic!B20,4)="CSD1")),(1+(1-DUTY))*IM_RMS_120^2*V20*m/3/Num_FETS2,"")</f>
        <v>0.13301568751923667</v>
      </c>
      <c r="AE20" s="127">
        <f>IF(AND($A20&lt;&gt;0,$A20&lt;&gt;"",OR(RIGHT(Logic!B20,2)="C)",LEFT(Logic!B20,4)="CSD1")),Num_FETS2*0.5*IM_RMS_120*VDC_AVG*Z20*n*MOT_ELEC_FREQ/GDR_SRC,"")</f>
        <v>1.9349845201238391E-5</v>
      </c>
      <c r="AF20" s="127">
        <f>IF(AND($A20&lt;&gt;0,$A20&lt;&gt;"",OR(RIGHT(Logic!B20,2)="C)",LEFT(Logic!B20,4)="CSD1")),Num_FETS2*0.5*IM_RMS_120*VDC_AVG*Z20*n*MOT_ELEC_FREQ/GDR_SINK,"")</f>
        <v>1.3157894736842106E-5</v>
      </c>
      <c r="AG20" s="127">
        <f>IF(AND($A20&lt;&gt;0,$A20&lt;&gt;"",OR(RIGHT(Logic!B20,2)="T)",LEFT(Logic!B20,4)="CSD1")),DUTY*IM_RMS_120^2*V20*m/3/Num_FETS2,"")</f>
        <v>0.12034752680311887</v>
      </c>
      <c r="AH20" s="127">
        <f>IF(AND($A20&lt;&gt;0,$A20&lt;&gt;"",OR(RIGHT(Logic!B20,2)="T)",LEFT(Logic!B20,4)="CSD1")),Num_FETS2*0.5*IM_RMS_120*VDC_AVG*Z20*n*FSW*k/GDR_SRC/3,"")</f>
        <v>3.8699690402476776E-3</v>
      </c>
      <c r="AI20" s="127">
        <f>IF(AND($A20&lt;&gt;0,$A20&lt;&gt;"",OR(RIGHT(Logic!B20,2)="T)",LEFT(Logic!B20,4)="CSD1")),Num_FETS2*0.5*IM_RMS_120*VDC_AVG*Z20*n*FSW*k/GDR_SINK/3,"")</f>
        <v>2.631578947368421E-3</v>
      </c>
      <c r="AJ20" s="127">
        <f t="shared" si="7"/>
        <v>4.2000000000000006E-3</v>
      </c>
      <c r="AK20" s="127">
        <f t="shared" si="12"/>
        <v>1.2414567897146714E-2</v>
      </c>
      <c r="AL20" s="127">
        <f t="shared" si="9"/>
        <v>1.1058400000000001E-2</v>
      </c>
      <c r="AM20" s="127">
        <f t="shared" si="29"/>
        <v>0.37243703691440144</v>
      </c>
      <c r="AN20" s="127">
        <f>IF(AND($A20&lt;&gt;0,$A20&lt;&gt;"",OR(RIGHT(Logic!B20,2)="C)",LEFT(Logic!B20,4)="CSD1")),SUM(AD20:AF20)+(AJ20/3)+AK20+AL20/6+AM20/6,AN21)</f>
        <v>0.21077866930872174</v>
      </c>
      <c r="AO20" s="127">
        <f>IF(AND($A20&lt;&gt;0,$A20&lt;&gt;"",OR(RIGHT(Logic!B20,2)="T)",LEFT(Logic!B20,4)="CSD1")),SUM(AG20:AI20)+(AJ20/3)+AL20/6+AM20/6,AO19)</f>
        <v>0.19216498094313525</v>
      </c>
      <c r="AP20" s="48">
        <f t="shared" si="30"/>
        <v>0.4</v>
      </c>
      <c r="AQ20" s="35" t="str">
        <f>IF(AND(A20&lt;&gt;0,A20&lt;&gt;""),LOOKUP(A20,Discrete_NFET[PARTNUMBER],Discrete_NFET[TI_EQ_PACKAGE]),"")</f>
        <v>SON5x6</v>
      </c>
      <c r="AR20" s="49">
        <f>IF(AND(A20&lt;&gt;0,A20&lt;&gt;""),LOOKUP(A20,Discrete_NFET[PARTNUMBER],Discrete_NFET[1KPRICE]),"")</f>
        <v>0.6</v>
      </c>
      <c r="AS20" s="35" t="str">
        <f>IF(AND($A20&lt;&gt;0,$A20&lt;&gt;""),CONCATENATE(TEXT(AP20,"0.00"),"W, ",IF('User Input'!G$11="Single Discrete",A20,IF('User Input'!G$11="Dual/Power Block",LEFT(A20,FIND(")",A20)-7),A20)),", ",AQ20,", ",TEXT(AR20,"$0.00")),"Invalid Part")</f>
        <v>0.40W, CSD17501Q5A, SON5x6, $0.60</v>
      </c>
      <c r="AT20" t="s">
        <v>868</v>
      </c>
      <c r="AW20"/>
      <c r="AX20" s="35" t="e">
        <f>LEFT(A91,FIND("L",A91)-1)</f>
        <v>#VALUE!</v>
      </c>
    </row>
    <row r="21" spans="1:50" ht="15" customHeight="1" x14ac:dyDescent="0.25">
      <c r="A21" s="35" t="str">
        <f>IF(OR(AND(FET_config2="Dual/Power Block",LEFT(Logic!B21,4)="CSD8"),AND(FET_config2="Single Discrete",LEFT(Logic!B21,4)="CSD1")),Logic!B21,"")</f>
        <v>CSD17505Q5A</v>
      </c>
      <c r="B21" s="37" t="str">
        <f>IF(OR($A21=0,$A21=""),"0",IF(LOOKUP($A21,Discrete_NFET[PARTNUMBER],Discrete_NFET[RDSON25])="(NULL)","0","1"))</f>
        <v>0</v>
      </c>
      <c r="C21" s="38" t="str">
        <f>IF(OR($A21=0,$A21=""),"0",IF(LOOKUP($A21,Discrete_NFET[PARTNUMBER],Discrete_NFET[RDSON3])="(NULL)","0","1"))</f>
        <v>0</v>
      </c>
      <c r="D21" s="40" t="str">
        <f>IF(OR($A21=0,$A21=""),"0",IF(LOOKUP($A21,Discrete_NFET[PARTNUMBER],Discrete_NFET[RDSON45])="(NULL)","0","1"))</f>
        <v>1</v>
      </c>
      <c r="E21" s="45" t="str">
        <f>IF(OR($A21=0,$A21=""),"0",IF(LOOKUP($A21,Discrete_NFET[PARTNUMBER],Discrete_NFET[RDSON6])="(NULL)","0","1"))</f>
        <v>0</v>
      </c>
      <c r="F21" s="34" t="str">
        <f>IF(OR($A21=0,$A21=""),"0",IF(LOOKUP($A21,Discrete_NFET[PARTNUMBER],Discrete_NFET[RDSON8])="(NULL)","0","1"))</f>
        <v>0</v>
      </c>
      <c r="G21" s="43" t="str">
        <f>IF(OR($A21=0,$A21=""),"0",IF(LOOKUP($A21,Discrete_NFET[PARTNUMBER],Discrete_NFET[RDSON10])="(NULL)","0","1"))</f>
        <v>1</v>
      </c>
      <c r="H21" s="36" t="b">
        <f t="shared" si="15"/>
        <v>0</v>
      </c>
      <c r="I21" s="39" t="b">
        <f t="shared" si="16"/>
        <v>0</v>
      </c>
      <c r="J21" s="41" t="b">
        <f t="shared" si="17"/>
        <v>1</v>
      </c>
      <c r="K21" s="46" t="b">
        <f t="shared" si="18"/>
        <v>0</v>
      </c>
      <c r="L21" s="42" t="b">
        <f t="shared" si="19"/>
        <v>0</v>
      </c>
      <c r="M21" s="44" t="b">
        <f t="shared" si="20"/>
        <v>1</v>
      </c>
      <c r="N21" s="47" t="b">
        <f t="shared" si="21"/>
        <v>1</v>
      </c>
      <c r="O21" s="36" t="b">
        <f t="shared" si="22"/>
        <v>0</v>
      </c>
      <c r="P21" s="39" t="b">
        <f t="shared" si="23"/>
        <v>0</v>
      </c>
      <c r="Q21" s="41" t="b">
        <f t="shared" si="24"/>
        <v>1</v>
      </c>
      <c r="R21" s="46" t="b">
        <f t="shared" si="25"/>
        <v>0</v>
      </c>
      <c r="S21" s="42" t="b">
        <f t="shared" si="26"/>
        <v>0</v>
      </c>
      <c r="T21" s="44" t="b">
        <f t="shared" si="27"/>
        <v>1</v>
      </c>
      <c r="U21" s="148">
        <f>IF(T21,LOOKUP(A21,Discrete_NFET[PARTNUMBER],Discrete_NFET[RDSON10])*1000,IF(S21,LOOKUP(A21,Discrete_NFET[PARTNUMBER],Discrete_NFET[RDSON8])*1000,IF(R21,LOOKUP(A21,Discrete_NFET[PARTNUMBER],Discrete_NFET[RDSON6])*1000,IF(Q21,LOOKUP(A21,Discrete_NFET[PARTNUMBER],Discrete_NFET[RDSON45])*1000,IF(P21,LOOKUP(A21,Discrete_NFET[PARTNUMBER],Discrete_NFET[RDSON3])*1000,IF(O21,LOOKUP(A21,Discrete_NFET[PARTNUMBER],Discrete_NFET[RDSON25])*1000,""))))))</f>
        <v>3.5</v>
      </c>
      <c r="V21" s="48">
        <f>IF(AND(A21&lt;&gt;0,A21&lt;&gt;""),U21*(1+(Tj-25)*(LOOKUP(A21,Discrete_NFET[PARTNUMBER],Discrete_NFET[RDSDELTA])/((LOOKUP(A21,Discrete_NFET[PARTNUMBER],Discrete_NFET[TJMAX])-25)))),"")</f>
        <v>3.8500000000000005</v>
      </c>
      <c r="W21" s="35">
        <f>IF(AND($A21&lt;&gt;0,$A21&lt;&gt;""),LOOKUP($A21,Discrete_NFET[PARTNUMBER],Discrete_NFET[QGS]),"")</f>
        <v>3.5</v>
      </c>
      <c r="X21" s="35">
        <f>IF(AND($A21&lt;&gt;0,$A21&lt;&gt;""),LOOKUP($A21,Discrete_NFET[PARTNUMBER],Discrete_NFET[QGD]),"")</f>
        <v>2.7</v>
      </c>
      <c r="Y21" s="35">
        <f>IF(AND($A21&lt;&gt;0,$A21&lt;&gt;""),LOOKUP($A21,Discrete_NFET[PARTNUMBER],Discrete_NFET[QGTH]),"")</f>
        <v>1.9</v>
      </c>
      <c r="Z21" s="35">
        <f t="shared" si="28"/>
        <v>4.3000000000000007</v>
      </c>
      <c r="AA21" s="35">
        <f>IF(AND($A21&lt;&gt;0,$A21&lt;&gt;""),LOOKUP($A21,Discrete_NFET[PARTNUMBER],Discrete_NFET[QOSSTYP]),"")</f>
        <v>26</v>
      </c>
      <c r="AB21" s="35">
        <f>IF(AND($A21&lt;&gt;0,$A21&lt;&gt;""),LOOKUP($A21,Discrete_NFET[PARTNUMBER],Discrete_NFET[QRR]),"")</f>
        <v>30</v>
      </c>
      <c r="AC21" s="35">
        <f>IF(AND(A21&lt;&gt;0,A21&lt;&gt;""),LOOKUP(A21,Discrete_NFET[PARTNUMBER],Discrete_NFET[VF_TYP]),"")</f>
        <v>0.8</v>
      </c>
      <c r="AD21" s="127">
        <f>IF(AND($A21&lt;&gt;0,$A21&lt;&gt;"",OR(RIGHT(Logic!B21,2)="C)",LEFT(Logic!B21,4)="CSD1")),(1+(1-DUTY))*IM_RMS_120^2*V21*m/3/Num_FETS2,"")</f>
        <v>0.16200898353339488</v>
      </c>
      <c r="AE21" s="127">
        <f>IF(AND($A21&lt;&gt;0,$A21&lt;&gt;"",OR(RIGHT(Logic!B21,2)="C)",LEFT(Logic!B21,4)="CSD1")),Num_FETS2*0.5*IM_RMS_120*VDC_AVG*Z21*n*MOT_ELEC_FREQ/GDR_SRC,"")</f>
        <v>1.3867389060887514E-5</v>
      </c>
      <c r="AF21" s="127">
        <f>IF(AND($A21&lt;&gt;0,$A21&lt;&gt;"",OR(RIGHT(Logic!B21,2)="C)",LEFT(Logic!B21,4)="CSD1")),Num_FETS2*0.5*IM_RMS_120*VDC_AVG*Z21*n*MOT_ELEC_FREQ/GDR_SINK,"")</f>
        <v>9.4298245614035099E-6</v>
      </c>
      <c r="AG21" s="127">
        <f>IF(AND($A21&lt;&gt;0,$A21&lt;&gt;"",OR(RIGHT(Logic!B21,2)="T)",LEFT(Logic!B21,4)="CSD1")),DUTY*IM_RMS_120^2*V21*m/3/Num_FETS2,"")</f>
        <v>0.1465795565302144</v>
      </c>
      <c r="AH21" s="127">
        <f>IF(AND($A21&lt;&gt;0,$A21&lt;&gt;"",OR(RIGHT(Logic!B21,2)="T)",LEFT(Logic!B21,4)="CSD1")),Num_FETS2*0.5*IM_RMS_120*VDC_AVG*Z21*n*FSW*k/GDR_SRC/3,"")</f>
        <v>2.7734778121775022E-3</v>
      </c>
      <c r="AI21" s="127">
        <f>IF(AND($A21&lt;&gt;0,$A21&lt;&gt;"",OR(RIGHT(Logic!B21,2)="T)",LEFT(Logic!B21,4)="CSD1")),Num_FETS2*0.5*IM_RMS_120*VDC_AVG*Z21*n*FSW*k/GDR_SINK/3,"")</f>
        <v>1.8859649122807017E-3</v>
      </c>
      <c r="AJ21" s="127">
        <f t="shared" si="7"/>
        <v>3.1200000000000004E-3</v>
      </c>
      <c r="AK21" s="127">
        <f t="shared" si="12"/>
        <v>1.2414567897146714E-2</v>
      </c>
      <c r="AL21" s="127">
        <f t="shared" si="9"/>
        <v>7.2120000000000005E-3</v>
      </c>
      <c r="AM21" s="127">
        <f t="shared" si="29"/>
        <v>0.37243703691440144</v>
      </c>
      <c r="AN21" s="127">
        <f>IF(AND($A21&lt;&gt;0,$A21&lt;&gt;"",OR(RIGHT(Logic!B21,2)="C)",LEFT(Logic!B21,4)="CSD1")),SUM(AD21:AF21)+(AJ21/3)+AK21+AL21/6+AM21/6,AN22)</f>
        <v>0.23876168812989748</v>
      </c>
      <c r="AO21" s="127">
        <f>IF(AND($A21&lt;&gt;0,$A21&lt;&gt;"",OR(RIGHT(Logic!B21,2)="T)",LEFT(Logic!B21,4)="CSD1")),SUM(AG21:AI21)+(AJ21/3)+AL21/6+AM21/6,AO20)</f>
        <v>0.21555383874040621</v>
      </c>
      <c r="AP21" s="48">
        <f t="shared" si="30"/>
        <v>0.45</v>
      </c>
      <c r="AQ21" s="35" t="str">
        <f>IF(AND(A21&lt;&gt;0,A21&lt;&gt;""),LOOKUP(A21,Discrete_NFET[PARTNUMBER],Discrete_NFET[TI_EQ_PACKAGE]),"")</f>
        <v>SON5x6</v>
      </c>
      <c r="AR21" s="49">
        <f>IF(AND(A21&lt;&gt;0,A21&lt;&gt;""),LOOKUP(A21,Discrete_NFET[PARTNUMBER],Discrete_NFET[1KPRICE]),"")</f>
        <v>0.54</v>
      </c>
      <c r="AS21" s="35" t="str">
        <f>IF(AND($A21&lt;&gt;0,$A21&lt;&gt;""),CONCATENATE(TEXT(AP21,"0.00"),"W, ",IF('User Input'!G$11="Single Discrete",A21,IF('User Input'!G$11="Dual/Power Block",LEFT(A21,FIND(")",A21)-7),A21)),", ",AQ21,", ",TEXT(AR21,"$0.00")),"Invalid Part")</f>
        <v>0.45W, CSD17505Q5A, SON5x6, $0.54</v>
      </c>
      <c r="AT21" t="s">
        <v>794</v>
      </c>
      <c r="AW21"/>
    </row>
    <row r="22" spans="1:50" ht="15" customHeight="1" x14ac:dyDescent="0.25">
      <c r="A22" s="35" t="str">
        <f>IF(OR(AND(FET_config2="Dual/Power Block",LEFT(Logic!B22,4)="CSD8"),AND(FET_config2="Single Discrete",LEFT(Logic!B22,4)="CSD1")),Logic!B22,"")</f>
        <v>CSD17506Q5A</v>
      </c>
      <c r="B22" s="37" t="str">
        <f>IF(OR($A22=0,$A22=""),"0",IF(LOOKUP($A22,Discrete_NFET[PARTNUMBER],Discrete_NFET[RDSON25])="(NULL)","0","1"))</f>
        <v>0</v>
      </c>
      <c r="C22" s="38" t="str">
        <f>IF(OR($A22=0,$A22=""),"0",IF(LOOKUP($A22,Discrete_NFET[PARTNUMBER],Discrete_NFET[RDSON3])="(NULL)","0","1"))</f>
        <v>0</v>
      </c>
      <c r="D22" s="40" t="str">
        <f>IF(OR($A22=0,$A22=""),"0",IF(LOOKUP($A22,Discrete_NFET[PARTNUMBER],Discrete_NFET[RDSON45])="(NULL)","0","1"))</f>
        <v>1</v>
      </c>
      <c r="E22" s="45" t="str">
        <f>IF(OR($A22=0,$A22=""),"0",IF(LOOKUP($A22,Discrete_NFET[PARTNUMBER],Discrete_NFET[RDSON6])="(NULL)","0","1"))</f>
        <v>0</v>
      </c>
      <c r="F22" s="34" t="str">
        <f>IF(OR($A22=0,$A22=""),"0",IF(LOOKUP($A22,Discrete_NFET[PARTNUMBER],Discrete_NFET[RDSON8])="(NULL)","0","1"))</f>
        <v>0</v>
      </c>
      <c r="G22" s="43" t="str">
        <f>IF(OR($A22=0,$A22=""),"0",IF(LOOKUP($A22,Discrete_NFET[PARTNUMBER],Discrete_NFET[RDSON10])="(NULL)","0","1"))</f>
        <v>1</v>
      </c>
      <c r="H22" s="36" t="b">
        <f t="shared" si="15"/>
        <v>0</v>
      </c>
      <c r="I22" s="39" t="b">
        <f t="shared" si="16"/>
        <v>0</v>
      </c>
      <c r="J22" s="41" t="b">
        <f t="shared" si="17"/>
        <v>1</v>
      </c>
      <c r="K22" s="46" t="b">
        <f t="shared" si="18"/>
        <v>0</v>
      </c>
      <c r="L22" s="42" t="b">
        <f t="shared" si="19"/>
        <v>0</v>
      </c>
      <c r="M22" s="44" t="b">
        <f t="shared" si="20"/>
        <v>1</v>
      </c>
      <c r="N22" s="47" t="b">
        <f t="shared" si="21"/>
        <v>1</v>
      </c>
      <c r="O22" s="36" t="b">
        <f t="shared" si="22"/>
        <v>0</v>
      </c>
      <c r="P22" s="39" t="b">
        <f t="shared" si="23"/>
        <v>0</v>
      </c>
      <c r="Q22" s="41" t="b">
        <f t="shared" si="24"/>
        <v>1</v>
      </c>
      <c r="R22" s="46" t="b">
        <f t="shared" si="25"/>
        <v>0</v>
      </c>
      <c r="S22" s="42" t="b">
        <f t="shared" si="26"/>
        <v>0</v>
      </c>
      <c r="T22" s="44" t="b">
        <f t="shared" si="27"/>
        <v>1</v>
      </c>
      <c r="U22" s="148">
        <f>IF(T22,LOOKUP(A22,Discrete_NFET[PARTNUMBER],Discrete_NFET[RDSON10])*1000,IF(S22,LOOKUP(A22,Discrete_NFET[PARTNUMBER],Discrete_NFET[RDSON8])*1000,IF(R22,LOOKUP(A22,Discrete_NFET[PARTNUMBER],Discrete_NFET[RDSON6])*1000,IF(Q22,LOOKUP(A22,Discrete_NFET[PARTNUMBER],Discrete_NFET[RDSON45])*1000,IF(P22,LOOKUP(A22,Discrete_NFET[PARTNUMBER],Discrete_NFET[RDSON3])*1000,IF(O22,LOOKUP(A22,Discrete_NFET[PARTNUMBER],Discrete_NFET[RDSON25])*1000,""))))))</f>
        <v>4</v>
      </c>
      <c r="V22" s="48">
        <f>IF(AND(A22&lt;&gt;0,A22&lt;&gt;""),U22*(1+(Tj-25)*(LOOKUP(A22,Discrete_NFET[PARTNUMBER],Discrete_NFET[RDSDELTA])/((LOOKUP(A22,Discrete_NFET[PARTNUMBER],Discrete_NFET[TJMAX])-25)))),"")</f>
        <v>4.3600000000000003</v>
      </c>
      <c r="W22" s="35">
        <f>IF(AND($A22&lt;&gt;0,$A22&lt;&gt;""),LOOKUP($A22,Discrete_NFET[PARTNUMBER],Discrete_NFET[QGS]),"")</f>
        <v>3.1</v>
      </c>
      <c r="X22" s="35">
        <f>IF(AND($A22&lt;&gt;0,$A22&lt;&gt;""),LOOKUP($A22,Discrete_NFET[PARTNUMBER],Discrete_NFET[QGD]),"")</f>
        <v>2.2999999999999998</v>
      </c>
      <c r="Y22" s="35">
        <f>IF(AND($A22&lt;&gt;0,$A22&lt;&gt;""),LOOKUP($A22,Discrete_NFET[PARTNUMBER],Discrete_NFET[QGTH]),"")</f>
        <v>1.6</v>
      </c>
      <c r="Z22" s="35">
        <f t="shared" si="28"/>
        <v>3.8000000000000003</v>
      </c>
      <c r="AA22" s="35">
        <f>IF(AND($A22&lt;&gt;0,$A22&lt;&gt;""),LOOKUP($A22,Discrete_NFET[PARTNUMBER],Discrete_NFET[QOSSTYP]),"")</f>
        <v>23</v>
      </c>
      <c r="AB22" s="35">
        <f>IF(AND($A22&lt;&gt;0,$A22&lt;&gt;""),LOOKUP($A22,Discrete_NFET[PARTNUMBER],Discrete_NFET[QRR]),"")</f>
        <v>33</v>
      </c>
      <c r="AC22" s="35">
        <f>IF(AND(A22&lt;&gt;0,A22&lt;&gt;""),LOOKUP(A22,Discrete_NFET[PARTNUMBER],Discrete_NFET[VF_TYP]),"")</f>
        <v>0.8</v>
      </c>
      <c r="AD22" s="127">
        <f>IF(AND($A22&lt;&gt;0,$A22&lt;&gt;"",OR(RIGHT(Logic!B22,2)="C)",LEFT(Logic!B22,4)="CSD1")),(1+(1-DUTY))*IM_RMS_120^2*V22*m/3/Num_FETS2,"")</f>
        <v>0.18346991381963682</v>
      </c>
      <c r="AE22" s="127">
        <f>IF(AND($A22&lt;&gt;0,$A22&lt;&gt;"",OR(RIGHT(Logic!B22,2)="C)",LEFT(Logic!B22,4)="CSD1")),Num_FETS2*0.5*IM_RMS_120*VDC_AVG*Z22*n*MOT_ELEC_FREQ/GDR_SRC,"")</f>
        <v>1.2254901960784317E-5</v>
      </c>
      <c r="AF22" s="127">
        <f>IF(AND($A22&lt;&gt;0,$A22&lt;&gt;"",OR(RIGHT(Logic!B22,2)="C)",LEFT(Logic!B22,4)="CSD1")),Num_FETS2*0.5*IM_RMS_120*VDC_AVG*Z22*n*MOT_ELEC_FREQ/GDR_SINK,"")</f>
        <v>8.3333333333333354E-6</v>
      </c>
      <c r="AG22" s="127">
        <f>IF(AND($A22&lt;&gt;0,$A22&lt;&gt;"",OR(RIGHT(Logic!B22,2)="T)",LEFT(Logic!B22,4)="CSD1")),DUTY*IM_RMS_120^2*V22*m/3/Num_FETS2,"")</f>
        <v>0.16599658869395709</v>
      </c>
      <c r="AH22" s="127">
        <f>IF(AND($A22&lt;&gt;0,$A22&lt;&gt;"",OR(RIGHT(Logic!B22,2)="T)",LEFT(Logic!B22,4)="CSD1")),Num_FETS2*0.5*IM_RMS_120*VDC_AVG*Z22*n*FSW*k/GDR_SRC/3,"")</f>
        <v>2.4509803921568631E-3</v>
      </c>
      <c r="AI22" s="127">
        <f>IF(AND($A22&lt;&gt;0,$A22&lt;&gt;"",OR(RIGHT(Logic!B22,2)="T)",LEFT(Logic!B22,4)="CSD1")),Num_FETS2*0.5*IM_RMS_120*VDC_AVG*Z22*n*FSW*k/GDR_SINK/3,"")</f>
        <v>1.666666666666667E-3</v>
      </c>
      <c r="AJ22" s="127">
        <f t="shared" si="7"/>
        <v>2.7600000000000003E-3</v>
      </c>
      <c r="AK22" s="127">
        <f t="shared" si="12"/>
        <v>1.2414567897146714E-2</v>
      </c>
      <c r="AL22" s="127">
        <f t="shared" si="9"/>
        <v>7.9331999999999996E-3</v>
      </c>
      <c r="AM22" s="127">
        <f t="shared" si="29"/>
        <v>0.37243703691440144</v>
      </c>
      <c r="AN22" s="127">
        <f>IF(AND($A22&lt;&gt;0,$A22&lt;&gt;"",OR(RIGHT(Logic!B22,2)="C)",LEFT(Logic!B22,4)="CSD1")),SUM(AD22:AF22)+(AJ22/3)+AK22+AL22/6+AM22/6,AN23)</f>
        <v>0.26022010943781121</v>
      </c>
      <c r="AO22" s="127">
        <f>IF(AND($A22&lt;&gt;0,$A22&lt;&gt;"",OR(RIGHT(Logic!B22,2)="T)",LEFT(Logic!B22,4)="CSD1")),SUM(AG22:AI22)+(AJ22/3)+AL22/6+AM22/6,AO21)</f>
        <v>0.2344292752385142</v>
      </c>
      <c r="AP22" s="48">
        <f t="shared" si="30"/>
        <v>0.49</v>
      </c>
      <c r="AQ22" s="35" t="str">
        <f>IF(AND(A22&lt;&gt;0,A22&lt;&gt;""),LOOKUP(A22,Discrete_NFET[PARTNUMBER],Discrete_NFET[TI_EQ_PACKAGE]),"")</f>
        <v>SON5x6</v>
      </c>
      <c r="AR22" s="49">
        <f>IF(AND(A22&lt;&gt;0,A22&lt;&gt;""),LOOKUP(A22,Discrete_NFET[PARTNUMBER],Discrete_NFET[1KPRICE]),"")</f>
        <v>0.47</v>
      </c>
      <c r="AS22" s="35" t="str">
        <f>IF(AND($A22&lt;&gt;0,$A22&lt;&gt;""),CONCATENATE(TEXT(AP22,"0.00"),"W, ",IF('User Input'!G$11="Single Discrete",A22,IF('User Input'!G$11="Dual/Power Block",LEFT(A22,FIND(")",A22)-7),A22)),", ",AQ22,", ",TEXT(AR22,"$0.00")),"Invalid Part")</f>
        <v>0.49W, CSD17506Q5A, SON5x6, $0.47</v>
      </c>
      <c r="AT22" t="s">
        <v>839</v>
      </c>
      <c r="AW22"/>
      <c r="AX22" s="35" t="str">
        <f>IF('User Input'!F13="Dual/Power Block",LEFT(A4,FIND("L",A4)-1),A4)</f>
        <v>CSD17301Q5A</v>
      </c>
    </row>
    <row r="23" spans="1:50" ht="15" customHeight="1" x14ac:dyDescent="0.25">
      <c r="A23" s="35" t="str">
        <f>IF(OR(AND(FET_config2="Dual/Power Block",LEFT(Logic!B23,4)="CSD8"),AND(FET_config2="Single Discrete",LEFT(Logic!B23,4)="CSD1")),Logic!B23,"")</f>
        <v>CSD17507Q5A</v>
      </c>
      <c r="B23" s="37" t="str">
        <f>IF(OR($A23=0,$A23=""),"0",IF(LOOKUP($A23,Discrete_NFET[PARTNUMBER],Discrete_NFET[RDSON25])="(NULL)","0","1"))</f>
        <v>0</v>
      </c>
      <c r="C23" s="38" t="str">
        <f>IF(OR($A23=0,$A23=""),"0",IF(LOOKUP($A23,Discrete_NFET[PARTNUMBER],Discrete_NFET[RDSON3])="(NULL)","0","1"))</f>
        <v>0</v>
      </c>
      <c r="D23" s="40" t="str">
        <f>IF(OR($A23=0,$A23=""),"0",IF(LOOKUP($A23,Discrete_NFET[PARTNUMBER],Discrete_NFET[RDSON45])="(NULL)","0","1"))</f>
        <v>1</v>
      </c>
      <c r="E23" s="45" t="str">
        <f>IF(OR($A23=0,$A23=""),"0",IF(LOOKUP($A23,Discrete_NFET[PARTNUMBER],Discrete_NFET[RDSON6])="(NULL)","0","1"))</f>
        <v>0</v>
      </c>
      <c r="F23" s="34" t="str">
        <f>IF(OR($A23=0,$A23=""),"0",IF(LOOKUP($A23,Discrete_NFET[PARTNUMBER],Discrete_NFET[RDSON8])="(NULL)","0","1"))</f>
        <v>0</v>
      </c>
      <c r="G23" s="43" t="str">
        <f>IF(OR($A23=0,$A23=""),"0",IF(LOOKUP($A23,Discrete_NFET[PARTNUMBER],Discrete_NFET[RDSON10])="(NULL)","0","1"))</f>
        <v>1</v>
      </c>
      <c r="H23" s="36" t="b">
        <f t="shared" si="15"/>
        <v>0</v>
      </c>
      <c r="I23" s="39" t="b">
        <f t="shared" si="16"/>
        <v>0</v>
      </c>
      <c r="J23" s="41" t="b">
        <f t="shared" si="17"/>
        <v>1</v>
      </c>
      <c r="K23" s="46" t="b">
        <f t="shared" si="18"/>
        <v>0</v>
      </c>
      <c r="L23" s="42" t="b">
        <f t="shared" si="19"/>
        <v>0</v>
      </c>
      <c r="M23" s="44" t="b">
        <f t="shared" si="20"/>
        <v>1</v>
      </c>
      <c r="N23" s="47" t="b">
        <f t="shared" si="21"/>
        <v>1</v>
      </c>
      <c r="O23" s="36" t="b">
        <f t="shared" si="22"/>
        <v>0</v>
      </c>
      <c r="P23" s="39" t="b">
        <f t="shared" si="23"/>
        <v>0</v>
      </c>
      <c r="Q23" s="41" t="b">
        <f t="shared" si="24"/>
        <v>1</v>
      </c>
      <c r="R23" s="46" t="b">
        <f t="shared" si="25"/>
        <v>0</v>
      </c>
      <c r="S23" s="42" t="b">
        <f t="shared" si="26"/>
        <v>0</v>
      </c>
      <c r="T23" s="44" t="b">
        <f t="shared" si="27"/>
        <v>1</v>
      </c>
      <c r="U23" s="148">
        <f>IF(T23,LOOKUP(A23,Discrete_NFET[PARTNUMBER],Discrete_NFET[RDSON10])*1000,IF(S23,LOOKUP(A23,Discrete_NFET[PARTNUMBER],Discrete_NFET[RDSON8])*1000,IF(R23,LOOKUP(A23,Discrete_NFET[PARTNUMBER],Discrete_NFET[RDSON6])*1000,IF(Q23,LOOKUP(A23,Discrete_NFET[PARTNUMBER],Discrete_NFET[RDSON45])*1000,IF(P23,LOOKUP(A23,Discrete_NFET[PARTNUMBER],Discrete_NFET[RDSON3])*1000,IF(O23,LOOKUP(A23,Discrete_NFET[PARTNUMBER],Discrete_NFET[RDSON25])*1000,""))))))</f>
        <v>10.8</v>
      </c>
      <c r="V23" s="48">
        <f>IF(AND(A23&lt;&gt;0,A23&lt;&gt;""),U23*(1+(Tj-25)*(LOOKUP(A23,Discrete_NFET[PARTNUMBER],Discrete_NFET[RDSDELTA])/((LOOKUP(A23,Discrete_NFET[PARTNUMBER],Discrete_NFET[TJMAX])-25)))),"")</f>
        <v>11.815200000000001</v>
      </c>
      <c r="W23" s="35">
        <f>IF(AND($A23&lt;&gt;0,$A23&lt;&gt;""),LOOKUP($A23,Discrete_NFET[PARTNUMBER],Discrete_NFET[QGS]),"")</f>
        <v>1.3</v>
      </c>
      <c r="X23" s="35">
        <f>IF(AND($A23&lt;&gt;0,$A23&lt;&gt;""),LOOKUP($A23,Discrete_NFET[PARTNUMBER],Discrete_NFET[QGD]),"")</f>
        <v>0.7</v>
      </c>
      <c r="Y23" s="35">
        <f>IF(AND($A23&lt;&gt;0,$A23&lt;&gt;""),LOOKUP($A23,Discrete_NFET[PARTNUMBER],Discrete_NFET[QGTH]),"")</f>
        <v>0.7</v>
      </c>
      <c r="Z23" s="35">
        <f t="shared" si="28"/>
        <v>1.3</v>
      </c>
      <c r="AA23" s="35">
        <f>IF(AND($A23&lt;&gt;0,$A23&lt;&gt;""),LOOKUP($A23,Discrete_NFET[PARTNUMBER],Discrete_NFET[QOSSTYP]),"")</f>
        <v>7.2</v>
      </c>
      <c r="AB23" s="35">
        <f>IF(AND($A23&lt;&gt;0,$A23&lt;&gt;""),LOOKUP($A23,Discrete_NFET[PARTNUMBER],Discrete_NFET[QRR]),"")</f>
        <v>11</v>
      </c>
      <c r="AC23" s="35">
        <f>IF(AND(A23&lt;&gt;0,A23&lt;&gt;""),LOOKUP(A23,Discrete_NFET[PARTNUMBER],Discrete_NFET[VF_TYP]),"")</f>
        <v>0.85</v>
      </c>
      <c r="AD23" s="127">
        <f>IF(AND($A23&lt;&gt;0,$A23&lt;&gt;"",OR(RIGHT(Logic!B23,2)="C)",LEFT(Logic!B23,4)="CSD1")),(1+(1-DUTY))*IM_RMS_120^2*V23*m/3/Num_FETS2,"")</f>
        <v>0.49718663434903038</v>
      </c>
      <c r="AE23" s="127">
        <f>IF(AND($A23&lt;&gt;0,$A23&lt;&gt;"",OR(RIGHT(Logic!B23,2)="C)",LEFT(Logic!B23,4)="CSD1")),Num_FETS2*0.5*IM_RMS_120*VDC_AVG*Z23*n*MOT_ELEC_FREQ/GDR_SRC,"")</f>
        <v>4.192466460268318E-6</v>
      </c>
      <c r="AF23" s="127">
        <f>IF(AND($A23&lt;&gt;0,$A23&lt;&gt;"",OR(RIGHT(Logic!B23,2)="C)",LEFT(Logic!B23,4)="CSD1")),Num_FETS2*0.5*IM_RMS_120*VDC_AVG*Z23*n*MOT_ELEC_FREQ/GDR_SINK,"")</f>
        <v>2.8508771929824565E-6</v>
      </c>
      <c r="AG23" s="127">
        <f>IF(AND($A23&lt;&gt;0,$A23&lt;&gt;"",OR(RIGHT(Logic!B23,2)="T)",LEFT(Logic!B23,4)="CSD1")),DUTY*IM_RMS_120^2*V23*m/3/Num_FETS2,"")</f>
        <v>0.44983552631578938</v>
      </c>
      <c r="AH23" s="127">
        <f>IF(AND($A23&lt;&gt;0,$A23&lt;&gt;"",OR(RIGHT(Logic!B23,2)="T)",LEFT(Logic!B23,4)="CSD1")),Num_FETS2*0.5*IM_RMS_120*VDC_AVG*Z23*n*FSW*k/GDR_SRC/3,"")</f>
        <v>8.3849329205366375E-4</v>
      </c>
      <c r="AI23" s="127">
        <f>IF(AND($A23&lt;&gt;0,$A23&lt;&gt;"",OR(RIGHT(Logic!B23,2)="T)",LEFT(Logic!B23,4)="CSD1")),Num_FETS2*0.5*IM_RMS_120*VDC_AVG*Z23*n*FSW*k/GDR_SINK/3,"")</f>
        <v>5.7017543859649129E-4</v>
      </c>
      <c r="AJ23" s="127">
        <f t="shared" si="7"/>
        <v>8.6400000000000008E-4</v>
      </c>
      <c r="AK23" s="127">
        <f t="shared" si="12"/>
        <v>1.3190478390718382E-2</v>
      </c>
      <c r="AL23" s="127">
        <f t="shared" si="9"/>
        <v>2.6444000000000003E-3</v>
      </c>
      <c r="AM23" s="127">
        <f t="shared" si="29"/>
        <v>0.39571435172155139</v>
      </c>
      <c r="AN23" s="127">
        <f>IF(AND($A23&lt;&gt;0,$A23&lt;&gt;"",OR(RIGHT(Logic!B23,2)="C)",LEFT(Logic!B23,4)="CSD1")),SUM(AD23:AF23)+(AJ23/3)+AK23+AL23/6+AM23/6,AN24)</f>
        <v>0.57706528137032731</v>
      </c>
      <c r="AO23" s="127">
        <f>IF(AND($A23&lt;&gt;0,$A23&lt;&gt;"",OR(RIGHT(Logic!B23,2)="T)",LEFT(Logic!B23,4)="CSD1")),SUM(AG23:AI23)+(AJ23/3)+AL23/6+AM23/6,AO22)</f>
        <v>0.5179253203333648</v>
      </c>
      <c r="AP23" s="48">
        <f t="shared" si="30"/>
        <v>1.0900000000000001</v>
      </c>
      <c r="AQ23" s="35" t="str">
        <f>IF(AND(A23&lt;&gt;0,A23&lt;&gt;""),LOOKUP(A23,Discrete_NFET[PARTNUMBER],Discrete_NFET[TI_EQ_PACKAGE]),"")</f>
        <v>SON5x6</v>
      </c>
      <c r="AR23" s="49">
        <f>IF(AND(A23&lt;&gt;0,A23&lt;&gt;""),LOOKUP(A23,Discrete_NFET[PARTNUMBER],Discrete_NFET[1KPRICE]),"")</f>
        <v>0.23</v>
      </c>
      <c r="AS23" s="35" t="str">
        <f>IF(AND($A23&lt;&gt;0,$A23&lt;&gt;""),CONCATENATE(TEXT(AP23,"0.00"),"W, ",IF('User Input'!G$11="Single Discrete",A23,IF('User Input'!G$11="Dual/Power Block",LEFT(A23,FIND(")",A23)-7),A23)),", ",AQ23,", ",TEXT(AR23,"$0.00")),"Invalid Part")</f>
        <v>1.09W, CSD17507Q5A, SON5x6, $0.23</v>
      </c>
      <c r="AT23" t="s">
        <v>862</v>
      </c>
      <c r="AW23"/>
    </row>
    <row r="24" spans="1:50" ht="15" customHeight="1" x14ac:dyDescent="0.25">
      <c r="A24" s="35" t="str">
        <f>IF(OR(AND(FET_config2="Dual/Power Block",LEFT(Logic!B24,4)="CSD8"),AND(FET_config2="Single Discrete",LEFT(Logic!B24,4)="CSD1")),Logic!B24,"")</f>
        <v>CSD17510Q5A</v>
      </c>
      <c r="B24" s="37" t="str">
        <f>IF(OR($A24=0,$A24=""),"0",IF(LOOKUP($A24,Discrete_NFET[PARTNUMBER],Discrete_NFET[RDSON25])="(NULL)","0","1"))</f>
        <v>0</v>
      </c>
      <c r="C24" s="38" t="str">
        <f>IF(OR($A24=0,$A24=""),"0",IF(LOOKUP($A24,Discrete_NFET[PARTNUMBER],Discrete_NFET[RDSON3])="(NULL)","0","1"))</f>
        <v>0</v>
      </c>
      <c r="D24" s="40" t="str">
        <f>IF(OR($A24=0,$A24=""),"0",IF(LOOKUP($A24,Discrete_NFET[PARTNUMBER],Discrete_NFET[RDSON45])="(NULL)","0","1"))</f>
        <v>1</v>
      </c>
      <c r="E24" s="45" t="str">
        <f>IF(OR($A24=0,$A24=""),"0",IF(LOOKUP($A24,Discrete_NFET[PARTNUMBER],Discrete_NFET[RDSON6])="(NULL)","0","1"))</f>
        <v>0</v>
      </c>
      <c r="F24" s="34" t="str">
        <f>IF(OR($A24=0,$A24=""),"0",IF(LOOKUP($A24,Discrete_NFET[PARTNUMBER],Discrete_NFET[RDSON8])="(NULL)","0","1"))</f>
        <v>0</v>
      </c>
      <c r="G24" s="43" t="str">
        <f>IF(OR($A24=0,$A24=""),"0",IF(LOOKUP($A24,Discrete_NFET[PARTNUMBER],Discrete_NFET[RDSON10])="(NULL)","0","1"))</f>
        <v>1</v>
      </c>
      <c r="H24" s="36" t="b">
        <f t="shared" si="15"/>
        <v>0</v>
      </c>
      <c r="I24" s="39" t="b">
        <f t="shared" si="16"/>
        <v>0</v>
      </c>
      <c r="J24" s="41" t="b">
        <f t="shared" si="17"/>
        <v>1</v>
      </c>
      <c r="K24" s="46" t="b">
        <f t="shared" si="18"/>
        <v>0</v>
      </c>
      <c r="L24" s="42" t="b">
        <f t="shared" si="19"/>
        <v>0</v>
      </c>
      <c r="M24" s="44" t="b">
        <f t="shared" si="20"/>
        <v>1</v>
      </c>
      <c r="N24" s="47" t="b">
        <f t="shared" si="21"/>
        <v>1</v>
      </c>
      <c r="O24" s="36" t="b">
        <f t="shared" si="22"/>
        <v>0</v>
      </c>
      <c r="P24" s="39" t="b">
        <f t="shared" si="23"/>
        <v>0</v>
      </c>
      <c r="Q24" s="41" t="b">
        <f t="shared" si="24"/>
        <v>1</v>
      </c>
      <c r="R24" s="46" t="b">
        <f t="shared" si="25"/>
        <v>0</v>
      </c>
      <c r="S24" s="42" t="b">
        <f t="shared" si="26"/>
        <v>0</v>
      </c>
      <c r="T24" s="44" t="b">
        <f t="shared" si="27"/>
        <v>1</v>
      </c>
      <c r="U24" s="148">
        <f>IF(T24,LOOKUP(A24,Discrete_NFET[PARTNUMBER],Discrete_NFET[RDSON10])*1000,IF(S24,LOOKUP(A24,Discrete_NFET[PARTNUMBER],Discrete_NFET[RDSON8])*1000,IF(R24,LOOKUP(A24,Discrete_NFET[PARTNUMBER],Discrete_NFET[RDSON6])*1000,IF(Q24,LOOKUP(A24,Discrete_NFET[PARTNUMBER],Discrete_NFET[RDSON45])*1000,IF(P24,LOOKUP(A24,Discrete_NFET[PARTNUMBER],Discrete_NFET[RDSON3])*1000,IF(O24,LOOKUP(A24,Discrete_NFET[PARTNUMBER],Discrete_NFET[RDSON25])*1000,""))))))</f>
        <v>5.2</v>
      </c>
      <c r="V24" s="48">
        <f>IF(AND(A24&lt;&gt;0,A24&lt;&gt;""),U24*(1+(Tj-25)*(LOOKUP(A24,Discrete_NFET[PARTNUMBER],Discrete_NFET[RDSDELTA])/((LOOKUP(A24,Discrete_NFET[PARTNUMBER],Discrete_NFET[TJMAX])-25)))),"")</f>
        <v>5.6888000000000005</v>
      </c>
      <c r="W24" s="35">
        <f>IF(AND($A24&lt;&gt;0,$A24&lt;&gt;""),LOOKUP($A24,Discrete_NFET[PARTNUMBER],Discrete_NFET[QGS]),"")</f>
        <v>2.7</v>
      </c>
      <c r="X24" s="35">
        <f>IF(AND($A24&lt;&gt;0,$A24&lt;&gt;""),LOOKUP($A24,Discrete_NFET[PARTNUMBER],Discrete_NFET[QGD]),"")</f>
        <v>1.9</v>
      </c>
      <c r="Y24" s="35">
        <f>IF(AND($A24&lt;&gt;0,$A24&lt;&gt;""),LOOKUP($A24,Discrete_NFET[PARTNUMBER],Discrete_NFET[QGTH]),"")</f>
        <v>1.5</v>
      </c>
      <c r="Z24" s="35">
        <f t="shared" si="28"/>
        <v>3.0999999999999996</v>
      </c>
      <c r="AA24" s="35">
        <f>IF(AND($A24&lt;&gt;0,$A24&lt;&gt;""),LOOKUP($A24,Discrete_NFET[PARTNUMBER],Discrete_NFET[QOSSTYP]),"")</f>
        <v>16</v>
      </c>
      <c r="AB24" s="35">
        <f>IF(AND($A24&lt;&gt;0,$A24&lt;&gt;""),LOOKUP($A24,Discrete_NFET[PARTNUMBER],Discrete_NFET[QRR]),"")</f>
        <v>25</v>
      </c>
      <c r="AC24" s="35">
        <f>IF(AND(A24&lt;&gt;0,A24&lt;&gt;""),LOOKUP(A24,Discrete_NFET[PARTNUMBER],Discrete_NFET[VF_TYP]),"")</f>
        <v>0.85</v>
      </c>
      <c r="AD24" s="127">
        <f>IF(AND($A24&lt;&gt;0,$A24&lt;&gt;"",OR(RIGHT(Logic!B24,2)="C)",LEFT(Logic!B24,4)="CSD1")),(1+(1-DUTY))*IM_RMS_120^2*V24*m/3/Num_FETS2,"")</f>
        <v>0.23938615727916279</v>
      </c>
      <c r="AE24" s="127">
        <f>IF(AND($A24&lt;&gt;0,$A24&lt;&gt;"",OR(RIGHT(Logic!B24,2)="C)",LEFT(Logic!B24,4)="CSD1")),Num_FETS2*0.5*IM_RMS_120*VDC_AVG*Z24*n*MOT_ELEC_FREQ/GDR_SRC,"")</f>
        <v>9.9974200206398347E-6</v>
      </c>
      <c r="AF24" s="127">
        <f>IF(AND($A24&lt;&gt;0,$A24&lt;&gt;"",OR(RIGHT(Logic!B24,2)="C)",LEFT(Logic!B24,4)="CSD1")),Num_FETS2*0.5*IM_RMS_120*VDC_AVG*Z24*n*MOT_ELEC_FREQ/GDR_SINK,"")</f>
        <v>6.7982456140350876E-6</v>
      </c>
      <c r="AG24" s="127">
        <f>IF(AND($A24&lt;&gt;0,$A24&lt;&gt;"",OR(RIGHT(Logic!B24,2)="T)",LEFT(Logic!B24,4)="CSD1")),DUTY*IM_RMS_120^2*V24*m/3/Num_FETS2,"")</f>
        <v>0.21658747563352823</v>
      </c>
      <c r="AH24" s="127">
        <f>IF(AND($A24&lt;&gt;0,$A24&lt;&gt;"",OR(RIGHT(Logic!B24,2)="T)",LEFT(Logic!B24,4)="CSD1")),Num_FETS2*0.5*IM_RMS_120*VDC_AVG*Z24*n*FSW*k/GDR_SRC/3,"")</f>
        <v>1.9994840041279668E-3</v>
      </c>
      <c r="AI24" s="127">
        <f>IF(AND($A24&lt;&gt;0,$A24&lt;&gt;"",OR(RIGHT(Logic!B24,2)="T)",LEFT(Logic!B24,4)="CSD1")),Num_FETS2*0.5*IM_RMS_120*VDC_AVG*Z24*n*FSW*k/GDR_SINK/3,"")</f>
        <v>1.3596491228070175E-3</v>
      </c>
      <c r="AJ24" s="127">
        <f t="shared" si="7"/>
        <v>1.92E-3</v>
      </c>
      <c r="AK24" s="127">
        <f t="shared" si="12"/>
        <v>1.3190478390718382E-2</v>
      </c>
      <c r="AL24" s="127">
        <f t="shared" si="9"/>
        <v>6.0100000000000006E-3</v>
      </c>
      <c r="AM24" s="127">
        <f t="shared" si="29"/>
        <v>0.39571435172155139</v>
      </c>
      <c r="AN24" s="127">
        <f>IF(AND($A24&lt;&gt;0,$A24&lt;&gt;"",OR(RIGHT(Logic!B24,2)="C)",LEFT(Logic!B24,4)="CSD1")),SUM(AD24:AF24)+(AJ24/3)+AK24+AL24/6+AM24/6,AN25)</f>
        <v>0.3201874899557744</v>
      </c>
      <c r="AO24" s="127">
        <f>IF(AND($A24&lt;&gt;0,$A24&lt;&gt;"",OR(RIGHT(Logic!B24,2)="T)",LEFT(Logic!B24,4)="CSD1")),SUM(AG24:AI24)+(AJ24/3)+AL24/6+AM24/6,AO23)</f>
        <v>0.28754066738072181</v>
      </c>
      <c r="AP24" s="48">
        <f t="shared" si="30"/>
        <v>0.61</v>
      </c>
      <c r="AQ24" s="35" t="str">
        <f>IF(AND(A24&lt;&gt;0,A24&lt;&gt;""),LOOKUP(A24,Discrete_NFET[PARTNUMBER],Discrete_NFET[TI_EQ_PACKAGE]),"")</f>
        <v>SON5x6</v>
      </c>
      <c r="AR24" s="49">
        <f>IF(AND(A24&lt;&gt;0,A24&lt;&gt;""),LOOKUP(A24,Discrete_NFET[PARTNUMBER],Discrete_NFET[1KPRICE]),"")</f>
        <v>0.34</v>
      </c>
      <c r="AS24" s="35" t="str">
        <f>IF(AND($A24&lt;&gt;0,$A24&lt;&gt;""),CONCATENATE(TEXT(AP24,"0.00"),"W, ",IF('User Input'!G$11="Single Discrete",A24,IF('User Input'!G$11="Dual/Power Block",LEFT(A24,FIND(")",A24)-7),A24)),", ",AQ24,", ",TEXT(AR24,"$0.00")),"Invalid Part")</f>
        <v>0.61W, CSD17510Q5A, SON5x6, $0.34</v>
      </c>
      <c r="AT24" t="s">
        <v>863</v>
      </c>
      <c r="AW24"/>
    </row>
    <row r="25" spans="1:50" ht="15" customHeight="1" x14ac:dyDescent="0.25">
      <c r="A25" s="35" t="str">
        <f>IF(OR(AND(FET_config2="Dual/Power Block",LEFT(Logic!B25,4)="CSD8"),AND(FET_config2="Single Discrete",LEFT(Logic!B25,4)="CSD1")),Logic!B25,"")</f>
        <v>CSD17522Q5A</v>
      </c>
      <c r="B25" s="37" t="str">
        <f>IF(OR($A25=0,$A25=""),"0",IF(LOOKUP($A25,Discrete_NFET[PARTNUMBER],Discrete_NFET[RDSON25])="(NULL)","0","1"))</f>
        <v>0</v>
      </c>
      <c r="C25" s="38" t="str">
        <f>IF(OR($A25=0,$A25=""),"0",IF(LOOKUP($A25,Discrete_NFET[PARTNUMBER],Discrete_NFET[RDSON3])="(NULL)","0","1"))</f>
        <v>0</v>
      </c>
      <c r="D25" s="40" t="str">
        <f>IF(OR($A25=0,$A25=""),"0",IF(LOOKUP($A25,Discrete_NFET[PARTNUMBER],Discrete_NFET[RDSON45])="(NULL)","0","1"))</f>
        <v>1</v>
      </c>
      <c r="E25" s="45" t="str">
        <f>IF(OR($A25=0,$A25=""),"0",IF(LOOKUP($A25,Discrete_NFET[PARTNUMBER],Discrete_NFET[RDSON6])="(NULL)","0","1"))</f>
        <v>0</v>
      </c>
      <c r="F25" s="34" t="str">
        <f>IF(OR($A25=0,$A25=""),"0",IF(LOOKUP($A25,Discrete_NFET[PARTNUMBER],Discrete_NFET[RDSON8])="(NULL)","0","1"))</f>
        <v>0</v>
      </c>
      <c r="G25" s="43" t="str">
        <f>IF(OR($A25=0,$A25=""),"0",IF(LOOKUP($A25,Discrete_NFET[PARTNUMBER],Discrete_NFET[RDSON10])="(NULL)","0","1"))</f>
        <v>1</v>
      </c>
      <c r="H25" s="36" t="b">
        <f t="shared" si="15"/>
        <v>0</v>
      </c>
      <c r="I25" s="39" t="b">
        <f t="shared" si="16"/>
        <v>0</v>
      </c>
      <c r="J25" s="41" t="b">
        <f t="shared" si="17"/>
        <v>1</v>
      </c>
      <c r="K25" s="46" t="b">
        <f t="shared" si="18"/>
        <v>0</v>
      </c>
      <c r="L25" s="42" t="b">
        <f t="shared" si="19"/>
        <v>0</v>
      </c>
      <c r="M25" s="44" t="b">
        <f t="shared" si="20"/>
        <v>1</v>
      </c>
      <c r="N25" s="47" t="b">
        <f t="shared" si="21"/>
        <v>1</v>
      </c>
      <c r="O25" s="36" t="b">
        <f t="shared" si="22"/>
        <v>0</v>
      </c>
      <c r="P25" s="39" t="b">
        <f t="shared" si="23"/>
        <v>0</v>
      </c>
      <c r="Q25" s="41" t="b">
        <f t="shared" si="24"/>
        <v>1</v>
      </c>
      <c r="R25" s="46" t="b">
        <f t="shared" si="25"/>
        <v>0</v>
      </c>
      <c r="S25" s="42" t="b">
        <f t="shared" si="26"/>
        <v>0</v>
      </c>
      <c r="T25" s="44" t="b">
        <f t="shared" si="27"/>
        <v>1</v>
      </c>
      <c r="U25" s="148">
        <f>IF(T25,LOOKUP(A25,Discrete_NFET[PARTNUMBER],Discrete_NFET[RDSON10])*1000,IF(S25,LOOKUP(A25,Discrete_NFET[PARTNUMBER],Discrete_NFET[RDSON8])*1000,IF(R25,LOOKUP(A25,Discrete_NFET[PARTNUMBER],Discrete_NFET[RDSON6])*1000,IF(Q25,LOOKUP(A25,Discrete_NFET[PARTNUMBER],Discrete_NFET[RDSON45])*1000,IF(P25,LOOKUP(A25,Discrete_NFET[PARTNUMBER],Discrete_NFET[RDSON3])*1000,IF(O25,LOOKUP(A25,Discrete_NFET[PARTNUMBER],Discrete_NFET[RDSON25])*1000,""))))))</f>
        <v>8.1</v>
      </c>
      <c r="V25" s="48">
        <f>IF(AND(A25&lt;&gt;0,A25&lt;&gt;""),U25*(1+(Tj-25)*(LOOKUP(A25,Discrete_NFET[PARTNUMBER],Discrete_NFET[RDSDELTA])/((LOOKUP(A25,Discrete_NFET[PARTNUMBER],Discrete_NFET[TJMAX])-25)))),"")</f>
        <v>8.7804000000000002</v>
      </c>
      <c r="W25" s="35">
        <f>IF(AND($A25&lt;&gt;0,$A25&lt;&gt;""),LOOKUP($A25,Discrete_NFET[PARTNUMBER],Discrete_NFET[QGS]),"")</f>
        <v>1.6</v>
      </c>
      <c r="X25" s="35">
        <f>IF(AND($A25&lt;&gt;0,$A25&lt;&gt;""),LOOKUP($A25,Discrete_NFET[PARTNUMBER],Discrete_NFET[QGD]),"")</f>
        <v>1.1000000000000001</v>
      </c>
      <c r="Y25" s="35">
        <f>IF(AND($A25&lt;&gt;0,$A25&lt;&gt;""),LOOKUP($A25,Discrete_NFET[PARTNUMBER],Discrete_NFET[QGTH]),"")</f>
        <v>0.9</v>
      </c>
      <c r="Z25" s="35">
        <f t="shared" si="28"/>
        <v>1.8000000000000003</v>
      </c>
      <c r="AA25" s="35">
        <f>IF(AND($A25&lt;&gt;0,$A25&lt;&gt;""),LOOKUP($A25,Discrete_NFET[PARTNUMBER],Discrete_NFET[QOSSTYP]),"")</f>
        <v>8.6</v>
      </c>
      <c r="AB25" s="35">
        <f>IF(AND($A25&lt;&gt;0,$A25&lt;&gt;""),LOOKUP($A25,Discrete_NFET[PARTNUMBER],Discrete_NFET[QRR]),"")</f>
        <v>19.600000000000001</v>
      </c>
      <c r="AC25" s="35">
        <f>IF(AND(A25&lt;&gt;0,A25&lt;&gt;""),LOOKUP(A25,Discrete_NFET[PARTNUMBER],Discrete_NFET[VF_TYP]),"")</f>
        <v>0.85</v>
      </c>
      <c r="AD25" s="127">
        <f>IF(AND($A25&lt;&gt;0,$A25&lt;&gt;"",OR(RIGHT(Logic!B25,2)="C)",LEFT(Logic!B25,4)="CSD1")),(1+(1-DUTY))*IM_RMS_120^2*V25*m/3/Num_FETS2,"")</f>
        <v>0.36948147506925205</v>
      </c>
      <c r="AE25" s="127">
        <f>IF(AND($A25&lt;&gt;0,$A25&lt;&gt;"",OR(RIGHT(Logic!B25,2)="C)",LEFT(Logic!B25,4)="CSD1")),Num_FETS2*0.5*IM_RMS_120*VDC_AVG*Z25*n*MOT_ELEC_FREQ/GDR_SRC,"")</f>
        <v>5.8049535603715175E-6</v>
      </c>
      <c r="AF25" s="127">
        <f>IF(AND($A25&lt;&gt;0,$A25&lt;&gt;"",OR(RIGHT(Logic!B25,2)="C)",LEFT(Logic!B25,4)="CSD1")),Num_FETS2*0.5*IM_RMS_120*VDC_AVG*Z25*n*MOT_ELEC_FREQ/GDR_SINK,"")</f>
        <v>3.9473684210526323E-6</v>
      </c>
      <c r="AG25" s="127">
        <f>IF(AND($A25&lt;&gt;0,$A25&lt;&gt;"",OR(RIGHT(Logic!B25,2)="T)",LEFT(Logic!B25,4)="CSD1")),DUTY*IM_RMS_120^2*V25*m/3/Num_FETS2,"")</f>
        <v>0.33429276315789463</v>
      </c>
      <c r="AH25" s="127">
        <f>IF(AND($A25&lt;&gt;0,$A25&lt;&gt;"",OR(RIGHT(Logic!B25,2)="T)",LEFT(Logic!B25,4)="CSD1")),Num_FETS2*0.5*IM_RMS_120*VDC_AVG*Z25*n*FSW*k/GDR_SRC/3,"")</f>
        <v>1.1609907120743034E-3</v>
      </c>
      <c r="AI25" s="127">
        <f>IF(AND($A25&lt;&gt;0,$A25&lt;&gt;"",OR(RIGHT(Logic!B25,2)="T)",LEFT(Logic!B25,4)="CSD1")),Num_FETS2*0.5*IM_RMS_120*VDC_AVG*Z25*n*FSW*k/GDR_SINK/3,"")</f>
        <v>7.8947368421052641E-4</v>
      </c>
      <c r="AJ25" s="127">
        <f t="shared" si="7"/>
        <v>1.0319999999999999E-3</v>
      </c>
      <c r="AK25" s="127">
        <f t="shared" si="12"/>
        <v>1.3190478390718382E-2</v>
      </c>
      <c r="AL25" s="127">
        <f t="shared" si="9"/>
        <v>4.7118400000000001E-3</v>
      </c>
      <c r="AM25" s="127">
        <f t="shared" si="29"/>
        <v>0.39571435172155139</v>
      </c>
      <c r="AN25" s="127">
        <f>IF(AND($A25&lt;&gt;0,$A25&lt;&gt;"",OR(RIGHT(Logic!B25,2)="C)",LEFT(Logic!B25,4)="CSD1")),SUM(AD25:AF25)+(AJ25/3)+AK25+AL25/6+AM25/6,AN26)</f>
        <v>0.44976340440221052</v>
      </c>
      <c r="AO25" s="127">
        <f>IF(AND($A25&lt;&gt;0,$A25&lt;&gt;"",OR(RIGHT(Logic!B25,2)="T)",LEFT(Logic!B25,4)="CSD1")),SUM(AG25:AI25)+(AJ25/3)+AL25/6+AM25/6,AO24)</f>
        <v>0.40332492617443805</v>
      </c>
      <c r="AP25" s="48">
        <f t="shared" si="30"/>
        <v>0.85</v>
      </c>
      <c r="AQ25" s="35" t="str">
        <f>IF(AND(A25&lt;&gt;0,A25&lt;&gt;""),LOOKUP(A25,Discrete_NFET[PARTNUMBER],Discrete_NFET[TI_EQ_PACKAGE]),"")</f>
        <v>SON5x6</v>
      </c>
      <c r="AR25" s="49">
        <f>IF(AND(A25&lt;&gt;0,A25&lt;&gt;""),LOOKUP(A25,Discrete_NFET[PARTNUMBER],Discrete_NFET[1KPRICE]),"")</f>
        <v>0.36</v>
      </c>
      <c r="AS25" s="35" t="str">
        <f>IF(AND($A25&lt;&gt;0,$A25&lt;&gt;""),CONCATENATE(TEXT(AP25,"0.00"),"W, ",IF('User Input'!G$11="Single Discrete",A25,IF('User Input'!G$11="Dual/Power Block",LEFT(A25,FIND(")",A25)-7),A25)),", ",AQ25,", ",TEXT(AR25,"$0.00")),"Invalid Part")</f>
        <v>0.85W, CSD17522Q5A, SON5x6, $0.36</v>
      </c>
      <c r="AT25" t="s">
        <v>810</v>
      </c>
      <c r="AW25"/>
    </row>
    <row r="26" spans="1:50" ht="15" customHeight="1" x14ac:dyDescent="0.25">
      <c r="A26" s="35" t="str">
        <f>IF(OR(AND(FET_config2="Dual/Power Block",LEFT(Logic!B26,4)="CSD8"),AND(FET_config2="Single Discrete",LEFT(Logic!B26,4)="CSD1")),Logic!B26,"")</f>
        <v>CSD17527Q5A</v>
      </c>
      <c r="B26" s="37" t="str">
        <f>IF(OR($A26=0,$A26=""),"0",IF(LOOKUP($A26,Discrete_NFET[PARTNUMBER],Discrete_NFET[RDSON25])="(NULL)","0","1"))</f>
        <v>0</v>
      </c>
      <c r="C26" s="38" t="str">
        <f>IF(OR($A26=0,$A26=""),"0",IF(LOOKUP($A26,Discrete_NFET[PARTNUMBER],Discrete_NFET[RDSON3])="(NULL)","0","1"))</f>
        <v>0</v>
      </c>
      <c r="D26" s="40" t="str">
        <f>IF(OR($A26=0,$A26=""),"0",IF(LOOKUP($A26,Discrete_NFET[PARTNUMBER],Discrete_NFET[RDSON45])="(NULL)","0","1"))</f>
        <v>1</v>
      </c>
      <c r="E26" s="45" t="str">
        <f>IF(OR($A26=0,$A26=""),"0",IF(LOOKUP($A26,Discrete_NFET[PARTNUMBER],Discrete_NFET[RDSON6])="(NULL)","0","1"))</f>
        <v>0</v>
      </c>
      <c r="F26" s="34" t="str">
        <f>IF(OR($A26=0,$A26=""),"0",IF(LOOKUP($A26,Discrete_NFET[PARTNUMBER],Discrete_NFET[RDSON8])="(NULL)","0","1"))</f>
        <v>0</v>
      </c>
      <c r="G26" s="43" t="str">
        <f>IF(OR($A26=0,$A26=""),"0",IF(LOOKUP($A26,Discrete_NFET[PARTNUMBER],Discrete_NFET[RDSON10])="(NULL)","0","1"))</f>
        <v>1</v>
      </c>
      <c r="H26" s="36" t="b">
        <f t="shared" si="15"/>
        <v>0</v>
      </c>
      <c r="I26" s="39" t="b">
        <f t="shared" si="16"/>
        <v>0</v>
      </c>
      <c r="J26" s="41" t="b">
        <f t="shared" si="17"/>
        <v>1</v>
      </c>
      <c r="K26" s="46" t="b">
        <f t="shared" si="18"/>
        <v>0</v>
      </c>
      <c r="L26" s="42" t="b">
        <f t="shared" si="19"/>
        <v>0</v>
      </c>
      <c r="M26" s="44" t="b">
        <f t="shared" si="20"/>
        <v>1</v>
      </c>
      <c r="N26" s="47" t="b">
        <f t="shared" si="21"/>
        <v>1</v>
      </c>
      <c r="O26" s="36" t="b">
        <f t="shared" si="22"/>
        <v>0</v>
      </c>
      <c r="P26" s="39" t="b">
        <f t="shared" si="23"/>
        <v>0</v>
      </c>
      <c r="Q26" s="41" t="b">
        <f t="shared" si="24"/>
        <v>1</v>
      </c>
      <c r="R26" s="46" t="b">
        <f t="shared" si="25"/>
        <v>0</v>
      </c>
      <c r="S26" s="42" t="b">
        <f t="shared" si="26"/>
        <v>0</v>
      </c>
      <c r="T26" s="44" t="b">
        <f t="shared" si="27"/>
        <v>1</v>
      </c>
      <c r="U26" s="148">
        <f>IF(T26,LOOKUP(A26,Discrete_NFET[PARTNUMBER],Discrete_NFET[RDSON10])*1000,IF(S26,LOOKUP(A26,Discrete_NFET[PARTNUMBER],Discrete_NFET[RDSON8])*1000,IF(R26,LOOKUP(A26,Discrete_NFET[PARTNUMBER],Discrete_NFET[RDSON6])*1000,IF(Q26,LOOKUP(A26,Discrete_NFET[PARTNUMBER],Discrete_NFET[RDSON45])*1000,IF(P26,LOOKUP(A26,Discrete_NFET[PARTNUMBER],Discrete_NFET[RDSON3])*1000,IF(O26,LOOKUP(A26,Discrete_NFET[PARTNUMBER],Discrete_NFET[RDSON25])*1000,""))))))</f>
        <v>10.8</v>
      </c>
      <c r="V26" s="48">
        <f>IF(AND(A26&lt;&gt;0,A26&lt;&gt;""),U26*(1+(Tj-25)*(LOOKUP(A26,Discrete_NFET[PARTNUMBER],Discrete_NFET[RDSDELTA])/((LOOKUP(A26,Discrete_NFET[PARTNUMBER],Discrete_NFET[TJMAX])-25)))),"")</f>
        <v>11.880000000000003</v>
      </c>
      <c r="W26" s="35">
        <f>IF(AND($A26&lt;&gt;0,$A26&lt;&gt;""),LOOKUP($A26,Discrete_NFET[PARTNUMBER],Discrete_NFET[QGS]),"")</f>
        <v>1.2</v>
      </c>
      <c r="X26" s="35">
        <f>IF(AND($A26&lt;&gt;0,$A26&lt;&gt;""),LOOKUP($A26,Discrete_NFET[PARTNUMBER],Discrete_NFET[QGD]),"")</f>
        <v>0.8</v>
      </c>
      <c r="Y26" s="35">
        <f>IF(AND($A26&lt;&gt;0,$A26&lt;&gt;""),LOOKUP($A26,Discrete_NFET[PARTNUMBER],Discrete_NFET[QGTH]),"")</f>
        <v>0.6</v>
      </c>
      <c r="Z26" s="35">
        <f t="shared" si="28"/>
        <v>1.4</v>
      </c>
      <c r="AA26" s="35">
        <f>IF(AND($A26&lt;&gt;0,$A26&lt;&gt;""),LOOKUP($A26,Discrete_NFET[PARTNUMBER],Discrete_NFET[QOSSTYP]),"")</f>
        <v>6.8</v>
      </c>
      <c r="AB26" s="35">
        <f>IF(AND($A26&lt;&gt;0,$A26&lt;&gt;""),LOOKUP($A26,Discrete_NFET[PARTNUMBER],Discrete_NFET[QRR]),"")</f>
        <v>10.5</v>
      </c>
      <c r="AC26" s="35">
        <f>IF(AND(A26&lt;&gt;0,A26&lt;&gt;""),LOOKUP(A26,Discrete_NFET[PARTNUMBER],Discrete_NFET[VF_TYP]),"")</f>
        <v>0.85</v>
      </c>
      <c r="AD26" s="127">
        <f>IF(AND($A26&lt;&gt;0,$A26&lt;&gt;"",OR(RIGHT(Logic!B26,2)="C)",LEFT(Logic!B26,4)="CSD1")),(1+(1-DUTY))*IM_RMS_120^2*V26*m/3/Num_FETS2,"")</f>
        <v>0.49991343490304713</v>
      </c>
      <c r="AE26" s="127">
        <f>IF(AND($A26&lt;&gt;0,$A26&lt;&gt;"",OR(RIGHT(Logic!B26,2)="C)",LEFT(Logic!B26,4)="CSD1")),Num_FETS2*0.5*IM_RMS_120*VDC_AVG*Z26*n*MOT_ELEC_FREQ/GDR_SRC,"")</f>
        <v>4.5149638802889571E-6</v>
      </c>
      <c r="AF26" s="127">
        <f>IF(AND($A26&lt;&gt;0,$A26&lt;&gt;"",OR(RIGHT(Logic!B26,2)="C)",LEFT(Logic!B26,4)="CSD1")),Num_FETS2*0.5*IM_RMS_120*VDC_AVG*Z26*n*MOT_ELEC_FREQ/GDR_SINK,"")</f>
        <v>3.0701754385964911E-6</v>
      </c>
      <c r="AG26" s="127">
        <f>IF(AND($A26&lt;&gt;0,$A26&lt;&gt;"",OR(RIGHT(Logic!B26,2)="T)",LEFT(Logic!B26,4)="CSD1")),DUTY*IM_RMS_120^2*V26*m/3/Num_FETS2,"")</f>
        <v>0.45230263157894735</v>
      </c>
      <c r="AH26" s="127">
        <f>IF(AND($A26&lt;&gt;0,$A26&lt;&gt;"",OR(RIGHT(Logic!B26,2)="T)",LEFT(Logic!B26,4)="CSD1")),Num_FETS2*0.5*IM_RMS_120*VDC_AVG*Z26*n*FSW*k/GDR_SRC/3,"")</f>
        <v>9.0299277605779141E-4</v>
      </c>
      <c r="AI26" s="127">
        <f>IF(AND($A26&lt;&gt;0,$A26&lt;&gt;"",OR(RIGHT(Logic!B26,2)="T)",LEFT(Logic!B26,4)="CSD1")),Num_FETS2*0.5*IM_RMS_120*VDC_AVG*Z26*n*FSW*k/GDR_SINK/3,"")</f>
        <v>6.1403508771929827E-4</v>
      </c>
      <c r="AJ26" s="127">
        <f t="shared" si="7"/>
        <v>8.160000000000001E-4</v>
      </c>
      <c r="AK26" s="127">
        <f t="shared" si="12"/>
        <v>1.3190478390718382E-2</v>
      </c>
      <c r="AL26" s="127">
        <f t="shared" si="9"/>
        <v>2.5242000000000003E-3</v>
      </c>
      <c r="AM26" s="127">
        <f t="shared" si="29"/>
        <v>0.39571435172155139</v>
      </c>
      <c r="AN26" s="127">
        <f>IF(AND($A26&lt;&gt;0,$A26&lt;&gt;"",OR(RIGHT(Logic!B26,2)="C)",LEFT(Logic!B26,4)="CSD1")),SUM(AD26:AF26)+(AJ26/3)+AK26+AL26/6+AM26/6,AN27)</f>
        <v>0.57975659038667637</v>
      </c>
      <c r="AO26" s="127">
        <f>IF(AND($A26&lt;&gt;0,$A26&lt;&gt;"",OR(RIGHT(Logic!B26,2)="T)",LEFT(Logic!B26,4)="CSD1")),SUM(AG26:AI26)+(AJ26/3)+AL26/6+AM26/6,AO25)</f>
        <v>0.52046475139631632</v>
      </c>
      <c r="AP26" s="48">
        <f t="shared" si="30"/>
        <v>1.1000000000000001</v>
      </c>
      <c r="AQ26" s="35" t="str">
        <f>IF(AND(A26&lt;&gt;0,A26&lt;&gt;""),LOOKUP(A26,Discrete_NFET[PARTNUMBER],Discrete_NFET[TI_EQ_PACKAGE]),"")</f>
        <v>SON5x6</v>
      </c>
      <c r="AR26" s="49">
        <f>IF(AND(A26&lt;&gt;0,A26&lt;&gt;""),LOOKUP(A26,Discrete_NFET[PARTNUMBER],Discrete_NFET[1KPRICE]),"")</f>
        <v>0.33</v>
      </c>
      <c r="AS26" s="35" t="str">
        <f>IF(AND($A26&lt;&gt;0,$A26&lt;&gt;""),CONCATENATE(TEXT(AP26,"0.00"),"W, ",IF('User Input'!G$11="Single Discrete",A26,IF('User Input'!G$11="Dual/Power Block",LEFT(A26,FIND(")",A26)-7),A26)),", ",AQ26,", ",TEXT(AR26,"$0.00")),"Invalid Part")</f>
        <v>1.10W, CSD17527Q5A, SON5x6, $0.33</v>
      </c>
      <c r="AT26" t="s">
        <v>822</v>
      </c>
      <c r="AW26"/>
    </row>
    <row r="27" spans="1:50" ht="15" customHeight="1" x14ac:dyDescent="0.25">
      <c r="A27" s="35" t="str">
        <f>IF(OR(AND(FET_config2="Dual/Power Block",LEFT(Logic!B27,4)="CSD8"),AND(FET_config2="Single Discrete",LEFT(Logic!B27,4)="CSD1")),Logic!B27,"")</f>
        <v>CSD17551Q3A</v>
      </c>
      <c r="B27" s="37" t="str">
        <f>IF(OR($A27=0,$A27=""),"0",IF(LOOKUP($A27,Discrete_NFET[PARTNUMBER],Discrete_NFET[RDSON25])="(NULL)","0","1"))</f>
        <v>0</v>
      </c>
      <c r="C27" s="38" t="str">
        <f>IF(OR($A27=0,$A27=""),"0",IF(LOOKUP($A27,Discrete_NFET[PARTNUMBER],Discrete_NFET[RDSON3])="(NULL)","0","1"))</f>
        <v>0</v>
      </c>
      <c r="D27" s="40" t="str">
        <f>IF(OR($A27=0,$A27=""),"0",IF(LOOKUP($A27,Discrete_NFET[PARTNUMBER],Discrete_NFET[RDSON45])="(NULL)","0","1"))</f>
        <v>1</v>
      </c>
      <c r="E27" s="45" t="str">
        <f>IF(OR($A27=0,$A27=""),"0",IF(LOOKUP($A27,Discrete_NFET[PARTNUMBER],Discrete_NFET[RDSON6])="(NULL)","0","1"))</f>
        <v>0</v>
      </c>
      <c r="F27" s="34" t="str">
        <f>IF(OR($A27=0,$A27=""),"0",IF(LOOKUP($A27,Discrete_NFET[PARTNUMBER],Discrete_NFET[RDSON8])="(NULL)","0","1"))</f>
        <v>0</v>
      </c>
      <c r="G27" s="43" t="str">
        <f>IF(OR($A27=0,$A27=""),"0",IF(LOOKUP($A27,Discrete_NFET[PARTNUMBER],Discrete_NFET[RDSON10])="(NULL)","0","1"))</f>
        <v>1</v>
      </c>
      <c r="H27" s="36" t="b">
        <f t="shared" si="15"/>
        <v>0</v>
      </c>
      <c r="I27" s="39" t="b">
        <f t="shared" si="16"/>
        <v>0</v>
      </c>
      <c r="J27" s="41" t="b">
        <f t="shared" si="17"/>
        <v>1</v>
      </c>
      <c r="K27" s="46" t="b">
        <f t="shared" si="18"/>
        <v>0</v>
      </c>
      <c r="L27" s="42" t="b">
        <f t="shared" si="19"/>
        <v>0</v>
      </c>
      <c r="M27" s="44" t="b">
        <f t="shared" si="20"/>
        <v>1</v>
      </c>
      <c r="N27" s="47" t="b">
        <f t="shared" si="21"/>
        <v>1</v>
      </c>
      <c r="O27" s="36" t="b">
        <f t="shared" si="22"/>
        <v>0</v>
      </c>
      <c r="P27" s="39" t="b">
        <f t="shared" si="23"/>
        <v>0</v>
      </c>
      <c r="Q27" s="41" t="b">
        <f t="shared" si="24"/>
        <v>1</v>
      </c>
      <c r="R27" s="46" t="b">
        <f t="shared" si="25"/>
        <v>0</v>
      </c>
      <c r="S27" s="42" t="b">
        <f t="shared" si="26"/>
        <v>0</v>
      </c>
      <c r="T27" s="44" t="b">
        <f t="shared" si="27"/>
        <v>1</v>
      </c>
      <c r="U27" s="148">
        <f>IF(T27,LOOKUP(A27,Discrete_NFET[PARTNUMBER],Discrete_NFET[RDSON10])*1000,IF(S27,LOOKUP(A27,Discrete_NFET[PARTNUMBER],Discrete_NFET[RDSON8])*1000,IF(R27,LOOKUP(A27,Discrete_NFET[PARTNUMBER],Discrete_NFET[RDSON6])*1000,IF(Q27,LOOKUP(A27,Discrete_NFET[PARTNUMBER],Discrete_NFET[RDSON45])*1000,IF(P27,LOOKUP(A27,Discrete_NFET[PARTNUMBER],Discrete_NFET[RDSON3])*1000,IF(O27,LOOKUP(A27,Discrete_NFET[PARTNUMBER],Discrete_NFET[RDSON25])*1000,""))))))</f>
        <v>9</v>
      </c>
      <c r="V27" s="48">
        <f>IF(AND(A27&lt;&gt;0,A27&lt;&gt;""),U27*(1+(Tj-25)*(LOOKUP(A27,Discrete_NFET[PARTNUMBER],Discrete_NFET[RDSDELTA])/((LOOKUP(A27,Discrete_NFET[PARTNUMBER],Discrete_NFET[TJMAX])-25)))),"")</f>
        <v>10.26</v>
      </c>
      <c r="W27" s="35">
        <f>IF(AND($A27&lt;&gt;0,$A27&lt;&gt;""),LOOKUP($A27,Discrete_NFET[PARTNUMBER],Discrete_NFET[QGS]),"")</f>
        <v>2.2999999999999998</v>
      </c>
      <c r="X27" s="35">
        <f>IF(AND($A27&lt;&gt;0,$A27&lt;&gt;""),LOOKUP($A27,Discrete_NFET[PARTNUMBER],Discrete_NFET[QGD]),"")</f>
        <v>1.5</v>
      </c>
      <c r="Y27" s="35">
        <f>IF(AND($A27&lt;&gt;0,$A27&lt;&gt;""),LOOKUP($A27,Discrete_NFET[PARTNUMBER],Discrete_NFET[QGTH]),"")</f>
        <v>1.4</v>
      </c>
      <c r="Z27" s="35">
        <f t="shared" si="28"/>
        <v>2.4</v>
      </c>
      <c r="AA27" s="35">
        <f>IF(AND($A27&lt;&gt;0,$A27&lt;&gt;""),LOOKUP($A27,Discrete_NFET[PARTNUMBER],Discrete_NFET[QOSSTYP]),"")</f>
        <v>7.4</v>
      </c>
      <c r="AB27" s="35">
        <f>IF(AND($A27&lt;&gt;0,$A27&lt;&gt;""),LOOKUP($A27,Discrete_NFET[PARTNUMBER],Discrete_NFET[QRR]),"")</f>
        <v>13</v>
      </c>
      <c r="AC27" s="35">
        <f>IF(AND(A27&lt;&gt;0,A27&lt;&gt;""),LOOKUP(A27,Discrete_NFET[PARTNUMBER],Discrete_NFET[VF_TYP]),"")</f>
        <v>0.8</v>
      </c>
      <c r="AD27" s="127">
        <f>IF(AND($A27&lt;&gt;0,$A27&lt;&gt;"",OR(RIGHT(Logic!B27,2)="C)",LEFT(Logic!B27,4)="CSD1")),(1+(1-DUTY))*IM_RMS_120^2*V27*m/3/Num_FETS2,"")</f>
        <v>0.43174342105263158</v>
      </c>
      <c r="AE27" s="127">
        <f>IF(AND($A27&lt;&gt;0,$A27&lt;&gt;"",OR(RIGHT(Logic!B27,2)="C)",LEFT(Logic!B27,4)="CSD1")),Num_FETS2*0.5*IM_RMS_120*VDC_AVG*Z27*n*MOT_ELEC_FREQ/GDR_SRC,"")</f>
        <v>7.7399380804953562E-6</v>
      </c>
      <c r="AF27" s="127">
        <f>IF(AND($A27&lt;&gt;0,$A27&lt;&gt;"",OR(RIGHT(Logic!B27,2)="C)",LEFT(Logic!B27,4)="CSD1")),Num_FETS2*0.5*IM_RMS_120*VDC_AVG*Z27*n*MOT_ELEC_FREQ/GDR_SINK,"")</f>
        <v>5.2631578947368422E-6</v>
      </c>
      <c r="AG27" s="127">
        <f>IF(AND($A27&lt;&gt;0,$A27&lt;&gt;"",OR(RIGHT(Logic!B27,2)="T)",LEFT(Logic!B27,4)="CSD1")),DUTY*IM_RMS_120^2*V27*m/3/Num_FETS2,"")</f>
        <v>0.39062499999999994</v>
      </c>
      <c r="AH27" s="127">
        <f>IF(AND($A27&lt;&gt;0,$A27&lt;&gt;"",OR(RIGHT(Logic!B27,2)="T)",LEFT(Logic!B27,4)="CSD1")),Num_FETS2*0.5*IM_RMS_120*VDC_AVG*Z27*n*FSW*k/GDR_SRC/3,"")</f>
        <v>1.5479876160990711E-3</v>
      </c>
      <c r="AI27" s="127">
        <f>IF(AND($A27&lt;&gt;0,$A27&lt;&gt;"",OR(RIGHT(Logic!B27,2)="T)",LEFT(Logic!B27,4)="CSD1")),Num_FETS2*0.5*IM_RMS_120*VDC_AVG*Z27*n*FSW*k/GDR_SINK/3,"")</f>
        <v>1.0526315789473684E-3</v>
      </c>
      <c r="AJ27" s="127">
        <f t="shared" si="7"/>
        <v>8.8800000000000023E-4</v>
      </c>
      <c r="AK27" s="127">
        <f t="shared" si="12"/>
        <v>1.2414567897146714E-2</v>
      </c>
      <c r="AL27" s="127">
        <f t="shared" si="9"/>
        <v>3.1252000000000003E-3</v>
      </c>
      <c r="AM27" s="127">
        <f t="shared" si="29"/>
        <v>0.37243703691440144</v>
      </c>
      <c r="AN27" s="127">
        <f>IF(AND($A27&lt;&gt;0,$A27&lt;&gt;"",OR(RIGHT(Logic!B27,2)="C)",LEFT(Logic!B27,4)="CSD1")),SUM(AD27:AF27)+(AJ27/3)+AK27+AL27/6+AM27/6,AN28)</f>
        <v>0.5070606981981538</v>
      </c>
      <c r="AO27" s="127">
        <f>IF(AND($A27&lt;&gt;0,$A27&lt;&gt;"",OR(RIGHT(Logic!B27,2)="T)",LEFT(Logic!B27,4)="CSD1")),SUM(AG27:AI27)+(AJ27/3)+AL27/6+AM27/6,AO26)</f>
        <v>0.45611532534744664</v>
      </c>
      <c r="AP27" s="48">
        <f t="shared" si="30"/>
        <v>0.96</v>
      </c>
      <c r="AQ27" s="35" t="str">
        <f>IF(AND(A27&lt;&gt;0,A27&lt;&gt;""),LOOKUP(A27,Discrete_NFET[PARTNUMBER],Discrete_NFET[TI_EQ_PACKAGE]),"")</f>
        <v>SON3X3</v>
      </c>
      <c r="AR27" s="49">
        <f>IF(AND(A27&lt;&gt;0,A27&lt;&gt;""),LOOKUP(A27,Discrete_NFET[PARTNUMBER],Discrete_NFET[1KPRICE]),"")</f>
        <v>0.23</v>
      </c>
      <c r="AS27" s="35" t="str">
        <f>IF(AND($A27&lt;&gt;0,$A27&lt;&gt;""),CONCATENATE(TEXT(AP27,"0.00"),"W, ",IF('User Input'!G$11="Single Discrete",A27,IF('User Input'!G$11="Dual/Power Block",LEFT(A27,FIND(")",A27)-7),A27)),", ",AQ27,", ",TEXT(AR27,"$0.00")),"Invalid Part")</f>
        <v>0.96W, CSD17551Q3A, SON3X3, $0.23</v>
      </c>
      <c r="AT27" t="s">
        <v>848</v>
      </c>
      <c r="AW27"/>
    </row>
    <row r="28" spans="1:50" ht="15" customHeight="1" x14ac:dyDescent="0.25">
      <c r="A28" s="35" t="str">
        <f>IF(OR(AND(FET_config2="Dual/Power Block",LEFT(Logic!B28,4)="CSD8"),AND(FET_config2="Single Discrete",LEFT(Logic!B28,4)="CSD1")),Logic!B28,"")</f>
        <v>CSD17551Q5A</v>
      </c>
      <c r="B28" s="37" t="str">
        <f>IF(OR($A28=0,$A28=""),"0",IF(LOOKUP($A28,Discrete_NFET[PARTNUMBER],Discrete_NFET[RDSON25])="(NULL)","0","1"))</f>
        <v>0</v>
      </c>
      <c r="C28" s="38" t="str">
        <f>IF(OR($A28=0,$A28=""),"0",IF(LOOKUP($A28,Discrete_NFET[PARTNUMBER],Discrete_NFET[RDSON3])="(NULL)","0","1"))</f>
        <v>0</v>
      </c>
      <c r="D28" s="40" t="str">
        <f>IF(OR($A28=0,$A28=""),"0",IF(LOOKUP($A28,Discrete_NFET[PARTNUMBER],Discrete_NFET[RDSON45])="(NULL)","0","1"))</f>
        <v>1</v>
      </c>
      <c r="E28" s="45" t="str">
        <f>IF(OR($A28=0,$A28=""),"0",IF(LOOKUP($A28,Discrete_NFET[PARTNUMBER],Discrete_NFET[RDSON6])="(NULL)","0","1"))</f>
        <v>0</v>
      </c>
      <c r="F28" s="34" t="str">
        <f>IF(OR($A28=0,$A28=""),"0",IF(LOOKUP($A28,Discrete_NFET[PARTNUMBER],Discrete_NFET[RDSON8])="(NULL)","0","1"))</f>
        <v>0</v>
      </c>
      <c r="G28" s="43" t="str">
        <f>IF(OR($A28=0,$A28=""),"0",IF(LOOKUP($A28,Discrete_NFET[PARTNUMBER],Discrete_NFET[RDSON10])="(NULL)","0","1"))</f>
        <v>1</v>
      </c>
      <c r="H28" s="36" t="b">
        <f t="shared" si="15"/>
        <v>0</v>
      </c>
      <c r="I28" s="39" t="b">
        <f t="shared" si="16"/>
        <v>0</v>
      </c>
      <c r="J28" s="41" t="b">
        <f t="shared" si="17"/>
        <v>1</v>
      </c>
      <c r="K28" s="46" t="b">
        <f t="shared" si="18"/>
        <v>0</v>
      </c>
      <c r="L28" s="42" t="b">
        <f t="shared" si="19"/>
        <v>0</v>
      </c>
      <c r="M28" s="44" t="b">
        <f t="shared" si="20"/>
        <v>1</v>
      </c>
      <c r="N28" s="47" t="b">
        <f t="shared" si="21"/>
        <v>1</v>
      </c>
      <c r="O28" s="36" t="b">
        <f t="shared" si="22"/>
        <v>0</v>
      </c>
      <c r="P28" s="39" t="b">
        <f t="shared" si="23"/>
        <v>0</v>
      </c>
      <c r="Q28" s="41" t="b">
        <f t="shared" si="24"/>
        <v>1</v>
      </c>
      <c r="R28" s="46" t="b">
        <f t="shared" si="25"/>
        <v>0</v>
      </c>
      <c r="S28" s="42" t="b">
        <f t="shared" si="26"/>
        <v>0</v>
      </c>
      <c r="T28" s="44" t="b">
        <f t="shared" si="27"/>
        <v>1</v>
      </c>
      <c r="U28" s="148">
        <f>IF(T28,LOOKUP(A28,Discrete_NFET[PARTNUMBER],Discrete_NFET[RDSON10])*1000,IF(S28,LOOKUP(A28,Discrete_NFET[PARTNUMBER],Discrete_NFET[RDSON8])*1000,IF(R28,LOOKUP(A28,Discrete_NFET[PARTNUMBER],Discrete_NFET[RDSON6])*1000,IF(Q28,LOOKUP(A28,Discrete_NFET[PARTNUMBER],Discrete_NFET[RDSON45])*1000,IF(P28,LOOKUP(A28,Discrete_NFET[PARTNUMBER],Discrete_NFET[RDSON3])*1000,IF(O28,LOOKUP(A28,Discrete_NFET[PARTNUMBER],Discrete_NFET[RDSON25])*1000,""))))))</f>
        <v>8.8000000000000007</v>
      </c>
      <c r="V28" s="48">
        <f>IF(AND(A28&lt;&gt;0,A28&lt;&gt;""),U28*(1+(Tj-25)*(LOOKUP(A28,Discrete_NFET[PARTNUMBER],Discrete_NFET[RDSDELTA])/((LOOKUP(A28,Discrete_NFET[PARTNUMBER],Discrete_NFET[TJMAX])-25)))),"")</f>
        <v>10.119999999999999</v>
      </c>
      <c r="W28" s="35">
        <f>IF(AND($A28&lt;&gt;0,$A28&lt;&gt;""),LOOKUP($A28,Discrete_NFET[PARTNUMBER],Discrete_NFET[QGS]),"")</f>
        <v>2.8</v>
      </c>
      <c r="X28" s="35">
        <f>IF(AND($A28&lt;&gt;0,$A28&lt;&gt;""),LOOKUP($A28,Discrete_NFET[PARTNUMBER],Discrete_NFET[QGD]),"")</f>
        <v>1.4</v>
      </c>
      <c r="Y28" s="35">
        <f>IF(AND($A28&lt;&gt;0,$A28&lt;&gt;""),LOOKUP($A28,Discrete_NFET[PARTNUMBER],Discrete_NFET[QGTH]),"")</f>
        <v>1.4</v>
      </c>
      <c r="Z28" s="35">
        <f t="shared" si="28"/>
        <v>2.7999999999999994</v>
      </c>
      <c r="AA28" s="35">
        <f>IF(AND($A28&lt;&gt;0,$A28&lt;&gt;""),LOOKUP($A28,Discrete_NFET[PARTNUMBER],Discrete_NFET[QOSSTYP]),"")</f>
        <v>7.2</v>
      </c>
      <c r="AB28" s="35">
        <f>IF(AND($A28&lt;&gt;0,$A28&lt;&gt;""),LOOKUP($A28,Discrete_NFET[PARTNUMBER],Discrete_NFET[QRR]),"")</f>
        <v>8.6999999999999993</v>
      </c>
      <c r="AC28" s="35">
        <f>IF(AND(A28&lt;&gt;0,A28&lt;&gt;""),LOOKUP(A28,Discrete_NFET[PARTNUMBER],Discrete_NFET[VF_TYP]),"")</f>
        <v>0.8</v>
      </c>
      <c r="AD28" s="127">
        <f>IF(AND($A28&lt;&gt;0,$A28&lt;&gt;"",OR(RIGHT(Logic!B28,2)="C)",LEFT(Logic!B28,4)="CSD1")),(1+(1-DUTY))*IM_RMS_120^2*V28*m/3/Num_FETS2,"")</f>
        <v>0.42585218528778079</v>
      </c>
      <c r="AE28" s="127">
        <f>IF(AND($A28&lt;&gt;0,$A28&lt;&gt;"",OR(RIGHT(Logic!B28,2)="C)",LEFT(Logic!B28,4)="CSD1")),Num_FETS2*0.5*IM_RMS_120*VDC_AVG*Z28*n*MOT_ELEC_FREQ/GDR_SRC,"")</f>
        <v>9.0299277605779124E-6</v>
      </c>
      <c r="AF28" s="127">
        <f>IF(AND($A28&lt;&gt;0,$A28&lt;&gt;"",OR(RIGHT(Logic!B28,2)="C)",LEFT(Logic!B28,4)="CSD1")),Num_FETS2*0.5*IM_RMS_120*VDC_AVG*Z28*n*MOT_ELEC_FREQ/GDR_SINK,"")</f>
        <v>6.1403508771929813E-6</v>
      </c>
      <c r="AG28" s="127">
        <f>IF(AND($A28&lt;&gt;0,$A28&lt;&gt;"",OR(RIGHT(Logic!B28,2)="T)",LEFT(Logic!B28,4)="CSD1")),DUTY*IM_RMS_120^2*V28*m/3/Num_FETS2,"")</f>
        <v>0.38529483430799211</v>
      </c>
      <c r="AH28" s="127">
        <f>IF(AND($A28&lt;&gt;0,$A28&lt;&gt;"",OR(RIGHT(Logic!B28,2)="T)",LEFT(Logic!B28,4)="CSD1")),Num_FETS2*0.5*IM_RMS_120*VDC_AVG*Z28*n*FSW*k/GDR_SRC/3,"")</f>
        <v>1.8059855521155828E-3</v>
      </c>
      <c r="AI28" s="127">
        <f>IF(AND($A28&lt;&gt;0,$A28&lt;&gt;"",OR(RIGHT(Logic!B28,2)="T)",LEFT(Logic!B28,4)="CSD1")),Num_FETS2*0.5*IM_RMS_120*VDC_AVG*Z28*n*FSW*k/GDR_SINK/3,"")</f>
        <v>1.2280701754385963E-3</v>
      </c>
      <c r="AJ28" s="127">
        <f t="shared" si="7"/>
        <v>8.6400000000000008E-4</v>
      </c>
      <c r="AK28" s="127">
        <f t="shared" si="12"/>
        <v>1.2414567897146714E-2</v>
      </c>
      <c r="AL28" s="127">
        <f t="shared" si="9"/>
        <v>2.0914799999999997E-3</v>
      </c>
      <c r="AM28" s="127">
        <f t="shared" si="29"/>
        <v>0.37243703691440144</v>
      </c>
      <c r="AN28" s="127">
        <f>IF(AND($A28&lt;&gt;0,$A28&lt;&gt;"",OR(RIGHT(Logic!B28,2)="C)",LEFT(Logic!B28,4)="CSD1")),SUM(AD28:AF28)+(AJ28/3)+AK28+AL28/6+AM28/6,AN29)</f>
        <v>0.50099134294929892</v>
      </c>
      <c r="AO28" s="127">
        <f>IF(AND($A28&lt;&gt;0,$A28&lt;&gt;"",OR(RIGHT(Logic!B28,2)="T)",LEFT(Logic!B28,4)="CSD1")),SUM(AG28:AI28)+(AJ28/3)+AL28/6+AM28/6,AO27)</f>
        <v>0.45103830952127982</v>
      </c>
      <c r="AP28" s="48">
        <f t="shared" si="30"/>
        <v>0.95</v>
      </c>
      <c r="AQ28" s="35" t="str">
        <f>IF(AND(A28&lt;&gt;0,A28&lt;&gt;""),LOOKUP(A28,Discrete_NFET[PARTNUMBER],Discrete_NFET[TI_EQ_PACKAGE]),"")</f>
        <v>SON5X6</v>
      </c>
      <c r="AR28" s="49">
        <f>IF(AND(A28&lt;&gt;0,A28&lt;&gt;""),LOOKUP(A28,Discrete_NFET[PARTNUMBER],Discrete_NFET[1KPRICE]),"")</f>
        <v>0.28999999999999998</v>
      </c>
      <c r="AS28" s="35" t="str">
        <f>IF(AND($A28&lt;&gt;0,$A28&lt;&gt;""),CONCATENATE(TEXT(AP28,"0.00"),"W, ",IF('User Input'!G$11="Single Discrete",A28,IF('User Input'!G$11="Dual/Power Block",LEFT(A28,FIND(")",A28)-7),A28)),", ",AQ28,", ",TEXT(AR28,"$0.00")),"Invalid Part")</f>
        <v>0.95W, CSD17551Q5A, SON5X6, $0.29</v>
      </c>
      <c r="AT28" t="s">
        <v>849</v>
      </c>
      <c r="AW28"/>
    </row>
    <row r="29" spans="1:50" ht="15" customHeight="1" x14ac:dyDescent="0.25">
      <c r="A29" s="35" t="str">
        <f>IF(OR(AND(FET_config2="Dual/Power Block",LEFT(Logic!B29,4)="CSD8"),AND(FET_config2="Single Discrete",LEFT(Logic!B29,4)="CSD1")),Logic!B29,"")</f>
        <v>CSD17552Q3A</v>
      </c>
      <c r="B29" s="37" t="str">
        <f>IF(OR($A29=0,$A29=""),"0",IF(LOOKUP($A29,Discrete_NFET[PARTNUMBER],Discrete_NFET[RDSON25])="(NULL)","0","1"))</f>
        <v>0</v>
      </c>
      <c r="C29" s="38" t="str">
        <f>IF(OR($A29=0,$A29=""),"0",IF(LOOKUP($A29,Discrete_NFET[PARTNUMBER],Discrete_NFET[RDSON3])="(NULL)","0","1"))</f>
        <v>0</v>
      </c>
      <c r="D29" s="40" t="str">
        <f>IF(OR($A29=0,$A29=""),"0",IF(LOOKUP($A29,Discrete_NFET[PARTNUMBER],Discrete_NFET[RDSON45])="(NULL)","0","1"))</f>
        <v>1</v>
      </c>
      <c r="E29" s="45" t="str">
        <f>IF(OR($A29=0,$A29=""),"0",IF(LOOKUP($A29,Discrete_NFET[PARTNUMBER],Discrete_NFET[RDSON6])="(NULL)","0","1"))</f>
        <v>0</v>
      </c>
      <c r="F29" s="34" t="str">
        <f>IF(OR($A29=0,$A29=""),"0",IF(LOOKUP($A29,Discrete_NFET[PARTNUMBER],Discrete_NFET[RDSON8])="(NULL)","0","1"))</f>
        <v>0</v>
      </c>
      <c r="G29" s="43" t="str">
        <f>IF(OR($A29=0,$A29=""),"0",IF(LOOKUP($A29,Discrete_NFET[PARTNUMBER],Discrete_NFET[RDSON10])="(NULL)","0","1"))</f>
        <v>1</v>
      </c>
      <c r="H29" s="36" t="b">
        <f t="shared" si="15"/>
        <v>0</v>
      </c>
      <c r="I29" s="39" t="b">
        <f t="shared" si="16"/>
        <v>0</v>
      </c>
      <c r="J29" s="41" t="b">
        <f t="shared" si="17"/>
        <v>1</v>
      </c>
      <c r="K29" s="46" t="b">
        <f t="shared" si="18"/>
        <v>0</v>
      </c>
      <c r="L29" s="42" t="b">
        <f t="shared" si="19"/>
        <v>0</v>
      </c>
      <c r="M29" s="44" t="b">
        <f t="shared" si="20"/>
        <v>1</v>
      </c>
      <c r="N29" s="47" t="b">
        <f t="shared" si="21"/>
        <v>1</v>
      </c>
      <c r="O29" s="36" t="b">
        <f t="shared" si="22"/>
        <v>0</v>
      </c>
      <c r="P29" s="39" t="b">
        <f t="shared" si="23"/>
        <v>0</v>
      </c>
      <c r="Q29" s="41" t="b">
        <f t="shared" si="24"/>
        <v>1</v>
      </c>
      <c r="R29" s="46" t="b">
        <f t="shared" si="25"/>
        <v>0</v>
      </c>
      <c r="S29" s="42" t="b">
        <f t="shared" si="26"/>
        <v>0</v>
      </c>
      <c r="T29" s="44" t="b">
        <f t="shared" si="27"/>
        <v>1</v>
      </c>
      <c r="U29" s="148">
        <f>IF(T29,LOOKUP(A29,Discrete_NFET[PARTNUMBER],Discrete_NFET[RDSON10])*1000,IF(S29,LOOKUP(A29,Discrete_NFET[PARTNUMBER],Discrete_NFET[RDSON8])*1000,IF(R29,LOOKUP(A29,Discrete_NFET[PARTNUMBER],Discrete_NFET[RDSON6])*1000,IF(Q29,LOOKUP(A29,Discrete_NFET[PARTNUMBER],Discrete_NFET[RDSON45])*1000,IF(P29,LOOKUP(A29,Discrete_NFET[PARTNUMBER],Discrete_NFET[RDSON3])*1000,IF(O29,LOOKUP(A29,Discrete_NFET[PARTNUMBER],Discrete_NFET[RDSON25])*1000,""))))))</f>
        <v>6</v>
      </c>
      <c r="V29" s="48">
        <f>IF(AND(A29&lt;&gt;0,A29&lt;&gt;""),U29*(1+(Tj-25)*(LOOKUP(A29,Discrete_NFET[PARTNUMBER],Discrete_NFET[RDSDELTA])/((LOOKUP(A29,Discrete_NFET[PARTNUMBER],Discrete_NFET[TJMAX])-25)))),"")</f>
        <v>6.84</v>
      </c>
      <c r="W29" s="35">
        <f>IF(AND($A29&lt;&gt;0,$A29&lt;&gt;""),LOOKUP($A29,Discrete_NFET[PARTNUMBER],Discrete_NFET[QGS]),"")</f>
        <v>3.6</v>
      </c>
      <c r="X29" s="35">
        <f>IF(AND($A29&lt;&gt;0,$A29&lt;&gt;""),LOOKUP($A29,Discrete_NFET[PARTNUMBER],Discrete_NFET[QGD]),"")</f>
        <v>2.2999999999999998</v>
      </c>
      <c r="Y29" s="35">
        <f>IF(AND($A29&lt;&gt;0,$A29&lt;&gt;""),LOOKUP($A29,Discrete_NFET[PARTNUMBER],Discrete_NFET[QGTH]),"")</f>
        <v>1.8</v>
      </c>
      <c r="Z29" s="35">
        <f t="shared" si="28"/>
        <v>4.1000000000000005</v>
      </c>
      <c r="AA29" s="35">
        <f>IF(AND($A29&lt;&gt;0,$A29&lt;&gt;""),LOOKUP($A29,Discrete_NFET[PARTNUMBER],Discrete_NFET[QOSSTYP]),"")</f>
        <v>11</v>
      </c>
      <c r="AB29" s="35">
        <f>IF(AND($A29&lt;&gt;0,$A29&lt;&gt;""),LOOKUP($A29,Discrete_NFET[PARTNUMBER],Discrete_NFET[QRR]),"")</f>
        <v>17</v>
      </c>
      <c r="AC29" s="35">
        <f>IF(AND(A29&lt;&gt;0,A29&lt;&gt;""),LOOKUP(A29,Discrete_NFET[PARTNUMBER],Discrete_NFET[VF_TYP]),"")</f>
        <v>0.8</v>
      </c>
      <c r="AD29" s="127">
        <f>IF(AND($A29&lt;&gt;0,$A29&lt;&gt;"",OR(RIGHT(Logic!B29,2)="C)",LEFT(Logic!B29,4)="CSD1")),(1+(1-DUTY))*IM_RMS_120^2*V29*m/3/Num_FETS2,"")</f>
        <v>0.28782894736842102</v>
      </c>
      <c r="AE29" s="127">
        <f>IF(AND($A29&lt;&gt;0,$A29&lt;&gt;"",OR(RIGHT(Logic!B29,2)="C)",LEFT(Logic!B29,4)="CSD1")),Num_FETS2*0.5*IM_RMS_120*VDC_AVG*Z29*n*MOT_ELEC_FREQ/GDR_SRC,"")</f>
        <v>1.3222394220846234E-5</v>
      </c>
      <c r="AF29" s="127">
        <f>IF(AND($A29&lt;&gt;0,$A29&lt;&gt;"",OR(RIGHT(Logic!B29,2)="C)",LEFT(Logic!B29,4)="CSD1")),Num_FETS2*0.5*IM_RMS_120*VDC_AVG*Z29*n*MOT_ELEC_FREQ/GDR_SINK,"")</f>
        <v>8.9912280701754391E-6</v>
      </c>
      <c r="AG29" s="127">
        <f>IF(AND($A29&lt;&gt;0,$A29&lt;&gt;"",OR(RIGHT(Logic!B29,2)="T)",LEFT(Logic!B29,4)="CSD1")),DUTY*IM_RMS_120^2*V29*m/3/Num_FETS2,"")</f>
        <v>0.26041666666666657</v>
      </c>
      <c r="AH29" s="127">
        <f>IF(AND($A29&lt;&gt;0,$A29&lt;&gt;"",OR(RIGHT(Logic!B29,2)="T)",LEFT(Logic!B29,4)="CSD1")),Num_FETS2*0.5*IM_RMS_120*VDC_AVG*Z29*n*FSW*k/GDR_SRC/3,"")</f>
        <v>2.6444788441692467E-3</v>
      </c>
      <c r="AI29" s="127">
        <f>IF(AND($A29&lt;&gt;0,$A29&lt;&gt;"",OR(RIGHT(Logic!B29,2)="T)",LEFT(Logic!B29,4)="CSD1")),Num_FETS2*0.5*IM_RMS_120*VDC_AVG*Z29*n*FSW*k/GDR_SINK/3,"")</f>
        <v>1.7982456140350877E-3</v>
      </c>
      <c r="AJ29" s="127">
        <f t="shared" si="7"/>
        <v>1.32E-3</v>
      </c>
      <c r="AK29" s="127">
        <f t="shared" si="12"/>
        <v>1.2414567897146714E-2</v>
      </c>
      <c r="AL29" s="127">
        <f t="shared" si="9"/>
        <v>4.0867999999999998E-3</v>
      </c>
      <c r="AM29" s="127">
        <f t="shared" si="29"/>
        <v>0.37243703691440144</v>
      </c>
      <c r="AN29" s="127">
        <f>IF(AND($A29&lt;&gt;0,$A29&lt;&gt;"",OR(RIGHT(Logic!B29,2)="C)",LEFT(Logic!B29,4)="CSD1")),SUM(AD29:AF29)+(AJ29/3)+AK29+AL29/6+AM29/6,AN30)</f>
        <v>0.36345970170692565</v>
      </c>
      <c r="AO29" s="127">
        <f>IF(AND($A29&lt;&gt;0,$A29&lt;&gt;"",OR(RIGHT(Logic!B29,2)="T)",LEFT(Logic!B29,4)="CSD1")),SUM(AG29:AI29)+(AJ29/3)+AL29/6+AM29/6,AO28)</f>
        <v>0.32805336394393775</v>
      </c>
      <c r="AP29" s="48">
        <f t="shared" si="30"/>
        <v>0.69</v>
      </c>
      <c r="AQ29" s="35" t="str">
        <f>IF(AND(A29&lt;&gt;0,A29&lt;&gt;""),LOOKUP(A29,Discrete_NFET[PARTNUMBER],Discrete_NFET[TI_EQ_PACKAGE]),"")</f>
        <v>SON3X3</v>
      </c>
      <c r="AR29" s="49">
        <f>IF(AND(A29&lt;&gt;0,A29&lt;&gt;""),LOOKUP(A29,Discrete_NFET[PARTNUMBER],Discrete_NFET[1KPRICE]),"")</f>
        <v>0.28000000000000003</v>
      </c>
      <c r="AS29" s="35" t="str">
        <f>IF(AND($A29&lt;&gt;0,$A29&lt;&gt;""),CONCATENATE(TEXT(AP29,"0.00"),"W, ",IF('User Input'!G$11="Single Discrete",A29,IF('User Input'!G$11="Dual/Power Block",LEFT(A29,FIND(")",A29)-7),A29)),", ",AQ29,", ",TEXT(AR29,"$0.00")),"Invalid Part")</f>
        <v>0.69W, CSD17552Q3A, SON3X3, $0.28</v>
      </c>
      <c r="AT29" t="s">
        <v>838</v>
      </c>
      <c r="AW29"/>
    </row>
    <row r="30" spans="1:50" ht="15" customHeight="1" x14ac:dyDescent="0.25">
      <c r="A30" s="35" t="str">
        <f>IF(OR(AND(FET_config2="Dual/Power Block",LEFT(Logic!B30,4)="CSD8"),AND(FET_config2="Single Discrete",LEFT(Logic!B30,4)="CSD1")),Logic!B30,"")</f>
        <v>CSD17552Q5A</v>
      </c>
      <c r="B30" s="37" t="str">
        <f>IF(OR($A30=0,$A30=""),"0",IF(LOOKUP($A30,Discrete_NFET[PARTNUMBER],Discrete_NFET[RDSON25])="(NULL)","0","1"))</f>
        <v>0</v>
      </c>
      <c r="C30" s="38" t="str">
        <f>IF(OR($A30=0,$A30=""),"0",IF(LOOKUP($A30,Discrete_NFET[PARTNUMBER],Discrete_NFET[RDSON3])="(NULL)","0","1"))</f>
        <v>0</v>
      </c>
      <c r="D30" s="40" t="str">
        <f>IF(OR($A30=0,$A30=""),"0",IF(LOOKUP($A30,Discrete_NFET[PARTNUMBER],Discrete_NFET[RDSON45])="(NULL)","0","1"))</f>
        <v>1</v>
      </c>
      <c r="E30" s="45" t="str">
        <f>IF(OR($A30=0,$A30=""),"0",IF(LOOKUP($A30,Discrete_NFET[PARTNUMBER],Discrete_NFET[RDSON6])="(NULL)","0","1"))</f>
        <v>0</v>
      </c>
      <c r="F30" s="34" t="str">
        <f>IF(OR($A30=0,$A30=""),"0",IF(LOOKUP($A30,Discrete_NFET[PARTNUMBER],Discrete_NFET[RDSON8])="(NULL)","0","1"))</f>
        <v>0</v>
      </c>
      <c r="G30" s="43" t="str">
        <f>IF(OR($A30=0,$A30=""),"0",IF(LOOKUP($A30,Discrete_NFET[PARTNUMBER],Discrete_NFET[RDSON10])="(NULL)","0","1"))</f>
        <v>1</v>
      </c>
      <c r="H30" s="36" t="b">
        <f t="shared" si="15"/>
        <v>0</v>
      </c>
      <c r="I30" s="39" t="b">
        <f t="shared" si="16"/>
        <v>0</v>
      </c>
      <c r="J30" s="41" t="b">
        <f t="shared" si="17"/>
        <v>1</v>
      </c>
      <c r="K30" s="46" t="b">
        <f t="shared" si="18"/>
        <v>0</v>
      </c>
      <c r="L30" s="42" t="b">
        <f t="shared" si="19"/>
        <v>0</v>
      </c>
      <c r="M30" s="44" t="b">
        <f t="shared" si="20"/>
        <v>1</v>
      </c>
      <c r="N30" s="47" t="b">
        <f t="shared" si="21"/>
        <v>1</v>
      </c>
      <c r="O30" s="36" t="b">
        <f t="shared" si="22"/>
        <v>0</v>
      </c>
      <c r="P30" s="39" t="b">
        <f t="shared" si="23"/>
        <v>0</v>
      </c>
      <c r="Q30" s="41" t="b">
        <f t="shared" si="24"/>
        <v>1</v>
      </c>
      <c r="R30" s="46" t="b">
        <f t="shared" si="25"/>
        <v>0</v>
      </c>
      <c r="S30" s="42" t="b">
        <f t="shared" si="26"/>
        <v>0</v>
      </c>
      <c r="T30" s="44" t="b">
        <f t="shared" si="27"/>
        <v>1</v>
      </c>
      <c r="U30" s="148">
        <f>IF(T30,LOOKUP(A30,Discrete_NFET[PARTNUMBER],Discrete_NFET[RDSON10])*1000,IF(S30,LOOKUP(A30,Discrete_NFET[PARTNUMBER],Discrete_NFET[RDSON8])*1000,IF(R30,LOOKUP(A30,Discrete_NFET[PARTNUMBER],Discrete_NFET[RDSON6])*1000,IF(Q30,LOOKUP(A30,Discrete_NFET[PARTNUMBER],Discrete_NFET[RDSON45])*1000,IF(P30,LOOKUP(A30,Discrete_NFET[PARTNUMBER],Discrete_NFET[RDSON3])*1000,IF(O30,LOOKUP(A30,Discrete_NFET[PARTNUMBER],Discrete_NFET[RDSON25])*1000,""))))))</f>
        <v>6.2</v>
      </c>
      <c r="V30" s="48">
        <f>IF(AND(A30&lt;&gt;0,A30&lt;&gt;""),U30*(1+(Tj-25)*(LOOKUP(A30,Discrete_NFET[PARTNUMBER],Discrete_NFET[RDSDELTA])/((LOOKUP(A30,Discrete_NFET[PARTNUMBER],Discrete_NFET[TJMAX])-25)))),"")</f>
        <v>7.13</v>
      </c>
      <c r="W30" s="35">
        <f>IF(AND($A30&lt;&gt;0,$A30&lt;&gt;""),LOOKUP($A30,Discrete_NFET[PARTNUMBER],Discrete_NFET[QGS]),"")</f>
        <v>3.6</v>
      </c>
      <c r="X30" s="35">
        <f>IF(AND($A30&lt;&gt;0,$A30&lt;&gt;""),LOOKUP($A30,Discrete_NFET[PARTNUMBER],Discrete_NFET[QGD]),"")</f>
        <v>2</v>
      </c>
      <c r="Y30" s="35">
        <f>IF(AND($A30&lt;&gt;0,$A30&lt;&gt;""),LOOKUP($A30,Discrete_NFET[PARTNUMBER],Discrete_NFET[QGTH]),"")</f>
        <v>2.1</v>
      </c>
      <c r="Z30" s="35">
        <f t="shared" si="28"/>
        <v>3.4999999999999996</v>
      </c>
      <c r="AA30" s="35">
        <f>IF(AND($A30&lt;&gt;0,$A30&lt;&gt;""),LOOKUP($A30,Discrete_NFET[PARTNUMBER],Discrete_NFET[QOSSTYP]),"")</f>
        <v>11</v>
      </c>
      <c r="AB30" s="35">
        <f>IF(AND($A30&lt;&gt;0,$A30&lt;&gt;""),LOOKUP($A30,Discrete_NFET[PARTNUMBER],Discrete_NFET[QRR]),"")</f>
        <v>20</v>
      </c>
      <c r="AC30" s="35">
        <f>IF(AND(A30&lt;&gt;0,A30&lt;&gt;""),LOOKUP(A30,Discrete_NFET[PARTNUMBER],Discrete_NFET[VF_TYP]),"")</f>
        <v>0.8</v>
      </c>
      <c r="AD30" s="127">
        <f>IF(AND($A30&lt;&gt;0,$A30&lt;&gt;"",OR(RIGHT(Logic!B30,2)="C)",LEFT(Logic!B30,4)="CSD1")),(1+(1-DUTY))*IM_RMS_120^2*V30*m/3/Num_FETS2,"")</f>
        <v>0.3000322214527546</v>
      </c>
      <c r="AE30" s="127">
        <f>IF(AND($A30&lt;&gt;0,$A30&lt;&gt;"",OR(RIGHT(Logic!B30,2)="C)",LEFT(Logic!B30,4)="CSD1")),Num_FETS2*0.5*IM_RMS_120*VDC_AVG*Z30*n*MOT_ELEC_FREQ/GDR_SRC,"")</f>
        <v>1.1287409700722391E-5</v>
      </c>
      <c r="AF30" s="127">
        <f>IF(AND($A30&lt;&gt;0,$A30&lt;&gt;"",OR(RIGHT(Logic!B30,2)="C)",LEFT(Logic!B30,4)="CSD1")),Num_FETS2*0.5*IM_RMS_120*VDC_AVG*Z30*n*MOT_ELEC_FREQ/GDR_SINK,"")</f>
        <v>7.6754385964912267E-6</v>
      </c>
      <c r="AG30" s="127">
        <f>IF(AND($A30&lt;&gt;0,$A30&lt;&gt;"",OR(RIGHT(Logic!B30,2)="T)",LEFT(Logic!B30,4)="CSD1")),DUTY*IM_RMS_120^2*V30*m/3/Num_FETS2,"")</f>
        <v>0.2714577241715399</v>
      </c>
      <c r="AH30" s="127">
        <f>IF(AND($A30&lt;&gt;0,$A30&lt;&gt;"",OR(RIGHT(Logic!B30,2)="T)",LEFT(Logic!B30,4)="CSD1")),Num_FETS2*0.5*IM_RMS_120*VDC_AVG*Z30*n*FSW*k/GDR_SRC/3,"")</f>
        <v>2.2574819401444787E-3</v>
      </c>
      <c r="AI30" s="127">
        <f>IF(AND($A30&lt;&gt;0,$A30&lt;&gt;"",OR(RIGHT(Logic!B30,2)="T)",LEFT(Logic!B30,4)="CSD1")),Num_FETS2*0.5*IM_RMS_120*VDC_AVG*Z30*n*FSW*k/GDR_SINK/3,"")</f>
        <v>1.5350877192982454E-3</v>
      </c>
      <c r="AJ30" s="127">
        <f t="shared" si="7"/>
        <v>1.32E-3</v>
      </c>
      <c r="AK30" s="127">
        <f t="shared" si="12"/>
        <v>1.2414567897146714E-2</v>
      </c>
      <c r="AL30" s="127">
        <f t="shared" si="9"/>
        <v>4.8080000000000006E-3</v>
      </c>
      <c r="AM30" s="127">
        <f t="shared" si="29"/>
        <v>0.37243703691440144</v>
      </c>
      <c r="AN30" s="127">
        <f>IF(AND($A30&lt;&gt;0,$A30&lt;&gt;"",OR(RIGHT(Logic!B30,2)="C)",LEFT(Logic!B30,4)="CSD1")),SUM(AD30:AF30)+(AJ30/3)+AK30+AL30/6+AM30/6,AN31)</f>
        <v>0.37577992501726543</v>
      </c>
      <c r="AO30" s="127">
        <f>IF(AND($A30&lt;&gt;0,$A30&lt;&gt;"",OR(RIGHT(Logic!B30,2)="T)",LEFT(Logic!B30,4)="CSD1")),SUM(AG30:AI30)+(AJ30/3)+AL30/6+AM30/6,AO29)</f>
        <v>0.33856446665004947</v>
      </c>
      <c r="AP30" s="48">
        <f t="shared" si="30"/>
        <v>0.71</v>
      </c>
      <c r="AQ30" s="35" t="str">
        <f>IF(AND(A30&lt;&gt;0,A30&lt;&gt;""),LOOKUP(A30,Discrete_NFET[PARTNUMBER],Discrete_NFET[TI_EQ_PACKAGE]),"")</f>
        <v>SON5X6</v>
      </c>
      <c r="AR30" s="49">
        <f>IF(AND(A30&lt;&gt;0,A30&lt;&gt;""),LOOKUP(A30,Discrete_NFET[PARTNUMBER],Discrete_NFET[1KPRICE]),"")</f>
        <v>0.3</v>
      </c>
      <c r="AS30" s="35" t="str">
        <f>IF(AND($A30&lt;&gt;0,$A30&lt;&gt;""),CONCATENATE(TEXT(AP30,"0.00"),"W, ",IF('User Input'!G$11="Single Discrete",A30,IF('User Input'!G$11="Dual/Power Block",LEFT(A30,FIND(")",A30)-7),A30)),", ",AQ30,", ",TEXT(AR30,"$0.00")),"Invalid Part")</f>
        <v>0.71W, CSD17552Q5A, SON5X6, $0.30</v>
      </c>
      <c r="AT30" t="s">
        <v>821</v>
      </c>
      <c r="AW30"/>
    </row>
    <row r="31" spans="1:50" ht="15" customHeight="1" x14ac:dyDescent="0.25">
      <c r="A31" s="35" t="str">
        <f>IF(OR(AND(FET_config2="Dual/Power Block",LEFT(Logic!B31,4)="CSD8"),AND(FET_config2="Single Discrete",LEFT(Logic!B31,4)="CSD1")),Logic!B31,"")</f>
        <v>CSD17553Q5A</v>
      </c>
      <c r="B31" s="37" t="str">
        <f>IF(OR($A31=0,$A31=""),"0",IF(LOOKUP($A31,Discrete_NFET[PARTNUMBER],Discrete_NFET[RDSON25])="(NULL)","0","1"))</f>
        <v>0</v>
      </c>
      <c r="C31" s="38" t="str">
        <f>IF(OR($A31=0,$A31=""),"0",IF(LOOKUP($A31,Discrete_NFET[PARTNUMBER],Discrete_NFET[RDSON3])="(NULL)","0","1"))</f>
        <v>0</v>
      </c>
      <c r="D31" s="40" t="str">
        <f>IF(OR($A31=0,$A31=""),"0",IF(LOOKUP($A31,Discrete_NFET[PARTNUMBER],Discrete_NFET[RDSON45])="(NULL)","0","1"))</f>
        <v>1</v>
      </c>
      <c r="E31" s="45" t="str">
        <f>IF(OR($A31=0,$A31=""),"0",IF(LOOKUP($A31,Discrete_NFET[PARTNUMBER],Discrete_NFET[RDSON6])="(NULL)","0","1"))</f>
        <v>0</v>
      </c>
      <c r="F31" s="34" t="str">
        <f>IF(OR($A31=0,$A31=""),"0",IF(LOOKUP($A31,Discrete_NFET[PARTNUMBER],Discrete_NFET[RDSON8])="(NULL)","0","1"))</f>
        <v>0</v>
      </c>
      <c r="G31" s="43" t="str">
        <f>IF(OR($A31=0,$A31=""),"0",IF(LOOKUP($A31,Discrete_NFET[PARTNUMBER],Discrete_NFET[RDSON10])="(NULL)","0","1"))</f>
        <v>1</v>
      </c>
      <c r="H31" s="36" t="b">
        <f t="shared" si="15"/>
        <v>0</v>
      </c>
      <c r="I31" s="39" t="b">
        <f t="shared" si="16"/>
        <v>0</v>
      </c>
      <c r="J31" s="41" t="b">
        <f t="shared" si="17"/>
        <v>1</v>
      </c>
      <c r="K31" s="46" t="b">
        <f t="shared" si="18"/>
        <v>0</v>
      </c>
      <c r="L31" s="42" t="b">
        <f t="shared" si="19"/>
        <v>0</v>
      </c>
      <c r="M31" s="44" t="b">
        <f t="shared" si="20"/>
        <v>1</v>
      </c>
      <c r="N31" s="47" t="b">
        <f t="shared" si="21"/>
        <v>1</v>
      </c>
      <c r="O31" s="36" t="b">
        <f t="shared" si="22"/>
        <v>0</v>
      </c>
      <c r="P31" s="39" t="b">
        <f t="shared" si="23"/>
        <v>0</v>
      </c>
      <c r="Q31" s="41" t="b">
        <f t="shared" si="24"/>
        <v>1</v>
      </c>
      <c r="R31" s="46" t="b">
        <f t="shared" si="25"/>
        <v>0</v>
      </c>
      <c r="S31" s="42" t="b">
        <f t="shared" si="26"/>
        <v>0</v>
      </c>
      <c r="T31" s="44" t="b">
        <f t="shared" si="27"/>
        <v>1</v>
      </c>
      <c r="U31" s="148">
        <f>IF(T31,LOOKUP(A31,Discrete_NFET[PARTNUMBER],Discrete_NFET[RDSON10])*1000,IF(S31,LOOKUP(A31,Discrete_NFET[PARTNUMBER],Discrete_NFET[RDSON8])*1000,IF(R31,LOOKUP(A31,Discrete_NFET[PARTNUMBER],Discrete_NFET[RDSON6])*1000,IF(Q31,LOOKUP(A31,Discrete_NFET[PARTNUMBER],Discrete_NFET[RDSON45])*1000,IF(P31,LOOKUP(A31,Discrete_NFET[PARTNUMBER],Discrete_NFET[RDSON3])*1000,IF(O31,LOOKUP(A31,Discrete_NFET[PARTNUMBER],Discrete_NFET[RDSON25])*1000,""))))))</f>
        <v>3.1</v>
      </c>
      <c r="V31" s="48">
        <f>IF(AND(A31&lt;&gt;0,A31&lt;&gt;""),U31*(1+(Tj-25)*(LOOKUP(A31,Discrete_NFET[PARTNUMBER],Discrete_NFET[RDSDELTA])/((LOOKUP(A31,Discrete_NFET[PARTNUMBER],Discrete_NFET[TJMAX])-25)))),"")</f>
        <v>3.5339999999999998</v>
      </c>
      <c r="W31" s="35">
        <f>IF(AND($A31&lt;&gt;0,$A31&lt;&gt;""),LOOKUP($A31,Discrete_NFET[PARTNUMBER],Discrete_NFET[QGS]),"")</f>
        <v>5.8</v>
      </c>
      <c r="X31" s="35">
        <f>IF(AND($A31&lt;&gt;0,$A31&lt;&gt;""),LOOKUP($A31,Discrete_NFET[PARTNUMBER],Discrete_NFET[QGD]),"")</f>
        <v>4.7</v>
      </c>
      <c r="Y31" s="35">
        <f>IF(AND($A31&lt;&gt;0,$A31&lt;&gt;""),LOOKUP($A31,Discrete_NFET[PARTNUMBER],Discrete_NFET[QGTH]),"")</f>
        <v>4.0999999999999996</v>
      </c>
      <c r="Z31" s="35">
        <f t="shared" si="28"/>
        <v>6.4</v>
      </c>
      <c r="AA31" s="35">
        <f>IF(AND($A31&lt;&gt;0,$A31&lt;&gt;""),LOOKUP($A31,Discrete_NFET[PARTNUMBER],Discrete_NFET[QOSSTYP]),"")</f>
        <v>19.600000000000001</v>
      </c>
      <c r="AB31" s="35">
        <f>IF(AND($A31&lt;&gt;0,$A31&lt;&gt;""),LOOKUP($A31,Discrete_NFET[PARTNUMBER],Discrete_NFET[QRR]),"")</f>
        <v>23.8</v>
      </c>
      <c r="AC31" s="35">
        <f>IF(AND(A31&lt;&gt;0,A31&lt;&gt;""),LOOKUP(A31,Discrete_NFET[PARTNUMBER],Discrete_NFET[VF_TYP]),"")</f>
        <v>0.8</v>
      </c>
      <c r="AD31" s="127">
        <f>IF(AND($A31&lt;&gt;0,$A31&lt;&gt;"",OR(RIGHT(Logic!B31,2)="C)",LEFT(Logic!B31,4)="CSD1")),(1+(1-DUTY))*IM_RMS_120^2*V31*m/3/Num_FETS2,"")</f>
        <v>0.14871162280701752</v>
      </c>
      <c r="AE31" s="127">
        <f>IF(AND($A31&lt;&gt;0,$A31&lt;&gt;"",OR(RIGHT(Logic!B31,2)="C)",LEFT(Logic!B31,4)="CSD1")),Num_FETS2*0.5*IM_RMS_120*VDC_AVG*Z31*n*MOT_ELEC_FREQ/GDR_SRC,"")</f>
        <v>2.0639834881320951E-5</v>
      </c>
      <c r="AF31" s="127">
        <f>IF(AND($A31&lt;&gt;0,$A31&lt;&gt;"",OR(RIGHT(Logic!B31,2)="C)",LEFT(Logic!B31,4)="CSD1")),Num_FETS2*0.5*IM_RMS_120*VDC_AVG*Z31*n*MOT_ELEC_FREQ/GDR_SINK,"")</f>
        <v>1.4035087719298248E-5</v>
      </c>
      <c r="AG31" s="127">
        <f>IF(AND($A31&lt;&gt;0,$A31&lt;&gt;"",OR(RIGHT(Logic!B31,2)="T)",LEFT(Logic!B31,4)="CSD1")),DUTY*IM_RMS_120^2*V31*m/3/Num_FETS2,"")</f>
        <v>0.13454861111111108</v>
      </c>
      <c r="AH31" s="127">
        <f>IF(AND($A31&lt;&gt;0,$A31&lt;&gt;"",OR(RIGHT(Logic!B31,2)="T)",LEFT(Logic!B31,4)="CSD1")),Num_FETS2*0.5*IM_RMS_120*VDC_AVG*Z31*n*FSW*k/GDR_SRC/3,"")</f>
        <v>4.1279669762641904E-3</v>
      </c>
      <c r="AI31" s="127">
        <f>IF(AND($A31&lt;&gt;0,$A31&lt;&gt;"",OR(RIGHT(Logic!B31,2)="T)",LEFT(Logic!B31,4)="CSD1")),Num_FETS2*0.5*IM_RMS_120*VDC_AVG*Z31*n*FSW*k/GDR_SINK/3,"")</f>
        <v>2.8070175438596498E-3</v>
      </c>
      <c r="AJ31" s="127">
        <f t="shared" si="7"/>
        <v>2.3520000000000004E-3</v>
      </c>
      <c r="AK31" s="127">
        <f t="shared" si="12"/>
        <v>1.2414567897146714E-2</v>
      </c>
      <c r="AL31" s="127">
        <f t="shared" si="9"/>
        <v>5.7215200000000008E-3</v>
      </c>
      <c r="AM31" s="127">
        <f t="shared" si="29"/>
        <v>0.37243703691440144</v>
      </c>
      <c r="AN31" s="127">
        <f>IF(AND($A31&lt;&gt;0,$A31&lt;&gt;"",OR(RIGHT(Logic!B31,2)="C)",LEFT(Logic!B31,4)="CSD1")),SUM(AD31:AF31)+(AJ31/3)+AK31+AL31/6+AM31/6,AN32)</f>
        <v>0.22497129177916511</v>
      </c>
      <c r="AO31" s="127">
        <f>IF(AND($A31&lt;&gt;0,$A31&lt;&gt;"",OR(RIGHT(Logic!B31,2)="T)",LEFT(Logic!B31,4)="CSD1")),SUM(AG31:AI31)+(AJ31/3)+AL31/6+AM31/6,AO30)</f>
        <v>0.20529402178363518</v>
      </c>
      <c r="AP31" s="48">
        <f t="shared" si="30"/>
        <v>0.43</v>
      </c>
      <c r="AQ31" s="35" t="str">
        <f>IF(AND(A31&lt;&gt;0,A31&lt;&gt;""),LOOKUP(A31,Discrete_NFET[PARTNUMBER],Discrete_NFET[TI_EQ_PACKAGE]),"")</f>
        <v>SON5X6</v>
      </c>
      <c r="AR31" s="49">
        <f>IF(AND(A31&lt;&gt;0,A31&lt;&gt;""),LOOKUP(A31,Discrete_NFET[PARTNUMBER],Discrete_NFET[1KPRICE]),"")</f>
        <v>0.42</v>
      </c>
      <c r="AS31" s="35" t="str">
        <f>IF(AND($A31&lt;&gt;0,$A31&lt;&gt;""),CONCATENATE(TEXT(AP31,"0.00"),"W, ",IF('User Input'!G$11="Single Discrete",A31,IF('User Input'!G$11="Dual/Power Block",LEFT(A31,FIND(")",A31)-7),A31)),", ",AQ31,", ",TEXT(AR31,"$0.00")),"Invalid Part")</f>
        <v>0.43W, CSD17553Q5A, SON5X6, $0.42</v>
      </c>
      <c r="AT31" t="s">
        <v>811</v>
      </c>
      <c r="AW31"/>
    </row>
    <row r="32" spans="1:50" ht="15" customHeight="1" x14ac:dyDescent="0.25">
      <c r="A32" s="35" t="str">
        <f>IF(OR(AND(FET_config2="Dual/Power Block",LEFT(Logic!B32,4)="CSD8"),AND(FET_config2="Single Discrete",LEFT(Logic!B32,4)="CSD1")),Logic!B32,"")</f>
        <v>CSD17555Q5A</v>
      </c>
      <c r="B32" s="37" t="str">
        <f>IF(OR($A32=0,$A32=""),"0",IF(LOOKUP($A32,Discrete_NFET[PARTNUMBER],Discrete_NFET[RDSON25])="(NULL)","0","1"))</f>
        <v>0</v>
      </c>
      <c r="C32" s="38" t="str">
        <f>IF(OR($A32=0,$A32=""),"0",IF(LOOKUP($A32,Discrete_NFET[PARTNUMBER],Discrete_NFET[RDSON3])="(NULL)","0","1"))</f>
        <v>0</v>
      </c>
      <c r="D32" s="40" t="str">
        <f>IF(OR($A32=0,$A32=""),"0",IF(LOOKUP($A32,Discrete_NFET[PARTNUMBER],Discrete_NFET[RDSON45])="(NULL)","0","1"))</f>
        <v>1</v>
      </c>
      <c r="E32" s="45" t="str">
        <f>IF(OR($A32=0,$A32=""),"0",IF(LOOKUP($A32,Discrete_NFET[PARTNUMBER],Discrete_NFET[RDSON6])="(NULL)","0","1"))</f>
        <v>0</v>
      </c>
      <c r="F32" s="34" t="str">
        <f>IF(OR($A32=0,$A32=""),"0",IF(LOOKUP($A32,Discrete_NFET[PARTNUMBER],Discrete_NFET[RDSON8])="(NULL)","0","1"))</f>
        <v>0</v>
      </c>
      <c r="G32" s="43" t="str">
        <f>IF(OR($A32=0,$A32=""),"0",IF(LOOKUP($A32,Discrete_NFET[PARTNUMBER],Discrete_NFET[RDSON10])="(NULL)","0","1"))</f>
        <v>1</v>
      </c>
      <c r="H32" s="36" t="b">
        <f t="shared" si="15"/>
        <v>0</v>
      </c>
      <c r="I32" s="39" t="b">
        <f t="shared" si="16"/>
        <v>0</v>
      </c>
      <c r="J32" s="41" t="b">
        <f t="shared" si="17"/>
        <v>1</v>
      </c>
      <c r="K32" s="46" t="b">
        <f t="shared" si="18"/>
        <v>0</v>
      </c>
      <c r="L32" s="42" t="b">
        <f t="shared" si="19"/>
        <v>0</v>
      </c>
      <c r="M32" s="44" t="b">
        <f t="shared" si="20"/>
        <v>1</v>
      </c>
      <c r="N32" s="47" t="b">
        <f t="shared" si="21"/>
        <v>1</v>
      </c>
      <c r="O32" s="36" t="b">
        <f t="shared" si="22"/>
        <v>0</v>
      </c>
      <c r="P32" s="39" t="b">
        <f t="shared" si="23"/>
        <v>0</v>
      </c>
      <c r="Q32" s="41" t="b">
        <f t="shared" si="24"/>
        <v>1</v>
      </c>
      <c r="R32" s="46" t="b">
        <f t="shared" si="25"/>
        <v>0</v>
      </c>
      <c r="S32" s="42" t="b">
        <f t="shared" si="26"/>
        <v>0</v>
      </c>
      <c r="T32" s="44" t="b">
        <f t="shared" si="27"/>
        <v>1</v>
      </c>
      <c r="U32" s="148">
        <f>IF(T32,LOOKUP(A32,Discrete_NFET[PARTNUMBER],Discrete_NFET[RDSON10])*1000,IF(S32,LOOKUP(A32,Discrete_NFET[PARTNUMBER],Discrete_NFET[RDSON8])*1000,IF(R32,LOOKUP(A32,Discrete_NFET[PARTNUMBER],Discrete_NFET[RDSON6])*1000,IF(Q32,LOOKUP(A32,Discrete_NFET[PARTNUMBER],Discrete_NFET[RDSON45])*1000,IF(P32,LOOKUP(A32,Discrete_NFET[PARTNUMBER],Discrete_NFET[RDSON3])*1000,IF(O32,LOOKUP(A32,Discrete_NFET[PARTNUMBER],Discrete_NFET[RDSON25])*1000,""))))))</f>
        <v>2.7</v>
      </c>
      <c r="V32" s="48">
        <f>IF(AND(A32&lt;&gt;0,A32&lt;&gt;""),U32*(1+(Tj-25)*(LOOKUP(A32,Discrete_NFET[PARTNUMBER],Discrete_NFET[RDSDELTA])/((LOOKUP(A32,Discrete_NFET[PARTNUMBER],Discrete_NFET[TJMAX])-25)))),"")</f>
        <v>3.0779999999999998</v>
      </c>
      <c r="W32" s="35">
        <f>IF(AND($A32&lt;&gt;0,$A32&lt;&gt;""),LOOKUP($A32,Discrete_NFET[PARTNUMBER],Discrete_NFET[QGS]),"")</f>
        <v>7.5</v>
      </c>
      <c r="X32" s="35">
        <f>IF(AND($A32&lt;&gt;0,$A32&lt;&gt;""),LOOKUP($A32,Discrete_NFET[PARTNUMBER],Discrete_NFET[QGD]),"")</f>
        <v>5</v>
      </c>
      <c r="Y32" s="35">
        <f>IF(AND($A32&lt;&gt;0,$A32&lt;&gt;""),LOOKUP($A32,Discrete_NFET[PARTNUMBER],Discrete_NFET[QGTH]),"")</f>
        <v>5</v>
      </c>
      <c r="Z32" s="35">
        <f t="shared" si="28"/>
        <v>7.5</v>
      </c>
      <c r="AA32" s="35">
        <f>IF(AND($A32&lt;&gt;0,$A32&lt;&gt;""),LOOKUP($A32,Discrete_NFET[PARTNUMBER],Discrete_NFET[QOSSTYP]),"")</f>
        <v>25</v>
      </c>
      <c r="AB32" s="35">
        <f>IF(AND($A32&lt;&gt;0,$A32&lt;&gt;""),LOOKUP($A32,Discrete_NFET[PARTNUMBER],Discrete_NFET[QRR]),"")</f>
        <v>31</v>
      </c>
      <c r="AC32" s="35">
        <f>IF(AND(A32&lt;&gt;0,A32&lt;&gt;""),LOOKUP(A32,Discrete_NFET[PARTNUMBER],Discrete_NFET[VF_TYP]),"")</f>
        <v>0.8</v>
      </c>
      <c r="AD32" s="127">
        <f>IF(AND($A32&lt;&gt;0,$A32&lt;&gt;"",OR(RIGHT(Logic!B32,2)="C)",LEFT(Logic!B32,4)="CSD1")),(1+(1-DUTY))*IM_RMS_120^2*V32*m/3/Num_FETS2,"")</f>
        <v>0.12952302631578944</v>
      </c>
      <c r="AE32" s="127">
        <f>IF(AND($A32&lt;&gt;0,$A32&lt;&gt;"",OR(RIGHT(Logic!B32,2)="C)",LEFT(Logic!B32,4)="CSD1")),Num_FETS2*0.5*IM_RMS_120*VDC_AVG*Z32*n*MOT_ELEC_FREQ/GDR_SRC,"")</f>
        <v>2.4187306501547986E-5</v>
      </c>
      <c r="AF32" s="127">
        <f>IF(AND($A32&lt;&gt;0,$A32&lt;&gt;"",OR(RIGHT(Logic!B32,2)="C)",LEFT(Logic!B32,4)="CSD1")),Num_FETS2*0.5*IM_RMS_120*VDC_AVG*Z32*n*MOT_ELEC_FREQ/GDR_SINK,"")</f>
        <v>1.6447368421052631E-5</v>
      </c>
      <c r="AG32" s="127">
        <f>IF(AND($A32&lt;&gt;0,$A32&lt;&gt;"",OR(RIGHT(Logic!B32,2)="T)",LEFT(Logic!B32,4)="CSD1")),DUTY*IM_RMS_120^2*V32*m/3/Num_FETS2,"")</f>
        <v>0.11718749999999996</v>
      </c>
      <c r="AH32" s="127">
        <f>IF(AND($A32&lt;&gt;0,$A32&lt;&gt;"",OR(RIGHT(Logic!B32,2)="T)",LEFT(Logic!B32,4)="CSD1")),Num_FETS2*0.5*IM_RMS_120*VDC_AVG*Z32*n*FSW*k/GDR_SRC/3,"")</f>
        <v>4.837461300309597E-3</v>
      </c>
      <c r="AI32" s="127">
        <f>IF(AND($A32&lt;&gt;0,$A32&lt;&gt;"",OR(RIGHT(Logic!B32,2)="T)",LEFT(Logic!B32,4)="CSD1")),Num_FETS2*0.5*IM_RMS_120*VDC_AVG*Z32*n*FSW*k/GDR_SINK/3,"")</f>
        <v>3.2894736842105261E-3</v>
      </c>
      <c r="AJ32" s="127">
        <f t="shared" si="7"/>
        <v>3.0000000000000001E-3</v>
      </c>
      <c r="AK32" s="127">
        <f t="shared" si="12"/>
        <v>1.2414567897146714E-2</v>
      </c>
      <c r="AL32" s="127">
        <f t="shared" si="9"/>
        <v>7.4524000000000005E-3</v>
      </c>
      <c r="AM32" s="127">
        <f t="shared" si="29"/>
        <v>0.37243703691440144</v>
      </c>
      <c r="AN32" s="127">
        <f>IF(AND($A32&lt;&gt;0,$A32&lt;&gt;"",OR(RIGHT(Logic!B32,2)="C)",LEFT(Logic!B32,4)="CSD1")),SUM(AD32:AF32)+(AJ32/3)+AK32+AL32/6+AM32/6,AN33)</f>
        <v>0.20629313504025901</v>
      </c>
      <c r="AO32" s="127">
        <f>IF(AND($A32&lt;&gt;0,$A32&lt;&gt;"",OR(RIGHT(Logic!B32,2)="T)",LEFT(Logic!B32,4)="CSD1")),SUM(AG32:AI32)+(AJ32/3)+AL32/6+AM32/6,AO31)</f>
        <v>0.18962934113692034</v>
      </c>
      <c r="AP32" s="48">
        <f t="shared" si="30"/>
        <v>0.4</v>
      </c>
      <c r="AQ32" s="35" t="str">
        <f>IF(AND(A32&lt;&gt;0,A32&lt;&gt;""),LOOKUP(A32,Discrete_NFET[PARTNUMBER],Discrete_NFET[TI_EQ_PACKAGE]),"")</f>
        <v>SON5X6</v>
      </c>
      <c r="AR32" s="49">
        <f>IF(AND(A32&lt;&gt;0,A32&lt;&gt;""),LOOKUP(A32,Discrete_NFET[PARTNUMBER],Discrete_NFET[1KPRICE]),"")</f>
        <v>0.54</v>
      </c>
      <c r="AS32" s="35" t="str">
        <f>IF(AND($A32&lt;&gt;0,$A32&lt;&gt;""),CONCATENATE(TEXT(AP32,"0.00"),"W, ",IF('User Input'!G$11="Single Discrete",A32,IF('User Input'!G$11="Dual/Power Block",LEFT(A32,FIND(")",A32)-7),A32)),", ",AQ32,", ",TEXT(AR32,"$0.00")),"Invalid Part")</f>
        <v>0.40W, CSD17555Q5A, SON5X6, $0.54</v>
      </c>
      <c r="AT32" t="s">
        <v>836</v>
      </c>
      <c r="AW32"/>
    </row>
    <row r="33" spans="1:49" ht="15" customHeight="1" x14ac:dyDescent="0.25">
      <c r="A33" s="35" t="str">
        <f>IF(OR(AND(FET_config2="Dual/Power Block",LEFT(Logic!B33,4)="CSD8"),AND(FET_config2="Single Discrete",LEFT(Logic!B33,4)="CSD1")),Logic!B33,"")</f>
        <v>CSD17556Q5B</v>
      </c>
      <c r="B33" s="37" t="str">
        <f>IF(OR($A33=0,$A33=""),"0",IF(LOOKUP($A33,Discrete_NFET[PARTNUMBER],Discrete_NFET[RDSON25])="(NULL)","0","1"))</f>
        <v>0</v>
      </c>
      <c r="C33" s="38" t="str">
        <f>IF(OR($A33=0,$A33=""),"0",IF(LOOKUP($A33,Discrete_NFET[PARTNUMBER],Discrete_NFET[RDSON3])="(NULL)","0","1"))</f>
        <v>0</v>
      </c>
      <c r="D33" s="40" t="str">
        <f>IF(OR($A33=0,$A33=""),"0",IF(LOOKUP($A33,Discrete_NFET[PARTNUMBER],Discrete_NFET[RDSON45])="(NULL)","0","1"))</f>
        <v>1</v>
      </c>
      <c r="E33" s="45" t="str">
        <f>IF(OR($A33=0,$A33=""),"0",IF(LOOKUP($A33,Discrete_NFET[PARTNUMBER],Discrete_NFET[RDSON6])="(NULL)","0","1"))</f>
        <v>0</v>
      </c>
      <c r="F33" s="34" t="str">
        <f>IF(OR($A33=0,$A33=""),"0",IF(LOOKUP($A33,Discrete_NFET[PARTNUMBER],Discrete_NFET[RDSON8])="(NULL)","0","1"))</f>
        <v>0</v>
      </c>
      <c r="G33" s="43" t="str">
        <f>IF(OR($A33=0,$A33=""),"0",IF(LOOKUP($A33,Discrete_NFET[PARTNUMBER],Discrete_NFET[RDSON10])="(NULL)","0","1"))</f>
        <v>1</v>
      </c>
      <c r="H33" s="36" t="b">
        <f t="shared" si="15"/>
        <v>0</v>
      </c>
      <c r="I33" s="39" t="b">
        <f t="shared" si="16"/>
        <v>0</v>
      </c>
      <c r="J33" s="41" t="b">
        <f t="shared" si="17"/>
        <v>1</v>
      </c>
      <c r="K33" s="46" t="b">
        <f t="shared" si="18"/>
        <v>0</v>
      </c>
      <c r="L33" s="42" t="b">
        <f t="shared" si="19"/>
        <v>0</v>
      </c>
      <c r="M33" s="44" t="b">
        <f t="shared" si="20"/>
        <v>1</v>
      </c>
      <c r="N33" s="47" t="b">
        <f t="shared" si="21"/>
        <v>1</v>
      </c>
      <c r="O33" s="36" t="b">
        <f t="shared" si="22"/>
        <v>0</v>
      </c>
      <c r="P33" s="39" t="b">
        <f t="shared" si="23"/>
        <v>0</v>
      </c>
      <c r="Q33" s="41" t="b">
        <f t="shared" si="24"/>
        <v>1</v>
      </c>
      <c r="R33" s="46" t="b">
        <f t="shared" si="25"/>
        <v>0</v>
      </c>
      <c r="S33" s="42" t="b">
        <f t="shared" si="26"/>
        <v>0</v>
      </c>
      <c r="T33" s="44" t="b">
        <f t="shared" si="27"/>
        <v>1</v>
      </c>
      <c r="U33" s="148">
        <f>IF(T33,LOOKUP(A33,Discrete_NFET[PARTNUMBER],Discrete_NFET[RDSON10])*1000,IF(S33,LOOKUP(A33,Discrete_NFET[PARTNUMBER],Discrete_NFET[RDSON8])*1000,IF(R33,LOOKUP(A33,Discrete_NFET[PARTNUMBER],Discrete_NFET[RDSON6])*1000,IF(Q33,LOOKUP(A33,Discrete_NFET[PARTNUMBER],Discrete_NFET[RDSON45])*1000,IF(P33,LOOKUP(A33,Discrete_NFET[PARTNUMBER],Discrete_NFET[RDSON3])*1000,IF(O33,LOOKUP(A33,Discrete_NFET[PARTNUMBER],Discrete_NFET[RDSON25])*1000,""))))))</f>
        <v>1.4</v>
      </c>
      <c r="V33" s="48">
        <f>IF(AND(A33&lt;&gt;0,A33&lt;&gt;""),U33*(1+(Tj-25)*(LOOKUP(A33,Discrete_NFET[PARTNUMBER],Discrete_NFET[RDSDELTA])/((LOOKUP(A33,Discrete_NFET[PARTNUMBER],Discrete_NFET[TJMAX])-25)))),"")</f>
        <v>1.6099999999999999</v>
      </c>
      <c r="W33" s="35">
        <f>IF(AND($A33&lt;&gt;0,$A33&lt;&gt;""),LOOKUP($A33,Discrete_NFET[PARTNUMBER],Discrete_NFET[QGS]),"")</f>
        <v>11</v>
      </c>
      <c r="X33" s="35">
        <f>IF(AND($A33&lt;&gt;0,$A33&lt;&gt;""),LOOKUP($A33,Discrete_NFET[PARTNUMBER],Discrete_NFET[QGD]),"")</f>
        <v>7.5</v>
      </c>
      <c r="Y33" s="35">
        <f>IF(AND($A33&lt;&gt;0,$A33&lt;&gt;""),LOOKUP($A33,Discrete_NFET[PARTNUMBER],Discrete_NFET[QGTH]),"")</f>
        <v>6.1</v>
      </c>
      <c r="Z33" s="35">
        <f t="shared" si="28"/>
        <v>12.4</v>
      </c>
      <c r="AA33" s="35">
        <f>IF(AND($A33&lt;&gt;0,$A33&lt;&gt;""),LOOKUP($A33,Discrete_NFET[PARTNUMBER],Discrete_NFET[QOSSTYP]),"")</f>
        <v>48</v>
      </c>
      <c r="AB33" s="35">
        <f>IF(AND($A33&lt;&gt;0,$A33&lt;&gt;""),LOOKUP($A33,Discrete_NFET[PARTNUMBER],Discrete_NFET[QRR]),"")</f>
        <v>68</v>
      </c>
      <c r="AC33" s="35">
        <f>IF(AND(A33&lt;&gt;0,A33&lt;&gt;""),LOOKUP(A33,Discrete_NFET[PARTNUMBER],Discrete_NFET[VF_TYP]),"")</f>
        <v>0.8</v>
      </c>
      <c r="AD33" s="127">
        <f>IF(AND($A33&lt;&gt;0,$A33&lt;&gt;"",OR(RIGHT(Logic!B33,2)="C)",LEFT(Logic!B33,4)="CSD1")),(1+(1-DUTY))*IM_RMS_120^2*V33*m/3/Num_FETS2,"")</f>
        <v>6.7749211295783304E-2</v>
      </c>
      <c r="AE33" s="127">
        <f>IF(AND($A33&lt;&gt;0,$A33&lt;&gt;"",OR(RIGHT(Logic!B33,2)="C)",LEFT(Logic!B33,4)="CSD1")),Num_FETS2*0.5*IM_RMS_120*VDC_AVG*Z33*n*MOT_ELEC_FREQ/GDR_SRC,"")</f>
        <v>3.9989680082559339E-5</v>
      </c>
      <c r="AF33" s="127">
        <f>IF(AND($A33&lt;&gt;0,$A33&lt;&gt;"",OR(RIGHT(Logic!B33,2)="C)",LEFT(Logic!B33,4)="CSD1")),Num_FETS2*0.5*IM_RMS_120*VDC_AVG*Z33*n*MOT_ELEC_FREQ/GDR_SINK,"")</f>
        <v>2.7192982456140354E-5</v>
      </c>
      <c r="AG33" s="127">
        <f>IF(AND($A33&lt;&gt;0,$A33&lt;&gt;"",OR(RIGHT(Logic!B33,2)="T)",LEFT(Logic!B33,4)="CSD1")),DUTY*IM_RMS_120^2*V33*m/3/Num_FETS2,"")</f>
        <v>6.1296905458089655E-2</v>
      </c>
      <c r="AH33" s="127">
        <f>IF(AND($A33&lt;&gt;0,$A33&lt;&gt;"",OR(RIGHT(Logic!B33,2)="T)",LEFT(Logic!B33,4)="CSD1")),Num_FETS2*0.5*IM_RMS_120*VDC_AVG*Z33*n*FSW*k/GDR_SRC/3,"")</f>
        <v>7.9979360165118689E-3</v>
      </c>
      <c r="AI33" s="127">
        <f>IF(AND($A33&lt;&gt;0,$A33&lt;&gt;"",OR(RIGHT(Logic!B33,2)="T)",LEFT(Logic!B33,4)="CSD1")),Num_FETS2*0.5*IM_RMS_120*VDC_AVG*Z33*n*FSW*k/GDR_SINK/3,"")</f>
        <v>5.4385964912280716E-3</v>
      </c>
      <c r="AJ33" s="127">
        <f t="shared" si="7"/>
        <v>5.7600000000000004E-3</v>
      </c>
      <c r="AK33" s="127">
        <f t="shared" si="12"/>
        <v>1.2414567897146714E-2</v>
      </c>
      <c r="AL33" s="127">
        <f t="shared" si="9"/>
        <v>1.6347199999999999E-2</v>
      </c>
      <c r="AM33" s="127">
        <f t="shared" si="29"/>
        <v>0.37243703691440144</v>
      </c>
      <c r="AN33" s="127">
        <f>IF(AND($A33&lt;&gt;0,$A33&lt;&gt;"",OR(RIGHT(Logic!B33,2)="C)",LEFT(Logic!B33,4)="CSD1")),SUM(AD33:AF33)+(AJ33/3)+AK33+AL33/6+AM33/6,AN34)</f>
        <v>0.14694833467453564</v>
      </c>
      <c r="AO33" s="127">
        <f>IF(AND($A33&lt;&gt;0,$A33&lt;&gt;"",OR(RIGHT(Logic!B33,2)="T)",LEFT(Logic!B33,4)="CSD1")),SUM(AG33:AI33)+(AJ33/3)+AL33/6+AM33/6,AO32)</f>
        <v>0.14145081078489652</v>
      </c>
      <c r="AP33" s="48">
        <f t="shared" si="30"/>
        <v>0.28999999999999998</v>
      </c>
      <c r="AQ33" s="35" t="str">
        <f>IF(AND(A33&lt;&gt;0,A33&lt;&gt;""),LOOKUP(A33,Discrete_NFET[PARTNUMBER],Discrete_NFET[TI_EQ_PACKAGE]),"")</f>
        <v>SON5x6</v>
      </c>
      <c r="AR33" s="49">
        <f>IF(AND(A33&lt;&gt;0,A33&lt;&gt;""),LOOKUP(A33,Discrete_NFET[PARTNUMBER],Discrete_NFET[1KPRICE]),"")</f>
        <v>0.77</v>
      </c>
      <c r="AS33" s="35" t="str">
        <f>IF(AND($A33&lt;&gt;0,$A33&lt;&gt;""),CONCATENATE(TEXT(AP33,"0.00"),"W, ",IF('User Input'!G$11="Single Discrete",A33,IF('User Input'!G$11="Dual/Power Block",LEFT(A33,FIND(")",A33)-7),A33)),", ",AQ33,", ",TEXT(AR33,"$0.00")),"Invalid Part")</f>
        <v>0.29W, CSD17556Q5B, SON5x6, $0.77</v>
      </c>
      <c r="AT33" t="s">
        <v>837</v>
      </c>
      <c r="AW33"/>
    </row>
    <row r="34" spans="1:49" ht="15" customHeight="1" x14ac:dyDescent="0.25">
      <c r="A34" s="35" t="str">
        <f>IF(OR(AND(FET_config2="Dual/Power Block",LEFT(Logic!B34,4)="CSD8"),AND(FET_config2="Single Discrete",LEFT(Logic!B34,4)="CSD1")),Logic!B34,"")</f>
        <v>CSD17559Q5</v>
      </c>
      <c r="B34" s="37" t="str">
        <f>IF(OR($A34=0,$A34=""),"0",IF(LOOKUP($A34,Discrete_NFET[PARTNUMBER],Discrete_NFET[RDSON25])="(NULL)","0","1"))</f>
        <v>0</v>
      </c>
      <c r="C34" s="38" t="str">
        <f>IF(OR($A34=0,$A34=""),"0",IF(LOOKUP($A34,Discrete_NFET[PARTNUMBER],Discrete_NFET[RDSON3])="(NULL)","0","1"))</f>
        <v>0</v>
      </c>
      <c r="D34" s="40" t="str">
        <f>IF(OR($A34=0,$A34=""),"0",IF(LOOKUP($A34,Discrete_NFET[PARTNUMBER],Discrete_NFET[RDSON45])="(NULL)","0","1"))</f>
        <v>1</v>
      </c>
      <c r="E34" s="45" t="str">
        <f>IF(OR($A34=0,$A34=""),"0",IF(LOOKUP($A34,Discrete_NFET[PARTNUMBER],Discrete_NFET[RDSON6])="(NULL)","0","1"))</f>
        <v>0</v>
      </c>
      <c r="F34" s="34" t="str">
        <f>IF(OR($A34=0,$A34=""),"0",IF(LOOKUP($A34,Discrete_NFET[PARTNUMBER],Discrete_NFET[RDSON8])="(NULL)","0","1"))</f>
        <v>0</v>
      </c>
      <c r="G34" s="43" t="str">
        <f>IF(OR($A34=0,$A34=""),"0",IF(LOOKUP($A34,Discrete_NFET[PARTNUMBER],Discrete_NFET[RDSON10])="(NULL)","0","1"))</f>
        <v>1</v>
      </c>
      <c r="H34" s="36" t="b">
        <f t="shared" si="15"/>
        <v>0</v>
      </c>
      <c r="I34" s="39" t="b">
        <f t="shared" si="16"/>
        <v>0</v>
      </c>
      <c r="J34" s="41" t="b">
        <f t="shared" si="17"/>
        <v>1</v>
      </c>
      <c r="K34" s="46" t="b">
        <f t="shared" si="18"/>
        <v>0</v>
      </c>
      <c r="L34" s="42" t="b">
        <f t="shared" si="19"/>
        <v>0</v>
      </c>
      <c r="M34" s="44" t="b">
        <f t="shared" si="20"/>
        <v>1</v>
      </c>
      <c r="N34" s="47" t="b">
        <f t="shared" si="21"/>
        <v>1</v>
      </c>
      <c r="O34" s="36" t="b">
        <f t="shared" si="22"/>
        <v>0</v>
      </c>
      <c r="P34" s="39" t="b">
        <f t="shared" si="23"/>
        <v>0</v>
      </c>
      <c r="Q34" s="41" t="b">
        <f t="shared" si="24"/>
        <v>1</v>
      </c>
      <c r="R34" s="46" t="b">
        <f t="shared" si="25"/>
        <v>0</v>
      </c>
      <c r="S34" s="42" t="b">
        <f t="shared" si="26"/>
        <v>0</v>
      </c>
      <c r="T34" s="44" t="b">
        <f t="shared" si="27"/>
        <v>1</v>
      </c>
      <c r="U34" s="148">
        <f>IF(T34,LOOKUP(A34,Discrete_NFET[PARTNUMBER],Discrete_NFET[RDSON10])*1000,IF(S34,LOOKUP(A34,Discrete_NFET[PARTNUMBER],Discrete_NFET[RDSON8])*1000,IF(R34,LOOKUP(A34,Discrete_NFET[PARTNUMBER],Discrete_NFET[RDSON6])*1000,IF(Q34,LOOKUP(A34,Discrete_NFET[PARTNUMBER],Discrete_NFET[RDSON45])*1000,IF(P34,LOOKUP(A34,Discrete_NFET[PARTNUMBER],Discrete_NFET[RDSON3])*1000,IF(O34,LOOKUP(A34,Discrete_NFET[PARTNUMBER],Discrete_NFET[RDSON25])*1000,""))))))</f>
        <v>1.1000000000000001</v>
      </c>
      <c r="V34" s="48">
        <f>IF(AND(A34&lt;&gt;0,A34&lt;&gt;""),U34*(1+(Tj-25)*(LOOKUP(A34,Discrete_NFET[PARTNUMBER],Discrete_NFET[RDSDELTA])/((LOOKUP(A34,Discrete_NFET[PARTNUMBER],Discrete_NFET[TJMAX])-25)))),"")</f>
        <v>1.254</v>
      </c>
      <c r="W34" s="35">
        <f>IF(AND($A34&lt;&gt;0,$A34&lt;&gt;""),LOOKUP($A34,Discrete_NFET[PARTNUMBER],Discrete_NFET[QGS]),"")</f>
        <v>14.4</v>
      </c>
      <c r="X34" s="35">
        <f>IF(AND($A34&lt;&gt;0,$A34&lt;&gt;""),LOOKUP($A34,Discrete_NFET[PARTNUMBER],Discrete_NFET[QGD]),"")</f>
        <v>9.3000000000000007</v>
      </c>
      <c r="Y34" s="35">
        <f>IF(AND($A34&lt;&gt;0,$A34&lt;&gt;""),LOOKUP($A34,Discrete_NFET[PARTNUMBER],Discrete_NFET[QGTH]),"")</f>
        <v>8.3000000000000007</v>
      </c>
      <c r="Z34" s="35">
        <f t="shared" si="28"/>
        <v>15.400000000000002</v>
      </c>
      <c r="AA34" s="35">
        <f>IF(AND($A34&lt;&gt;0,$A34&lt;&gt;""),LOOKUP($A34,Discrete_NFET[PARTNUMBER],Discrete_NFET[QOSSTYP]),"")</f>
        <v>50</v>
      </c>
      <c r="AB34" s="35">
        <f>IF(AND($A34&lt;&gt;0,$A34&lt;&gt;""),LOOKUP($A34,Discrete_NFET[PARTNUMBER],Discrete_NFET[QRR]),"")</f>
        <v>80</v>
      </c>
      <c r="AC34" s="35">
        <f>IF(AND(A34&lt;&gt;0,A34&lt;&gt;""),LOOKUP(A34,Discrete_NFET[PARTNUMBER],Discrete_NFET[VF_TYP]),"")</f>
        <v>0.8</v>
      </c>
      <c r="AD34" s="127">
        <f>IF(AND($A34&lt;&gt;0,$A34&lt;&gt;"",OR(RIGHT(Logic!B34,2)="C)",LEFT(Logic!B34,4)="CSD1")),(1+(1-DUTY))*IM_RMS_120^2*V34*m/3/Num_FETS2,"")</f>
        <v>5.2768640350877187E-2</v>
      </c>
      <c r="AE34" s="127">
        <f>IF(AND($A34&lt;&gt;0,$A34&lt;&gt;"",OR(RIGHT(Logic!B34,2)="C)",LEFT(Logic!B34,4)="CSD1")),Num_FETS2*0.5*IM_RMS_120*VDC_AVG*Z34*n*MOT_ELEC_FREQ/GDR_SRC,"")</f>
        <v>4.9664602683178548E-5</v>
      </c>
      <c r="AF34" s="127">
        <f>IF(AND($A34&lt;&gt;0,$A34&lt;&gt;"",OR(RIGHT(Logic!B34,2)="C)",LEFT(Logic!B34,4)="CSD1")),Num_FETS2*0.5*IM_RMS_120*VDC_AVG*Z34*n*MOT_ELEC_FREQ/GDR_SINK,"")</f>
        <v>3.3771929824561414E-5</v>
      </c>
      <c r="AG34" s="127">
        <f>IF(AND($A34&lt;&gt;0,$A34&lt;&gt;"",OR(RIGHT(Logic!B34,2)="T)",LEFT(Logic!B34,4)="CSD1")),DUTY*IM_RMS_120^2*V34*m/3/Num_FETS2,"")</f>
        <v>4.7743055555555546E-2</v>
      </c>
      <c r="AH34" s="127">
        <f>IF(AND($A34&lt;&gt;0,$A34&lt;&gt;"",OR(RIGHT(Logic!B34,2)="T)",LEFT(Logic!B34,4)="CSD1")),Num_FETS2*0.5*IM_RMS_120*VDC_AVG*Z34*n*FSW*k/GDR_SRC/3,"")</f>
        <v>9.9329205366357077E-3</v>
      </c>
      <c r="AI34" s="127">
        <f>IF(AND($A34&lt;&gt;0,$A34&lt;&gt;"",OR(RIGHT(Logic!B34,2)="T)",LEFT(Logic!B34,4)="CSD1")),Num_FETS2*0.5*IM_RMS_120*VDC_AVG*Z34*n*FSW*k/GDR_SINK/3,"")</f>
        <v>6.7543859649122811E-3</v>
      </c>
      <c r="AJ34" s="127">
        <f t="shared" ref="AJ34:AJ65" si="31">IF(AND($A34&lt;&gt;0,$A34&lt;&gt;""),Num_FETS2*((AA34*VDC_AVG)*((FSW*k)))*n/2,"")</f>
        <v>6.0000000000000001E-3</v>
      </c>
      <c r="AK34" s="127">
        <f t="shared" si="12"/>
        <v>1.2414567897146714E-2</v>
      </c>
      <c r="AL34" s="127">
        <f t="shared" ref="AL34:AL65" si="32">IF(AND($A34&lt;&gt;0,$A34&lt;&gt;""),Num_FETS2*((AB34*VDC_AVG)*((MOT_ELEC_FREQ+FSW*k)))*n,"")</f>
        <v>1.9232000000000003E-2</v>
      </c>
      <c r="AM34" s="127">
        <f t="shared" si="29"/>
        <v>0.37243703691440144</v>
      </c>
      <c r="AN34" s="127">
        <f>IF(AND($A34&lt;&gt;0,$A34&lt;&gt;"",OR(RIGHT(Logic!B34,2)="C)",LEFT(Logic!B34,4)="CSD1")),SUM(AD34:AF34)+(AJ34/3)+AK34+AL34/6+AM34/6,AN35)</f>
        <v>0.13254481759959855</v>
      </c>
      <c r="AO34" s="127">
        <f>IF(AND($A34&lt;&gt;0,$A34&lt;&gt;"",OR(RIGHT(Logic!B34,2)="T)",LEFT(Logic!B34,4)="CSD1")),SUM(AG34:AI34)+(AJ34/3)+AL34/6+AM34/6,AO33)</f>
        <v>0.13170853487617046</v>
      </c>
      <c r="AP34" s="48">
        <f t="shared" si="30"/>
        <v>0.26</v>
      </c>
      <c r="AQ34" s="35" t="str">
        <f>IF(AND(A34&lt;&gt;0,A34&lt;&gt;""),LOOKUP(A34,Discrete_NFET[PARTNUMBER],Discrete_NFET[TI_EQ_PACKAGE]),"")</f>
        <v>SON5X6</v>
      </c>
      <c r="AR34" s="49">
        <f>IF(AND(A34&lt;&gt;0,A34&lt;&gt;""),LOOKUP(A34,Discrete_NFET[PARTNUMBER],Discrete_NFET[1KPRICE]),"")</f>
        <v>0.86</v>
      </c>
      <c r="AS34" s="35" t="str">
        <f>IF(AND($A34&lt;&gt;0,$A34&lt;&gt;""),CONCATENATE(TEXT(AP34,"0.00"),"W, ",IF('User Input'!G$11="Single Discrete",A34,IF('User Input'!G$11="Dual/Power Block",LEFT(A34,FIND(")",A34)-7),A34)),", ",AQ34,", ",TEXT(AR34,"$0.00")),"Invalid Part")</f>
        <v>0.26W, CSD17559Q5, SON5X6, $0.86</v>
      </c>
      <c r="AT34" t="s">
        <v>798</v>
      </c>
      <c r="AW34"/>
    </row>
    <row r="35" spans="1:49" ht="15" customHeight="1" x14ac:dyDescent="0.25">
      <c r="A35" s="35" t="str">
        <f>IF(OR(AND(FET_config2="Dual/Power Block",LEFT(Logic!B35,4)="CSD8"),AND(FET_config2="Single Discrete",LEFT(Logic!B35,4)="CSD1")),Logic!B35,"")</f>
        <v>CSD17571Q2</v>
      </c>
      <c r="B35" s="37" t="str">
        <f>IF(OR($A35=0,$A35=""),"0",IF(LOOKUP($A35,Discrete_NFET[PARTNUMBER],Discrete_NFET[RDSON25])="(NULL)","0","1"))</f>
        <v>0</v>
      </c>
      <c r="C35" s="38" t="str">
        <f>IF(OR($A35=0,$A35=""),"0",IF(LOOKUP($A35,Discrete_NFET[PARTNUMBER],Discrete_NFET[RDSON3])="(NULL)","0","1"))</f>
        <v>0</v>
      </c>
      <c r="D35" s="40" t="str">
        <f>IF(OR($A35=0,$A35=""),"0",IF(LOOKUP($A35,Discrete_NFET[PARTNUMBER],Discrete_NFET[RDSON45])="(NULL)","0","1"))</f>
        <v>1</v>
      </c>
      <c r="E35" s="45" t="str">
        <f>IF(OR($A35=0,$A35=""),"0",IF(LOOKUP($A35,Discrete_NFET[PARTNUMBER],Discrete_NFET[RDSON6])="(NULL)","0","1"))</f>
        <v>0</v>
      </c>
      <c r="F35" s="34" t="str">
        <f>IF(OR($A35=0,$A35=""),"0",IF(LOOKUP($A35,Discrete_NFET[PARTNUMBER],Discrete_NFET[RDSON8])="(NULL)","0","1"))</f>
        <v>0</v>
      </c>
      <c r="G35" s="43" t="str">
        <f>IF(OR($A35=0,$A35=""),"0",IF(LOOKUP($A35,Discrete_NFET[PARTNUMBER],Discrete_NFET[RDSON10])="(NULL)","0","1"))</f>
        <v>1</v>
      </c>
      <c r="H35" s="36" t="b">
        <f t="shared" si="15"/>
        <v>0</v>
      </c>
      <c r="I35" s="39" t="b">
        <f t="shared" si="16"/>
        <v>0</v>
      </c>
      <c r="J35" s="41" t="b">
        <f t="shared" si="17"/>
        <v>1</v>
      </c>
      <c r="K35" s="46" t="b">
        <f t="shared" si="18"/>
        <v>0</v>
      </c>
      <c r="L35" s="42" t="b">
        <f t="shared" si="19"/>
        <v>0</v>
      </c>
      <c r="M35" s="44" t="b">
        <f t="shared" si="20"/>
        <v>1</v>
      </c>
      <c r="N35" s="47" t="b">
        <f t="shared" si="21"/>
        <v>1</v>
      </c>
      <c r="O35" s="36" t="b">
        <f t="shared" si="22"/>
        <v>0</v>
      </c>
      <c r="P35" s="39" t="b">
        <f t="shared" si="23"/>
        <v>0</v>
      </c>
      <c r="Q35" s="41" t="b">
        <f t="shared" si="24"/>
        <v>1</v>
      </c>
      <c r="R35" s="46" t="b">
        <f t="shared" si="25"/>
        <v>0</v>
      </c>
      <c r="S35" s="42" t="b">
        <f t="shared" si="26"/>
        <v>0</v>
      </c>
      <c r="T35" s="44" t="b">
        <f t="shared" si="27"/>
        <v>1</v>
      </c>
      <c r="U35" s="148">
        <f>IF(T35,LOOKUP(A35,Discrete_NFET[PARTNUMBER],Discrete_NFET[RDSON10])*1000,IF(S35,LOOKUP(A35,Discrete_NFET[PARTNUMBER],Discrete_NFET[RDSON8])*1000,IF(R35,LOOKUP(A35,Discrete_NFET[PARTNUMBER],Discrete_NFET[RDSON6])*1000,IF(Q35,LOOKUP(A35,Discrete_NFET[PARTNUMBER],Discrete_NFET[RDSON45])*1000,IF(P35,LOOKUP(A35,Discrete_NFET[PARTNUMBER],Discrete_NFET[RDSON3])*1000,IF(O35,LOOKUP(A35,Discrete_NFET[PARTNUMBER],Discrete_NFET[RDSON25])*1000,""))))))</f>
        <v>24</v>
      </c>
      <c r="V35" s="48">
        <f>IF(AND(A35&lt;&gt;0,A35&lt;&gt;""),U35*(1+(Tj-25)*(LOOKUP(A35,Discrete_NFET[PARTNUMBER],Discrete_NFET[RDSDELTA])/((LOOKUP(A35,Discrete_NFET[PARTNUMBER],Discrete_NFET[TJMAX])-25)))),"")</f>
        <v>27.744</v>
      </c>
      <c r="W35" s="35">
        <f>IF(AND($A35&lt;&gt;0,$A35&lt;&gt;""),LOOKUP($A35,Discrete_NFET[PARTNUMBER],Discrete_NFET[QGS]),"")</f>
        <v>0.9</v>
      </c>
      <c r="X35" s="35">
        <f>IF(AND($A35&lt;&gt;0,$A35&lt;&gt;""),LOOKUP($A35,Discrete_NFET[PARTNUMBER],Discrete_NFET[QGD]),"")</f>
        <v>0.9</v>
      </c>
      <c r="Y35" s="35">
        <f>IF(AND($A35&lt;&gt;0,$A35&lt;&gt;""),LOOKUP($A35,Discrete_NFET[PARTNUMBER],Discrete_NFET[QGTH]),"")</f>
        <v>0.6</v>
      </c>
      <c r="Z35" s="35">
        <f t="shared" si="28"/>
        <v>1.2000000000000002</v>
      </c>
      <c r="AA35" s="35">
        <f>IF(AND($A35&lt;&gt;0,$A35&lt;&gt;""),LOOKUP($A35,Discrete_NFET[PARTNUMBER],Discrete_NFET[QOSSTYP]),"")</f>
        <v>3.4</v>
      </c>
      <c r="AB35" s="35">
        <f>IF(AND($A35&lt;&gt;0,$A35&lt;&gt;""),LOOKUP($A35,Discrete_NFET[PARTNUMBER],Discrete_NFET[QRR]),"")</f>
        <v>2.2999999999999998</v>
      </c>
      <c r="AC35" s="35">
        <f>IF(AND(A35&lt;&gt;0,A35&lt;&gt;""),LOOKUP(A35,Discrete_NFET[PARTNUMBER],Discrete_NFET[VF_TYP]),"")</f>
        <v>0.8</v>
      </c>
      <c r="AD35" s="127">
        <f>IF(AND($A35&lt;&gt;0,$A35&lt;&gt;"",OR(RIGHT(Logic!B35,2)="C)",LEFT(Logic!B35,4)="CSD1")),(1+(1-DUTY))*IM_RMS_120^2*V35*m/3/Num_FETS2,"")</f>
        <v>1.1674746075715603</v>
      </c>
      <c r="AE35" s="127">
        <f>IF(AND($A35&lt;&gt;0,$A35&lt;&gt;"",OR(RIGHT(Logic!B35,2)="C)",LEFT(Logic!B35,4)="CSD1")),Num_FETS2*0.5*IM_RMS_120*VDC_AVG*Z35*n*MOT_ELEC_FREQ/GDR_SRC,"")</f>
        <v>3.8699690402476781E-6</v>
      </c>
      <c r="AF35" s="127">
        <f>IF(AND($A35&lt;&gt;0,$A35&lt;&gt;"",OR(RIGHT(Logic!B35,2)="C)",LEFT(Logic!B35,4)="CSD1")),Num_FETS2*0.5*IM_RMS_120*VDC_AVG*Z35*n*MOT_ELEC_FREQ/GDR_SINK,"")</f>
        <v>2.6315789473684215E-6</v>
      </c>
      <c r="AG35" s="127">
        <f>IF(AND($A35&lt;&gt;0,$A35&lt;&gt;"",OR(RIGHT(Logic!B35,2)="T)",LEFT(Logic!B35,4)="CSD1")),DUTY*IM_RMS_120^2*V35*m/3/Num_FETS2,"")</f>
        <v>1.0562865497076022</v>
      </c>
      <c r="AH35" s="127">
        <f>IF(AND($A35&lt;&gt;0,$A35&lt;&gt;"",OR(RIGHT(Logic!B35,2)="T)",LEFT(Logic!B35,4)="CSD1")),Num_FETS2*0.5*IM_RMS_120*VDC_AVG*Z35*n*FSW*k/GDR_SRC/3,"")</f>
        <v>7.7399380804953554E-4</v>
      </c>
      <c r="AI35" s="127">
        <f>IF(AND($A35&lt;&gt;0,$A35&lt;&gt;"",OR(RIGHT(Logic!B35,2)="T)",LEFT(Logic!B35,4)="CSD1")),Num_FETS2*0.5*IM_RMS_120*VDC_AVG*Z35*n*FSW*k/GDR_SINK/3,"")</f>
        <v>5.2631578947368431E-4</v>
      </c>
      <c r="AJ35" s="127">
        <f t="shared" si="31"/>
        <v>4.0800000000000005E-4</v>
      </c>
      <c r="AK35" s="127">
        <f t="shared" ref="AK35:AK66" si="33">IF(AND($A35&lt;&gt;0,$A35&lt;&gt;""),2*T_DEAD*n*AC35*IM_PEAK*(FSW*k)/3,"")</f>
        <v>1.2414567897146714E-2</v>
      </c>
      <c r="AL35" s="127">
        <f t="shared" si="32"/>
        <v>5.5291999999999993E-4</v>
      </c>
      <c r="AM35" s="127">
        <f t="shared" si="29"/>
        <v>0.37243703691440144</v>
      </c>
      <c r="AN35" s="127">
        <f>IF(AND($A35&lt;&gt;0,$A35&lt;&gt;"",OR(RIGHT(Logic!B35,2)="C)",LEFT(Logic!B35,4)="CSD1")),SUM(AD35:AF35)+(AJ35/3)+AK35+AL35/6+AM35/6,AN36)</f>
        <v>1.2421966698357616</v>
      </c>
      <c r="AO35" s="127">
        <f>IF(AND($A35&lt;&gt;0,$A35&lt;&gt;"",OR(RIGHT(Logic!B35,2)="T)",LEFT(Logic!B35,4)="CSD1")),SUM(AG35:AI35)+(AJ35/3)+AL35/6+AM35/6,AO34)</f>
        <v>1.1198878521241922</v>
      </c>
      <c r="AP35" s="48">
        <f t="shared" si="30"/>
        <v>2.36</v>
      </c>
      <c r="AQ35" s="35" t="str">
        <f>IF(AND(A35&lt;&gt;0,A35&lt;&gt;""),LOOKUP(A35,Discrete_NFET[PARTNUMBER],Discrete_NFET[TI_EQ_PACKAGE]),"")</f>
        <v>SON2X2</v>
      </c>
      <c r="AR35" s="49">
        <f>IF(AND(A35&lt;&gt;0,A35&lt;&gt;""),LOOKUP(A35,Discrete_NFET[PARTNUMBER],Discrete_NFET[1KPRICE]),"")</f>
        <v>0.1</v>
      </c>
      <c r="AS35" s="35" t="str">
        <f>IF(AND($A35&lt;&gt;0,$A35&lt;&gt;""),CONCATENATE(TEXT(AP35,"0.00"),"W, ",IF('User Input'!G$11="Single Discrete",A35,IF('User Input'!G$11="Dual/Power Block",LEFT(A35,FIND(")",A35)-7),A35)),", ",AQ35,", ",TEXT(AR35,"$0.00")),"Invalid Part")</f>
        <v>2.36W, CSD17571Q2, SON2X2, $0.10</v>
      </c>
      <c r="AT35" t="s">
        <v>857</v>
      </c>
      <c r="AW35"/>
    </row>
    <row r="36" spans="1:49" ht="15" customHeight="1" x14ac:dyDescent="0.25">
      <c r="A36" s="35" t="str">
        <f>IF(OR(AND(FET_config2="Dual/Power Block",LEFT(Logic!B36,4)="CSD8"),AND(FET_config2="Single Discrete",LEFT(Logic!B36,4)="CSD1")),Logic!B36,"")</f>
        <v>CSD17573Q5B</v>
      </c>
      <c r="B36" s="37" t="str">
        <f>IF(OR($A36=0,$A36=""),"0",IF(LOOKUP($A36,Discrete_NFET[PARTNUMBER],Discrete_NFET[RDSON25])="(NULL)","0","1"))</f>
        <v>0</v>
      </c>
      <c r="C36" s="38" t="str">
        <f>IF(OR($A36=0,$A36=""),"0",IF(LOOKUP($A36,Discrete_NFET[PARTNUMBER],Discrete_NFET[RDSON3])="(NULL)","0","1"))</f>
        <v>0</v>
      </c>
      <c r="D36" s="40" t="str">
        <f>IF(OR($A36=0,$A36=""),"0",IF(LOOKUP($A36,Discrete_NFET[PARTNUMBER],Discrete_NFET[RDSON45])="(NULL)","0","1"))</f>
        <v>1</v>
      </c>
      <c r="E36" s="45" t="str">
        <f>IF(OR($A36=0,$A36=""),"0",IF(LOOKUP($A36,Discrete_NFET[PARTNUMBER],Discrete_NFET[RDSON6])="(NULL)","0","1"))</f>
        <v>0</v>
      </c>
      <c r="F36" s="34" t="str">
        <f>IF(OR($A36=0,$A36=""),"0",IF(LOOKUP($A36,Discrete_NFET[PARTNUMBER],Discrete_NFET[RDSON8])="(NULL)","0","1"))</f>
        <v>0</v>
      </c>
      <c r="G36" s="43" t="str">
        <f>IF(OR($A36=0,$A36=""),"0",IF(LOOKUP($A36,Discrete_NFET[PARTNUMBER],Discrete_NFET[RDSON10])="(NULL)","0","1"))</f>
        <v>1</v>
      </c>
      <c r="H36" s="36" t="b">
        <f t="shared" si="15"/>
        <v>0</v>
      </c>
      <c r="I36" s="39" t="b">
        <f t="shared" si="16"/>
        <v>0</v>
      </c>
      <c r="J36" s="41" t="b">
        <f t="shared" si="17"/>
        <v>1</v>
      </c>
      <c r="K36" s="46" t="b">
        <f t="shared" si="18"/>
        <v>0</v>
      </c>
      <c r="L36" s="42" t="b">
        <f t="shared" si="19"/>
        <v>0</v>
      </c>
      <c r="M36" s="44" t="b">
        <f t="shared" si="20"/>
        <v>1</v>
      </c>
      <c r="N36" s="47" t="b">
        <f t="shared" si="21"/>
        <v>1</v>
      </c>
      <c r="O36" s="36" t="b">
        <f t="shared" si="22"/>
        <v>0</v>
      </c>
      <c r="P36" s="39" t="b">
        <f t="shared" si="23"/>
        <v>0</v>
      </c>
      <c r="Q36" s="41" t="b">
        <f t="shared" si="24"/>
        <v>1</v>
      </c>
      <c r="R36" s="46" t="b">
        <f t="shared" si="25"/>
        <v>0</v>
      </c>
      <c r="S36" s="42" t="b">
        <f t="shared" si="26"/>
        <v>0</v>
      </c>
      <c r="T36" s="44" t="b">
        <f t="shared" si="27"/>
        <v>1</v>
      </c>
      <c r="U36" s="148">
        <f>IF(T36,LOOKUP(A36,Discrete_NFET[PARTNUMBER],Discrete_NFET[RDSON10])*1000,IF(S36,LOOKUP(A36,Discrete_NFET[PARTNUMBER],Discrete_NFET[RDSON8])*1000,IF(R36,LOOKUP(A36,Discrete_NFET[PARTNUMBER],Discrete_NFET[RDSON6])*1000,IF(Q36,LOOKUP(A36,Discrete_NFET[PARTNUMBER],Discrete_NFET[RDSON45])*1000,IF(P36,LOOKUP(A36,Discrete_NFET[PARTNUMBER],Discrete_NFET[RDSON3])*1000,IF(O36,LOOKUP(A36,Discrete_NFET[PARTNUMBER],Discrete_NFET[RDSON25])*1000,""))))))</f>
        <v>1</v>
      </c>
      <c r="V36" s="48">
        <f>IF(AND(A36&lt;&gt;0,A36&lt;&gt;""),U36*(1+(Tj-25)*(LOOKUP(A36,Discrete_NFET[PARTNUMBER],Discrete_NFET[RDSDELTA])/((LOOKUP(A36,Discrete_NFET[PARTNUMBER],Discrete_NFET[TJMAX])-25)))),"")</f>
        <v>1.1539999999999999</v>
      </c>
      <c r="W36" s="35">
        <f>IF(AND($A36&lt;&gt;0,$A36&lt;&gt;""),LOOKUP($A36,Discrete_NFET[PARTNUMBER],Discrete_NFET[QGS]),"")</f>
        <v>17.100000000000001</v>
      </c>
      <c r="X36" s="35">
        <f>IF(AND($A36&lt;&gt;0,$A36&lt;&gt;""),LOOKUP($A36,Discrete_NFET[PARTNUMBER],Discrete_NFET[QGD]),"")</f>
        <v>11.9</v>
      </c>
      <c r="Y36" s="35">
        <f>IF(AND($A36&lt;&gt;0,$A36&lt;&gt;""),LOOKUP($A36,Discrete_NFET[PARTNUMBER],Discrete_NFET[QGTH]),"")</f>
        <v>8.6</v>
      </c>
      <c r="Z36" s="35">
        <f t="shared" si="28"/>
        <v>20.399999999999999</v>
      </c>
      <c r="AA36" s="35">
        <f>IF(AND($A36&lt;&gt;0,$A36&lt;&gt;""),LOOKUP($A36,Discrete_NFET[PARTNUMBER],Discrete_NFET[QOSSTYP]),"")</f>
        <v>21</v>
      </c>
      <c r="AB36" s="35">
        <f>IF(AND($A36&lt;&gt;0,$A36&lt;&gt;""),LOOKUP($A36,Discrete_NFET[PARTNUMBER],Discrete_NFET[QRR]),"")</f>
        <v>29</v>
      </c>
      <c r="AC36" s="35">
        <f>IF(AND(A36&lt;&gt;0,A36&lt;&gt;""),LOOKUP(A36,Discrete_NFET[PARTNUMBER],Discrete_NFET[VF_TYP]),"")</f>
        <v>0.8</v>
      </c>
      <c r="AD36" s="127">
        <f>IF(AND($A36&lt;&gt;0,$A36&lt;&gt;"",OR(RIGHT(Logic!B36,2)="C)",LEFT(Logic!B36,4)="CSD1")),(1+(1-DUTY))*IM_RMS_120^2*V36*m/3/Num_FETS2,"")</f>
        <v>4.8560614804555237E-2</v>
      </c>
      <c r="AE36" s="127">
        <f>IF(AND($A36&lt;&gt;0,$A36&lt;&gt;"",OR(RIGHT(Logic!B36,2)="C)",LEFT(Logic!B36,4)="CSD1")),Num_FETS2*0.5*IM_RMS_120*VDC_AVG*Z36*n*MOT_ELEC_FREQ/GDR_SRC,"")</f>
        <v>6.5789473684210525E-5</v>
      </c>
      <c r="AF36" s="127">
        <f>IF(AND($A36&lt;&gt;0,$A36&lt;&gt;"",OR(RIGHT(Logic!B36,2)="C)",LEFT(Logic!B36,4)="CSD1")),Num_FETS2*0.5*IM_RMS_120*VDC_AVG*Z36*n*MOT_ELEC_FREQ/GDR_SINK,"")</f>
        <v>4.4736842105263159E-5</v>
      </c>
      <c r="AG36" s="127">
        <f>IF(AND($A36&lt;&gt;0,$A36&lt;&gt;"",OR(RIGHT(Logic!B36,2)="T)",LEFT(Logic!B36,4)="CSD1")),DUTY*IM_RMS_120^2*V36*m/3/Num_FETS2,"")</f>
        <v>4.393579434697855E-2</v>
      </c>
      <c r="AH36" s="127">
        <f>IF(AND($A36&lt;&gt;0,$A36&lt;&gt;"",OR(RIGHT(Logic!B36,2)="T)",LEFT(Logic!B36,4)="CSD1")),Num_FETS2*0.5*IM_RMS_120*VDC_AVG*Z36*n*FSW*k/GDR_SRC/3,"")</f>
        <v>1.3157894736842105E-2</v>
      </c>
      <c r="AI36" s="127">
        <f>IF(AND($A36&lt;&gt;0,$A36&lt;&gt;"",OR(RIGHT(Logic!B36,2)="T)",LEFT(Logic!B36,4)="CSD1")),Num_FETS2*0.5*IM_RMS_120*VDC_AVG*Z36*n*FSW*k/GDR_SINK/3,"")</f>
        <v>8.9473684210526327E-3</v>
      </c>
      <c r="AJ36" s="127">
        <f t="shared" si="31"/>
        <v>2.5200000000000001E-3</v>
      </c>
      <c r="AK36" s="127">
        <f t="shared" si="33"/>
        <v>1.2414567897146714E-2</v>
      </c>
      <c r="AL36" s="127">
        <f t="shared" si="32"/>
        <v>6.9716000000000005E-3</v>
      </c>
      <c r="AM36" s="127">
        <f t="shared" si="29"/>
        <v>0.37243703691440144</v>
      </c>
      <c r="AN36" s="127">
        <f>IF(AND($A36&lt;&gt;0,$A36&lt;&gt;"",OR(RIGHT(Logic!B36,2)="C)",LEFT(Logic!B36,4)="CSD1")),SUM(AD36:AF36)+(AJ36/3)+AK36+AL36/6+AM36/6,AN37)</f>
        <v>0.12516048183655834</v>
      </c>
      <c r="AO36" s="127">
        <f>IF(AND($A36&lt;&gt;0,$A36&lt;&gt;"",OR(RIGHT(Logic!B36,2)="T)",LEFT(Logic!B36,4)="CSD1")),SUM(AG36:AI36)+(AJ36/3)+AL36/6+AM36/6,AO35)</f>
        <v>0.1301158303239402</v>
      </c>
      <c r="AP36" s="48">
        <f t="shared" si="30"/>
        <v>0.26</v>
      </c>
      <c r="AQ36" s="35" t="str">
        <f>IF(AND(A36&lt;&gt;0,A36&lt;&gt;""),LOOKUP(A36,Discrete_NFET[PARTNUMBER],Discrete_NFET[TI_EQ_PACKAGE]),"")</f>
        <v>SON5x6</v>
      </c>
      <c r="AR36" s="49">
        <f>IF(AND(A36&lt;&gt;0,A36&lt;&gt;""),LOOKUP(A36,Discrete_NFET[PARTNUMBER],Discrete_NFET[1KPRICE]),"")</f>
        <v>0.52</v>
      </c>
      <c r="AS36" s="35" t="str">
        <f>IF(AND($A36&lt;&gt;0,$A36&lt;&gt;""),CONCATENATE(TEXT(AP36,"0.00"),"W, ",IF('User Input'!G$11="Single Discrete",A36,IF('User Input'!G$11="Dual/Power Block",LEFT(A36,FIND(")",A36)-7),A36)),", ",AQ36,", ",TEXT(AR36,"$0.00")),"Invalid Part")</f>
        <v>0.26W, CSD17573Q5B, SON5x6, $0.52</v>
      </c>
      <c r="AT36" t="s">
        <v>878</v>
      </c>
      <c r="AW36"/>
    </row>
    <row r="37" spans="1:49" ht="15" customHeight="1" x14ac:dyDescent="0.25">
      <c r="A37" s="35" t="str">
        <f>IF(OR(AND(FET_config2="Dual/Power Block",LEFT(Logic!B37,4)="CSD8"),AND(FET_config2="Single Discrete",LEFT(Logic!B37,4)="CSD1")),Logic!B37,"")</f>
        <v>CSD17575Q3</v>
      </c>
      <c r="B37" s="37" t="str">
        <f>IF(OR($A37=0,$A37=""),"0",IF(LOOKUP($A37,Discrete_NFET[PARTNUMBER],Discrete_NFET[RDSON25])="(NULL)","0","1"))</f>
        <v>0</v>
      </c>
      <c r="C37" s="38" t="str">
        <f>IF(OR($A37=0,$A37=""),"0",IF(LOOKUP($A37,Discrete_NFET[PARTNUMBER],Discrete_NFET[RDSON3])="(NULL)","0","1"))</f>
        <v>0</v>
      </c>
      <c r="D37" s="40" t="str">
        <f>IF(OR($A37=0,$A37=""),"0",IF(LOOKUP($A37,Discrete_NFET[PARTNUMBER],Discrete_NFET[RDSON45])="(NULL)","0","1"))</f>
        <v>1</v>
      </c>
      <c r="E37" s="45" t="str">
        <f>IF(OR($A37=0,$A37=""),"0",IF(LOOKUP($A37,Discrete_NFET[PARTNUMBER],Discrete_NFET[RDSON6])="(NULL)","0","1"))</f>
        <v>0</v>
      </c>
      <c r="F37" s="34" t="str">
        <f>IF(OR($A37=0,$A37=""),"0",IF(LOOKUP($A37,Discrete_NFET[PARTNUMBER],Discrete_NFET[RDSON8])="(NULL)","0","1"))</f>
        <v>0</v>
      </c>
      <c r="G37" s="43" t="str">
        <f>IF(OR($A37=0,$A37=""),"0",IF(LOOKUP($A37,Discrete_NFET[PARTNUMBER],Discrete_NFET[RDSON10])="(NULL)","0","1"))</f>
        <v>1</v>
      </c>
      <c r="H37" s="36" t="b">
        <f t="shared" si="15"/>
        <v>0</v>
      </c>
      <c r="I37" s="39" t="b">
        <f t="shared" si="16"/>
        <v>0</v>
      </c>
      <c r="J37" s="41" t="b">
        <f t="shared" si="17"/>
        <v>1</v>
      </c>
      <c r="K37" s="46" t="b">
        <f t="shared" si="18"/>
        <v>0</v>
      </c>
      <c r="L37" s="42" t="b">
        <f t="shared" si="19"/>
        <v>0</v>
      </c>
      <c r="M37" s="44" t="b">
        <f t="shared" si="20"/>
        <v>1</v>
      </c>
      <c r="N37" s="47" t="b">
        <f t="shared" si="21"/>
        <v>1</v>
      </c>
      <c r="O37" s="36" t="b">
        <f t="shared" si="22"/>
        <v>0</v>
      </c>
      <c r="P37" s="39" t="b">
        <f t="shared" si="23"/>
        <v>0</v>
      </c>
      <c r="Q37" s="41" t="b">
        <f t="shared" si="24"/>
        <v>1</v>
      </c>
      <c r="R37" s="46" t="b">
        <f t="shared" si="25"/>
        <v>0</v>
      </c>
      <c r="S37" s="42" t="b">
        <f t="shared" si="26"/>
        <v>0</v>
      </c>
      <c r="T37" s="44" t="b">
        <f t="shared" si="27"/>
        <v>1</v>
      </c>
      <c r="U37" s="148">
        <f>IF(T37,LOOKUP(A37,Discrete_NFET[PARTNUMBER],Discrete_NFET[RDSON10])*1000,IF(S37,LOOKUP(A37,Discrete_NFET[PARTNUMBER],Discrete_NFET[RDSON8])*1000,IF(R37,LOOKUP(A37,Discrete_NFET[PARTNUMBER],Discrete_NFET[RDSON6])*1000,IF(Q37,LOOKUP(A37,Discrete_NFET[PARTNUMBER],Discrete_NFET[RDSON45])*1000,IF(P37,LOOKUP(A37,Discrete_NFET[PARTNUMBER],Discrete_NFET[RDSON3])*1000,IF(O37,LOOKUP(A37,Discrete_NFET[PARTNUMBER],Discrete_NFET[RDSON25])*1000,""))))))</f>
        <v>2</v>
      </c>
      <c r="V37" s="48">
        <f>IF(AND(A37&lt;&gt;0,A37&lt;&gt;""),U37*(1+(Tj-25)*(LOOKUP(A37,Discrete_NFET[PARTNUMBER],Discrete_NFET[RDSDELTA])/((LOOKUP(A37,Discrete_NFET[PARTNUMBER],Discrete_NFET[TJMAX])-25)))),"")</f>
        <v>2.2999999999999998</v>
      </c>
      <c r="W37" s="35">
        <f>IF(AND($A37&lt;&gt;0,$A37&lt;&gt;""),LOOKUP($A37,Discrete_NFET[PARTNUMBER],Discrete_NFET[QGS]),"")</f>
        <v>8.5</v>
      </c>
      <c r="X37" s="35">
        <f>IF(AND($A37&lt;&gt;0,$A37&lt;&gt;""),LOOKUP($A37,Discrete_NFET[PARTNUMBER],Discrete_NFET[QGD]),"")</f>
        <v>5.4</v>
      </c>
      <c r="Y37" s="35">
        <f>IF(AND($A37&lt;&gt;0,$A37&lt;&gt;""),LOOKUP($A37,Discrete_NFET[PARTNUMBER],Discrete_NFET[QGTH]),"")</f>
        <v>4.5999999999999996</v>
      </c>
      <c r="Z37" s="35">
        <f t="shared" si="28"/>
        <v>9.3000000000000007</v>
      </c>
      <c r="AA37" s="35">
        <f>IF(AND($A37&lt;&gt;0,$A37&lt;&gt;""),LOOKUP($A37,Discrete_NFET[PARTNUMBER],Discrete_NFET[QOSSTYP]),"")</f>
        <v>11.6</v>
      </c>
      <c r="AB37" s="35">
        <f>IF(AND($A37&lt;&gt;0,$A37&lt;&gt;""),LOOKUP($A37,Discrete_NFET[PARTNUMBER],Discrete_NFET[QRR]),"")</f>
        <v>15</v>
      </c>
      <c r="AC37" s="35">
        <f>IF(AND(A37&lt;&gt;0,A37&lt;&gt;""),LOOKUP(A37,Discrete_NFET[PARTNUMBER],Discrete_NFET[VF_TYP]),"")</f>
        <v>0.8</v>
      </c>
      <c r="AD37" s="127">
        <f>IF(AND($A37&lt;&gt;0,$A37&lt;&gt;"",OR(RIGHT(Logic!B37,2)="C)",LEFT(Logic!B37,4)="CSD1")),(1+(1-DUTY))*IM_RMS_120^2*V37*m/3/Num_FETS2,"")</f>
        <v>9.6784587565404701E-2</v>
      </c>
      <c r="AE37" s="127">
        <f>IF(AND($A37&lt;&gt;0,$A37&lt;&gt;"",OR(RIGHT(Logic!B37,2)="C)",LEFT(Logic!B37,4)="CSD1")),Num_FETS2*0.5*IM_RMS_120*VDC_AVG*Z37*n*MOT_ELEC_FREQ/GDR_SRC,"")</f>
        <v>2.9992260061919509E-5</v>
      </c>
      <c r="AF37" s="127">
        <f>IF(AND($A37&lt;&gt;0,$A37&lt;&gt;"",OR(RIGHT(Logic!B37,2)="C)",LEFT(Logic!B37,4)="CSD1")),Num_FETS2*0.5*IM_RMS_120*VDC_AVG*Z37*n*MOT_ELEC_FREQ/GDR_SINK,"")</f>
        <v>2.0394736842105267E-5</v>
      </c>
      <c r="AG37" s="127">
        <f>IF(AND($A37&lt;&gt;0,$A37&lt;&gt;"",OR(RIGHT(Logic!B37,2)="T)",LEFT(Logic!B37,4)="CSD1")),DUTY*IM_RMS_120^2*V37*m/3/Num_FETS2,"")</f>
        <v>8.7567007797270932E-2</v>
      </c>
      <c r="AH37" s="127">
        <f>IF(AND($A37&lt;&gt;0,$A37&lt;&gt;"",OR(RIGHT(Logic!B37,2)="T)",LEFT(Logic!B37,4)="CSD1")),Num_FETS2*0.5*IM_RMS_120*VDC_AVG*Z37*n*FSW*k/GDR_SRC/3,"")</f>
        <v>5.9984520123839008E-3</v>
      </c>
      <c r="AI37" s="127">
        <f>IF(AND($A37&lt;&gt;0,$A37&lt;&gt;"",OR(RIGHT(Logic!B37,2)="T)",LEFT(Logic!B37,4)="CSD1")),Num_FETS2*0.5*IM_RMS_120*VDC_AVG*Z37*n*FSW*k/GDR_SINK/3,"")</f>
        <v>4.0789473684210526E-3</v>
      </c>
      <c r="AJ37" s="127">
        <f t="shared" si="31"/>
        <v>1.392E-3</v>
      </c>
      <c r="AK37" s="127">
        <f t="shared" si="33"/>
        <v>1.2414567897146714E-2</v>
      </c>
      <c r="AL37" s="127">
        <f t="shared" si="32"/>
        <v>3.6060000000000003E-3</v>
      </c>
      <c r="AM37" s="127">
        <f t="shared" si="29"/>
        <v>0.37243703691440144</v>
      </c>
      <c r="AN37" s="127">
        <f>IF(AND($A37&lt;&gt;0,$A37&lt;&gt;"",OR(RIGHT(Logic!B37,2)="C)",LEFT(Logic!B37,4)="CSD1")),SUM(AD37:AF37)+(AJ37/3)+AK37+AL37/6+AM37/6,AN38)</f>
        <v>0.17238738194518904</v>
      </c>
      <c r="AO37" s="127">
        <f>IF(AND($A37&lt;&gt;0,$A37&lt;&gt;"",OR(RIGHT(Logic!B37,2)="T)",LEFT(Logic!B37,4)="CSD1")),SUM(AG37:AI37)+(AJ37/3)+AL37/6+AM37/6,AO36)</f>
        <v>0.16078224666380947</v>
      </c>
      <c r="AP37" s="48">
        <f t="shared" si="30"/>
        <v>0.33</v>
      </c>
      <c r="AQ37" s="35" t="str">
        <f>IF(AND(A37&lt;&gt;0,A37&lt;&gt;""),LOOKUP(A37,Discrete_NFET[PARTNUMBER],Discrete_NFET[TI_EQ_PACKAGE]),"")</f>
        <v>SON3X3</v>
      </c>
      <c r="AR37" s="49">
        <f>IF(AND(A37&lt;&gt;0,A37&lt;&gt;""),LOOKUP(A37,Discrete_NFET[PARTNUMBER],Discrete_NFET[1KPRICE]),"")</f>
        <v>0.31</v>
      </c>
      <c r="AS37" s="35" t="str">
        <f>IF(AND($A37&lt;&gt;0,$A37&lt;&gt;""),CONCATENATE(TEXT(AP37,"0.00"),"W, ",IF('User Input'!G$11="Single Discrete",A37,IF('User Input'!G$11="Dual/Power Block",LEFT(A37,FIND(")",A37)-7),A37)),", ",AQ37,", ",TEXT(AR37,"$0.00")),"Invalid Part")</f>
        <v>0.33W, CSD17575Q3, SON3X3, $0.31</v>
      </c>
      <c r="AT37" t="s">
        <v>879</v>
      </c>
      <c r="AW37"/>
    </row>
    <row r="38" spans="1:49" ht="15" customHeight="1" x14ac:dyDescent="0.25">
      <c r="A38" s="35" t="str">
        <f>IF(OR(AND(FET_config2="Dual/Power Block",LEFT(Logic!B38,4)="CSD8"),AND(FET_config2="Single Discrete",LEFT(Logic!B38,4)="CSD1")),Logic!B38,"")</f>
        <v>CSD17576Q5B</v>
      </c>
      <c r="B38" s="37" t="str">
        <f>IF(OR($A38=0,$A38=""),"0",IF(LOOKUP($A38,Discrete_NFET[PARTNUMBER],Discrete_NFET[RDSON25])="(NULL)","0","1"))</f>
        <v>0</v>
      </c>
      <c r="C38" s="38" t="str">
        <f>IF(OR($A38=0,$A38=""),"0",IF(LOOKUP($A38,Discrete_NFET[PARTNUMBER],Discrete_NFET[RDSON3])="(NULL)","0","1"))</f>
        <v>0</v>
      </c>
      <c r="D38" s="40" t="str">
        <f>IF(OR($A38=0,$A38=""),"0",IF(LOOKUP($A38,Discrete_NFET[PARTNUMBER],Discrete_NFET[RDSON45])="(NULL)","0","1"))</f>
        <v>1</v>
      </c>
      <c r="E38" s="45" t="str">
        <f>IF(OR($A38=0,$A38=""),"0",IF(LOOKUP($A38,Discrete_NFET[PARTNUMBER],Discrete_NFET[RDSON6])="(NULL)","0","1"))</f>
        <v>0</v>
      </c>
      <c r="F38" s="34" t="str">
        <f>IF(OR($A38=0,$A38=""),"0",IF(LOOKUP($A38,Discrete_NFET[PARTNUMBER],Discrete_NFET[RDSON8])="(NULL)","0","1"))</f>
        <v>0</v>
      </c>
      <c r="G38" s="43" t="str">
        <f>IF(OR($A38=0,$A38=""),"0",IF(LOOKUP($A38,Discrete_NFET[PARTNUMBER],Discrete_NFET[RDSON10])="(NULL)","0","1"))</f>
        <v>1</v>
      </c>
      <c r="H38" s="36" t="b">
        <f t="shared" si="15"/>
        <v>0</v>
      </c>
      <c r="I38" s="39" t="b">
        <f t="shared" si="16"/>
        <v>0</v>
      </c>
      <c r="J38" s="41" t="b">
        <f t="shared" si="17"/>
        <v>1</v>
      </c>
      <c r="K38" s="46" t="b">
        <f t="shared" si="18"/>
        <v>0</v>
      </c>
      <c r="L38" s="42" t="b">
        <f t="shared" si="19"/>
        <v>0</v>
      </c>
      <c r="M38" s="44" t="b">
        <f t="shared" si="20"/>
        <v>1</v>
      </c>
      <c r="N38" s="47" t="b">
        <f t="shared" si="21"/>
        <v>1</v>
      </c>
      <c r="O38" s="36" t="b">
        <f t="shared" si="22"/>
        <v>0</v>
      </c>
      <c r="P38" s="39" t="b">
        <f t="shared" si="23"/>
        <v>0</v>
      </c>
      <c r="Q38" s="41" t="b">
        <f t="shared" si="24"/>
        <v>1</v>
      </c>
      <c r="R38" s="46" t="b">
        <f t="shared" si="25"/>
        <v>0</v>
      </c>
      <c r="S38" s="42" t="b">
        <f t="shared" si="26"/>
        <v>0</v>
      </c>
      <c r="T38" s="44" t="b">
        <f t="shared" si="27"/>
        <v>1</v>
      </c>
      <c r="U38" s="148">
        <f>IF(T38,LOOKUP(A38,Discrete_NFET[PARTNUMBER],Discrete_NFET[RDSON10])*1000,IF(S38,LOOKUP(A38,Discrete_NFET[PARTNUMBER],Discrete_NFET[RDSON8])*1000,IF(R38,LOOKUP(A38,Discrete_NFET[PARTNUMBER],Discrete_NFET[RDSON6])*1000,IF(Q38,LOOKUP(A38,Discrete_NFET[PARTNUMBER],Discrete_NFET[RDSON45])*1000,IF(P38,LOOKUP(A38,Discrete_NFET[PARTNUMBER],Discrete_NFET[RDSON3])*1000,IF(O38,LOOKUP(A38,Discrete_NFET[PARTNUMBER],Discrete_NFET[RDSON25])*1000,""))))))</f>
        <v>2</v>
      </c>
      <c r="V38" s="48">
        <f>IF(AND(A38&lt;&gt;0,A38&lt;&gt;""),U38*(1+(Tj-25)*(LOOKUP(A38,Discrete_NFET[PARTNUMBER],Discrete_NFET[RDSDELTA])/((LOOKUP(A38,Discrete_NFET[PARTNUMBER],Discrete_NFET[TJMAX])-25)))),"")</f>
        <v>2.34</v>
      </c>
      <c r="W38" s="35">
        <f>IF(AND($A38&lt;&gt;0,$A38&lt;&gt;""),LOOKUP($A38,Discrete_NFET[PARTNUMBER],Discrete_NFET[QGS]),"")</f>
        <v>8.9</v>
      </c>
      <c r="X38" s="35">
        <f>IF(AND($A38&lt;&gt;0,$A38&lt;&gt;""),LOOKUP($A38,Discrete_NFET[PARTNUMBER],Discrete_NFET[QGD]),"")</f>
        <v>5.4</v>
      </c>
      <c r="Y38" s="35">
        <f>IF(AND($A38&lt;&gt;0,$A38&lt;&gt;""),LOOKUP($A38,Discrete_NFET[PARTNUMBER],Discrete_NFET[QGTH]),"")</f>
        <v>4.7</v>
      </c>
      <c r="Z38" s="35">
        <f t="shared" si="28"/>
        <v>9.6000000000000014</v>
      </c>
      <c r="AA38" s="35">
        <f>IF(AND($A38&lt;&gt;0,$A38&lt;&gt;""),LOOKUP($A38,Discrete_NFET[PARTNUMBER],Discrete_NFET[QOSSTYP]),"")</f>
        <v>12.3</v>
      </c>
      <c r="AB38" s="35">
        <f>IF(AND($A38&lt;&gt;0,$A38&lt;&gt;""),LOOKUP($A38,Discrete_NFET[PARTNUMBER],Discrete_NFET[QRR]),"")</f>
        <v>14.7</v>
      </c>
      <c r="AC38" s="35">
        <f>IF(AND(A38&lt;&gt;0,A38&lt;&gt;""),LOOKUP(A38,Discrete_NFET[PARTNUMBER],Discrete_NFET[VF_TYP]),"")</f>
        <v>0.8</v>
      </c>
      <c r="AD38" s="127">
        <f>IF(AND($A38&lt;&gt;0,$A38&lt;&gt;"",OR(RIGHT(Logic!B38,2)="C)",LEFT(Logic!B38,4)="CSD1")),(1+(1-DUTY))*IM_RMS_120^2*V38*m/3/Num_FETS2,"")</f>
        <v>9.8467797783933497E-2</v>
      </c>
      <c r="AE38" s="127">
        <f>IF(AND($A38&lt;&gt;0,$A38&lt;&gt;"",OR(RIGHT(Logic!B38,2)="C)",LEFT(Logic!B38,4)="CSD1")),Num_FETS2*0.5*IM_RMS_120*VDC_AVG*Z38*n*MOT_ELEC_FREQ/GDR_SRC,"")</f>
        <v>3.0959752321981425E-5</v>
      </c>
      <c r="AF38" s="127">
        <f>IF(AND($A38&lt;&gt;0,$A38&lt;&gt;"",OR(RIGHT(Logic!B38,2)="C)",LEFT(Logic!B38,4)="CSD1")),Num_FETS2*0.5*IM_RMS_120*VDC_AVG*Z38*n*MOT_ELEC_FREQ/GDR_SINK,"")</f>
        <v>2.1052631578947372E-5</v>
      </c>
      <c r="AG38" s="127">
        <f>IF(AND($A38&lt;&gt;0,$A38&lt;&gt;"",OR(RIGHT(Logic!B38,2)="T)",LEFT(Logic!B38,4)="CSD1")),DUTY*IM_RMS_120^2*V38*m/3/Num_FETS2,"")</f>
        <v>8.9089912280701733E-2</v>
      </c>
      <c r="AH38" s="127">
        <f>IF(AND($A38&lt;&gt;0,$A38&lt;&gt;"",OR(RIGHT(Logic!B38,2)="T)",LEFT(Logic!B38,4)="CSD1")),Num_FETS2*0.5*IM_RMS_120*VDC_AVG*Z38*n*FSW*k/GDR_SRC/3,"")</f>
        <v>6.1919504643962843E-3</v>
      </c>
      <c r="AI38" s="127">
        <f>IF(AND($A38&lt;&gt;0,$A38&lt;&gt;"",OR(RIGHT(Logic!B38,2)="T)",LEFT(Logic!B38,4)="CSD1")),Num_FETS2*0.5*IM_RMS_120*VDC_AVG*Z38*n*FSW*k/GDR_SINK/3,"")</f>
        <v>4.2105263157894745E-3</v>
      </c>
      <c r="AJ38" s="127">
        <f t="shared" si="31"/>
        <v>1.4760000000000003E-3</v>
      </c>
      <c r="AK38" s="127">
        <f t="shared" si="33"/>
        <v>1.2414567897146714E-2</v>
      </c>
      <c r="AL38" s="127">
        <f t="shared" si="32"/>
        <v>3.5338799999999997E-3</v>
      </c>
      <c r="AM38" s="127">
        <f t="shared" si="29"/>
        <v>0.37243703691440144</v>
      </c>
      <c r="AN38" s="127">
        <f>IF(AND($A38&lt;&gt;0,$A38&lt;&gt;"",OR(RIGHT(Logic!B38,2)="C)",LEFT(Logic!B38,4)="CSD1")),SUM(AD38:AF38)+(AJ38/3)+AK38+AL38/6+AM38/6,AN39)</f>
        <v>0.17408819755071472</v>
      </c>
      <c r="AO38" s="127">
        <f>IF(AND($A38&lt;&gt;0,$A38&lt;&gt;"",OR(RIGHT(Logic!B38,2)="T)",LEFT(Logic!B38,4)="CSD1")),SUM(AG38:AI38)+(AJ38/3)+AL38/6+AM38/6,AO37)</f>
        <v>0.16264620854662107</v>
      </c>
      <c r="AP38" s="48">
        <f t="shared" si="30"/>
        <v>0.34</v>
      </c>
      <c r="AQ38" s="35" t="str">
        <f>IF(AND(A38&lt;&gt;0,A38&lt;&gt;""),LOOKUP(A38,Discrete_NFET[PARTNUMBER],Discrete_NFET[TI_EQ_PACKAGE]),"")</f>
        <v>SON5X6</v>
      </c>
      <c r="AR38" s="49">
        <f>IF(AND(A38&lt;&gt;0,A38&lt;&gt;""),LOOKUP(A38,Discrete_NFET[PARTNUMBER],Discrete_NFET[1KPRICE]),"")</f>
        <v>0.38</v>
      </c>
      <c r="AS38" s="35" t="str">
        <f>IF(AND($A38&lt;&gt;0,$A38&lt;&gt;""),CONCATENATE(TEXT(AP38,"0.00"),"W, ",IF('User Input'!G$11="Single Discrete",A38,IF('User Input'!G$11="Dual/Power Block",LEFT(A38,FIND(")",A38)-7),A38)),", ",AQ38,", ",TEXT(AR38,"$0.00")),"Invalid Part")</f>
        <v>0.34W, CSD17576Q5B, SON5X6, $0.38</v>
      </c>
      <c r="AT38" t="s">
        <v>799</v>
      </c>
      <c r="AW38"/>
    </row>
    <row r="39" spans="1:49" ht="15" customHeight="1" x14ac:dyDescent="0.25">
      <c r="A39" s="35" t="str">
        <f>IF(OR(AND(FET_config2="Dual/Power Block",LEFT(Logic!B39,4)="CSD8"),AND(FET_config2="Single Discrete",LEFT(Logic!B39,4)="CSD1")),Logic!B39,"")</f>
        <v>CSD17577Q3A</v>
      </c>
      <c r="B39" s="37" t="str">
        <f>IF(OR($A39=0,$A39=""),"0",IF(LOOKUP($A39,Discrete_NFET[PARTNUMBER],Discrete_NFET[RDSON25])="(NULL)","0","1"))</f>
        <v>0</v>
      </c>
      <c r="C39" s="38" t="str">
        <f>IF(OR($A39=0,$A39=""),"0",IF(LOOKUP($A39,Discrete_NFET[PARTNUMBER],Discrete_NFET[RDSON3])="(NULL)","0","1"))</f>
        <v>0</v>
      </c>
      <c r="D39" s="40" t="str">
        <f>IF(OR($A39=0,$A39=""),"0",IF(LOOKUP($A39,Discrete_NFET[PARTNUMBER],Discrete_NFET[RDSON45])="(NULL)","0","1"))</f>
        <v>1</v>
      </c>
      <c r="E39" s="45" t="str">
        <f>IF(OR($A39=0,$A39=""),"0",IF(LOOKUP($A39,Discrete_NFET[PARTNUMBER],Discrete_NFET[RDSON6])="(NULL)","0","1"))</f>
        <v>0</v>
      </c>
      <c r="F39" s="34" t="str">
        <f>IF(OR($A39=0,$A39=""),"0",IF(LOOKUP($A39,Discrete_NFET[PARTNUMBER],Discrete_NFET[RDSON8])="(NULL)","0","1"))</f>
        <v>0</v>
      </c>
      <c r="G39" s="43" t="str">
        <f>IF(OR($A39=0,$A39=""),"0",IF(LOOKUP($A39,Discrete_NFET[PARTNUMBER],Discrete_NFET[RDSON10])="(NULL)","0","1"))</f>
        <v>1</v>
      </c>
      <c r="H39" s="36" t="b">
        <f t="shared" si="15"/>
        <v>0</v>
      </c>
      <c r="I39" s="39" t="b">
        <f t="shared" si="16"/>
        <v>0</v>
      </c>
      <c r="J39" s="41" t="b">
        <f t="shared" si="17"/>
        <v>1</v>
      </c>
      <c r="K39" s="46" t="b">
        <f t="shared" si="18"/>
        <v>0</v>
      </c>
      <c r="L39" s="42" t="b">
        <f t="shared" si="19"/>
        <v>0</v>
      </c>
      <c r="M39" s="44" t="b">
        <f t="shared" si="20"/>
        <v>1</v>
      </c>
      <c r="N39" s="47" t="b">
        <f t="shared" si="21"/>
        <v>1</v>
      </c>
      <c r="O39" s="36" t="b">
        <f t="shared" si="22"/>
        <v>0</v>
      </c>
      <c r="P39" s="39" t="b">
        <f t="shared" si="23"/>
        <v>0</v>
      </c>
      <c r="Q39" s="41" t="b">
        <f t="shared" si="24"/>
        <v>1</v>
      </c>
      <c r="R39" s="46" t="b">
        <f t="shared" si="25"/>
        <v>0</v>
      </c>
      <c r="S39" s="42" t="b">
        <f t="shared" si="26"/>
        <v>0</v>
      </c>
      <c r="T39" s="44" t="b">
        <f t="shared" si="27"/>
        <v>1</v>
      </c>
      <c r="U39" s="148">
        <f>IF(T39,LOOKUP(A39,Discrete_NFET[PARTNUMBER],Discrete_NFET[RDSON10])*1000,IF(S39,LOOKUP(A39,Discrete_NFET[PARTNUMBER],Discrete_NFET[RDSON8])*1000,IF(R39,LOOKUP(A39,Discrete_NFET[PARTNUMBER],Discrete_NFET[RDSON6])*1000,IF(Q39,LOOKUP(A39,Discrete_NFET[PARTNUMBER],Discrete_NFET[RDSON45])*1000,IF(P39,LOOKUP(A39,Discrete_NFET[PARTNUMBER],Discrete_NFET[RDSON3])*1000,IF(O39,LOOKUP(A39,Discrete_NFET[PARTNUMBER],Discrete_NFET[RDSON25])*1000,""))))))</f>
        <v>4</v>
      </c>
      <c r="V39" s="48">
        <f>IF(AND(A39&lt;&gt;0,A39&lt;&gt;""),U39*(1+(Tj-25)*(LOOKUP(A39,Discrete_NFET[PARTNUMBER],Discrete_NFET[RDSDELTA])/((LOOKUP(A39,Discrete_NFET[PARTNUMBER],Discrete_NFET[TJMAX])-25)))),"")</f>
        <v>4.4800000000000004</v>
      </c>
      <c r="W39" s="35">
        <f>IF(AND($A39&lt;&gt;0,$A39&lt;&gt;""),LOOKUP($A39,Discrete_NFET[PARTNUMBER],Discrete_NFET[QGS]),"")</f>
        <v>5.0999999999999996</v>
      </c>
      <c r="X39" s="35">
        <f>IF(AND($A39&lt;&gt;0,$A39&lt;&gt;""),LOOKUP($A39,Discrete_NFET[PARTNUMBER],Discrete_NFET[QGD]),"")</f>
        <v>2.8</v>
      </c>
      <c r="Y39" s="35">
        <f>IF(AND($A39&lt;&gt;0,$A39&lt;&gt;""),LOOKUP($A39,Discrete_NFET[PARTNUMBER],Discrete_NFET[QGTH]),"")</f>
        <v>2.5</v>
      </c>
      <c r="Z39" s="35">
        <f t="shared" si="28"/>
        <v>5.3999999999999995</v>
      </c>
      <c r="AA39" s="35">
        <f>IF(AND($A39&lt;&gt;0,$A39&lt;&gt;""),LOOKUP($A39,Discrete_NFET[PARTNUMBER],Discrete_NFET[QOSSTYP]),"")</f>
        <v>6</v>
      </c>
      <c r="AB39" s="35">
        <f>IF(AND($A39&lt;&gt;0,$A39&lt;&gt;""),LOOKUP($A39,Discrete_NFET[PARTNUMBER],Discrete_NFET[QRR]),"")</f>
        <v>8.1999999999999993</v>
      </c>
      <c r="AC39" s="35">
        <f>IF(AND(A39&lt;&gt;0,A39&lt;&gt;""),LOOKUP(A39,Discrete_NFET[PARTNUMBER],Discrete_NFET[VF_TYP]),"")</f>
        <v>0.8</v>
      </c>
      <c r="AD39" s="127">
        <f>IF(AND($A39&lt;&gt;0,$A39&lt;&gt;"",OR(RIGHT(Logic!B39,2)="C)",LEFT(Logic!B39,4)="CSD1")),(1+(1-DUTY))*IM_RMS_120^2*V39*m/3/Num_FETS2,"")</f>
        <v>0.18851954447522315</v>
      </c>
      <c r="AE39" s="127">
        <f>IF(AND($A39&lt;&gt;0,$A39&lt;&gt;"",OR(RIGHT(Logic!B39,2)="C)",LEFT(Logic!B39,4)="CSD1")),Num_FETS2*0.5*IM_RMS_120*VDC_AVG*Z39*n*MOT_ELEC_FREQ/GDR_SRC,"")</f>
        <v>1.7414860681114547E-5</v>
      </c>
      <c r="AF39" s="127">
        <f>IF(AND($A39&lt;&gt;0,$A39&lt;&gt;"",OR(RIGHT(Logic!B39,2)="C)",LEFT(Logic!B39,4)="CSD1")),Num_FETS2*0.5*IM_RMS_120*VDC_AVG*Z39*n*MOT_ELEC_FREQ/GDR_SINK,"")</f>
        <v>1.1842105263157894E-5</v>
      </c>
      <c r="AG39" s="127">
        <f>IF(AND($A39&lt;&gt;0,$A39&lt;&gt;"",OR(RIGHT(Logic!B39,2)="T)",LEFT(Logic!B39,4)="CSD1")),DUTY*IM_RMS_120^2*V39*m/3/Num_FETS2,"")</f>
        <v>0.1705653021442495</v>
      </c>
      <c r="AH39" s="127">
        <f>IF(AND($A39&lt;&gt;0,$A39&lt;&gt;"",OR(RIGHT(Logic!B39,2)="T)",LEFT(Logic!B39,4)="CSD1")),Num_FETS2*0.5*IM_RMS_120*VDC_AVG*Z39*n*FSW*k/GDR_SRC/3,"")</f>
        <v>3.4829721362229092E-3</v>
      </c>
      <c r="AI39" s="127">
        <f>IF(AND($A39&lt;&gt;0,$A39&lt;&gt;"",OR(RIGHT(Logic!B39,2)="T)",LEFT(Logic!B39,4)="CSD1")),Num_FETS2*0.5*IM_RMS_120*VDC_AVG*Z39*n*FSW*k/GDR_SINK/3,"")</f>
        <v>2.3684210526315787E-3</v>
      </c>
      <c r="AJ39" s="127">
        <f t="shared" si="31"/>
        <v>7.2000000000000005E-4</v>
      </c>
      <c r="AK39" s="127">
        <f t="shared" si="33"/>
        <v>1.2414567897146714E-2</v>
      </c>
      <c r="AL39" s="127">
        <f t="shared" si="32"/>
        <v>1.9712799999999997E-3</v>
      </c>
      <c r="AM39" s="127">
        <f t="shared" si="29"/>
        <v>0.37243703691440144</v>
      </c>
      <c r="AN39" s="127">
        <f>IF(AND($A39&lt;&gt;0,$A39&lt;&gt;"",OR(RIGHT(Logic!B39,2)="C)",LEFT(Logic!B39,4)="CSD1")),SUM(AD39:AF39)+(AJ39/3)+AK39+AL39/6+AM39/6,AN40)</f>
        <v>0.26360475549071438</v>
      </c>
      <c r="AO39" s="127">
        <f>IF(AND($A39&lt;&gt;0,$A39&lt;&gt;"",OR(RIGHT(Logic!B39,2)="T)",LEFT(Logic!B39,4)="CSD1")),SUM(AG39:AI39)+(AJ39/3)+AL39/6+AM39/6,AO38)</f>
        <v>0.23905808148550425</v>
      </c>
      <c r="AP39" s="48">
        <f t="shared" si="30"/>
        <v>0.5</v>
      </c>
      <c r="AQ39" s="35" t="str">
        <f>IF(AND(A39&lt;&gt;0,A39&lt;&gt;""),LOOKUP(A39,Discrete_NFET[PARTNUMBER],Discrete_NFET[TI_EQ_PACKAGE]),"")</f>
        <v>SON3x3</v>
      </c>
      <c r="AR39" s="49">
        <f>IF(AND(A39&lt;&gt;0,A39&lt;&gt;""),LOOKUP(A39,Discrete_NFET[PARTNUMBER],Discrete_NFET[1KPRICE]),"")</f>
        <v>0.18</v>
      </c>
      <c r="AS39" s="35" t="str">
        <f>IF(AND($A39&lt;&gt;0,$A39&lt;&gt;""),CONCATENATE(TEXT(AP39,"0.00"),"W, ",IF('User Input'!G$11="Single Discrete",A39,IF('User Input'!G$11="Dual/Power Block",LEFT(A39,FIND(")",A39)-7),A39)),", ",AQ39,", ",TEXT(AR39,"$0.00")),"Invalid Part")</f>
        <v>0.50W, CSD17577Q3A, SON3x3, $0.18</v>
      </c>
      <c r="AT39" t="s">
        <v>812</v>
      </c>
      <c r="AW39"/>
    </row>
    <row r="40" spans="1:49" ht="15" customHeight="1" x14ac:dyDescent="0.25">
      <c r="A40" s="35" t="str">
        <f>IF(OR(AND(FET_config2="Dual/Power Block",LEFT(Logic!B40,4)="CSD8"),AND(FET_config2="Single Discrete",LEFT(Logic!B40,4)="CSD1")),Logic!B40,"")</f>
        <v>CSD17577Q5A</v>
      </c>
      <c r="B40" s="37" t="str">
        <f>IF(OR($A40=0,$A40=""),"0",IF(LOOKUP($A40,Discrete_NFET[PARTNUMBER],Discrete_NFET[RDSON25])="(NULL)","0","1"))</f>
        <v>0</v>
      </c>
      <c r="C40" s="38" t="str">
        <f>IF(OR($A40=0,$A40=""),"0",IF(LOOKUP($A40,Discrete_NFET[PARTNUMBER],Discrete_NFET[RDSON3])="(NULL)","0","1"))</f>
        <v>0</v>
      </c>
      <c r="D40" s="40" t="str">
        <f>IF(OR($A40=0,$A40=""),"0",IF(LOOKUP($A40,Discrete_NFET[PARTNUMBER],Discrete_NFET[RDSON45])="(NULL)","0","1"))</f>
        <v>1</v>
      </c>
      <c r="E40" s="45" t="str">
        <f>IF(OR($A40=0,$A40=""),"0",IF(LOOKUP($A40,Discrete_NFET[PARTNUMBER],Discrete_NFET[RDSON6])="(NULL)","0","1"))</f>
        <v>0</v>
      </c>
      <c r="F40" s="34" t="str">
        <f>IF(OR($A40=0,$A40=""),"0",IF(LOOKUP($A40,Discrete_NFET[PARTNUMBER],Discrete_NFET[RDSON8])="(NULL)","0","1"))</f>
        <v>0</v>
      </c>
      <c r="G40" s="43" t="str">
        <f>IF(OR($A40=0,$A40=""),"0",IF(LOOKUP($A40,Discrete_NFET[PARTNUMBER],Discrete_NFET[RDSON10])="(NULL)","0","1"))</f>
        <v>1</v>
      </c>
      <c r="H40" s="36" t="b">
        <f t="shared" si="15"/>
        <v>0</v>
      </c>
      <c r="I40" s="39" t="b">
        <f t="shared" si="16"/>
        <v>0</v>
      </c>
      <c r="J40" s="41" t="b">
        <f t="shared" si="17"/>
        <v>1</v>
      </c>
      <c r="K40" s="46" t="b">
        <f t="shared" si="18"/>
        <v>0</v>
      </c>
      <c r="L40" s="42" t="b">
        <f t="shared" si="19"/>
        <v>0</v>
      </c>
      <c r="M40" s="44" t="b">
        <f t="shared" si="20"/>
        <v>1</v>
      </c>
      <c r="N40" s="47" t="b">
        <f t="shared" si="21"/>
        <v>1</v>
      </c>
      <c r="O40" s="36" t="b">
        <f t="shared" si="22"/>
        <v>0</v>
      </c>
      <c r="P40" s="39" t="b">
        <f t="shared" si="23"/>
        <v>0</v>
      </c>
      <c r="Q40" s="41" t="b">
        <f t="shared" si="24"/>
        <v>1</v>
      </c>
      <c r="R40" s="46" t="b">
        <f t="shared" si="25"/>
        <v>0</v>
      </c>
      <c r="S40" s="42" t="b">
        <f t="shared" si="26"/>
        <v>0</v>
      </c>
      <c r="T40" s="44" t="b">
        <f t="shared" si="27"/>
        <v>1</v>
      </c>
      <c r="U40" s="148">
        <f>IF(T40,LOOKUP(A40,Discrete_NFET[PARTNUMBER],Discrete_NFET[RDSON10])*1000,IF(S40,LOOKUP(A40,Discrete_NFET[PARTNUMBER],Discrete_NFET[RDSON8])*1000,IF(R40,LOOKUP(A40,Discrete_NFET[PARTNUMBER],Discrete_NFET[RDSON6])*1000,IF(Q40,LOOKUP(A40,Discrete_NFET[PARTNUMBER],Discrete_NFET[RDSON45])*1000,IF(P40,LOOKUP(A40,Discrete_NFET[PARTNUMBER],Discrete_NFET[RDSON3])*1000,IF(O40,LOOKUP(A40,Discrete_NFET[PARTNUMBER],Discrete_NFET[RDSON25])*1000,""))))))</f>
        <v>4.2</v>
      </c>
      <c r="V40" s="48">
        <f>IF(AND(A40&lt;&gt;0,A40&lt;&gt;""),U40*(1+(Tj-25)*(LOOKUP(A40,Discrete_NFET[PARTNUMBER],Discrete_NFET[RDSDELTA])/((LOOKUP(A40,Discrete_NFET[PARTNUMBER],Discrete_NFET[TJMAX])-25)))),"")</f>
        <v>4.7040000000000006</v>
      </c>
      <c r="W40" s="35">
        <f>IF(AND($A40&lt;&gt;0,$A40&lt;&gt;""),LOOKUP($A40,Discrete_NFET[PARTNUMBER],Discrete_NFET[QGS]),"")</f>
        <v>5.0999999999999996</v>
      </c>
      <c r="X40" s="35">
        <f>IF(AND($A40&lt;&gt;0,$A40&lt;&gt;""),LOOKUP($A40,Discrete_NFET[PARTNUMBER],Discrete_NFET[QGD]),"")</f>
        <v>2.8</v>
      </c>
      <c r="Y40" s="35">
        <f>IF(AND($A40&lt;&gt;0,$A40&lt;&gt;""),LOOKUP($A40,Discrete_NFET[PARTNUMBER],Discrete_NFET[QGTH]),"")</f>
        <v>2.5</v>
      </c>
      <c r="Z40" s="35">
        <f t="shared" si="28"/>
        <v>5.3999999999999995</v>
      </c>
      <c r="AA40" s="35">
        <f>IF(AND($A40&lt;&gt;0,$A40&lt;&gt;""),LOOKUP($A40,Discrete_NFET[PARTNUMBER],Discrete_NFET[QOSSTYP]),"")</f>
        <v>6</v>
      </c>
      <c r="AB40" s="35">
        <f>IF(AND($A40&lt;&gt;0,$A40&lt;&gt;""),LOOKUP($A40,Discrete_NFET[PARTNUMBER],Discrete_NFET[QRR]),"")</f>
        <v>8.1999999999999993</v>
      </c>
      <c r="AC40" s="35">
        <f>IF(AND(A40&lt;&gt;0,A40&lt;&gt;""),LOOKUP(A40,Discrete_NFET[PARTNUMBER],Discrete_NFET[VF_TYP]),"")</f>
        <v>0.8</v>
      </c>
      <c r="AD40" s="127">
        <f>IF(AND($A40&lt;&gt;0,$A40&lt;&gt;"",OR(RIGHT(Logic!B40,2)="C)",LEFT(Logic!B40,4)="CSD1")),(1+(1-DUTY))*IM_RMS_120^2*V40*m/3/Num_FETS2,"")</f>
        <v>0.1979455216989843</v>
      </c>
      <c r="AE40" s="127">
        <f>IF(AND($A40&lt;&gt;0,$A40&lt;&gt;"",OR(RIGHT(Logic!B40,2)="C)",LEFT(Logic!B40,4)="CSD1")),Num_FETS2*0.5*IM_RMS_120*VDC_AVG*Z40*n*MOT_ELEC_FREQ/GDR_SRC,"")</f>
        <v>1.7414860681114547E-5</v>
      </c>
      <c r="AF40" s="127">
        <f>IF(AND($A40&lt;&gt;0,$A40&lt;&gt;"",OR(RIGHT(Logic!B40,2)="C)",LEFT(Logic!B40,4)="CSD1")),Num_FETS2*0.5*IM_RMS_120*VDC_AVG*Z40*n*MOT_ELEC_FREQ/GDR_SINK,"")</f>
        <v>1.1842105263157894E-5</v>
      </c>
      <c r="AG40" s="127">
        <f>IF(AND($A40&lt;&gt;0,$A40&lt;&gt;"",OR(RIGHT(Logic!B40,2)="T)",LEFT(Logic!B40,4)="CSD1")),DUTY*IM_RMS_120^2*V40*m/3/Num_FETS2,"")</f>
        <v>0.17909356725146197</v>
      </c>
      <c r="AH40" s="127">
        <f>IF(AND($A40&lt;&gt;0,$A40&lt;&gt;"",OR(RIGHT(Logic!B40,2)="T)",LEFT(Logic!B40,4)="CSD1")),Num_FETS2*0.5*IM_RMS_120*VDC_AVG*Z40*n*FSW*k/GDR_SRC/3,"")</f>
        <v>3.4829721362229092E-3</v>
      </c>
      <c r="AI40" s="127">
        <f>IF(AND($A40&lt;&gt;0,$A40&lt;&gt;"",OR(RIGHT(Logic!B40,2)="T)",LEFT(Logic!B40,4)="CSD1")),Num_FETS2*0.5*IM_RMS_120*VDC_AVG*Z40*n*FSW*k/GDR_SINK/3,"")</f>
        <v>2.3684210526315787E-3</v>
      </c>
      <c r="AJ40" s="127">
        <f t="shared" si="31"/>
        <v>7.2000000000000005E-4</v>
      </c>
      <c r="AK40" s="127">
        <f t="shared" si="33"/>
        <v>1.2414567897146714E-2</v>
      </c>
      <c r="AL40" s="127">
        <f t="shared" si="32"/>
        <v>1.9712799999999997E-3</v>
      </c>
      <c r="AM40" s="127">
        <f t="shared" si="29"/>
        <v>0.37243703691440144</v>
      </c>
      <c r="AN40" s="127">
        <f>IF(AND($A40&lt;&gt;0,$A40&lt;&gt;"",OR(RIGHT(Logic!B40,2)="C)",LEFT(Logic!B40,4)="CSD1")),SUM(AD40:AF40)+(AJ40/3)+AK40+AL40/6+AM40/6,AN41)</f>
        <v>0.27303073271447553</v>
      </c>
      <c r="AO40" s="127">
        <f>IF(AND($A40&lt;&gt;0,$A40&lt;&gt;"",OR(RIGHT(Logic!B40,2)="T)",LEFT(Logic!B40,4)="CSD1")),SUM(AG40:AI40)+(AJ40/3)+AL40/6+AM40/6,AO39)</f>
        <v>0.24758634659271672</v>
      </c>
      <c r="AP40" s="48">
        <f t="shared" si="30"/>
        <v>0.52</v>
      </c>
      <c r="AQ40" s="35" t="str">
        <f>IF(AND(A40&lt;&gt;0,A40&lt;&gt;""),LOOKUP(A40,Discrete_NFET[PARTNUMBER],Discrete_NFET[TI_EQ_PACKAGE]),"")</f>
        <v>SON5x6</v>
      </c>
      <c r="AR40" s="49">
        <f>IF(AND(A40&lt;&gt;0,A40&lt;&gt;""),LOOKUP(A40,Discrete_NFET[PARTNUMBER],Discrete_NFET[1KPRICE]),"")</f>
        <v>0.2</v>
      </c>
      <c r="AS40" s="35" t="str">
        <f>IF(AND($A40&lt;&gt;0,$A40&lt;&gt;""),CONCATENATE(TEXT(AP40,"0.00"),"W, ",IF('User Input'!G$11="Single Discrete",A40,IF('User Input'!G$11="Dual/Power Block",LEFT(A40,FIND(")",A40)-7),A40)),", ",AQ40,", ",TEXT(AR40,"$0.00")),"Invalid Part")</f>
        <v>0.52W, CSD17577Q5A, SON5x6, $0.20</v>
      </c>
      <c r="AT40" t="s">
        <v>835</v>
      </c>
      <c r="AW40"/>
    </row>
    <row r="41" spans="1:49" ht="15" customHeight="1" x14ac:dyDescent="0.25">
      <c r="A41" s="35" t="str">
        <f>IF(OR(AND(FET_config2="Dual/Power Block",LEFT(Logic!B41,4)="CSD8"),AND(FET_config2="Single Discrete",LEFT(Logic!B41,4)="CSD1")),Logic!B41,"")</f>
        <v>CSD17578Q3A</v>
      </c>
      <c r="B41" s="37" t="str">
        <f>IF(OR($A41=0,$A41=""),"0",IF(LOOKUP($A41,Discrete_NFET[PARTNUMBER],Discrete_NFET[RDSON25])="(NULL)","0","1"))</f>
        <v>0</v>
      </c>
      <c r="C41" s="38" t="str">
        <f>IF(OR($A41=0,$A41=""),"0",IF(LOOKUP($A41,Discrete_NFET[PARTNUMBER],Discrete_NFET[RDSON3])="(NULL)","0","1"))</f>
        <v>0</v>
      </c>
      <c r="D41" s="40" t="str">
        <f>IF(OR($A41=0,$A41=""),"0",IF(LOOKUP($A41,Discrete_NFET[PARTNUMBER],Discrete_NFET[RDSON45])="(NULL)","0","1"))</f>
        <v>1</v>
      </c>
      <c r="E41" s="45" t="str">
        <f>IF(OR($A41=0,$A41=""),"0",IF(LOOKUP($A41,Discrete_NFET[PARTNUMBER],Discrete_NFET[RDSON6])="(NULL)","0","1"))</f>
        <v>0</v>
      </c>
      <c r="F41" s="34" t="str">
        <f>IF(OR($A41=0,$A41=""),"0",IF(LOOKUP($A41,Discrete_NFET[PARTNUMBER],Discrete_NFET[RDSON8])="(NULL)","0","1"))</f>
        <v>0</v>
      </c>
      <c r="G41" s="43" t="str">
        <f>IF(OR($A41=0,$A41=""),"0",IF(LOOKUP($A41,Discrete_NFET[PARTNUMBER],Discrete_NFET[RDSON10])="(NULL)","0","1"))</f>
        <v>1</v>
      </c>
      <c r="H41" s="36" t="b">
        <f t="shared" si="15"/>
        <v>0</v>
      </c>
      <c r="I41" s="39" t="b">
        <f t="shared" si="16"/>
        <v>0</v>
      </c>
      <c r="J41" s="41" t="b">
        <f t="shared" si="17"/>
        <v>1</v>
      </c>
      <c r="K41" s="46" t="b">
        <f t="shared" si="18"/>
        <v>0</v>
      </c>
      <c r="L41" s="42" t="b">
        <f t="shared" si="19"/>
        <v>0</v>
      </c>
      <c r="M41" s="44" t="b">
        <f t="shared" si="20"/>
        <v>1</v>
      </c>
      <c r="N41" s="47" t="b">
        <f t="shared" si="21"/>
        <v>1</v>
      </c>
      <c r="O41" s="36" t="b">
        <f t="shared" si="22"/>
        <v>0</v>
      </c>
      <c r="P41" s="39" t="b">
        <f t="shared" si="23"/>
        <v>0</v>
      </c>
      <c r="Q41" s="41" t="b">
        <f t="shared" si="24"/>
        <v>1</v>
      </c>
      <c r="R41" s="46" t="b">
        <f t="shared" si="25"/>
        <v>0</v>
      </c>
      <c r="S41" s="42" t="b">
        <f t="shared" si="26"/>
        <v>0</v>
      </c>
      <c r="T41" s="44" t="b">
        <f t="shared" si="27"/>
        <v>1</v>
      </c>
      <c r="U41" s="148">
        <f>IF(T41,LOOKUP(A41,Discrete_NFET[PARTNUMBER],Discrete_NFET[RDSON10])*1000,IF(S41,LOOKUP(A41,Discrete_NFET[PARTNUMBER],Discrete_NFET[RDSON8])*1000,IF(R41,LOOKUP(A41,Discrete_NFET[PARTNUMBER],Discrete_NFET[RDSON6])*1000,IF(Q41,LOOKUP(A41,Discrete_NFET[PARTNUMBER],Discrete_NFET[RDSON45])*1000,IF(P41,LOOKUP(A41,Discrete_NFET[PARTNUMBER],Discrete_NFET[RDSON3])*1000,IF(O41,LOOKUP(A41,Discrete_NFET[PARTNUMBER],Discrete_NFET[RDSON25])*1000,""))))))</f>
        <v>6.2</v>
      </c>
      <c r="V41" s="48">
        <f>IF(AND(A41&lt;&gt;0,A41&lt;&gt;""),U41*(1+(Tj-25)*(LOOKUP(A41,Discrete_NFET[PARTNUMBER],Discrete_NFET[RDSDELTA])/((LOOKUP(A41,Discrete_NFET[PARTNUMBER],Discrete_NFET[TJMAX])-25)))),"")</f>
        <v>7.0679999999999996</v>
      </c>
      <c r="W41" s="35">
        <f>IF(AND($A41&lt;&gt;0,$A41&lt;&gt;""),LOOKUP($A41,Discrete_NFET[PARTNUMBER],Discrete_NFET[QGS]),"")</f>
        <v>3.3</v>
      </c>
      <c r="X41" s="35">
        <f>IF(AND($A41&lt;&gt;0,$A41&lt;&gt;""),LOOKUP($A41,Discrete_NFET[PARTNUMBER],Discrete_NFET[QGD]),"")</f>
        <v>1.7</v>
      </c>
      <c r="Y41" s="35">
        <f>IF(AND($A41&lt;&gt;0,$A41&lt;&gt;""),LOOKUP($A41,Discrete_NFET[PARTNUMBER],Discrete_NFET[QGTH]),"")</f>
        <v>1.7</v>
      </c>
      <c r="Z41" s="35">
        <f t="shared" si="28"/>
        <v>3.3</v>
      </c>
      <c r="AA41" s="35">
        <f>IF(AND($A41&lt;&gt;0,$A41&lt;&gt;""),LOOKUP($A41,Discrete_NFET[PARTNUMBER],Discrete_NFET[QOSSTYP]),"")</f>
        <v>4.2</v>
      </c>
      <c r="AB41" s="35">
        <f>IF(AND($A41&lt;&gt;0,$A41&lt;&gt;""),LOOKUP($A41,Discrete_NFET[PARTNUMBER],Discrete_NFET[QRR]),"")</f>
        <v>4.4000000000000004</v>
      </c>
      <c r="AC41" s="35">
        <f>IF(AND(A41&lt;&gt;0,A41&lt;&gt;""),LOOKUP(A41,Discrete_NFET[PARTNUMBER],Discrete_NFET[VF_TYP]),"")</f>
        <v>0.8</v>
      </c>
      <c r="AD41" s="127">
        <f>IF(AND($A41&lt;&gt;0,$A41&lt;&gt;"",OR(RIGHT(Logic!B41,2)="C)",LEFT(Logic!B41,4)="CSD1")),(1+(1-DUTY))*IM_RMS_120^2*V41*m/3/Num_FETS2,"")</f>
        <v>0.29742324561403505</v>
      </c>
      <c r="AE41" s="127">
        <f>IF(AND($A41&lt;&gt;0,$A41&lt;&gt;"",OR(RIGHT(Logic!B41,2)="C)",LEFT(Logic!B41,4)="CSD1")),Num_FETS2*0.5*IM_RMS_120*VDC_AVG*Z41*n*MOT_ELEC_FREQ/GDR_SRC,"")</f>
        <v>1.0642414860681115E-5</v>
      </c>
      <c r="AF41" s="127">
        <f>IF(AND($A41&lt;&gt;0,$A41&lt;&gt;"",OR(RIGHT(Logic!B41,2)="C)",LEFT(Logic!B41,4)="CSD1")),Num_FETS2*0.5*IM_RMS_120*VDC_AVG*Z41*n*MOT_ELEC_FREQ/GDR_SINK,"")</f>
        <v>7.2368421052631584E-6</v>
      </c>
      <c r="AG41" s="127">
        <f>IF(AND($A41&lt;&gt;0,$A41&lt;&gt;"",OR(RIGHT(Logic!B41,2)="T)",LEFT(Logic!B41,4)="CSD1")),DUTY*IM_RMS_120^2*V41*m/3/Num_FETS2,"")</f>
        <v>0.26909722222222215</v>
      </c>
      <c r="AH41" s="127">
        <f>IF(AND($A41&lt;&gt;0,$A41&lt;&gt;"",OR(RIGHT(Logic!B41,2)="T)",LEFT(Logic!B41,4)="CSD1")),Num_FETS2*0.5*IM_RMS_120*VDC_AVG*Z41*n*FSW*k/GDR_SRC/3,"")</f>
        <v>2.1284829721362232E-3</v>
      </c>
      <c r="AI41" s="127">
        <f>IF(AND($A41&lt;&gt;0,$A41&lt;&gt;"",OR(RIGHT(Logic!B41,2)="T)",LEFT(Logic!B41,4)="CSD1")),Num_FETS2*0.5*IM_RMS_120*VDC_AVG*Z41*n*FSW*k/GDR_SINK/3,"")</f>
        <v>1.4473684210526319E-3</v>
      </c>
      <c r="AJ41" s="127">
        <f t="shared" si="31"/>
        <v>5.0400000000000011E-4</v>
      </c>
      <c r="AK41" s="127">
        <f t="shared" si="33"/>
        <v>1.2414567897146714E-2</v>
      </c>
      <c r="AL41" s="127">
        <f t="shared" si="32"/>
        <v>1.05776E-3</v>
      </c>
      <c r="AM41" s="127">
        <f t="shared" si="29"/>
        <v>0.37243703691440144</v>
      </c>
      <c r="AN41" s="127">
        <f>IF(AND($A41&lt;&gt;0,$A41&lt;&gt;"",OR(RIGHT(Logic!B41,2)="C)",LEFT(Logic!B41,4)="CSD1")),SUM(AD41:AF41)+(AJ41/3)+AK41+AL41/6+AM41/6,AN42)</f>
        <v>0.37227282558721464</v>
      </c>
      <c r="AO41" s="127">
        <f>IF(AND($A41&lt;&gt;0,$A41&lt;&gt;"",OR(RIGHT(Logic!B41,2)="T)",LEFT(Logic!B41,4)="CSD1")),SUM(AG41:AI41)+(AJ41/3)+AL41/6+AM41/6,AO40)</f>
        <v>0.33509020643447796</v>
      </c>
      <c r="AP41" s="48">
        <f t="shared" si="30"/>
        <v>0.71</v>
      </c>
      <c r="AQ41" s="35" t="str">
        <f>IF(AND(A41&lt;&gt;0,A41&lt;&gt;""),LOOKUP(A41,Discrete_NFET[PARTNUMBER],Discrete_NFET[TI_EQ_PACKAGE]),"")</f>
        <v>SON3x3</v>
      </c>
      <c r="AR41" s="49">
        <f>IF(AND(A41&lt;&gt;0,A41&lt;&gt;""),LOOKUP(A41,Discrete_NFET[PARTNUMBER],Discrete_NFET[1KPRICE]),"")</f>
        <v>0.17</v>
      </c>
      <c r="AS41" s="35" t="str">
        <f>IF(AND($A41&lt;&gt;0,$A41&lt;&gt;""),CONCATENATE(TEXT(AP41,"0.00"),"W, ",IF('User Input'!G$11="Single Discrete",A41,IF('User Input'!G$11="Dual/Power Block",LEFT(A41,FIND(")",A41)-7),A41)),", ",AQ41,", ",TEXT(AR41,"$0.00")),"Invalid Part")</f>
        <v>0.71W, CSD17578Q3A, SON3x3, $0.17</v>
      </c>
      <c r="AT41" t="s">
        <v>852</v>
      </c>
      <c r="AW41"/>
    </row>
    <row r="42" spans="1:49" ht="15" customHeight="1" x14ac:dyDescent="0.25">
      <c r="A42" s="35" t="str">
        <f>IF(OR(AND(FET_config2="Dual/Power Block",LEFT(Logic!B42,4)="CSD8"),AND(FET_config2="Single Discrete",LEFT(Logic!B42,4)="CSD1")),Logic!B42,"")</f>
        <v>CSD17578Q5A</v>
      </c>
      <c r="B42" s="37" t="str">
        <f>IF(OR($A42=0,$A42=""),"0",IF(LOOKUP($A42,Discrete_NFET[PARTNUMBER],Discrete_NFET[RDSON25])="(NULL)","0","1"))</f>
        <v>0</v>
      </c>
      <c r="C42" s="38" t="str">
        <f>IF(OR($A42=0,$A42=""),"0",IF(LOOKUP($A42,Discrete_NFET[PARTNUMBER],Discrete_NFET[RDSON3])="(NULL)","0","1"))</f>
        <v>0</v>
      </c>
      <c r="D42" s="40" t="str">
        <f>IF(OR($A42=0,$A42=""),"0",IF(LOOKUP($A42,Discrete_NFET[PARTNUMBER],Discrete_NFET[RDSON45])="(NULL)","0","1"))</f>
        <v>1</v>
      </c>
      <c r="E42" s="45" t="str">
        <f>IF(OR($A42=0,$A42=""),"0",IF(LOOKUP($A42,Discrete_NFET[PARTNUMBER],Discrete_NFET[RDSON6])="(NULL)","0","1"))</f>
        <v>0</v>
      </c>
      <c r="F42" s="34" t="str">
        <f>IF(OR($A42=0,$A42=""),"0",IF(LOOKUP($A42,Discrete_NFET[PARTNUMBER],Discrete_NFET[RDSON8])="(NULL)","0","1"))</f>
        <v>0</v>
      </c>
      <c r="G42" s="43" t="str">
        <f>IF(OR($A42=0,$A42=""),"0",IF(LOOKUP($A42,Discrete_NFET[PARTNUMBER],Discrete_NFET[RDSON10])="(NULL)","0","1"))</f>
        <v>1</v>
      </c>
      <c r="H42" s="36" t="b">
        <f t="shared" si="15"/>
        <v>0</v>
      </c>
      <c r="I42" s="39" t="b">
        <f t="shared" si="16"/>
        <v>0</v>
      </c>
      <c r="J42" s="41" t="b">
        <f t="shared" si="17"/>
        <v>1</v>
      </c>
      <c r="K42" s="46" t="b">
        <f t="shared" si="18"/>
        <v>0</v>
      </c>
      <c r="L42" s="42" t="b">
        <f t="shared" si="19"/>
        <v>0</v>
      </c>
      <c r="M42" s="44" t="b">
        <f t="shared" si="20"/>
        <v>1</v>
      </c>
      <c r="N42" s="47" t="b">
        <f t="shared" si="21"/>
        <v>1</v>
      </c>
      <c r="O42" s="36" t="b">
        <f t="shared" si="22"/>
        <v>0</v>
      </c>
      <c r="P42" s="39" t="b">
        <f t="shared" si="23"/>
        <v>0</v>
      </c>
      <c r="Q42" s="41" t="b">
        <f t="shared" si="24"/>
        <v>1</v>
      </c>
      <c r="R42" s="46" t="b">
        <f t="shared" si="25"/>
        <v>0</v>
      </c>
      <c r="S42" s="42" t="b">
        <f t="shared" si="26"/>
        <v>0</v>
      </c>
      <c r="T42" s="44" t="b">
        <f t="shared" si="27"/>
        <v>1</v>
      </c>
      <c r="U42" s="148">
        <f>IF(T42,LOOKUP(A42,Discrete_NFET[PARTNUMBER],Discrete_NFET[RDSON10])*1000,IF(S42,LOOKUP(A42,Discrete_NFET[PARTNUMBER],Discrete_NFET[RDSON8])*1000,IF(R42,LOOKUP(A42,Discrete_NFET[PARTNUMBER],Discrete_NFET[RDSON6])*1000,IF(Q42,LOOKUP(A42,Discrete_NFET[PARTNUMBER],Discrete_NFET[RDSON45])*1000,IF(P42,LOOKUP(A42,Discrete_NFET[PARTNUMBER],Discrete_NFET[RDSON3])*1000,IF(O42,LOOKUP(A42,Discrete_NFET[PARTNUMBER],Discrete_NFET[RDSON25])*1000,""))))))</f>
        <v>6.8999999999999995</v>
      </c>
      <c r="V42" s="48">
        <f>IF(AND(A42&lt;&gt;0,A42&lt;&gt;""),U42*(1+(Tj-25)*(LOOKUP(A42,Discrete_NFET[PARTNUMBER],Discrete_NFET[RDSDELTA])/((LOOKUP(A42,Discrete_NFET[PARTNUMBER],Discrete_NFET[TJMAX])-25)))),"")</f>
        <v>7.9349999999999987</v>
      </c>
      <c r="W42" s="35">
        <f>IF(AND($A42&lt;&gt;0,$A42&lt;&gt;""),LOOKUP($A42,Discrete_NFET[PARTNUMBER],Discrete_NFET[QGS]),"")</f>
        <v>3.1</v>
      </c>
      <c r="X42" s="35">
        <f>IF(AND($A42&lt;&gt;0,$A42&lt;&gt;""),LOOKUP($A42,Discrete_NFET[PARTNUMBER],Discrete_NFET[QGD]),"")</f>
        <v>2</v>
      </c>
      <c r="Y42" s="35">
        <f>IF(AND($A42&lt;&gt;0,$A42&lt;&gt;""),LOOKUP($A42,Discrete_NFET[PARTNUMBER],Discrete_NFET[QGTH]),"")</f>
        <v>1.7</v>
      </c>
      <c r="Z42" s="35">
        <f t="shared" si="28"/>
        <v>3.3999999999999995</v>
      </c>
      <c r="AA42" s="35">
        <f>IF(AND($A42&lt;&gt;0,$A42&lt;&gt;""),LOOKUP($A42,Discrete_NFET[PARTNUMBER],Discrete_NFET[QOSSTYP]),"")</f>
        <v>4.2</v>
      </c>
      <c r="AB42" s="35">
        <f>IF(AND($A42&lt;&gt;0,$A42&lt;&gt;""),LOOKUP($A42,Discrete_NFET[PARTNUMBER],Discrete_NFET[QRR]),"")</f>
        <v>6.5</v>
      </c>
      <c r="AC42" s="35">
        <f>IF(AND(A42&lt;&gt;0,A42&lt;&gt;""),LOOKUP(A42,Discrete_NFET[PARTNUMBER],Discrete_NFET[VF_TYP]),"")</f>
        <v>0.8</v>
      </c>
      <c r="AD42" s="127">
        <f>IF(AND($A42&lt;&gt;0,$A42&lt;&gt;"",OR(RIGHT(Logic!B42,2)="C)",LEFT(Logic!B42,4)="CSD1")),(1+(1-DUTY))*IM_RMS_120^2*V42*m/3/Num_FETS2,"")</f>
        <v>0.33390682710064623</v>
      </c>
      <c r="AE42" s="127">
        <f>IF(AND($A42&lt;&gt;0,$A42&lt;&gt;"",OR(RIGHT(Logic!B42,2)="C)",LEFT(Logic!B42,4)="CSD1")),Num_FETS2*0.5*IM_RMS_120*VDC_AVG*Z42*n*MOT_ELEC_FREQ/GDR_SRC,"")</f>
        <v>1.0964912280701752E-5</v>
      </c>
      <c r="AF42" s="127">
        <f>IF(AND($A42&lt;&gt;0,$A42&lt;&gt;"",OR(RIGHT(Logic!B42,2)="C)",LEFT(Logic!B42,4)="CSD1")),Num_FETS2*0.5*IM_RMS_120*VDC_AVG*Z42*n*MOT_ELEC_FREQ/GDR_SINK,"")</f>
        <v>7.4561403508771912E-6</v>
      </c>
      <c r="AG42" s="127">
        <f>IF(AND($A42&lt;&gt;0,$A42&lt;&gt;"",OR(RIGHT(Logic!B42,2)="T)",LEFT(Logic!B42,4)="CSD1")),DUTY*IM_RMS_120^2*V42*m/3/Num_FETS2,"")</f>
        <v>0.30210617690058467</v>
      </c>
      <c r="AH42" s="127">
        <f>IF(AND($A42&lt;&gt;0,$A42&lt;&gt;"",OR(RIGHT(Logic!B42,2)="T)",LEFT(Logic!B42,4)="CSD1")),Num_FETS2*0.5*IM_RMS_120*VDC_AVG*Z42*n*FSW*k/GDR_SRC/3,"")</f>
        <v>2.1929824561403503E-3</v>
      </c>
      <c r="AI42" s="127">
        <f>IF(AND($A42&lt;&gt;0,$A42&lt;&gt;"",OR(RIGHT(Logic!B42,2)="T)",LEFT(Logic!B42,4)="CSD1")),Num_FETS2*0.5*IM_RMS_120*VDC_AVG*Z42*n*FSW*k/GDR_SINK/3,"")</f>
        <v>1.4912280701754382E-3</v>
      </c>
      <c r="AJ42" s="127">
        <f t="shared" si="31"/>
        <v>5.0400000000000011E-4</v>
      </c>
      <c r="AK42" s="127">
        <f t="shared" si="33"/>
        <v>1.2414567897146714E-2</v>
      </c>
      <c r="AL42" s="127">
        <f t="shared" si="32"/>
        <v>1.5626000000000001E-3</v>
      </c>
      <c r="AM42" s="127">
        <f t="shared" si="29"/>
        <v>0.37243703691440144</v>
      </c>
      <c r="AN42" s="127">
        <f>IF(AND($A42&lt;&gt;0,$A42&lt;&gt;"",OR(RIGHT(Logic!B42,2)="C)",LEFT(Logic!B42,4)="CSD1")),SUM(AD42:AF42)+(AJ42/3)+AK42+AL42/6+AM42/6,AN43)</f>
        <v>0.40884108886949139</v>
      </c>
      <c r="AO42" s="127">
        <f>IF(AND($A42&lt;&gt;0,$A42&lt;&gt;"",OR(RIGHT(Logic!B42,2)="T)",LEFT(Logic!B42,4)="CSD1")),SUM(AG42:AI42)+(AJ42/3)+AL42/6+AM42/6,AO41)</f>
        <v>0.36829166024596732</v>
      </c>
      <c r="AP42" s="48">
        <f t="shared" si="30"/>
        <v>0.78</v>
      </c>
      <c r="AQ42" s="35" t="str">
        <f>IF(AND(A42&lt;&gt;0,A42&lt;&gt;""),LOOKUP(A42,Discrete_NFET[PARTNUMBER],Discrete_NFET[TI_EQ_PACKAGE]),"")</f>
        <v>SON5x6</v>
      </c>
      <c r="AR42" s="49">
        <f>IF(AND(A42&lt;&gt;0,A42&lt;&gt;""),LOOKUP(A42,Discrete_NFET[PARTNUMBER],Discrete_NFET[1KPRICE]),"")</f>
        <v>0.18</v>
      </c>
      <c r="AS42" s="35" t="str">
        <f>IF(AND($A42&lt;&gt;0,$A42&lt;&gt;""),CONCATENATE(TEXT(AP42,"0.00"),"W, ",IF('User Input'!G$11="Single Discrete",A42,IF('User Input'!G$11="Dual/Power Block",LEFT(A42,FIND(")",A42)-7),A42)),", ",AQ42,", ",TEXT(AR42,"$0.00")),"Invalid Part")</f>
        <v>0.78W, CSD17578Q5A, SON5x6, $0.18</v>
      </c>
      <c r="AT42" t="s">
        <v>856</v>
      </c>
      <c r="AW42"/>
    </row>
    <row r="43" spans="1:49" ht="15" customHeight="1" x14ac:dyDescent="0.25">
      <c r="A43" s="35" t="str">
        <f>IF(OR(AND(FET_config2="Dual/Power Block",LEFT(Logic!B43,4)="CSD8"),AND(FET_config2="Single Discrete",LEFT(Logic!B43,4)="CSD1")),Logic!B43,"")</f>
        <v>CSD17579Q3A</v>
      </c>
      <c r="B43" s="37" t="str">
        <f>IF(OR($A43=0,$A43=""),"0",IF(LOOKUP($A43,Discrete_NFET[PARTNUMBER],Discrete_NFET[RDSON25])="(NULL)","0","1"))</f>
        <v>0</v>
      </c>
      <c r="C43" s="38" t="str">
        <f>IF(OR($A43=0,$A43=""),"0",IF(LOOKUP($A43,Discrete_NFET[PARTNUMBER],Discrete_NFET[RDSON3])="(NULL)","0","1"))</f>
        <v>0</v>
      </c>
      <c r="D43" s="40" t="str">
        <f>IF(OR($A43=0,$A43=""),"0",IF(LOOKUP($A43,Discrete_NFET[PARTNUMBER],Discrete_NFET[RDSON45])="(NULL)","0","1"))</f>
        <v>1</v>
      </c>
      <c r="E43" s="45" t="str">
        <f>IF(OR($A43=0,$A43=""),"0",IF(LOOKUP($A43,Discrete_NFET[PARTNUMBER],Discrete_NFET[RDSON6])="(NULL)","0","1"))</f>
        <v>0</v>
      </c>
      <c r="F43" s="34" t="str">
        <f>IF(OR($A43=0,$A43=""),"0",IF(LOOKUP($A43,Discrete_NFET[PARTNUMBER],Discrete_NFET[RDSON8])="(NULL)","0","1"))</f>
        <v>0</v>
      </c>
      <c r="G43" s="43" t="str">
        <f>IF(OR($A43=0,$A43=""),"0",IF(LOOKUP($A43,Discrete_NFET[PARTNUMBER],Discrete_NFET[RDSON10])="(NULL)","0","1"))</f>
        <v>1</v>
      </c>
      <c r="H43" s="36" t="b">
        <f t="shared" si="15"/>
        <v>0</v>
      </c>
      <c r="I43" s="39" t="b">
        <f t="shared" si="16"/>
        <v>0</v>
      </c>
      <c r="J43" s="41" t="b">
        <f t="shared" si="17"/>
        <v>1</v>
      </c>
      <c r="K43" s="46" t="b">
        <f t="shared" si="18"/>
        <v>0</v>
      </c>
      <c r="L43" s="42" t="b">
        <f t="shared" si="19"/>
        <v>0</v>
      </c>
      <c r="M43" s="44" t="b">
        <f t="shared" si="20"/>
        <v>1</v>
      </c>
      <c r="N43" s="47" t="b">
        <f t="shared" si="21"/>
        <v>1</v>
      </c>
      <c r="O43" s="36" t="b">
        <f t="shared" si="22"/>
        <v>0</v>
      </c>
      <c r="P43" s="39" t="b">
        <f t="shared" si="23"/>
        <v>0</v>
      </c>
      <c r="Q43" s="41" t="b">
        <f t="shared" si="24"/>
        <v>1</v>
      </c>
      <c r="R43" s="46" t="b">
        <f t="shared" si="25"/>
        <v>0</v>
      </c>
      <c r="S43" s="42" t="b">
        <f t="shared" si="26"/>
        <v>0</v>
      </c>
      <c r="T43" s="44" t="b">
        <f t="shared" si="27"/>
        <v>1</v>
      </c>
      <c r="U43" s="148">
        <f>IF(T43,LOOKUP(A43,Discrete_NFET[PARTNUMBER],Discrete_NFET[RDSON10])*1000,IF(S43,LOOKUP(A43,Discrete_NFET[PARTNUMBER],Discrete_NFET[RDSON8])*1000,IF(R43,LOOKUP(A43,Discrete_NFET[PARTNUMBER],Discrete_NFET[RDSON6])*1000,IF(Q43,LOOKUP(A43,Discrete_NFET[PARTNUMBER],Discrete_NFET[RDSON45])*1000,IF(P43,LOOKUP(A43,Discrete_NFET[PARTNUMBER],Discrete_NFET[RDSON3])*1000,IF(O43,LOOKUP(A43,Discrete_NFET[PARTNUMBER],Discrete_NFET[RDSON25])*1000,""))))))</f>
        <v>8.6999999999999993</v>
      </c>
      <c r="V43" s="48">
        <f>IF(AND(A43&lt;&gt;0,A43&lt;&gt;""),U43*(1+(Tj-25)*(LOOKUP(A43,Discrete_NFET[PARTNUMBER],Discrete_NFET[RDSDELTA])/((LOOKUP(A43,Discrete_NFET[PARTNUMBER],Discrete_NFET[TJMAX])-25)))),"")</f>
        <v>9.9527999999999981</v>
      </c>
      <c r="W43" s="35">
        <f>IF(AND($A43&lt;&gt;0,$A43&lt;&gt;""),LOOKUP($A43,Discrete_NFET[PARTNUMBER],Discrete_NFET[QGS]),"")</f>
        <v>2.2000000000000002</v>
      </c>
      <c r="X43" s="35">
        <f>IF(AND($A43&lt;&gt;0,$A43&lt;&gt;""),LOOKUP($A43,Discrete_NFET[PARTNUMBER],Discrete_NFET[QGD]),"")</f>
        <v>1.2</v>
      </c>
      <c r="Y43" s="35">
        <f>IF(AND($A43&lt;&gt;0,$A43&lt;&gt;""),LOOKUP($A43,Discrete_NFET[PARTNUMBER],Discrete_NFET[QGTH]),"")</f>
        <v>1.1000000000000001</v>
      </c>
      <c r="Z43" s="35">
        <f t="shared" si="28"/>
        <v>2.3000000000000003</v>
      </c>
      <c r="AA43" s="35">
        <f>IF(AND($A43&lt;&gt;0,$A43&lt;&gt;""),LOOKUP($A43,Discrete_NFET[PARTNUMBER],Discrete_NFET[QOSSTYP]),"")</f>
        <v>3</v>
      </c>
      <c r="AB43" s="35">
        <f>IF(AND($A43&lt;&gt;0,$A43&lt;&gt;""),LOOKUP($A43,Discrete_NFET[PARTNUMBER],Discrete_NFET[QRR]),"")</f>
        <v>3.4</v>
      </c>
      <c r="AC43" s="35">
        <f>IF(AND(A43&lt;&gt;0,A43&lt;&gt;""),LOOKUP(A43,Discrete_NFET[PARTNUMBER],Discrete_NFET[VF_TYP]),"")</f>
        <v>0.8</v>
      </c>
      <c r="AD43" s="127">
        <f>IF(AND($A43&lt;&gt;0,$A43&lt;&gt;"",OR(RIGHT(Logic!B43,2)="C)",LEFT(Logic!B43,4)="CSD1")),(1+(1-DUTY))*IM_RMS_120^2*V43*m/3/Num_FETS2,"")</f>
        <v>0.41881636657433036</v>
      </c>
      <c r="AE43" s="127">
        <f>IF(AND($A43&lt;&gt;0,$A43&lt;&gt;"",OR(RIGHT(Logic!B43,2)="C)",LEFT(Logic!B43,4)="CSD1")),Num_FETS2*0.5*IM_RMS_120*VDC_AVG*Z43*n*MOT_ELEC_FREQ/GDR_SRC,"")</f>
        <v>7.4174406604747163E-6</v>
      </c>
      <c r="AF43" s="127">
        <f>IF(AND($A43&lt;&gt;0,$A43&lt;&gt;"",OR(RIGHT(Logic!B43,2)="C)",LEFT(Logic!B43,4)="CSD1")),Num_FETS2*0.5*IM_RMS_120*VDC_AVG*Z43*n*MOT_ELEC_FREQ/GDR_SINK,"")</f>
        <v>5.0438596491228077E-6</v>
      </c>
      <c r="AG43" s="127">
        <f>IF(AND($A43&lt;&gt;0,$A43&lt;&gt;"",OR(RIGHT(Logic!B43,2)="T)",LEFT(Logic!B43,4)="CSD1")),DUTY*IM_RMS_120^2*V43*m/3/Num_FETS2,"")</f>
        <v>0.3789290935672513</v>
      </c>
      <c r="AH43" s="127">
        <f>IF(AND($A43&lt;&gt;0,$A43&lt;&gt;"",OR(RIGHT(Logic!B43,2)="T)",LEFT(Logic!B43,4)="CSD1")),Num_FETS2*0.5*IM_RMS_120*VDC_AVG*Z43*n*FSW*k/GDR_SRC/3,"")</f>
        <v>1.4834881320949433E-3</v>
      </c>
      <c r="AI43" s="127">
        <f>IF(AND($A43&lt;&gt;0,$A43&lt;&gt;"",OR(RIGHT(Logic!B43,2)="T)",LEFT(Logic!B43,4)="CSD1")),Num_FETS2*0.5*IM_RMS_120*VDC_AVG*Z43*n*FSW*k/GDR_SINK/3,"")</f>
        <v>1.0087719298245616E-3</v>
      </c>
      <c r="AJ43" s="127">
        <f t="shared" si="31"/>
        <v>3.6000000000000002E-4</v>
      </c>
      <c r="AK43" s="127">
        <f t="shared" si="33"/>
        <v>1.2414567897146714E-2</v>
      </c>
      <c r="AL43" s="127">
        <f t="shared" si="32"/>
        <v>8.1735999999999994E-4</v>
      </c>
      <c r="AM43" s="127">
        <f t="shared" si="29"/>
        <v>0.37243703691440144</v>
      </c>
      <c r="AN43" s="127">
        <f>IF(AND($A43&lt;&gt;0,$A43&lt;&gt;"",OR(RIGHT(Logic!B43,2)="C)",LEFT(Logic!B43,4)="CSD1")),SUM(AD43:AF43)+(AJ43/3)+AK43+AL43/6+AM43/6,AN44)</f>
        <v>0.49357246192418691</v>
      </c>
      <c r="AO43" s="127">
        <f>IF(AND($A43&lt;&gt;0,$A43&lt;&gt;"",OR(RIGHT(Logic!B43,2)="T)",LEFT(Logic!B43,4)="CSD1")),SUM(AG43:AI43)+(AJ43/3)+AL43/6+AM43/6,AO42)</f>
        <v>0.44375041978157104</v>
      </c>
      <c r="AP43" s="48">
        <f t="shared" si="30"/>
        <v>0.94</v>
      </c>
      <c r="AQ43" s="35" t="str">
        <f>IF(AND(A43&lt;&gt;0,A43&lt;&gt;""),LOOKUP(A43,Discrete_NFET[PARTNUMBER],Discrete_NFET[TI_EQ_PACKAGE]),"")</f>
        <v>SON3x3</v>
      </c>
      <c r="AR43" s="49">
        <f>IF(AND(A43&lt;&gt;0,A43&lt;&gt;""),LOOKUP(A43,Discrete_NFET[PARTNUMBER],Discrete_NFET[1KPRICE]),"")</f>
        <v>0.15</v>
      </c>
      <c r="AS43" s="35" t="str">
        <f>IF(AND($A43&lt;&gt;0,$A43&lt;&gt;""),CONCATENATE(TEXT(AP43,"0.00"),"W, ",IF('User Input'!G$11="Single Discrete",A43,IF('User Input'!G$11="Dual/Power Block",LEFT(A43,FIND(")",A43)-7),A43)),", ",AQ43,", ",TEXT(AR43,"$0.00")),"Invalid Part")</f>
        <v>0.94W, CSD17579Q3A, SON3x3, $0.15</v>
      </c>
      <c r="AT43" t="s">
        <v>829</v>
      </c>
      <c r="AW43"/>
    </row>
    <row r="44" spans="1:49" ht="15" customHeight="1" x14ac:dyDescent="0.25">
      <c r="A44" s="35" t="str">
        <f>IF(OR(AND(FET_config2="Dual/Power Block",LEFT(Logic!B44,4)="CSD8"),AND(FET_config2="Single Discrete",LEFT(Logic!B44,4)="CSD1")),Logic!B44,"")</f>
        <v>CSD17579Q5A</v>
      </c>
      <c r="B44" s="37" t="str">
        <f>IF(OR($A44=0,$A44=""),"0",IF(LOOKUP($A44,Discrete_NFET[PARTNUMBER],Discrete_NFET[RDSON25])="(NULL)","0","1"))</f>
        <v>0</v>
      </c>
      <c r="C44" s="38" t="str">
        <f>IF(OR($A44=0,$A44=""),"0",IF(LOOKUP($A44,Discrete_NFET[PARTNUMBER],Discrete_NFET[RDSON3])="(NULL)","0","1"))</f>
        <v>0</v>
      </c>
      <c r="D44" s="40" t="str">
        <f>IF(OR($A44=0,$A44=""),"0",IF(LOOKUP($A44,Discrete_NFET[PARTNUMBER],Discrete_NFET[RDSON45])="(NULL)","0","1"))</f>
        <v>1</v>
      </c>
      <c r="E44" s="45" t="str">
        <f>IF(OR($A44=0,$A44=""),"0",IF(LOOKUP($A44,Discrete_NFET[PARTNUMBER],Discrete_NFET[RDSON6])="(NULL)","0","1"))</f>
        <v>0</v>
      </c>
      <c r="F44" s="34" t="str">
        <f>IF(OR($A44=0,$A44=""),"0",IF(LOOKUP($A44,Discrete_NFET[PARTNUMBER],Discrete_NFET[RDSON8])="(NULL)","0","1"))</f>
        <v>0</v>
      </c>
      <c r="G44" s="43" t="str">
        <f>IF(OR($A44=0,$A44=""),"0",IF(LOOKUP($A44,Discrete_NFET[PARTNUMBER],Discrete_NFET[RDSON10])="(NULL)","0","1"))</f>
        <v>1</v>
      </c>
      <c r="H44" s="36" t="b">
        <f t="shared" si="15"/>
        <v>0</v>
      </c>
      <c r="I44" s="39" t="b">
        <f t="shared" si="16"/>
        <v>0</v>
      </c>
      <c r="J44" s="41" t="b">
        <f t="shared" si="17"/>
        <v>1</v>
      </c>
      <c r="K44" s="46" t="b">
        <f t="shared" si="18"/>
        <v>0</v>
      </c>
      <c r="L44" s="42" t="b">
        <f t="shared" si="19"/>
        <v>0</v>
      </c>
      <c r="M44" s="44" t="b">
        <f t="shared" si="20"/>
        <v>1</v>
      </c>
      <c r="N44" s="47" t="b">
        <f t="shared" si="21"/>
        <v>1</v>
      </c>
      <c r="O44" s="36" t="b">
        <f t="shared" si="22"/>
        <v>0</v>
      </c>
      <c r="P44" s="39" t="b">
        <f t="shared" si="23"/>
        <v>0</v>
      </c>
      <c r="Q44" s="41" t="b">
        <f t="shared" si="24"/>
        <v>1</v>
      </c>
      <c r="R44" s="46" t="b">
        <f t="shared" si="25"/>
        <v>0</v>
      </c>
      <c r="S44" s="42" t="b">
        <f t="shared" si="26"/>
        <v>0</v>
      </c>
      <c r="T44" s="44" t="b">
        <f t="shared" si="27"/>
        <v>1</v>
      </c>
      <c r="U44" s="148">
        <f>IF(T44,LOOKUP(A44,Discrete_NFET[PARTNUMBER],Discrete_NFET[RDSON10])*1000,IF(S44,LOOKUP(A44,Discrete_NFET[PARTNUMBER],Discrete_NFET[RDSON8])*1000,IF(R44,LOOKUP(A44,Discrete_NFET[PARTNUMBER],Discrete_NFET[RDSON6])*1000,IF(Q44,LOOKUP(A44,Discrete_NFET[PARTNUMBER],Discrete_NFET[RDSON45])*1000,IF(P44,LOOKUP(A44,Discrete_NFET[PARTNUMBER],Discrete_NFET[RDSON3])*1000,IF(O44,LOOKUP(A44,Discrete_NFET[PARTNUMBER],Discrete_NFET[RDSON25])*1000,""))))))</f>
        <v>9.7000000000000011</v>
      </c>
      <c r="V44" s="48">
        <f>IF(AND(A44&lt;&gt;0,A44&lt;&gt;""),U44*(1+(Tj-25)*(LOOKUP(A44,Discrete_NFET[PARTNUMBER],Discrete_NFET[RDSDELTA])/((LOOKUP(A44,Discrete_NFET[PARTNUMBER],Discrete_NFET[TJMAX])-25)))),"")</f>
        <v>11.155000000000001</v>
      </c>
      <c r="W44" s="35">
        <f>IF(AND($A44&lt;&gt;0,$A44&lt;&gt;""),LOOKUP($A44,Discrete_NFET[PARTNUMBER],Discrete_NFET[QGS]),"")</f>
        <v>2.2999999999999998</v>
      </c>
      <c r="X44" s="35">
        <f>IF(AND($A44&lt;&gt;0,$A44&lt;&gt;""),LOOKUP($A44,Discrete_NFET[PARTNUMBER],Discrete_NFET[QGD]),"")</f>
        <v>1.2</v>
      </c>
      <c r="Y44" s="35">
        <f>IF(AND($A44&lt;&gt;0,$A44&lt;&gt;""),LOOKUP($A44,Discrete_NFET[PARTNUMBER],Discrete_NFET[QGTH]),"")</f>
        <v>1.1000000000000001</v>
      </c>
      <c r="Z44" s="35">
        <f t="shared" si="28"/>
        <v>2.4</v>
      </c>
      <c r="AA44" s="35">
        <f>IF(AND($A44&lt;&gt;0,$A44&lt;&gt;""),LOOKUP($A44,Discrete_NFET[PARTNUMBER],Discrete_NFET[QOSSTYP]),"")</f>
        <v>2.9</v>
      </c>
      <c r="AB44" s="35">
        <f>IF(AND($A44&lt;&gt;0,$A44&lt;&gt;""),LOOKUP($A44,Discrete_NFET[PARTNUMBER],Discrete_NFET[QRR]),"")</f>
        <v>4.2</v>
      </c>
      <c r="AC44" s="35">
        <f>IF(AND(A44&lt;&gt;0,A44&lt;&gt;""),LOOKUP(A44,Discrete_NFET[PARTNUMBER],Discrete_NFET[VF_TYP]),"")</f>
        <v>0.8</v>
      </c>
      <c r="AD44" s="127">
        <f>IF(AND($A44&lt;&gt;0,$A44&lt;&gt;"",OR(RIGHT(Logic!B44,2)="C)",LEFT(Logic!B44,4)="CSD1")),(1+(1-DUTY))*IM_RMS_120^2*V44*m/3/Num_FETS2,"")</f>
        <v>0.46940524969221292</v>
      </c>
      <c r="AE44" s="127">
        <f>IF(AND($A44&lt;&gt;0,$A44&lt;&gt;"",OR(RIGHT(Logic!B44,2)="C)",LEFT(Logic!B44,4)="CSD1")),Num_FETS2*0.5*IM_RMS_120*VDC_AVG*Z44*n*MOT_ELEC_FREQ/GDR_SRC,"")</f>
        <v>7.7399380804953562E-6</v>
      </c>
      <c r="AF44" s="127">
        <f>IF(AND($A44&lt;&gt;0,$A44&lt;&gt;"",OR(RIGHT(Logic!B44,2)="C)",LEFT(Logic!B44,4)="CSD1")),Num_FETS2*0.5*IM_RMS_120*VDC_AVG*Z44*n*MOT_ELEC_FREQ/GDR_SINK,"")</f>
        <v>5.2631578947368422E-6</v>
      </c>
      <c r="AG44" s="127">
        <f>IF(AND($A44&lt;&gt;0,$A44&lt;&gt;"",OR(RIGHT(Logic!B44,2)="T)",LEFT(Logic!B44,4)="CSD1")),DUTY*IM_RMS_120^2*V44*m/3/Num_FETS2,"")</f>
        <v>0.4246999878167641</v>
      </c>
      <c r="AH44" s="127">
        <f>IF(AND($A44&lt;&gt;0,$A44&lt;&gt;"",OR(RIGHT(Logic!B44,2)="T)",LEFT(Logic!B44,4)="CSD1")),Num_FETS2*0.5*IM_RMS_120*VDC_AVG*Z44*n*FSW*k/GDR_SRC/3,"")</f>
        <v>1.5479876160990711E-3</v>
      </c>
      <c r="AI44" s="127">
        <f>IF(AND($A44&lt;&gt;0,$A44&lt;&gt;"",OR(RIGHT(Logic!B44,2)="T)",LEFT(Logic!B44,4)="CSD1")),Num_FETS2*0.5*IM_RMS_120*VDC_AVG*Z44*n*FSW*k/GDR_SINK/3,"")</f>
        <v>1.0526315789473684E-3</v>
      </c>
      <c r="AJ44" s="127">
        <f t="shared" si="31"/>
        <v>3.48E-4</v>
      </c>
      <c r="AK44" s="127">
        <f t="shared" si="33"/>
        <v>1.2414567897146714E-2</v>
      </c>
      <c r="AL44" s="127">
        <f t="shared" si="32"/>
        <v>1.00968E-3</v>
      </c>
      <c r="AM44" s="127">
        <f t="shared" si="29"/>
        <v>0.37243703691440144</v>
      </c>
      <c r="AN44" s="127">
        <f>IF(AND($A44&lt;&gt;0,$A44&lt;&gt;"",OR(RIGHT(Logic!B44,2)="C)",LEFT(Logic!B44,4)="CSD1")),SUM(AD44:AF44)+(AJ44/3)+AK44+AL44/6+AM44/6,AN45)</f>
        <v>0.54418994017106848</v>
      </c>
      <c r="AO44" s="127">
        <f>IF(AND($A44&lt;&gt;0,$A44&lt;&gt;"",OR(RIGHT(Logic!B44,2)="T)",LEFT(Logic!B44,4)="CSD1")),SUM(AG44:AI44)+(AJ44/3)+AL44/6+AM44/6,AO43)</f>
        <v>0.48965772649754413</v>
      </c>
      <c r="AP44" s="48">
        <f t="shared" si="30"/>
        <v>1.03</v>
      </c>
      <c r="AQ44" s="35" t="str">
        <f>IF(AND(A44&lt;&gt;0,A44&lt;&gt;""),LOOKUP(A44,Discrete_NFET[PARTNUMBER],Discrete_NFET[TI_EQ_PACKAGE]),"")</f>
        <v>SON5x6</v>
      </c>
      <c r="AR44" s="49">
        <f>IF(AND(A44&lt;&gt;0,A44&lt;&gt;""),LOOKUP(A44,Discrete_NFET[PARTNUMBER],Discrete_NFET[1KPRICE]),"")</f>
        <v>0.16</v>
      </c>
      <c r="AS44" s="35" t="str">
        <f>IF(AND($A44&lt;&gt;0,$A44&lt;&gt;""),CONCATENATE(TEXT(AP44,"0.00"),"W, ",IF('User Input'!G$11="Single Discrete",A44,IF('User Input'!G$11="Dual/Power Block",LEFT(A44,FIND(")",A44)-7),A44)),", ",AQ44,", ",TEXT(AR44,"$0.00")),"Invalid Part")</f>
        <v>1.03W, CSD17579Q5A, SON5x6, $0.16</v>
      </c>
      <c r="AT44" t="s">
        <v>876</v>
      </c>
      <c r="AW44"/>
    </row>
    <row r="45" spans="1:49" ht="15" customHeight="1" x14ac:dyDescent="0.25">
      <c r="A45" s="35" t="str">
        <f>IF(OR(AND(FET_config2="Dual/Power Block",LEFT(Logic!B45,4)="CSD8"),AND(FET_config2="Single Discrete",LEFT(Logic!B45,4)="CSD1")),Logic!B45,"")</f>
        <v>CSD17581Q3A</v>
      </c>
      <c r="B45" s="37" t="str">
        <f>IF(OR($A45=0,$A45=""),"0",IF(LOOKUP($A45,Discrete_NFET[PARTNUMBER],Discrete_NFET[RDSON25])="(NULL)","0","1"))</f>
        <v>0</v>
      </c>
      <c r="C45" s="38" t="str">
        <f>IF(OR($A45=0,$A45=""),"0",IF(LOOKUP($A45,Discrete_NFET[PARTNUMBER],Discrete_NFET[RDSON3])="(NULL)","0","1"))</f>
        <v>0</v>
      </c>
      <c r="D45" s="40" t="str">
        <f>IF(OR($A45=0,$A45=""),"0",IF(LOOKUP($A45,Discrete_NFET[PARTNUMBER],Discrete_NFET[RDSON45])="(NULL)","0","1"))</f>
        <v>1</v>
      </c>
      <c r="E45" s="45" t="str">
        <f>IF(OR($A45=0,$A45=""),"0",IF(LOOKUP($A45,Discrete_NFET[PARTNUMBER],Discrete_NFET[RDSON6])="(NULL)","0","1"))</f>
        <v>0</v>
      </c>
      <c r="F45" s="34" t="str">
        <f>IF(OR($A45=0,$A45=""),"0",IF(LOOKUP($A45,Discrete_NFET[PARTNUMBER],Discrete_NFET[RDSON8])="(NULL)","0","1"))</f>
        <v>0</v>
      </c>
      <c r="G45" s="43" t="str">
        <f>IF(OR($A45=0,$A45=""),"0",IF(LOOKUP($A45,Discrete_NFET[PARTNUMBER],Discrete_NFET[RDSON10])="(NULL)","0","1"))</f>
        <v>1</v>
      </c>
      <c r="H45" s="36" t="b">
        <f t="shared" si="15"/>
        <v>0</v>
      </c>
      <c r="I45" s="39" t="b">
        <f t="shared" si="16"/>
        <v>0</v>
      </c>
      <c r="J45" s="41" t="b">
        <f t="shared" si="17"/>
        <v>1</v>
      </c>
      <c r="K45" s="46" t="b">
        <f t="shared" si="18"/>
        <v>0</v>
      </c>
      <c r="L45" s="42" t="b">
        <f t="shared" si="19"/>
        <v>0</v>
      </c>
      <c r="M45" s="44" t="b">
        <f t="shared" si="20"/>
        <v>1</v>
      </c>
      <c r="N45" s="47" t="b">
        <f t="shared" si="21"/>
        <v>1</v>
      </c>
      <c r="O45" s="36" t="b">
        <f t="shared" si="22"/>
        <v>0</v>
      </c>
      <c r="P45" s="39" t="b">
        <f t="shared" si="23"/>
        <v>0</v>
      </c>
      <c r="Q45" s="41" t="b">
        <f t="shared" si="24"/>
        <v>1</v>
      </c>
      <c r="R45" s="46" t="b">
        <f t="shared" si="25"/>
        <v>0</v>
      </c>
      <c r="S45" s="42" t="b">
        <f t="shared" si="26"/>
        <v>0</v>
      </c>
      <c r="T45" s="44" t="b">
        <f t="shared" si="27"/>
        <v>1</v>
      </c>
      <c r="U45" s="148">
        <f>IF(T45,LOOKUP(A45,Discrete_NFET[PARTNUMBER],Discrete_NFET[RDSON10])*1000,IF(S45,LOOKUP(A45,Discrete_NFET[PARTNUMBER],Discrete_NFET[RDSON8])*1000,IF(R45,LOOKUP(A45,Discrete_NFET[PARTNUMBER],Discrete_NFET[RDSON6])*1000,IF(Q45,LOOKUP(A45,Discrete_NFET[PARTNUMBER],Discrete_NFET[RDSON45])*1000,IF(P45,LOOKUP(A45,Discrete_NFET[PARTNUMBER],Discrete_NFET[RDSON3])*1000,IF(O45,LOOKUP(A45,Discrete_NFET[PARTNUMBER],Discrete_NFET[RDSON25])*1000,""))))))</f>
        <v>3.8</v>
      </c>
      <c r="V45" s="48">
        <f>IF(AND(A45&lt;&gt;0,A45&lt;&gt;""),U45*(1+(Tj-25)*(LOOKUP(A45,Discrete_NFET[PARTNUMBER],Discrete_NFET[RDSDELTA])/((LOOKUP(A45,Discrete_NFET[PARTNUMBER],Discrete_NFET[TJMAX])-25)))),"")</f>
        <v>4.2560000000000002</v>
      </c>
      <c r="W45" s="35">
        <f>IF(AND($A45&lt;&gt;0,$A45&lt;&gt;""),LOOKUP($A45,Discrete_NFET[PARTNUMBER],Discrete_NFET[QGS]),"")</f>
        <v>6.9</v>
      </c>
      <c r="X45" s="35">
        <f>IF(AND($A45&lt;&gt;0,$A45&lt;&gt;""),LOOKUP($A45,Discrete_NFET[PARTNUMBER],Discrete_NFET[QGD]),"")</f>
        <v>4</v>
      </c>
      <c r="Y45" s="35">
        <f>IF(AND($A45&lt;&gt;0,$A45&lt;&gt;""),LOOKUP($A45,Discrete_NFET[PARTNUMBER],Discrete_NFET[QGTH]),"")</f>
        <v>3.6</v>
      </c>
      <c r="Z45" s="35">
        <f t="shared" si="28"/>
        <v>7.3000000000000007</v>
      </c>
      <c r="AA45" s="35">
        <f>IF(AND($A45&lt;&gt;0,$A45&lt;&gt;""),LOOKUP($A45,Discrete_NFET[PARTNUMBER],Discrete_NFET[QOSSTYP]),"")</f>
        <v>11.7</v>
      </c>
      <c r="AB45" s="35">
        <f>IF(AND($A45&lt;&gt;0,$A45&lt;&gt;""),LOOKUP($A45,Discrete_NFET[PARTNUMBER],Discrete_NFET[QRR]),"")</f>
        <v>10.199999999999999</v>
      </c>
      <c r="AC45" s="35">
        <f>IF(AND(A45&lt;&gt;0,A45&lt;&gt;""),LOOKUP(A45,Discrete_NFET[PARTNUMBER],Discrete_NFET[VF_TYP]),"")</f>
        <v>0.8</v>
      </c>
      <c r="AD45" s="127">
        <f>IF(AND($A45&lt;&gt;0,$A45&lt;&gt;"",OR(RIGHT(Logic!B45,2)="C)",LEFT(Logic!B45,4)="CSD1")),(1+(1-DUTY))*IM_RMS_120^2*V45*m/3/Num_FETS2,"")</f>
        <v>0.17909356725146197</v>
      </c>
      <c r="AE45" s="127">
        <f>IF(AND($A45&lt;&gt;0,$A45&lt;&gt;"",OR(RIGHT(Logic!B45,2)="C)",LEFT(Logic!B45,4)="CSD1")),Num_FETS2*0.5*IM_RMS_120*VDC_AVG*Z45*n*MOT_ELEC_FREQ/GDR_SRC,"")</f>
        <v>2.3542311661506708E-5</v>
      </c>
      <c r="AF45" s="127">
        <f>IF(AND($A45&lt;&gt;0,$A45&lt;&gt;"",OR(RIGHT(Logic!B45,2)="C)",LEFT(Logic!B45,4)="CSD1")),Num_FETS2*0.5*IM_RMS_120*VDC_AVG*Z45*n*MOT_ELEC_FREQ/GDR_SINK,"")</f>
        <v>1.6008771929824562E-5</v>
      </c>
      <c r="AG45" s="127">
        <f>IF(AND($A45&lt;&gt;0,$A45&lt;&gt;"",OR(RIGHT(Logic!B45,2)="T)",LEFT(Logic!B45,4)="CSD1")),DUTY*IM_RMS_120^2*V45*m/3/Num_FETS2,"")</f>
        <v>0.16203703703703701</v>
      </c>
      <c r="AH45" s="127">
        <f>IF(AND($A45&lt;&gt;0,$A45&lt;&gt;"",OR(RIGHT(Logic!B45,2)="T)",LEFT(Logic!B45,4)="CSD1")),Num_FETS2*0.5*IM_RMS_120*VDC_AVG*Z45*n*FSW*k/GDR_SRC/3,"")</f>
        <v>4.708462332301341E-3</v>
      </c>
      <c r="AI45" s="127">
        <f>IF(AND($A45&lt;&gt;0,$A45&lt;&gt;"",OR(RIGHT(Logic!B45,2)="T)",LEFT(Logic!B45,4)="CSD1")),Num_FETS2*0.5*IM_RMS_120*VDC_AVG*Z45*n*FSW*k/GDR_SINK/3,"")</f>
        <v>3.2017543859649122E-3</v>
      </c>
      <c r="AJ45" s="127">
        <f t="shared" si="31"/>
        <v>1.4039999999999999E-3</v>
      </c>
      <c r="AK45" s="127">
        <f t="shared" si="33"/>
        <v>1.2414567897146714E-2</v>
      </c>
      <c r="AL45" s="127">
        <f t="shared" si="32"/>
        <v>2.4520799999999997E-3</v>
      </c>
      <c r="AM45" s="127">
        <f t="shared" si="29"/>
        <v>0.37243703691440144</v>
      </c>
      <c r="AN45" s="127">
        <f>IF(AND($A45&lt;&gt;0,$A45&lt;&gt;"",OR(RIGHT(Logic!B45,2)="C)",LEFT(Logic!B45,4)="CSD1")),SUM(AD45:AF45)+(AJ45/3)+AK45+AL45/6+AM45/6,AN46)</f>
        <v>0.25449720571793361</v>
      </c>
      <c r="AO45" s="127">
        <f>IF(AND($A45&lt;&gt;0,$A45&lt;&gt;"",OR(RIGHT(Logic!B45,2)="T)",LEFT(Logic!B45,4)="CSD1")),SUM(AG45:AI45)+(AJ45/3)+AL45/6+AM45/6,AO44)</f>
        <v>0.23289677324103683</v>
      </c>
      <c r="AP45" s="48">
        <f t="shared" si="30"/>
        <v>0.49</v>
      </c>
      <c r="AQ45" s="35" t="str">
        <f>IF(AND(A45&lt;&gt;0,A45&lt;&gt;""),LOOKUP(A45,Discrete_NFET[PARTNUMBER],Discrete_NFET[TI_EQ_PACKAGE]),"")</f>
        <v>SON3X3</v>
      </c>
      <c r="AR45" s="49">
        <f>IF(AND(A45&lt;&gt;0,A45&lt;&gt;""),LOOKUP(A45,Discrete_NFET[PARTNUMBER],Discrete_NFET[1KPRICE]),"")</f>
        <v>0.22</v>
      </c>
      <c r="AS45" s="35" t="str">
        <f>IF(AND($A45&lt;&gt;0,$A45&lt;&gt;""),CONCATENATE(TEXT(AP45,"0.00"),"W, ",IF('User Input'!G$11="Single Discrete",A45,IF('User Input'!G$11="Dual/Power Block",LEFT(A45,FIND(")",A45)-7),A45)),", ",AQ45,", ",TEXT(AR45,"$0.00")),"Invalid Part")</f>
        <v>0.49W, CSD17581Q3A, SON3X3, $0.22</v>
      </c>
      <c r="AT45" t="s">
        <v>877</v>
      </c>
      <c r="AW45"/>
    </row>
    <row r="46" spans="1:49" ht="15" customHeight="1" x14ac:dyDescent="0.25">
      <c r="A46" s="35" t="str">
        <f>IF(OR(AND(FET_config2="Dual/Power Block",LEFT(Logic!B46,4)="CSD8"),AND(FET_config2="Single Discrete",LEFT(Logic!B46,4)="CSD1")),Logic!B46,"")</f>
        <v>CSD17581Q5A</v>
      </c>
      <c r="B46" s="37" t="str">
        <f>IF(OR($A46=0,$A46=""),"0",IF(LOOKUP($A46,Discrete_NFET[PARTNUMBER],Discrete_NFET[RDSON25])="(NULL)","0","1"))</f>
        <v>0</v>
      </c>
      <c r="C46" s="38" t="str">
        <f>IF(OR($A46=0,$A46=""),"0",IF(LOOKUP($A46,Discrete_NFET[PARTNUMBER],Discrete_NFET[RDSON3])="(NULL)","0","1"))</f>
        <v>0</v>
      </c>
      <c r="D46" s="40" t="str">
        <f>IF(OR($A46=0,$A46=""),"0",IF(LOOKUP($A46,Discrete_NFET[PARTNUMBER],Discrete_NFET[RDSON45])="(NULL)","0","1"))</f>
        <v>1</v>
      </c>
      <c r="E46" s="45" t="str">
        <f>IF(OR($A46=0,$A46=""),"0",IF(LOOKUP($A46,Discrete_NFET[PARTNUMBER],Discrete_NFET[RDSON6])="(NULL)","0","1"))</f>
        <v>0</v>
      </c>
      <c r="F46" s="34" t="str">
        <f>IF(OR($A46=0,$A46=""),"0",IF(LOOKUP($A46,Discrete_NFET[PARTNUMBER],Discrete_NFET[RDSON8])="(NULL)","0","1"))</f>
        <v>0</v>
      </c>
      <c r="G46" s="43" t="str">
        <f>IF(OR($A46=0,$A46=""),"0",IF(LOOKUP($A46,Discrete_NFET[PARTNUMBER],Discrete_NFET[RDSON10])="(NULL)","0","1"))</f>
        <v>1</v>
      </c>
      <c r="H46" s="36" t="b">
        <f t="shared" si="15"/>
        <v>0</v>
      </c>
      <c r="I46" s="39" t="b">
        <f t="shared" si="16"/>
        <v>0</v>
      </c>
      <c r="J46" s="41" t="b">
        <f t="shared" si="17"/>
        <v>1</v>
      </c>
      <c r="K46" s="46" t="b">
        <f t="shared" si="18"/>
        <v>0</v>
      </c>
      <c r="L46" s="42" t="b">
        <f t="shared" si="19"/>
        <v>0</v>
      </c>
      <c r="M46" s="44" t="b">
        <f t="shared" si="20"/>
        <v>1</v>
      </c>
      <c r="N46" s="47" t="b">
        <f t="shared" si="21"/>
        <v>1</v>
      </c>
      <c r="O46" s="36" t="b">
        <f t="shared" si="22"/>
        <v>0</v>
      </c>
      <c r="P46" s="39" t="b">
        <f t="shared" si="23"/>
        <v>0</v>
      </c>
      <c r="Q46" s="41" t="b">
        <f t="shared" si="24"/>
        <v>1</v>
      </c>
      <c r="R46" s="46" t="b">
        <f t="shared" si="25"/>
        <v>0</v>
      </c>
      <c r="S46" s="42" t="b">
        <f t="shared" si="26"/>
        <v>0</v>
      </c>
      <c r="T46" s="44" t="b">
        <f t="shared" si="27"/>
        <v>1</v>
      </c>
      <c r="U46" s="148">
        <f>IF(T46,LOOKUP(A46,Discrete_NFET[PARTNUMBER],Discrete_NFET[RDSON10])*1000,IF(S46,LOOKUP(A46,Discrete_NFET[PARTNUMBER],Discrete_NFET[RDSON8])*1000,IF(R46,LOOKUP(A46,Discrete_NFET[PARTNUMBER],Discrete_NFET[RDSON6])*1000,IF(Q46,LOOKUP(A46,Discrete_NFET[PARTNUMBER],Discrete_NFET[RDSON45])*1000,IF(P46,LOOKUP(A46,Discrete_NFET[PARTNUMBER],Discrete_NFET[RDSON3])*1000,IF(O46,LOOKUP(A46,Discrete_NFET[PARTNUMBER],Discrete_NFET[RDSON25])*1000,""))))))</f>
        <v>3.4</v>
      </c>
      <c r="V46" s="48">
        <f>IF(AND(A46&lt;&gt;0,A46&lt;&gt;""),U46*(1+(Tj-25)*(LOOKUP(A46,Discrete_NFET[PARTNUMBER],Discrete_NFET[RDSDELTA])/((LOOKUP(A46,Discrete_NFET[PARTNUMBER],Discrete_NFET[TJMAX])-25)))),"")</f>
        <v>3.8080000000000003</v>
      </c>
      <c r="W46" s="35">
        <f>IF(AND($A46&lt;&gt;0,$A46&lt;&gt;""),LOOKUP($A46,Discrete_NFET[PARTNUMBER],Discrete_NFET[QGS]),"")</f>
        <v>6.9</v>
      </c>
      <c r="X46" s="35">
        <f>IF(AND($A46&lt;&gt;0,$A46&lt;&gt;""),LOOKUP($A46,Discrete_NFET[PARTNUMBER],Discrete_NFET[QGD]),"")</f>
        <v>4</v>
      </c>
      <c r="Y46" s="35">
        <f>IF(AND($A46&lt;&gt;0,$A46&lt;&gt;""),LOOKUP($A46,Discrete_NFET[PARTNUMBER],Discrete_NFET[QGTH]),"")</f>
        <v>3.6</v>
      </c>
      <c r="Z46" s="35">
        <f t="shared" si="28"/>
        <v>7.3000000000000007</v>
      </c>
      <c r="AA46" s="35">
        <f>IF(AND($A46&lt;&gt;0,$A46&lt;&gt;""),LOOKUP($A46,Discrete_NFET[PARTNUMBER],Discrete_NFET[QOSSTYP]),"")</f>
        <v>11.7</v>
      </c>
      <c r="AB46" s="35">
        <f>IF(AND($A46&lt;&gt;0,$A46&lt;&gt;""),LOOKUP($A46,Discrete_NFET[PARTNUMBER],Discrete_NFET[QRR]),"")</f>
        <v>13</v>
      </c>
      <c r="AC46" s="35">
        <f>IF(AND(A46&lt;&gt;0,A46&lt;&gt;""),LOOKUP(A46,Discrete_NFET[PARTNUMBER],Discrete_NFET[VF_TYP]),"")</f>
        <v>0.8</v>
      </c>
      <c r="AD46" s="127">
        <f>IF(AND($A46&lt;&gt;0,$A46&lt;&gt;"",OR(RIGHT(Logic!B46,2)="C)",LEFT(Logic!B46,4)="CSD1")),(1+(1-DUTY))*IM_RMS_120^2*V46*m/3/Num_FETS2,"")</f>
        <v>0.16024161280393964</v>
      </c>
      <c r="AE46" s="127">
        <f>IF(AND($A46&lt;&gt;0,$A46&lt;&gt;"",OR(RIGHT(Logic!B46,2)="C)",LEFT(Logic!B46,4)="CSD1")),Num_FETS2*0.5*IM_RMS_120*VDC_AVG*Z46*n*MOT_ELEC_FREQ/GDR_SRC,"")</f>
        <v>2.3542311661506708E-5</v>
      </c>
      <c r="AF46" s="127">
        <f>IF(AND($A46&lt;&gt;0,$A46&lt;&gt;"",OR(RIGHT(Logic!B46,2)="C)",LEFT(Logic!B46,4)="CSD1")),Num_FETS2*0.5*IM_RMS_120*VDC_AVG*Z46*n*MOT_ELEC_FREQ/GDR_SINK,"")</f>
        <v>1.6008771929824562E-5</v>
      </c>
      <c r="AG46" s="127">
        <f>IF(AND($A46&lt;&gt;0,$A46&lt;&gt;"",OR(RIGHT(Logic!B46,2)="T)",LEFT(Logic!B46,4)="CSD1")),DUTY*IM_RMS_120^2*V46*m/3/Num_FETS2,"")</f>
        <v>0.14498050682261207</v>
      </c>
      <c r="AH46" s="127">
        <f>IF(AND($A46&lt;&gt;0,$A46&lt;&gt;"",OR(RIGHT(Logic!B46,2)="T)",LEFT(Logic!B46,4)="CSD1")),Num_FETS2*0.5*IM_RMS_120*VDC_AVG*Z46*n*FSW*k/GDR_SRC/3,"")</f>
        <v>4.708462332301341E-3</v>
      </c>
      <c r="AI46" s="127">
        <f>IF(AND($A46&lt;&gt;0,$A46&lt;&gt;"",OR(RIGHT(Logic!B46,2)="T)",LEFT(Logic!B46,4)="CSD1")),Num_FETS2*0.5*IM_RMS_120*VDC_AVG*Z46*n*FSW*k/GDR_SINK/3,"")</f>
        <v>3.2017543859649122E-3</v>
      </c>
      <c r="AJ46" s="127">
        <f t="shared" si="31"/>
        <v>1.4039999999999999E-3</v>
      </c>
      <c r="AK46" s="127">
        <f t="shared" si="33"/>
        <v>1.2414567897146714E-2</v>
      </c>
      <c r="AL46" s="127">
        <f t="shared" si="32"/>
        <v>3.1252000000000003E-3</v>
      </c>
      <c r="AM46" s="127">
        <f t="shared" si="29"/>
        <v>0.37243703691440144</v>
      </c>
      <c r="AN46" s="127">
        <f>IF(AND($A46&lt;&gt;0,$A46&lt;&gt;"",OR(RIGHT(Logic!B46,2)="C)",LEFT(Logic!B46,4)="CSD1")),SUM(AD46:AF46)+(AJ46/3)+AK46+AL46/6+AM46/6,AN47)</f>
        <v>0.23575743793707796</v>
      </c>
      <c r="AO46" s="127">
        <f>IF(AND($A46&lt;&gt;0,$A46&lt;&gt;"",OR(RIGHT(Logic!B46,2)="T)",LEFT(Logic!B46,4)="CSD1")),SUM(AG46:AI46)+(AJ46/3)+AL46/6+AM46/6,AO45)</f>
        <v>0.21595242969327857</v>
      </c>
      <c r="AP46" s="48">
        <f t="shared" si="30"/>
        <v>0.45</v>
      </c>
      <c r="AQ46" s="35" t="str">
        <f>IF(AND(A46&lt;&gt;0,A46&lt;&gt;""),LOOKUP(A46,Discrete_NFET[PARTNUMBER],Discrete_NFET[TI_EQ_PACKAGE]),"")</f>
        <v>SON5X6</v>
      </c>
      <c r="AR46" s="49">
        <f>IF(AND(A46&lt;&gt;0,A46&lt;&gt;""),LOOKUP(A46,Discrete_NFET[PARTNUMBER],Discrete_NFET[1KPRICE]),"")</f>
        <v>0.24</v>
      </c>
      <c r="AS46" s="35" t="str">
        <f>IF(AND($A46&lt;&gt;0,$A46&lt;&gt;""),CONCATENATE(TEXT(AP46,"0.00"),"W, ",IF('User Input'!G$11="Single Discrete",A46,IF('User Input'!G$11="Dual/Power Block",LEFT(A46,FIND(")",A46)-7),A46)),", ",AQ46,", ",TEXT(AR46,"$0.00")),"Invalid Part")</f>
        <v>0.45W, CSD17581Q5A, SON5X6, $0.24</v>
      </c>
      <c r="AT46" t="s">
        <v>830</v>
      </c>
      <c r="AW46"/>
    </row>
    <row r="47" spans="1:49" ht="15" customHeight="1" x14ac:dyDescent="0.25">
      <c r="A47" s="35" t="str">
        <f>IF(OR(AND(FET_config2="Dual/Power Block",LEFT(Logic!B47,4)="CSD8"),AND(FET_config2="Single Discrete",LEFT(Logic!B47,4)="CSD1")),Logic!B47,"")</f>
        <v>CSD18501Q5A</v>
      </c>
      <c r="B47" s="37" t="str">
        <f>IF(OR($A47=0,$A47=""),"0",IF(LOOKUP($A47,Discrete_NFET[PARTNUMBER],Discrete_NFET[RDSON25])="(NULL)","0","1"))</f>
        <v>0</v>
      </c>
      <c r="C47" s="38" t="str">
        <f>IF(OR($A47=0,$A47=""),"0",IF(LOOKUP($A47,Discrete_NFET[PARTNUMBER],Discrete_NFET[RDSON3])="(NULL)","0","1"))</f>
        <v>0</v>
      </c>
      <c r="D47" s="40" t="str">
        <f>IF(OR($A47=0,$A47=""),"0",IF(LOOKUP($A47,Discrete_NFET[PARTNUMBER],Discrete_NFET[RDSON45])="(NULL)","0","1"))</f>
        <v>1</v>
      </c>
      <c r="E47" s="45" t="str">
        <f>IF(OR($A47=0,$A47=""),"0",IF(LOOKUP($A47,Discrete_NFET[PARTNUMBER],Discrete_NFET[RDSON6])="(NULL)","0","1"))</f>
        <v>0</v>
      </c>
      <c r="F47" s="34" t="str">
        <f>IF(OR($A47=0,$A47=""),"0",IF(LOOKUP($A47,Discrete_NFET[PARTNUMBER],Discrete_NFET[RDSON8])="(NULL)","0","1"))</f>
        <v>0</v>
      </c>
      <c r="G47" s="43" t="str">
        <f>IF(OR($A47=0,$A47=""),"0",IF(LOOKUP($A47,Discrete_NFET[PARTNUMBER],Discrete_NFET[RDSON10])="(NULL)","0","1"))</f>
        <v>1</v>
      </c>
      <c r="H47" s="36" t="b">
        <f t="shared" si="15"/>
        <v>0</v>
      </c>
      <c r="I47" s="39" t="b">
        <f t="shared" si="16"/>
        <v>0</v>
      </c>
      <c r="J47" s="41" t="b">
        <f t="shared" si="17"/>
        <v>1</v>
      </c>
      <c r="K47" s="46" t="b">
        <f t="shared" si="18"/>
        <v>0</v>
      </c>
      <c r="L47" s="42" t="b">
        <f t="shared" si="19"/>
        <v>0</v>
      </c>
      <c r="M47" s="44" t="b">
        <f t="shared" si="20"/>
        <v>1</v>
      </c>
      <c r="N47" s="47" t="b">
        <f t="shared" si="21"/>
        <v>1</v>
      </c>
      <c r="O47" s="36" t="b">
        <f t="shared" si="22"/>
        <v>0</v>
      </c>
      <c r="P47" s="39" t="b">
        <f t="shared" si="23"/>
        <v>0</v>
      </c>
      <c r="Q47" s="41" t="b">
        <f t="shared" si="24"/>
        <v>1</v>
      </c>
      <c r="R47" s="46" t="b">
        <f t="shared" si="25"/>
        <v>0</v>
      </c>
      <c r="S47" s="42" t="b">
        <f t="shared" si="26"/>
        <v>0</v>
      </c>
      <c r="T47" s="44" t="b">
        <f t="shared" si="27"/>
        <v>1</v>
      </c>
      <c r="U47" s="148">
        <f>IF(T47,LOOKUP(A47,Discrete_NFET[PARTNUMBER],Discrete_NFET[RDSON10])*1000,IF(S47,LOOKUP(A47,Discrete_NFET[PARTNUMBER],Discrete_NFET[RDSON8])*1000,IF(R47,LOOKUP(A47,Discrete_NFET[PARTNUMBER],Discrete_NFET[RDSON6])*1000,IF(Q47,LOOKUP(A47,Discrete_NFET[PARTNUMBER],Discrete_NFET[RDSON45])*1000,IF(P47,LOOKUP(A47,Discrete_NFET[PARTNUMBER],Discrete_NFET[RDSON3])*1000,IF(O47,LOOKUP(A47,Discrete_NFET[PARTNUMBER],Discrete_NFET[RDSON25])*1000,""))))))</f>
        <v>3.2</v>
      </c>
      <c r="V47" s="48">
        <f>IF(AND(A47&lt;&gt;0,A47&lt;&gt;""),U47*(1+(Tj-25)*(LOOKUP(A47,Discrete_NFET[PARTNUMBER],Discrete_NFET[RDSDELTA])/((LOOKUP(A47,Discrete_NFET[PARTNUMBER],Discrete_NFET[TJMAX])-25)))),"")</f>
        <v>3.7376</v>
      </c>
      <c r="W47" s="35">
        <f>IF(AND($A47&lt;&gt;0,$A47&lt;&gt;""),LOOKUP($A47,Discrete_NFET[PARTNUMBER],Discrete_NFET[QGS]),"")</f>
        <v>8.1</v>
      </c>
      <c r="X47" s="35">
        <f>IF(AND($A47&lt;&gt;0,$A47&lt;&gt;""),LOOKUP($A47,Discrete_NFET[PARTNUMBER],Discrete_NFET[QGD]),"")</f>
        <v>5.9</v>
      </c>
      <c r="Y47" s="35">
        <f>IF(AND($A47&lt;&gt;0,$A47&lt;&gt;""),LOOKUP($A47,Discrete_NFET[PARTNUMBER],Discrete_NFET[QGTH]),"")</f>
        <v>5.7</v>
      </c>
      <c r="Z47" s="35">
        <f t="shared" si="28"/>
        <v>8.3000000000000007</v>
      </c>
      <c r="AA47" s="35">
        <f>IF(AND($A47&lt;&gt;0,$A47&lt;&gt;""),LOOKUP($A47,Discrete_NFET[PARTNUMBER],Discrete_NFET[QOSSTYP]),"")</f>
        <v>48</v>
      </c>
      <c r="AB47" s="35">
        <f>IF(AND($A47&lt;&gt;0,$A47&lt;&gt;""),LOOKUP($A47,Discrete_NFET[PARTNUMBER],Discrete_NFET[QRR]),"")</f>
        <v>70</v>
      </c>
      <c r="AC47" s="35">
        <f>IF(AND(A47&lt;&gt;0,A47&lt;&gt;""),LOOKUP(A47,Discrete_NFET[PARTNUMBER],Discrete_NFET[VF_TYP]),"")</f>
        <v>0.8</v>
      </c>
      <c r="AD47" s="127">
        <f>IF(AND($A47&lt;&gt;0,$A47&lt;&gt;"",OR(RIGHT(Logic!B47,2)="C)",LEFT(Logic!B47,4)="CSD1")),(1+(1-DUTY))*IM_RMS_120^2*V47*m/3/Num_FETS2,"")</f>
        <v>0.15727916281932899</v>
      </c>
      <c r="AE47" s="127">
        <f>IF(AND($A47&lt;&gt;0,$A47&lt;&gt;"",OR(RIGHT(Logic!B47,2)="C)",LEFT(Logic!B47,4)="CSD1")),Num_FETS2*0.5*IM_RMS_120*VDC_AVG*Z47*n*MOT_ELEC_FREQ/GDR_SRC,"")</f>
        <v>2.6767285861713108E-5</v>
      </c>
      <c r="AF47" s="127">
        <f>IF(AND($A47&lt;&gt;0,$A47&lt;&gt;"",OR(RIGHT(Logic!B47,2)="C)",LEFT(Logic!B47,4)="CSD1")),Num_FETS2*0.5*IM_RMS_120*VDC_AVG*Z47*n*MOT_ELEC_FREQ/GDR_SINK,"")</f>
        <v>1.8201754385964914E-5</v>
      </c>
      <c r="AG47" s="127">
        <f>IF(AND($A47&lt;&gt;0,$A47&lt;&gt;"",OR(RIGHT(Logic!B47,2)="T)",LEFT(Logic!B47,4)="CSD1")),DUTY*IM_RMS_120^2*V47*m/3/Num_FETS2,"")</f>
        <v>0.14230019493177384</v>
      </c>
      <c r="AH47" s="127">
        <f>IF(AND($A47&lt;&gt;0,$A47&lt;&gt;"",OR(RIGHT(Logic!B47,2)="T)",LEFT(Logic!B47,4)="CSD1")),Num_FETS2*0.5*IM_RMS_120*VDC_AVG*Z47*n*FSW*k/GDR_SRC/3,"")</f>
        <v>5.3534571723426209E-3</v>
      </c>
      <c r="AI47" s="127">
        <f>IF(AND($A47&lt;&gt;0,$A47&lt;&gt;"",OR(RIGHT(Logic!B47,2)="T)",LEFT(Logic!B47,4)="CSD1")),Num_FETS2*0.5*IM_RMS_120*VDC_AVG*Z47*n*FSW*k/GDR_SINK/3,"")</f>
        <v>3.6403508771929824E-3</v>
      </c>
      <c r="AJ47" s="127">
        <f t="shared" si="31"/>
        <v>5.7600000000000004E-3</v>
      </c>
      <c r="AK47" s="127">
        <f t="shared" si="33"/>
        <v>1.2414567897146714E-2</v>
      </c>
      <c r="AL47" s="127">
        <f t="shared" si="32"/>
        <v>1.6828000000000003E-2</v>
      </c>
      <c r="AM47" s="127">
        <f t="shared" si="29"/>
        <v>0.37243703691440144</v>
      </c>
      <c r="AN47" s="127">
        <f>IF(AND($A47&lt;&gt;0,$A47&lt;&gt;"",OR(RIGHT(Logic!B47,2)="C)",LEFT(Logic!B47,4)="CSD1")),SUM(AD47:AF47)+(AJ47/3)+AK47+AL47/6+AM47/6,AN48)</f>
        <v>0.23653620590912364</v>
      </c>
      <c r="AO47" s="127">
        <f>IF(AND($A47&lt;&gt;0,$A47&lt;&gt;"",OR(RIGHT(Logic!B47,2)="T)",LEFT(Logic!B47,4)="CSD1")),SUM(AG47:AI47)+(AJ47/3)+AL47/6+AM47/6,AO46)</f>
        <v>0.2180915091337097</v>
      </c>
      <c r="AP47" s="48">
        <f t="shared" si="30"/>
        <v>0.45</v>
      </c>
      <c r="AQ47" s="35" t="str">
        <f>IF(AND(A47&lt;&gt;0,A47&lt;&gt;""),LOOKUP(A47,Discrete_NFET[PARTNUMBER],Discrete_NFET[TI_EQ_PACKAGE]),"")</f>
        <v>SON5X6</v>
      </c>
      <c r="AR47" s="49">
        <f>IF(AND(A47&lt;&gt;0,A47&lt;&gt;""),LOOKUP(A47,Discrete_NFET[PARTNUMBER],Discrete_NFET[1KPRICE]),"")</f>
        <v>0.56000000000000005</v>
      </c>
      <c r="AS47" s="35" t="str">
        <f>IF(AND($A47&lt;&gt;0,$A47&lt;&gt;""),CONCATENATE(TEXT(AP47,"0.00"),"W, ",IF('User Input'!G$11="Single Discrete",A47,IF('User Input'!G$11="Dual/Power Block",LEFT(A47,FIND(")",A47)-7),A47)),", ",AQ47,", ",TEXT(AR47,"$0.00")),"Invalid Part")</f>
        <v>0.45W, CSD18501Q5A, SON5X6, $0.56</v>
      </c>
      <c r="AT47" t="s">
        <v>855</v>
      </c>
      <c r="AW47"/>
    </row>
    <row r="48" spans="1:49" ht="15" customHeight="1" x14ac:dyDescent="0.25">
      <c r="A48" s="35" t="str">
        <f>IF(OR(AND(FET_config2="Dual/Power Block",LEFT(Logic!B48,4)="CSD8"),AND(FET_config2="Single Discrete",LEFT(Logic!B48,4)="CSD1")),Logic!B48,"")</f>
        <v>CSD18502KCS</v>
      </c>
      <c r="B48" s="37" t="str">
        <f>IF(OR($A48=0,$A48=""),"0",IF(LOOKUP($A48,Discrete_NFET[PARTNUMBER],Discrete_NFET[RDSON25])="(NULL)","0","1"))</f>
        <v>0</v>
      </c>
      <c r="C48" s="38" t="str">
        <f>IF(OR($A48=0,$A48=""),"0",IF(LOOKUP($A48,Discrete_NFET[PARTNUMBER],Discrete_NFET[RDSON3])="(NULL)","0","1"))</f>
        <v>0</v>
      </c>
      <c r="D48" s="40" t="str">
        <f>IF(OR($A48=0,$A48=""),"0",IF(LOOKUP($A48,Discrete_NFET[PARTNUMBER],Discrete_NFET[RDSON45])="(NULL)","0","1"))</f>
        <v>1</v>
      </c>
      <c r="E48" s="45" t="str">
        <f>IF(OR($A48=0,$A48=""),"0",IF(LOOKUP($A48,Discrete_NFET[PARTNUMBER],Discrete_NFET[RDSON6])="(NULL)","0","1"))</f>
        <v>0</v>
      </c>
      <c r="F48" s="34" t="str">
        <f>IF(OR($A48=0,$A48=""),"0",IF(LOOKUP($A48,Discrete_NFET[PARTNUMBER],Discrete_NFET[RDSON8])="(NULL)","0","1"))</f>
        <v>0</v>
      </c>
      <c r="G48" s="43" t="str">
        <f>IF(OR($A48=0,$A48=""),"0",IF(LOOKUP($A48,Discrete_NFET[PARTNUMBER],Discrete_NFET[RDSON10])="(NULL)","0","1"))</f>
        <v>1</v>
      </c>
      <c r="H48" s="36" t="b">
        <f t="shared" si="15"/>
        <v>0</v>
      </c>
      <c r="I48" s="39" t="b">
        <f t="shared" si="16"/>
        <v>0</v>
      </c>
      <c r="J48" s="41" t="b">
        <f t="shared" si="17"/>
        <v>1</v>
      </c>
      <c r="K48" s="46" t="b">
        <f t="shared" si="18"/>
        <v>0</v>
      </c>
      <c r="L48" s="42" t="b">
        <f t="shared" si="19"/>
        <v>0</v>
      </c>
      <c r="M48" s="44" t="b">
        <f t="shared" si="20"/>
        <v>1</v>
      </c>
      <c r="N48" s="47" t="b">
        <f t="shared" si="21"/>
        <v>1</v>
      </c>
      <c r="O48" s="36" t="b">
        <f t="shared" si="22"/>
        <v>0</v>
      </c>
      <c r="P48" s="39" t="b">
        <f t="shared" si="23"/>
        <v>0</v>
      </c>
      <c r="Q48" s="41" t="b">
        <f t="shared" si="24"/>
        <v>1</v>
      </c>
      <c r="R48" s="46" t="b">
        <f t="shared" si="25"/>
        <v>0</v>
      </c>
      <c r="S48" s="42" t="b">
        <f t="shared" si="26"/>
        <v>0</v>
      </c>
      <c r="T48" s="44" t="b">
        <f t="shared" si="27"/>
        <v>1</v>
      </c>
      <c r="U48" s="148">
        <f>IF(T48,LOOKUP(A48,Discrete_NFET[PARTNUMBER],Discrete_NFET[RDSON10])*1000,IF(S48,LOOKUP(A48,Discrete_NFET[PARTNUMBER],Discrete_NFET[RDSON8])*1000,IF(R48,LOOKUP(A48,Discrete_NFET[PARTNUMBER],Discrete_NFET[RDSON6])*1000,IF(Q48,LOOKUP(A48,Discrete_NFET[PARTNUMBER],Discrete_NFET[RDSON45])*1000,IF(P48,LOOKUP(A48,Discrete_NFET[PARTNUMBER],Discrete_NFET[RDSON3])*1000,IF(O48,LOOKUP(A48,Discrete_NFET[PARTNUMBER],Discrete_NFET[RDSON25])*1000,""))))))</f>
        <v>2.9</v>
      </c>
      <c r="V48" s="48">
        <f>IF(AND(A48&lt;&gt;0,A48&lt;&gt;""),U48*(1+(Tj-25)*(LOOKUP(A48,Discrete_NFET[PARTNUMBER],Discrete_NFET[RDSDELTA])/((LOOKUP(A48,Discrete_NFET[PARTNUMBER],Discrete_NFET[TJMAX])-25)))),"")</f>
        <v>3.2866666666666666</v>
      </c>
      <c r="W48" s="35">
        <f>IF(AND($A48&lt;&gt;0,$A48&lt;&gt;""),LOOKUP($A48,Discrete_NFET[PARTNUMBER],Discrete_NFET[QGS]),"")</f>
        <v>10.3</v>
      </c>
      <c r="X48" s="35">
        <f>IF(AND($A48&lt;&gt;0,$A48&lt;&gt;""),LOOKUP($A48,Discrete_NFET[PARTNUMBER],Discrete_NFET[QGD]),"")</f>
        <v>8.4</v>
      </c>
      <c r="Y48" s="35">
        <f>IF(AND($A48&lt;&gt;0,$A48&lt;&gt;""),LOOKUP($A48,Discrete_NFET[PARTNUMBER],Discrete_NFET[QGTH]),"")</f>
        <v>7.5</v>
      </c>
      <c r="Z48" s="35">
        <f t="shared" si="28"/>
        <v>11.200000000000003</v>
      </c>
      <c r="AA48" s="35">
        <f>IF(AND($A48&lt;&gt;0,$A48&lt;&gt;""),LOOKUP($A48,Discrete_NFET[PARTNUMBER],Discrete_NFET[QOSSTYP]),"")</f>
        <v>52</v>
      </c>
      <c r="AB48" s="35">
        <f>IF(AND($A48&lt;&gt;0,$A48&lt;&gt;""),LOOKUP($A48,Discrete_NFET[PARTNUMBER],Discrete_NFET[QRR]),"")</f>
        <v>105</v>
      </c>
      <c r="AC48" s="35">
        <f>IF(AND(A48&lt;&gt;0,A48&lt;&gt;""),LOOKUP(A48,Discrete_NFET[PARTNUMBER],Discrete_NFET[VF_TYP]),"")</f>
        <v>0.8</v>
      </c>
      <c r="AD48" s="127">
        <f>IF(AND($A48&lt;&gt;0,$A48&lt;&gt;"",OR(RIGHT(Logic!B48,2)="C)",LEFT(Logic!B48,4)="CSD1")),(1+(1-DUTY))*IM_RMS_120^2*V48*m/3/Num_FETS2,"")</f>
        <v>0.13830377295578125</v>
      </c>
      <c r="AE48" s="127">
        <f>IF(AND($A48&lt;&gt;0,$A48&lt;&gt;"",OR(RIGHT(Logic!B48,2)="C)",LEFT(Logic!B48,4)="CSD1")),Num_FETS2*0.5*IM_RMS_120*VDC_AVG*Z48*n*MOT_ELEC_FREQ/GDR_SRC,"")</f>
        <v>3.611971104231167E-5</v>
      </c>
      <c r="AF48" s="127">
        <f>IF(AND($A48&lt;&gt;0,$A48&lt;&gt;"",OR(RIGHT(Logic!B48,2)="C)",LEFT(Logic!B48,4)="CSD1")),Num_FETS2*0.5*IM_RMS_120*VDC_AVG*Z48*n*MOT_ELEC_FREQ/GDR_SINK,"")</f>
        <v>2.4561403508771935E-5</v>
      </c>
      <c r="AG48" s="127">
        <f>IF(AND($A48&lt;&gt;0,$A48&lt;&gt;"",OR(RIGHT(Logic!B48,2)="T)",LEFT(Logic!B48,4)="CSD1")),DUTY*IM_RMS_120^2*V48*m/3/Num_FETS2,"")</f>
        <v>0.12513198505523065</v>
      </c>
      <c r="AH48" s="127">
        <f>IF(AND($A48&lt;&gt;0,$A48&lt;&gt;"",OR(RIGHT(Logic!B48,2)="T)",LEFT(Logic!B48,4)="CSD1")),Num_FETS2*0.5*IM_RMS_120*VDC_AVG*Z48*n*FSW*k/GDR_SRC/3,"")</f>
        <v>7.2239422084623339E-3</v>
      </c>
      <c r="AI48" s="127">
        <f>IF(AND($A48&lt;&gt;0,$A48&lt;&gt;"",OR(RIGHT(Logic!B48,2)="T)",LEFT(Logic!B48,4)="CSD1")),Num_FETS2*0.5*IM_RMS_120*VDC_AVG*Z48*n*FSW*k/GDR_SINK/3,"")</f>
        <v>4.912280701754387E-3</v>
      </c>
      <c r="AJ48" s="127">
        <f t="shared" si="31"/>
        <v>6.2400000000000008E-3</v>
      </c>
      <c r="AK48" s="127">
        <f t="shared" si="33"/>
        <v>1.2414567897146714E-2</v>
      </c>
      <c r="AL48" s="127">
        <f t="shared" si="32"/>
        <v>2.5242000000000001E-2</v>
      </c>
      <c r="AM48" s="127">
        <f t="shared" si="29"/>
        <v>0.37243703691440144</v>
      </c>
      <c r="AN48" s="127">
        <f>IF(AND($A48&lt;&gt;0,$A48&lt;&gt;"",OR(RIGHT(Logic!B48,2)="C)",LEFT(Logic!B48,4)="CSD1")),SUM(AD48:AF48)+(AJ48/3)+AK48+AL48/6+AM48/6,AN49)</f>
        <v>0.2191388614532126</v>
      </c>
      <c r="AO48" s="127">
        <f>IF(AND($A48&lt;&gt;0,$A48&lt;&gt;"",OR(RIGHT(Logic!B48,2)="T)",LEFT(Logic!B48,4)="CSD1")),SUM(AG48:AI48)+(AJ48/3)+AL48/6+AM48/6,AO47)</f>
        <v>0.20562804745118096</v>
      </c>
      <c r="AP48" s="48">
        <f t="shared" si="30"/>
        <v>0.42</v>
      </c>
      <c r="AQ48" s="35" t="str">
        <f>IF(AND(A48&lt;&gt;0,A48&lt;&gt;""),LOOKUP(A48,Discrete_NFET[PARTNUMBER],Discrete_NFET[TI_EQ_PACKAGE]),"")</f>
        <v>TO-220</v>
      </c>
      <c r="AR48" s="49">
        <f>IF(AND(A48&lt;&gt;0,A48&lt;&gt;""),LOOKUP(A48,Discrete_NFET[PARTNUMBER],Discrete_NFET[1KPRICE]),"")</f>
        <v>0.78</v>
      </c>
      <c r="AS48" s="35" t="str">
        <f>IF(AND($A48&lt;&gt;0,$A48&lt;&gt;""),CONCATENATE(TEXT(AP48,"0.00"),"W, ",IF('User Input'!G$11="Single Discrete",A48,IF('User Input'!G$11="Dual/Power Block",LEFT(A48,FIND(")",A48)-7),A48)),", ",AQ48,", ",TEXT(AR48,"$0.00")),"Invalid Part")</f>
        <v>0.42W, CSD18502KCS, TO-220, $0.78</v>
      </c>
      <c r="AT48" t="s">
        <v>869</v>
      </c>
      <c r="AW48"/>
    </row>
    <row r="49" spans="1:49" ht="15" customHeight="1" x14ac:dyDescent="0.25">
      <c r="A49" s="35" t="str">
        <f>IF(OR(AND(FET_config2="Dual/Power Block",LEFT(Logic!B49,4)="CSD8"),AND(FET_config2="Single Discrete",LEFT(Logic!B49,4)="CSD1")),Logic!B49,"")</f>
        <v>CSD18502Q5B</v>
      </c>
      <c r="B49" s="37" t="str">
        <f>IF(OR($A49=0,$A49=""),"0",IF(LOOKUP($A49,Discrete_NFET[PARTNUMBER],Discrete_NFET[RDSON25])="(NULL)","0","1"))</f>
        <v>0</v>
      </c>
      <c r="C49" s="38" t="str">
        <f>IF(OR($A49=0,$A49=""),"0",IF(LOOKUP($A49,Discrete_NFET[PARTNUMBER],Discrete_NFET[RDSON3])="(NULL)","0","1"))</f>
        <v>0</v>
      </c>
      <c r="D49" s="40" t="str">
        <f>IF(OR($A49=0,$A49=""),"0",IF(LOOKUP($A49,Discrete_NFET[PARTNUMBER],Discrete_NFET[RDSON45])="(NULL)","0","1"))</f>
        <v>1</v>
      </c>
      <c r="E49" s="45" t="str">
        <f>IF(OR($A49=0,$A49=""),"0",IF(LOOKUP($A49,Discrete_NFET[PARTNUMBER],Discrete_NFET[RDSON6])="(NULL)","0","1"))</f>
        <v>0</v>
      </c>
      <c r="F49" s="34" t="str">
        <f>IF(OR($A49=0,$A49=""),"0",IF(LOOKUP($A49,Discrete_NFET[PARTNUMBER],Discrete_NFET[RDSON8])="(NULL)","0","1"))</f>
        <v>0</v>
      </c>
      <c r="G49" s="43" t="str">
        <f>IF(OR($A49=0,$A49=""),"0",IF(LOOKUP($A49,Discrete_NFET[PARTNUMBER],Discrete_NFET[RDSON10])="(NULL)","0","1"))</f>
        <v>1</v>
      </c>
      <c r="H49" s="36" t="b">
        <f t="shared" si="15"/>
        <v>0</v>
      </c>
      <c r="I49" s="39" t="b">
        <f t="shared" si="16"/>
        <v>0</v>
      </c>
      <c r="J49" s="41" t="b">
        <f t="shared" si="17"/>
        <v>1</v>
      </c>
      <c r="K49" s="46" t="b">
        <f t="shared" si="18"/>
        <v>0</v>
      </c>
      <c r="L49" s="42" t="b">
        <f t="shared" si="19"/>
        <v>0</v>
      </c>
      <c r="M49" s="44" t="b">
        <f t="shared" si="20"/>
        <v>1</v>
      </c>
      <c r="N49" s="47" t="b">
        <f t="shared" si="21"/>
        <v>1</v>
      </c>
      <c r="O49" s="36" t="b">
        <f t="shared" si="22"/>
        <v>0</v>
      </c>
      <c r="P49" s="39" t="b">
        <f t="shared" si="23"/>
        <v>0</v>
      </c>
      <c r="Q49" s="41" t="b">
        <f t="shared" si="24"/>
        <v>1</v>
      </c>
      <c r="R49" s="46" t="b">
        <f t="shared" si="25"/>
        <v>0</v>
      </c>
      <c r="S49" s="42" t="b">
        <f t="shared" si="26"/>
        <v>0</v>
      </c>
      <c r="T49" s="44" t="b">
        <f t="shared" si="27"/>
        <v>1</v>
      </c>
      <c r="U49" s="148">
        <f>IF(T49,LOOKUP(A49,Discrete_NFET[PARTNUMBER],Discrete_NFET[RDSON10])*1000,IF(S49,LOOKUP(A49,Discrete_NFET[PARTNUMBER],Discrete_NFET[RDSON8])*1000,IF(R49,LOOKUP(A49,Discrete_NFET[PARTNUMBER],Discrete_NFET[RDSON6])*1000,IF(Q49,LOOKUP(A49,Discrete_NFET[PARTNUMBER],Discrete_NFET[RDSON45])*1000,IF(P49,LOOKUP(A49,Discrete_NFET[PARTNUMBER],Discrete_NFET[RDSON3])*1000,IF(O49,LOOKUP(A49,Discrete_NFET[PARTNUMBER],Discrete_NFET[RDSON25])*1000,""))))))</f>
        <v>2.2999999999999998</v>
      </c>
      <c r="V49" s="48">
        <f>IF(AND(A49&lt;&gt;0,A49&lt;&gt;""),U49*(1+(Tj-25)*(LOOKUP(A49,Discrete_NFET[PARTNUMBER],Discrete_NFET[RDSDELTA])/((LOOKUP(A49,Discrete_NFET[PARTNUMBER],Discrete_NFET[TJMAX])-25)))),"")</f>
        <v>2.7139999999999995</v>
      </c>
      <c r="W49" s="35">
        <f>IF(AND($A49&lt;&gt;0,$A49&lt;&gt;""),LOOKUP($A49,Discrete_NFET[PARTNUMBER],Discrete_NFET[QGS]),"")</f>
        <v>10.3</v>
      </c>
      <c r="X49" s="35">
        <f>IF(AND($A49&lt;&gt;0,$A49&lt;&gt;""),LOOKUP($A49,Discrete_NFET[PARTNUMBER],Discrete_NFET[QGD]),"")</f>
        <v>8.4</v>
      </c>
      <c r="Y49" s="35">
        <f>IF(AND($A49&lt;&gt;0,$A49&lt;&gt;""),LOOKUP($A49,Discrete_NFET[PARTNUMBER],Discrete_NFET[QGTH]),"")</f>
        <v>6.9</v>
      </c>
      <c r="Z49" s="35">
        <f t="shared" si="28"/>
        <v>11.800000000000002</v>
      </c>
      <c r="AA49" s="35">
        <f>IF(AND($A49&lt;&gt;0,$A49&lt;&gt;""),LOOKUP($A49,Discrete_NFET[PARTNUMBER],Discrete_NFET[QOSSTYP]),"")</f>
        <v>59</v>
      </c>
      <c r="AB49" s="35">
        <f>IF(AND($A49&lt;&gt;0,$A49&lt;&gt;""),LOOKUP($A49,Discrete_NFET[PARTNUMBER],Discrete_NFET[QRR]),"")</f>
        <v>88</v>
      </c>
      <c r="AC49" s="35">
        <f>IF(AND(A49&lt;&gt;0,A49&lt;&gt;""),LOOKUP(A49,Discrete_NFET[PARTNUMBER],Discrete_NFET[VF_TYP]),"")</f>
        <v>0.8</v>
      </c>
      <c r="AD49" s="127">
        <f>IF(AND($A49&lt;&gt;0,$A49&lt;&gt;"",OR(RIGHT(Logic!B49,2)="C)",LEFT(Logic!B49,4)="CSD1")),(1+(1-DUTY))*IM_RMS_120^2*V49*m/3/Num_FETS2,"")</f>
        <v>0.11420581332717755</v>
      </c>
      <c r="AE49" s="127">
        <f>IF(AND($A49&lt;&gt;0,$A49&lt;&gt;"",OR(RIGHT(Logic!B49,2)="C)",LEFT(Logic!B49,4)="CSD1")),Num_FETS2*0.5*IM_RMS_120*VDC_AVG*Z49*n*MOT_ELEC_FREQ/GDR_SRC,"")</f>
        <v>3.8054695562435508E-5</v>
      </c>
      <c r="AF49" s="127">
        <f>IF(AND($A49&lt;&gt;0,$A49&lt;&gt;"",OR(RIGHT(Logic!B49,2)="C)",LEFT(Logic!B49,4)="CSD1")),Num_FETS2*0.5*IM_RMS_120*VDC_AVG*Z49*n*MOT_ELEC_FREQ/GDR_SINK,"")</f>
        <v>2.5877192982456146E-5</v>
      </c>
      <c r="AG49" s="127">
        <f>IF(AND($A49&lt;&gt;0,$A49&lt;&gt;"",OR(RIGHT(Logic!B49,2)="T)",LEFT(Logic!B49,4)="CSD1")),DUTY*IM_RMS_120^2*V49*m/3/Num_FETS2,"")</f>
        <v>0.10332906920077968</v>
      </c>
      <c r="AH49" s="127">
        <f>IF(AND($A49&lt;&gt;0,$A49&lt;&gt;"",OR(RIGHT(Logic!B49,2)="T)",LEFT(Logic!B49,4)="CSD1")),Num_FETS2*0.5*IM_RMS_120*VDC_AVG*Z49*n*FSW*k/GDR_SRC/3,"")</f>
        <v>7.6109391124871001E-3</v>
      </c>
      <c r="AI49" s="127">
        <f>IF(AND($A49&lt;&gt;0,$A49&lt;&gt;"",OR(RIGHT(Logic!B49,2)="T)",LEFT(Logic!B49,4)="CSD1")),Num_FETS2*0.5*IM_RMS_120*VDC_AVG*Z49*n*FSW*k/GDR_SINK/3,"")</f>
        <v>5.175438596491228E-3</v>
      </c>
      <c r="AJ49" s="127">
        <f t="shared" si="31"/>
        <v>7.0800000000000004E-3</v>
      </c>
      <c r="AK49" s="127">
        <f t="shared" si="33"/>
        <v>1.2414567897146714E-2</v>
      </c>
      <c r="AL49" s="127">
        <f t="shared" si="32"/>
        <v>2.1155200000000002E-2</v>
      </c>
      <c r="AM49" s="127">
        <f t="shared" si="29"/>
        <v>0.37243703691440144</v>
      </c>
      <c r="AN49" s="127">
        <f>IF(AND($A49&lt;&gt;0,$A49&lt;&gt;"",OR(RIGHT(Logic!B49,2)="C)",LEFT(Logic!B49,4)="CSD1")),SUM(AD49:AF49)+(AJ49/3)+AK49+AL49/6+AM49/6,AN50)</f>
        <v>0.19464301926526939</v>
      </c>
      <c r="AO49" s="127">
        <f>IF(AND($A49&lt;&gt;0,$A49&lt;&gt;"",OR(RIGHT(Logic!B49,2)="T)",LEFT(Logic!B49,4)="CSD1")),SUM(AG49:AI49)+(AJ49/3)+AL49/6+AM49/6,AO48)</f>
        <v>0.18407415306215824</v>
      </c>
      <c r="AP49" s="48">
        <f t="shared" si="30"/>
        <v>0.38</v>
      </c>
      <c r="AQ49" s="35" t="str">
        <f>IF(AND(A49&lt;&gt;0,A49&lt;&gt;""),LOOKUP(A49,Discrete_NFET[PARTNUMBER],Discrete_NFET[TI_EQ_PACKAGE]),"")</f>
        <v>SON5X6</v>
      </c>
      <c r="AR49" s="49">
        <f>IF(AND(A49&lt;&gt;0,A49&lt;&gt;""),LOOKUP(A49,Discrete_NFET[PARTNUMBER],Discrete_NFET[1KPRICE]),"")</f>
        <v>0.81</v>
      </c>
      <c r="AS49" s="35" t="str">
        <f>IF(AND($A49&lt;&gt;0,$A49&lt;&gt;""),CONCATENATE(TEXT(AP49,"0.00"),"W, ",IF('User Input'!G$11="Single Discrete",A49,IF('User Input'!G$11="Dual/Power Block",LEFT(A49,FIND(")",A49)-7),A49)),", ",AQ49,", ",TEXT(AR49,"$0.00")),"Invalid Part")</f>
        <v>0.38W, CSD18502Q5B, SON5X6, $0.81</v>
      </c>
      <c r="AT49" t="s">
        <v>870</v>
      </c>
      <c r="AW49"/>
    </row>
    <row r="50" spans="1:49" ht="15" customHeight="1" x14ac:dyDescent="0.25">
      <c r="A50" s="35" t="str">
        <f>IF(OR(AND(FET_config2="Dual/Power Block",LEFT(Logic!B50,4)="CSD8"),AND(FET_config2="Single Discrete",LEFT(Logic!B50,4)="CSD1")),Logic!B50,"")</f>
        <v>CSD18503KCS</v>
      </c>
      <c r="B50" s="37" t="str">
        <f>IF(OR($A50=0,$A50=""),"0",IF(LOOKUP($A50,Discrete_NFET[PARTNUMBER],Discrete_NFET[RDSON25])="(NULL)","0","1"))</f>
        <v>0</v>
      </c>
      <c r="C50" s="38" t="str">
        <f>IF(OR($A50=0,$A50=""),"0",IF(LOOKUP($A50,Discrete_NFET[PARTNUMBER],Discrete_NFET[RDSON3])="(NULL)","0","1"))</f>
        <v>0</v>
      </c>
      <c r="D50" s="40" t="str">
        <f>IF(OR($A50=0,$A50=""),"0",IF(LOOKUP($A50,Discrete_NFET[PARTNUMBER],Discrete_NFET[RDSON45])="(NULL)","0","1"))</f>
        <v>1</v>
      </c>
      <c r="E50" s="45" t="str">
        <f>IF(OR($A50=0,$A50=""),"0",IF(LOOKUP($A50,Discrete_NFET[PARTNUMBER],Discrete_NFET[RDSON6])="(NULL)","0","1"))</f>
        <v>0</v>
      </c>
      <c r="F50" s="34" t="str">
        <f>IF(OR($A50=0,$A50=""),"0",IF(LOOKUP($A50,Discrete_NFET[PARTNUMBER],Discrete_NFET[RDSON8])="(NULL)","0","1"))</f>
        <v>0</v>
      </c>
      <c r="G50" s="43" t="str">
        <f>IF(OR($A50=0,$A50=""),"0",IF(LOOKUP($A50,Discrete_NFET[PARTNUMBER],Discrete_NFET[RDSON10])="(NULL)","0","1"))</f>
        <v>1</v>
      </c>
      <c r="H50" s="36" t="b">
        <f t="shared" si="15"/>
        <v>0</v>
      </c>
      <c r="I50" s="39" t="b">
        <f t="shared" si="16"/>
        <v>0</v>
      </c>
      <c r="J50" s="41" t="b">
        <f t="shared" si="17"/>
        <v>1</v>
      </c>
      <c r="K50" s="46" t="b">
        <f t="shared" si="18"/>
        <v>0</v>
      </c>
      <c r="L50" s="42" t="b">
        <f t="shared" si="19"/>
        <v>0</v>
      </c>
      <c r="M50" s="44" t="b">
        <f t="shared" si="20"/>
        <v>1</v>
      </c>
      <c r="N50" s="47" t="b">
        <f t="shared" si="21"/>
        <v>1</v>
      </c>
      <c r="O50" s="36" t="b">
        <f t="shared" si="22"/>
        <v>0</v>
      </c>
      <c r="P50" s="39" t="b">
        <f t="shared" si="23"/>
        <v>0</v>
      </c>
      <c r="Q50" s="41" t="b">
        <f t="shared" si="24"/>
        <v>1</v>
      </c>
      <c r="R50" s="46" t="b">
        <f t="shared" si="25"/>
        <v>0</v>
      </c>
      <c r="S50" s="42" t="b">
        <f t="shared" si="26"/>
        <v>0</v>
      </c>
      <c r="T50" s="44" t="b">
        <f t="shared" si="27"/>
        <v>1</v>
      </c>
      <c r="U50" s="148">
        <f>IF(T50,LOOKUP(A50,Discrete_NFET[PARTNUMBER],Discrete_NFET[RDSON10])*1000,IF(S50,LOOKUP(A50,Discrete_NFET[PARTNUMBER],Discrete_NFET[RDSON8])*1000,IF(R50,LOOKUP(A50,Discrete_NFET[PARTNUMBER],Discrete_NFET[RDSON6])*1000,IF(Q50,LOOKUP(A50,Discrete_NFET[PARTNUMBER],Discrete_NFET[RDSON45])*1000,IF(P50,LOOKUP(A50,Discrete_NFET[PARTNUMBER],Discrete_NFET[RDSON3])*1000,IF(O50,LOOKUP(A50,Discrete_NFET[PARTNUMBER],Discrete_NFET[RDSON25])*1000,""))))))</f>
        <v>4.5</v>
      </c>
      <c r="V50" s="48">
        <f>IF(AND(A50&lt;&gt;0,A50&lt;&gt;""),U50*(1+(Tj-25)*(LOOKUP(A50,Discrete_NFET[PARTNUMBER],Discrete_NFET[RDSDELTA])/((LOOKUP(A50,Discrete_NFET[PARTNUMBER],Discrete_NFET[TJMAX])-25)))),"")</f>
        <v>5.2829999999999995</v>
      </c>
      <c r="W50" s="35">
        <f>IF(AND($A50&lt;&gt;0,$A50&lt;&gt;""),LOOKUP($A50,Discrete_NFET[PARTNUMBER],Discrete_NFET[QGS]),"")</f>
        <v>7.7</v>
      </c>
      <c r="X50" s="35">
        <f>IF(AND($A50&lt;&gt;0,$A50&lt;&gt;""),LOOKUP($A50,Discrete_NFET[PARTNUMBER],Discrete_NFET[QGD]),"")</f>
        <v>4.5999999999999996</v>
      </c>
      <c r="Y50" s="35">
        <f>IF(AND($A50&lt;&gt;0,$A50&lt;&gt;""),LOOKUP($A50,Discrete_NFET[PARTNUMBER],Discrete_NFET[QGTH]),"")</f>
        <v>4.7</v>
      </c>
      <c r="Z50" s="35">
        <f t="shared" si="28"/>
        <v>7.6000000000000005</v>
      </c>
      <c r="AA50" s="35">
        <f>IF(AND($A50&lt;&gt;0,$A50&lt;&gt;""),LOOKUP($A50,Discrete_NFET[PARTNUMBER],Discrete_NFET[QOSSTYP]),"")</f>
        <v>30</v>
      </c>
      <c r="AB50" s="35">
        <f>IF(AND($A50&lt;&gt;0,$A50&lt;&gt;""),LOOKUP($A50,Discrete_NFET[PARTNUMBER],Discrete_NFET[QRR]),"")</f>
        <v>60</v>
      </c>
      <c r="AC50" s="35">
        <f>IF(AND(A50&lt;&gt;0,A50&lt;&gt;""),LOOKUP(A50,Discrete_NFET[PARTNUMBER],Discrete_NFET[VF_TYP]),"")</f>
        <v>0.8</v>
      </c>
      <c r="AD50" s="127">
        <f>IF(AND($A50&lt;&gt;0,$A50&lt;&gt;"",OR(RIGHT(Logic!B50,2)="C)",LEFT(Logic!B50,4)="CSD1")),(1+(1-DUTY))*IM_RMS_120^2*V50*m/3/Num_FETS2,"")</f>
        <v>0.22230998961218829</v>
      </c>
      <c r="AE50" s="127">
        <f>IF(AND($A50&lt;&gt;0,$A50&lt;&gt;"",OR(RIGHT(Logic!B50,2)="C)",LEFT(Logic!B50,4)="CSD1")),Num_FETS2*0.5*IM_RMS_120*VDC_AVG*Z50*n*MOT_ELEC_FREQ/GDR_SRC,"")</f>
        <v>2.4509803921568633E-5</v>
      </c>
      <c r="AF50" s="127">
        <f>IF(AND($A50&lt;&gt;0,$A50&lt;&gt;"",OR(RIGHT(Logic!B50,2)="C)",LEFT(Logic!B50,4)="CSD1")),Num_FETS2*0.5*IM_RMS_120*VDC_AVG*Z50*n*MOT_ELEC_FREQ/GDR_SINK,"")</f>
        <v>1.6666666666666671E-5</v>
      </c>
      <c r="AG50" s="127">
        <f>IF(AND($A50&lt;&gt;0,$A50&lt;&gt;"",OR(RIGHT(Logic!B50,2)="T)",LEFT(Logic!B50,4)="CSD1")),DUTY*IM_RMS_120^2*V50*m/3/Num_FETS2,"")</f>
        <v>0.20113760964912275</v>
      </c>
      <c r="AH50" s="127">
        <f>IF(AND($A50&lt;&gt;0,$A50&lt;&gt;"",OR(RIGHT(Logic!B50,2)="T)",LEFT(Logic!B50,4)="CSD1")),Num_FETS2*0.5*IM_RMS_120*VDC_AVG*Z50*n*FSW*k/GDR_SRC/3,"")</f>
        <v>4.9019607843137263E-3</v>
      </c>
      <c r="AI50" s="127">
        <f>IF(AND($A50&lt;&gt;0,$A50&lt;&gt;"",OR(RIGHT(Logic!B50,2)="T)",LEFT(Logic!B50,4)="CSD1")),Num_FETS2*0.5*IM_RMS_120*VDC_AVG*Z50*n*FSW*k/GDR_SINK/3,"")</f>
        <v>3.333333333333334E-3</v>
      </c>
      <c r="AJ50" s="127">
        <f t="shared" si="31"/>
        <v>3.6000000000000003E-3</v>
      </c>
      <c r="AK50" s="127">
        <f t="shared" si="33"/>
        <v>1.2414567897146714E-2</v>
      </c>
      <c r="AL50" s="127">
        <f t="shared" si="32"/>
        <v>1.4424000000000001E-2</v>
      </c>
      <c r="AM50" s="127">
        <f t="shared" si="29"/>
        <v>0.37243703691440144</v>
      </c>
      <c r="AN50" s="127">
        <f>IF(AND($A50&lt;&gt;0,$A50&lt;&gt;"",OR(RIGHT(Logic!B50,2)="C)",LEFT(Logic!B50,4)="CSD1")),SUM(AD50:AF50)+(AJ50/3)+AK50+AL50/6+AM50/6,AN51)</f>
        <v>0.30044257346565678</v>
      </c>
      <c r="AO50" s="127">
        <f>IF(AND($A50&lt;&gt;0,$A50&lt;&gt;"",OR(RIGHT(Logic!B50,2)="T)",LEFT(Logic!B50,4)="CSD1")),SUM(AG50:AI50)+(AJ50/3)+AL50/6+AM50/6,AO49)</f>
        <v>0.27504974325250336</v>
      </c>
      <c r="AP50" s="48">
        <f t="shared" si="30"/>
        <v>0.57999999999999996</v>
      </c>
      <c r="AQ50" s="35" t="str">
        <f>IF(AND(A50&lt;&gt;0,A50&lt;&gt;""),LOOKUP(A50,Discrete_NFET[PARTNUMBER],Discrete_NFET[TI_EQ_PACKAGE]),"")</f>
        <v>TO-220</v>
      </c>
      <c r="AR50" s="49">
        <f>IF(AND(A50&lt;&gt;0,A50&lt;&gt;""),LOOKUP(A50,Discrete_NFET[PARTNUMBER],Discrete_NFET[1KPRICE]),"")</f>
        <v>0.55000000000000004</v>
      </c>
      <c r="AS50" s="35" t="str">
        <f>IF(AND($A50&lt;&gt;0,$A50&lt;&gt;""),CONCATENATE(TEXT(AP50,"0.00"),"W, ",IF('User Input'!G$11="Single Discrete",A50,IF('User Input'!G$11="Dual/Power Block",LEFT(A50,FIND(")",A50)-7),A50)),", ",AQ50,", ",TEXT(AR50,"$0.00")),"Invalid Part")</f>
        <v>0.58W, CSD18503KCS, TO-220, $0.55</v>
      </c>
      <c r="AT50" t="s">
        <v>841</v>
      </c>
      <c r="AW50"/>
    </row>
    <row r="51" spans="1:49" ht="15" customHeight="1" x14ac:dyDescent="0.25">
      <c r="A51" s="35" t="str">
        <f>IF(OR(AND(FET_config2="Dual/Power Block",LEFT(Logic!B51,4)="CSD8"),AND(FET_config2="Single Discrete",LEFT(Logic!B51,4)="CSD1")),Logic!B51,"")</f>
        <v>CSD18503Q5A</v>
      </c>
      <c r="B51" s="37" t="str">
        <f>IF(OR($A51=0,$A51=""),"0",IF(LOOKUP($A51,Discrete_NFET[PARTNUMBER],Discrete_NFET[RDSON25])="(NULL)","0","1"))</f>
        <v>0</v>
      </c>
      <c r="C51" s="38" t="str">
        <f>IF(OR($A51=0,$A51=""),"0",IF(LOOKUP($A51,Discrete_NFET[PARTNUMBER],Discrete_NFET[RDSON3])="(NULL)","0","1"))</f>
        <v>0</v>
      </c>
      <c r="D51" s="40" t="str">
        <f>IF(OR($A51=0,$A51=""),"0",IF(LOOKUP($A51,Discrete_NFET[PARTNUMBER],Discrete_NFET[RDSON45])="(NULL)","0","1"))</f>
        <v>1</v>
      </c>
      <c r="E51" s="45" t="str">
        <f>IF(OR($A51=0,$A51=""),"0",IF(LOOKUP($A51,Discrete_NFET[PARTNUMBER],Discrete_NFET[RDSON6])="(NULL)","0","1"))</f>
        <v>0</v>
      </c>
      <c r="F51" s="34" t="str">
        <f>IF(OR($A51=0,$A51=""),"0",IF(LOOKUP($A51,Discrete_NFET[PARTNUMBER],Discrete_NFET[RDSON8])="(NULL)","0","1"))</f>
        <v>0</v>
      </c>
      <c r="G51" s="43" t="str">
        <f>IF(OR($A51=0,$A51=""),"0",IF(LOOKUP($A51,Discrete_NFET[PARTNUMBER],Discrete_NFET[RDSON10])="(NULL)","0","1"))</f>
        <v>1</v>
      </c>
      <c r="H51" s="36" t="b">
        <f t="shared" si="15"/>
        <v>0</v>
      </c>
      <c r="I51" s="39" t="b">
        <f t="shared" si="16"/>
        <v>0</v>
      </c>
      <c r="J51" s="41" t="b">
        <f t="shared" si="17"/>
        <v>1</v>
      </c>
      <c r="K51" s="46" t="b">
        <f t="shared" si="18"/>
        <v>0</v>
      </c>
      <c r="L51" s="42" t="b">
        <f t="shared" si="19"/>
        <v>0</v>
      </c>
      <c r="M51" s="44" t="b">
        <f t="shared" si="20"/>
        <v>1</v>
      </c>
      <c r="N51" s="47" t="b">
        <f t="shared" si="21"/>
        <v>1</v>
      </c>
      <c r="O51" s="36" t="b">
        <f t="shared" si="22"/>
        <v>0</v>
      </c>
      <c r="P51" s="39" t="b">
        <f t="shared" si="23"/>
        <v>0</v>
      </c>
      <c r="Q51" s="41" t="b">
        <f t="shared" si="24"/>
        <v>1</v>
      </c>
      <c r="R51" s="46" t="b">
        <f t="shared" si="25"/>
        <v>0</v>
      </c>
      <c r="S51" s="42" t="b">
        <f t="shared" si="26"/>
        <v>0</v>
      </c>
      <c r="T51" s="44" t="b">
        <f t="shared" si="27"/>
        <v>1</v>
      </c>
      <c r="U51" s="148">
        <f>IF(T51,LOOKUP(A51,Discrete_NFET[PARTNUMBER],Discrete_NFET[RDSON10])*1000,IF(S51,LOOKUP(A51,Discrete_NFET[PARTNUMBER],Discrete_NFET[RDSON8])*1000,IF(R51,LOOKUP(A51,Discrete_NFET[PARTNUMBER],Discrete_NFET[RDSON6])*1000,IF(Q51,LOOKUP(A51,Discrete_NFET[PARTNUMBER],Discrete_NFET[RDSON45])*1000,IF(P51,LOOKUP(A51,Discrete_NFET[PARTNUMBER],Discrete_NFET[RDSON3])*1000,IF(O51,LOOKUP(A51,Discrete_NFET[PARTNUMBER],Discrete_NFET[RDSON25])*1000,""))))))</f>
        <v>4.3</v>
      </c>
      <c r="V51" s="48">
        <f>IF(AND(A51&lt;&gt;0,A51&lt;&gt;""),U51*(1+(Tj-25)*(LOOKUP(A51,Discrete_NFET[PARTNUMBER],Discrete_NFET[RDSDELTA])/((LOOKUP(A51,Discrete_NFET[PARTNUMBER],Discrete_NFET[TJMAX])-25)))),"")</f>
        <v>5.0739999999999998</v>
      </c>
      <c r="W51" s="35">
        <f>IF(AND($A51&lt;&gt;0,$A51&lt;&gt;""),LOOKUP($A51,Discrete_NFET[PARTNUMBER],Discrete_NFET[QGS]),"")</f>
        <v>4.5</v>
      </c>
      <c r="X51" s="35">
        <f>IF(AND($A51&lt;&gt;0,$A51&lt;&gt;""),LOOKUP($A51,Discrete_NFET[PARTNUMBER],Discrete_NFET[QGD]),"")</f>
        <v>4.3</v>
      </c>
      <c r="Y51" s="35">
        <f>IF(AND($A51&lt;&gt;0,$A51&lt;&gt;""),LOOKUP($A51,Discrete_NFET[PARTNUMBER],Discrete_NFET[QGTH]),"")</f>
        <v>3.8</v>
      </c>
      <c r="Z51" s="35">
        <f t="shared" si="28"/>
        <v>5.0000000000000009</v>
      </c>
      <c r="AA51" s="35">
        <f>IF(AND($A51&lt;&gt;0,$A51&lt;&gt;""),LOOKUP($A51,Discrete_NFET[PARTNUMBER],Discrete_NFET[QOSSTYP]),"")</f>
        <v>30</v>
      </c>
      <c r="AB51" s="35">
        <f>IF(AND($A51&lt;&gt;0,$A51&lt;&gt;""),LOOKUP($A51,Discrete_NFET[PARTNUMBER],Discrete_NFET[QRR]),"")</f>
        <v>52</v>
      </c>
      <c r="AC51" s="35">
        <f>IF(AND(A51&lt;&gt;0,A51&lt;&gt;""),LOOKUP(A51,Discrete_NFET[PARTNUMBER],Discrete_NFET[VF_TYP]),"")</f>
        <v>0.8</v>
      </c>
      <c r="AD51" s="127">
        <f>IF(AND($A51&lt;&gt;0,$A51&lt;&gt;"",OR(RIGHT(Logic!B51,2)="C)",LEFT(Logic!B51,4)="CSD1")),(1+(1-DUTY))*IM_RMS_120^2*V51*m/3/Num_FETS2,"")</f>
        <v>0.21351521622037548</v>
      </c>
      <c r="AE51" s="127">
        <f>IF(AND($A51&lt;&gt;0,$A51&lt;&gt;"",OR(RIGHT(Logic!B51,2)="C)",LEFT(Logic!B51,4)="CSD1")),Num_FETS2*0.5*IM_RMS_120*VDC_AVG*Z51*n*MOT_ELEC_FREQ/GDR_SRC,"")</f>
        <v>1.6124871001031994E-5</v>
      </c>
      <c r="AF51" s="127">
        <f>IF(AND($A51&lt;&gt;0,$A51&lt;&gt;"",OR(RIGHT(Logic!B51,2)="C)",LEFT(Logic!B51,4)="CSD1")),Num_FETS2*0.5*IM_RMS_120*VDC_AVG*Z51*n*MOT_ELEC_FREQ/GDR_SINK,"")</f>
        <v>1.0964912280701757E-5</v>
      </c>
      <c r="AG51" s="127">
        <f>IF(AND($A51&lt;&gt;0,$A51&lt;&gt;"",OR(RIGHT(Logic!B51,2)="T)",LEFT(Logic!B51,4)="CSD1")),DUTY*IM_RMS_120^2*V51*m/3/Num_FETS2,"")</f>
        <v>0.19318043372319682</v>
      </c>
      <c r="AH51" s="127">
        <f>IF(AND($A51&lt;&gt;0,$A51&lt;&gt;"",OR(RIGHT(Logic!B51,2)="T)",LEFT(Logic!B51,4)="CSD1")),Num_FETS2*0.5*IM_RMS_120*VDC_AVG*Z51*n*FSW*k/GDR_SRC/3,"")</f>
        <v>3.2249742002063986E-3</v>
      </c>
      <c r="AI51" s="127">
        <f>IF(AND($A51&lt;&gt;0,$A51&lt;&gt;"",OR(RIGHT(Logic!B51,2)="T)",LEFT(Logic!B51,4)="CSD1")),Num_FETS2*0.5*IM_RMS_120*VDC_AVG*Z51*n*FSW*k/GDR_SINK/3,"")</f>
        <v>2.1929824561403512E-3</v>
      </c>
      <c r="AJ51" s="127">
        <f t="shared" si="31"/>
        <v>3.6000000000000003E-3</v>
      </c>
      <c r="AK51" s="127">
        <f t="shared" si="33"/>
        <v>1.2414567897146714E-2</v>
      </c>
      <c r="AL51" s="127">
        <f t="shared" si="32"/>
        <v>1.2500800000000001E-2</v>
      </c>
      <c r="AM51" s="127">
        <f t="shared" si="29"/>
        <v>0.37243703691440144</v>
      </c>
      <c r="AN51" s="127">
        <f>IF(AND($A51&lt;&gt;0,$A51&lt;&gt;"",OR(RIGHT(Logic!B51,2)="C)",LEFT(Logic!B51,4)="CSD1")),SUM(AD51:AF51)+(AJ51/3)+AK51+AL51/6+AM51/6,AN52)</f>
        <v>0.29131318005320417</v>
      </c>
      <c r="AO51" s="127">
        <f>IF(AND($A51&lt;&gt;0,$A51&lt;&gt;"",OR(RIGHT(Logic!B51,2)="T)",LEFT(Logic!B51,4)="CSD1")),SUM(AG51:AI51)+(AJ51/3)+AL51/6+AM51/6,AO50)</f>
        <v>0.26395469653194381</v>
      </c>
      <c r="AP51" s="48">
        <f t="shared" si="30"/>
        <v>0.56000000000000005</v>
      </c>
      <c r="AQ51" s="35" t="str">
        <f>IF(AND(A51&lt;&gt;0,A51&lt;&gt;""),LOOKUP(A51,Discrete_NFET[PARTNUMBER],Discrete_NFET[TI_EQ_PACKAGE]),"")</f>
        <v>SON5X6</v>
      </c>
      <c r="AR51" s="49">
        <f>IF(AND(A51&lt;&gt;0,A51&lt;&gt;""),LOOKUP(A51,Discrete_NFET[PARTNUMBER],Discrete_NFET[1KPRICE]),"")</f>
        <v>0.44</v>
      </c>
      <c r="AS51" s="35" t="str">
        <f>IF(AND($A51&lt;&gt;0,$A51&lt;&gt;""),CONCATENATE(TEXT(AP51,"0.00"),"W, ",IF('User Input'!G$11="Single Discrete",A51,IF('User Input'!G$11="Dual/Power Block",LEFT(A51,FIND(")",A51)-7),A51)),", ",AQ51,", ",TEXT(AR51,"$0.00")),"Invalid Part")</f>
        <v>0.56W, CSD18503Q5A, SON5X6, $0.44</v>
      </c>
      <c r="AT51" t="s">
        <v>874</v>
      </c>
      <c r="AW51"/>
    </row>
    <row r="52" spans="1:49" ht="15" customHeight="1" x14ac:dyDescent="0.25">
      <c r="A52" s="35" t="str">
        <f>IF(OR(AND(FET_config2="Dual/Power Block",LEFT(Logic!B52,4)="CSD8"),AND(FET_config2="Single Discrete",LEFT(Logic!B52,4)="CSD1")),Logic!B52,"")</f>
        <v>CSD18504KCS</v>
      </c>
      <c r="B52" s="37" t="str">
        <f>IF(OR($A52=0,$A52=""),"0",IF(LOOKUP($A52,Discrete_NFET[PARTNUMBER],Discrete_NFET[RDSON25])="(NULL)","0","1"))</f>
        <v>0</v>
      </c>
      <c r="C52" s="38" t="str">
        <f>IF(OR($A52=0,$A52=""),"0",IF(LOOKUP($A52,Discrete_NFET[PARTNUMBER],Discrete_NFET[RDSON3])="(NULL)","0","1"))</f>
        <v>0</v>
      </c>
      <c r="D52" s="40" t="str">
        <f>IF(OR($A52=0,$A52=""),"0",IF(LOOKUP($A52,Discrete_NFET[PARTNUMBER],Discrete_NFET[RDSON45])="(NULL)","0","1"))</f>
        <v>1</v>
      </c>
      <c r="E52" s="45" t="str">
        <f>IF(OR($A52=0,$A52=""),"0",IF(LOOKUP($A52,Discrete_NFET[PARTNUMBER],Discrete_NFET[RDSON6])="(NULL)","0","1"))</f>
        <v>0</v>
      </c>
      <c r="F52" s="34" t="str">
        <f>IF(OR($A52=0,$A52=""),"0",IF(LOOKUP($A52,Discrete_NFET[PARTNUMBER],Discrete_NFET[RDSON8])="(NULL)","0","1"))</f>
        <v>0</v>
      </c>
      <c r="G52" s="43" t="str">
        <f>IF(OR($A52=0,$A52=""),"0",IF(LOOKUP($A52,Discrete_NFET[PARTNUMBER],Discrete_NFET[RDSON10])="(NULL)","0","1"))</f>
        <v>1</v>
      </c>
      <c r="H52" s="36" t="b">
        <f t="shared" si="15"/>
        <v>0</v>
      </c>
      <c r="I52" s="39" t="b">
        <f t="shared" si="16"/>
        <v>0</v>
      </c>
      <c r="J52" s="41" t="b">
        <f t="shared" si="17"/>
        <v>1</v>
      </c>
      <c r="K52" s="46" t="b">
        <f t="shared" si="18"/>
        <v>0</v>
      </c>
      <c r="L52" s="42" t="b">
        <f t="shared" si="19"/>
        <v>0</v>
      </c>
      <c r="M52" s="44" t="b">
        <f t="shared" si="20"/>
        <v>1</v>
      </c>
      <c r="N52" s="47" t="b">
        <f t="shared" si="21"/>
        <v>1</v>
      </c>
      <c r="O52" s="36" t="b">
        <f t="shared" si="22"/>
        <v>0</v>
      </c>
      <c r="P52" s="39" t="b">
        <f t="shared" si="23"/>
        <v>0</v>
      </c>
      <c r="Q52" s="41" t="b">
        <f t="shared" si="24"/>
        <v>1</v>
      </c>
      <c r="R52" s="46" t="b">
        <f t="shared" si="25"/>
        <v>0</v>
      </c>
      <c r="S52" s="42" t="b">
        <f t="shared" si="26"/>
        <v>0</v>
      </c>
      <c r="T52" s="44" t="b">
        <f t="shared" si="27"/>
        <v>1</v>
      </c>
      <c r="U52" s="148">
        <f>IF(T52,LOOKUP(A52,Discrete_NFET[PARTNUMBER],Discrete_NFET[RDSON10])*1000,IF(S52,LOOKUP(A52,Discrete_NFET[PARTNUMBER],Discrete_NFET[RDSON8])*1000,IF(R52,LOOKUP(A52,Discrete_NFET[PARTNUMBER],Discrete_NFET[RDSON6])*1000,IF(Q52,LOOKUP(A52,Discrete_NFET[PARTNUMBER],Discrete_NFET[RDSON45])*1000,IF(P52,LOOKUP(A52,Discrete_NFET[PARTNUMBER],Discrete_NFET[RDSON3])*1000,IF(O52,LOOKUP(A52,Discrete_NFET[PARTNUMBER],Discrete_NFET[RDSON25])*1000,""))))))</f>
        <v>7</v>
      </c>
      <c r="V52" s="48">
        <f>IF(AND(A52&lt;&gt;0,A52&lt;&gt;""),U52*(1+(Tj-25)*(LOOKUP(A52,Discrete_NFET[PARTNUMBER],Discrete_NFET[RDSDELTA])/((LOOKUP(A52,Discrete_NFET[PARTNUMBER],Discrete_NFET[TJMAX])-25)))),"")</f>
        <v>8.0266666666666673</v>
      </c>
      <c r="W52" s="35">
        <f>IF(AND($A52&lt;&gt;0,$A52&lt;&gt;""),LOOKUP($A52,Discrete_NFET[PARTNUMBER],Discrete_NFET[QGS]),"")</f>
        <v>4.4000000000000004</v>
      </c>
      <c r="X52" s="35">
        <f>IF(AND($A52&lt;&gt;0,$A52&lt;&gt;""),LOOKUP($A52,Discrete_NFET[PARTNUMBER],Discrete_NFET[QGD]),"")</f>
        <v>3.5</v>
      </c>
      <c r="Y52" s="35">
        <f>IF(AND($A52&lt;&gt;0,$A52&lt;&gt;""),LOOKUP($A52,Discrete_NFET[PARTNUMBER],Discrete_NFET[QGTH]),"")</f>
        <v>3</v>
      </c>
      <c r="Z52" s="35">
        <f t="shared" si="28"/>
        <v>4.9000000000000004</v>
      </c>
      <c r="AA52" s="35">
        <f>IF(AND($A52&lt;&gt;0,$A52&lt;&gt;""),LOOKUP($A52,Discrete_NFET[PARTNUMBER],Discrete_NFET[QOSSTYP]),"")</f>
        <v>19</v>
      </c>
      <c r="AB52" s="35">
        <f>IF(AND($A52&lt;&gt;0,$A52&lt;&gt;""),LOOKUP($A52,Discrete_NFET[PARTNUMBER],Discrete_NFET[QRR]),"")</f>
        <v>46</v>
      </c>
      <c r="AC52" s="35">
        <f>IF(AND(A52&lt;&gt;0,A52&lt;&gt;""),LOOKUP(A52,Discrete_NFET[PARTNUMBER],Discrete_NFET[VF_TYP]),"")</f>
        <v>0.8</v>
      </c>
      <c r="AD52" s="127">
        <f>IF(AND($A52&lt;&gt;0,$A52&lt;&gt;"",OR(RIGHT(Logic!B52,2)="C)",LEFT(Logic!B52,4)="CSD1")),(1+(1-DUTY))*IM_RMS_120^2*V52*m/3/Num_FETS2,"")</f>
        <v>0.33776418385144141</v>
      </c>
      <c r="AE52" s="127">
        <f>IF(AND($A52&lt;&gt;0,$A52&lt;&gt;"",OR(RIGHT(Logic!B52,2)="C)",LEFT(Logic!B52,4)="CSD1")),Num_FETS2*0.5*IM_RMS_120*VDC_AVG*Z52*n*MOT_ELEC_FREQ/GDR_SRC,"")</f>
        <v>1.5802373581011353E-5</v>
      </c>
      <c r="AF52" s="127">
        <f>IF(AND($A52&lt;&gt;0,$A52&lt;&gt;"",OR(RIGHT(Logic!B52,2)="C)",LEFT(Logic!B52,4)="CSD1")),Num_FETS2*0.5*IM_RMS_120*VDC_AVG*Z52*n*MOT_ELEC_FREQ/GDR_SINK,"")</f>
        <v>1.0745614035087721E-5</v>
      </c>
      <c r="AG52" s="127">
        <f>IF(AND($A52&lt;&gt;0,$A52&lt;&gt;"",OR(RIGHT(Logic!B52,2)="T)",LEFT(Logic!B52,4)="CSD1")),DUTY*IM_RMS_120^2*V52*m/3/Num_FETS2,"")</f>
        <v>0.30559616634178033</v>
      </c>
      <c r="AH52" s="127">
        <f>IF(AND($A52&lt;&gt;0,$A52&lt;&gt;"",OR(RIGHT(Logic!B52,2)="T)",LEFT(Logic!B52,4)="CSD1")),Num_FETS2*0.5*IM_RMS_120*VDC_AVG*Z52*n*FSW*k/GDR_SRC/3,"")</f>
        <v>3.1604747162022706E-3</v>
      </c>
      <c r="AI52" s="127">
        <f>IF(AND($A52&lt;&gt;0,$A52&lt;&gt;"",OR(RIGHT(Logic!B52,2)="T)",LEFT(Logic!B52,4)="CSD1")),Num_FETS2*0.5*IM_RMS_120*VDC_AVG*Z52*n*FSW*k/GDR_SINK/3,"")</f>
        <v>2.1491228070175442E-3</v>
      </c>
      <c r="AJ52" s="127">
        <f t="shared" si="31"/>
        <v>2.2800000000000003E-3</v>
      </c>
      <c r="AK52" s="127">
        <f t="shared" si="33"/>
        <v>1.2414567897146714E-2</v>
      </c>
      <c r="AL52" s="127">
        <f t="shared" si="32"/>
        <v>1.1058400000000001E-2</v>
      </c>
      <c r="AM52" s="127">
        <f t="shared" si="29"/>
        <v>0.37243703691440144</v>
      </c>
      <c r="AN52" s="127">
        <f>IF(AND($A52&lt;&gt;0,$A52&lt;&gt;"",OR(RIGHT(Logic!B52,2)="C)",LEFT(Logic!B52,4)="CSD1")),SUM(AD52:AF52)+(AJ52/3)+AK52+AL52/6+AM52/6,AN53)</f>
        <v>0.41488120588860444</v>
      </c>
      <c r="AO52" s="127">
        <f>IF(AND($A52&lt;&gt;0,$A52&lt;&gt;"",OR(RIGHT(Logic!B52,2)="T)",LEFT(Logic!B52,4)="CSD1")),SUM(AG52:AI52)+(AJ52/3)+AL52/6+AM52/6,AO51)</f>
        <v>0.37558167001740039</v>
      </c>
      <c r="AP52" s="48">
        <f t="shared" si="30"/>
        <v>0.79</v>
      </c>
      <c r="AQ52" s="35" t="str">
        <f>IF(AND(A52&lt;&gt;0,A52&lt;&gt;""),LOOKUP(A52,Discrete_NFET[PARTNUMBER],Discrete_NFET[TI_EQ_PACKAGE]),"")</f>
        <v>TO-220</v>
      </c>
      <c r="AR52" s="49">
        <f>IF(AND(A52&lt;&gt;0,A52&lt;&gt;""),LOOKUP(A52,Discrete_NFET[PARTNUMBER],Discrete_NFET[1KPRICE]),"")</f>
        <v>0.44</v>
      </c>
      <c r="AS52" s="35" t="str">
        <f>IF(AND($A52&lt;&gt;0,$A52&lt;&gt;""),CONCATENATE(TEXT(AP52,"0.00"),"W, ",IF('User Input'!G$11="Single Discrete",A52,IF('User Input'!G$11="Dual/Power Block",LEFT(A52,FIND(")",A52)-7),A52)),", ",AQ52,", ",TEXT(AR52,"$0.00")),"Invalid Part")</f>
        <v>0.79W, CSD18504KCS, TO-220, $0.44</v>
      </c>
      <c r="AT52" t="s">
        <v>840</v>
      </c>
      <c r="AW52"/>
    </row>
    <row r="53" spans="1:49" ht="15" customHeight="1" x14ac:dyDescent="0.25">
      <c r="A53" s="35" t="str">
        <f>IF(OR(AND(FET_config2="Dual/Power Block",LEFT(Logic!B53,4)="CSD8"),AND(FET_config2="Single Discrete",LEFT(Logic!B53,4)="CSD1")),Logic!B53,"")</f>
        <v>CSD18504Q5A</v>
      </c>
      <c r="B53" s="37" t="str">
        <f>IF(OR($A53=0,$A53=""),"0",IF(LOOKUP($A53,Discrete_NFET[PARTNUMBER],Discrete_NFET[RDSON25])="(NULL)","0","1"))</f>
        <v>0</v>
      </c>
      <c r="C53" s="38" t="str">
        <f>IF(OR($A53=0,$A53=""),"0",IF(LOOKUP($A53,Discrete_NFET[PARTNUMBER],Discrete_NFET[RDSON3])="(NULL)","0","1"))</f>
        <v>0</v>
      </c>
      <c r="D53" s="40" t="str">
        <f>IF(OR($A53=0,$A53=""),"0",IF(LOOKUP($A53,Discrete_NFET[PARTNUMBER],Discrete_NFET[RDSON45])="(NULL)","0","1"))</f>
        <v>1</v>
      </c>
      <c r="E53" s="45" t="str">
        <f>IF(OR($A53=0,$A53=""),"0",IF(LOOKUP($A53,Discrete_NFET[PARTNUMBER],Discrete_NFET[RDSON6])="(NULL)","0","1"))</f>
        <v>0</v>
      </c>
      <c r="F53" s="34" t="str">
        <f>IF(OR($A53=0,$A53=""),"0",IF(LOOKUP($A53,Discrete_NFET[PARTNUMBER],Discrete_NFET[RDSON8])="(NULL)","0","1"))</f>
        <v>0</v>
      </c>
      <c r="G53" s="43" t="str">
        <f>IF(OR($A53=0,$A53=""),"0",IF(LOOKUP($A53,Discrete_NFET[PARTNUMBER],Discrete_NFET[RDSON10])="(NULL)","0","1"))</f>
        <v>1</v>
      </c>
      <c r="H53" s="36" t="b">
        <f t="shared" si="15"/>
        <v>0</v>
      </c>
      <c r="I53" s="39" t="b">
        <f t="shared" si="16"/>
        <v>0</v>
      </c>
      <c r="J53" s="41" t="b">
        <f t="shared" si="17"/>
        <v>1</v>
      </c>
      <c r="K53" s="46" t="b">
        <f t="shared" si="18"/>
        <v>0</v>
      </c>
      <c r="L53" s="42" t="b">
        <f t="shared" si="19"/>
        <v>0</v>
      </c>
      <c r="M53" s="44" t="b">
        <f t="shared" si="20"/>
        <v>1</v>
      </c>
      <c r="N53" s="47" t="b">
        <f t="shared" si="21"/>
        <v>1</v>
      </c>
      <c r="O53" s="36" t="b">
        <f t="shared" si="22"/>
        <v>0</v>
      </c>
      <c r="P53" s="39" t="b">
        <f t="shared" si="23"/>
        <v>0</v>
      </c>
      <c r="Q53" s="41" t="b">
        <f t="shared" si="24"/>
        <v>1</v>
      </c>
      <c r="R53" s="46" t="b">
        <f t="shared" si="25"/>
        <v>0</v>
      </c>
      <c r="S53" s="42" t="b">
        <f t="shared" si="26"/>
        <v>0</v>
      </c>
      <c r="T53" s="44" t="b">
        <f t="shared" si="27"/>
        <v>1</v>
      </c>
      <c r="U53" s="148">
        <f>IF(T53,LOOKUP(A53,Discrete_NFET[PARTNUMBER],Discrete_NFET[RDSON10])*1000,IF(S53,LOOKUP(A53,Discrete_NFET[PARTNUMBER],Discrete_NFET[RDSON8])*1000,IF(R53,LOOKUP(A53,Discrete_NFET[PARTNUMBER],Discrete_NFET[RDSON6])*1000,IF(Q53,LOOKUP(A53,Discrete_NFET[PARTNUMBER],Discrete_NFET[RDSON45])*1000,IF(P53,LOOKUP(A53,Discrete_NFET[PARTNUMBER],Discrete_NFET[RDSON3])*1000,IF(O53,LOOKUP(A53,Discrete_NFET[PARTNUMBER],Discrete_NFET[RDSON25])*1000,""))))))</f>
        <v>6.6</v>
      </c>
      <c r="V53" s="48">
        <f>IF(AND(A53&lt;&gt;0,A53&lt;&gt;""),U53*(1+(Tj-25)*(LOOKUP(A53,Discrete_NFET[PARTNUMBER],Discrete_NFET[RDSDELTA])/((LOOKUP(A53,Discrete_NFET[PARTNUMBER],Discrete_NFET[TJMAX])-25)))),"")</f>
        <v>7.7087999999999992</v>
      </c>
      <c r="W53" s="35">
        <f>IF(AND($A53&lt;&gt;0,$A53&lt;&gt;""),LOOKUP($A53,Discrete_NFET[PARTNUMBER],Discrete_NFET[QGS]),"")</f>
        <v>3.2</v>
      </c>
      <c r="X53" s="35">
        <f>IF(AND($A53&lt;&gt;0,$A53&lt;&gt;""),LOOKUP($A53,Discrete_NFET[PARTNUMBER],Discrete_NFET[QGD]),"")</f>
        <v>2.4</v>
      </c>
      <c r="Y53" s="35">
        <f>IF(AND($A53&lt;&gt;0,$A53&lt;&gt;""),LOOKUP($A53,Discrete_NFET[PARTNUMBER],Discrete_NFET[QGTH]),"")</f>
        <v>2.2000000000000002</v>
      </c>
      <c r="Z53" s="35">
        <f t="shared" si="28"/>
        <v>3.3999999999999995</v>
      </c>
      <c r="AA53" s="35">
        <f>IF(AND($A53&lt;&gt;0,$A53&lt;&gt;""),LOOKUP($A53,Discrete_NFET[PARTNUMBER],Discrete_NFET[QOSSTYP]),"")</f>
        <v>21</v>
      </c>
      <c r="AB53" s="35">
        <f>IF(AND($A53&lt;&gt;0,$A53&lt;&gt;""),LOOKUP($A53,Discrete_NFET[PARTNUMBER],Discrete_NFET[QRR]),"")</f>
        <v>39</v>
      </c>
      <c r="AC53" s="35">
        <f>IF(AND(A53&lt;&gt;0,A53&lt;&gt;""),LOOKUP(A53,Discrete_NFET[PARTNUMBER],Discrete_NFET[VF_TYP]),"")</f>
        <v>0.8</v>
      </c>
      <c r="AD53" s="127">
        <f>IF(AND($A53&lt;&gt;0,$A53&lt;&gt;"",OR(RIGHT(Logic!B53,2)="C)",LEFT(Logic!B53,4)="CSD1")),(1+(1-DUTY))*IM_RMS_120^2*V53*m/3/Num_FETS2,"")</f>
        <v>0.32438827331486603</v>
      </c>
      <c r="AE53" s="127">
        <f>IF(AND($A53&lt;&gt;0,$A53&lt;&gt;"",OR(RIGHT(Logic!B53,2)="C)",LEFT(Logic!B53,4)="CSD1")),Num_FETS2*0.5*IM_RMS_120*VDC_AVG*Z53*n*MOT_ELEC_FREQ/GDR_SRC,"")</f>
        <v>1.0964912280701752E-5</v>
      </c>
      <c r="AF53" s="127">
        <f>IF(AND($A53&lt;&gt;0,$A53&lt;&gt;"",OR(RIGHT(Logic!B53,2)="C)",LEFT(Logic!B53,4)="CSD1")),Num_FETS2*0.5*IM_RMS_120*VDC_AVG*Z53*n*MOT_ELEC_FREQ/GDR_SINK,"")</f>
        <v>7.4561403508771912E-6</v>
      </c>
      <c r="AG53" s="127">
        <f>IF(AND($A53&lt;&gt;0,$A53&lt;&gt;"",OR(RIGHT(Logic!B53,2)="T)",LEFT(Logic!B53,4)="CSD1")),DUTY*IM_RMS_120^2*V53*m/3/Num_FETS2,"")</f>
        <v>0.29349415204678353</v>
      </c>
      <c r="AH53" s="127">
        <f>IF(AND($A53&lt;&gt;0,$A53&lt;&gt;"",OR(RIGHT(Logic!B53,2)="T)",LEFT(Logic!B53,4)="CSD1")),Num_FETS2*0.5*IM_RMS_120*VDC_AVG*Z53*n*FSW*k/GDR_SRC/3,"")</f>
        <v>2.1929824561403503E-3</v>
      </c>
      <c r="AI53" s="127">
        <f>IF(AND($A53&lt;&gt;0,$A53&lt;&gt;"",OR(RIGHT(Logic!B53,2)="T)",LEFT(Logic!B53,4)="CSD1")),Num_FETS2*0.5*IM_RMS_120*VDC_AVG*Z53*n*FSW*k/GDR_SINK/3,"")</f>
        <v>1.4912280701754382E-3</v>
      </c>
      <c r="AJ53" s="127">
        <f t="shared" si="31"/>
        <v>2.5200000000000001E-3</v>
      </c>
      <c r="AK53" s="127">
        <f t="shared" si="33"/>
        <v>1.2414567897146714E-2</v>
      </c>
      <c r="AL53" s="127">
        <f t="shared" si="32"/>
        <v>9.3756000000000013E-3</v>
      </c>
      <c r="AM53" s="127">
        <f t="shared" si="29"/>
        <v>0.37243703691440144</v>
      </c>
      <c r="AN53" s="127">
        <f>IF(AND($A53&lt;&gt;0,$A53&lt;&gt;"",OR(RIGHT(Logic!B53,2)="C)",LEFT(Logic!B53,4)="CSD1")),SUM(AD53:AF53)+(AJ53/3)+AK53+AL53/6+AM53/6,AN54)</f>
        <v>0.4012967017503779</v>
      </c>
      <c r="AO53" s="127">
        <f>IF(AND($A53&lt;&gt;0,$A53&lt;&gt;"",OR(RIGHT(Logic!B53,2)="T)",LEFT(Logic!B53,4)="CSD1")),SUM(AG53:AI53)+(AJ53/3)+AL53/6+AM53/6,AO52)</f>
        <v>0.36165380205883291</v>
      </c>
      <c r="AP53" s="48">
        <f t="shared" si="30"/>
        <v>0.76</v>
      </c>
      <c r="AQ53" s="35" t="str">
        <f>IF(AND(A53&lt;&gt;0,A53&lt;&gt;""),LOOKUP(A53,Discrete_NFET[PARTNUMBER],Discrete_NFET[TI_EQ_PACKAGE]),"")</f>
        <v>SON5X6</v>
      </c>
      <c r="AR53" s="49">
        <f>IF(AND(A53&lt;&gt;0,A53&lt;&gt;""),LOOKUP(A53,Discrete_NFET[PARTNUMBER],Discrete_NFET[1KPRICE]),"")</f>
        <v>0.31</v>
      </c>
      <c r="AS53" s="35" t="str">
        <f>IF(AND($A53&lt;&gt;0,$A53&lt;&gt;""),CONCATENATE(TEXT(AP53,"0.00"),"W, ",IF('User Input'!G$11="Single Discrete",A53,IF('User Input'!G$11="Dual/Power Block",LEFT(A53,FIND(")",A53)-7),A53)),", ",AQ53,", ",TEXT(AR53,"$0.00")),"Invalid Part")</f>
        <v>0.76W, CSD18504Q5A, SON5X6, $0.31</v>
      </c>
      <c r="AT53" t="s">
        <v>803</v>
      </c>
      <c r="AW53"/>
    </row>
    <row r="54" spans="1:49" ht="15" customHeight="1" x14ac:dyDescent="0.25">
      <c r="A54" s="35" t="str">
        <f>IF(OR(AND(FET_config2="Dual/Power Block",LEFT(Logic!B54,4)="CSD8"),AND(FET_config2="Single Discrete",LEFT(Logic!B54,4)="CSD1")),Logic!B54,"")</f>
        <v>CSD18509Q5B</v>
      </c>
      <c r="B54" s="37" t="str">
        <f>IF(OR($A54=0,$A54=""),"0",IF(LOOKUP($A54,Discrete_NFET[PARTNUMBER],Discrete_NFET[RDSON25])="(NULL)","0","1"))</f>
        <v>0</v>
      </c>
      <c r="C54" s="38" t="str">
        <f>IF(OR($A54=0,$A54=""),"0",IF(LOOKUP($A54,Discrete_NFET[PARTNUMBER],Discrete_NFET[RDSON3])="(NULL)","0","1"))</f>
        <v>0</v>
      </c>
      <c r="D54" s="40" t="str">
        <f>IF(OR($A54=0,$A54=""),"0",IF(LOOKUP($A54,Discrete_NFET[PARTNUMBER],Discrete_NFET[RDSON45])="(NULL)","0","1"))</f>
        <v>1</v>
      </c>
      <c r="E54" s="45" t="str">
        <f>IF(OR($A54=0,$A54=""),"0",IF(LOOKUP($A54,Discrete_NFET[PARTNUMBER],Discrete_NFET[RDSON6])="(NULL)","0","1"))</f>
        <v>0</v>
      </c>
      <c r="F54" s="34" t="str">
        <f>IF(OR($A54=0,$A54=""),"0",IF(LOOKUP($A54,Discrete_NFET[PARTNUMBER],Discrete_NFET[RDSON8])="(NULL)","0","1"))</f>
        <v>0</v>
      </c>
      <c r="G54" s="43" t="str">
        <f>IF(OR($A54=0,$A54=""),"0",IF(LOOKUP($A54,Discrete_NFET[PARTNUMBER],Discrete_NFET[RDSON10])="(NULL)","0","1"))</f>
        <v>1</v>
      </c>
      <c r="H54" s="36" t="b">
        <f t="shared" si="15"/>
        <v>0</v>
      </c>
      <c r="I54" s="39" t="b">
        <f t="shared" si="16"/>
        <v>0</v>
      </c>
      <c r="J54" s="41" t="b">
        <f t="shared" si="17"/>
        <v>1</v>
      </c>
      <c r="K54" s="46" t="b">
        <f t="shared" si="18"/>
        <v>0</v>
      </c>
      <c r="L54" s="42" t="b">
        <f t="shared" si="19"/>
        <v>0</v>
      </c>
      <c r="M54" s="44" t="b">
        <f t="shared" si="20"/>
        <v>1</v>
      </c>
      <c r="N54" s="47" t="b">
        <f t="shared" si="21"/>
        <v>1</v>
      </c>
      <c r="O54" s="36" t="b">
        <f t="shared" si="22"/>
        <v>0</v>
      </c>
      <c r="P54" s="39" t="b">
        <f t="shared" si="23"/>
        <v>0</v>
      </c>
      <c r="Q54" s="41" t="b">
        <f t="shared" si="24"/>
        <v>1</v>
      </c>
      <c r="R54" s="46" t="b">
        <f t="shared" si="25"/>
        <v>0</v>
      </c>
      <c r="S54" s="42" t="b">
        <f t="shared" si="26"/>
        <v>0</v>
      </c>
      <c r="T54" s="44" t="b">
        <f t="shared" si="27"/>
        <v>1</v>
      </c>
      <c r="U54" s="148">
        <f>IF(T54,LOOKUP(A54,Discrete_NFET[PARTNUMBER],Discrete_NFET[RDSON10])*1000,IF(S54,LOOKUP(A54,Discrete_NFET[PARTNUMBER],Discrete_NFET[RDSON8])*1000,IF(R54,LOOKUP(A54,Discrete_NFET[PARTNUMBER],Discrete_NFET[RDSON6])*1000,IF(Q54,LOOKUP(A54,Discrete_NFET[PARTNUMBER],Discrete_NFET[RDSON45])*1000,IF(P54,LOOKUP(A54,Discrete_NFET[PARTNUMBER],Discrete_NFET[RDSON3])*1000,IF(O54,LOOKUP(A54,Discrete_NFET[PARTNUMBER],Discrete_NFET[RDSON25])*1000,""))))))</f>
        <v>1.2</v>
      </c>
      <c r="V54" s="48">
        <f>IF(AND(A54&lt;&gt;0,A54&lt;&gt;""),U54*(1+(Tj-25)*(LOOKUP(A54,Discrete_NFET[PARTNUMBER],Discrete_NFET[RDSDELTA])/((LOOKUP(A54,Discrete_NFET[PARTNUMBER],Discrete_NFET[TJMAX])-25)))),"")</f>
        <v>1.3967999999999998</v>
      </c>
      <c r="W54" s="35">
        <f>IF(AND($A54&lt;&gt;0,$A54&lt;&gt;""),LOOKUP($A54,Discrete_NFET[PARTNUMBER],Discrete_NFET[QGS]),"")</f>
        <v>29</v>
      </c>
      <c r="X54" s="35">
        <f>IF(AND($A54&lt;&gt;0,$A54&lt;&gt;""),LOOKUP($A54,Discrete_NFET[PARTNUMBER],Discrete_NFET[QGD]),"")</f>
        <v>17</v>
      </c>
      <c r="Y54" s="35">
        <f>IF(AND($A54&lt;&gt;0,$A54&lt;&gt;""),LOOKUP($A54,Discrete_NFET[PARTNUMBER],Discrete_NFET[QGTH]),"")</f>
        <v>18</v>
      </c>
      <c r="Z54" s="35">
        <f t="shared" si="28"/>
        <v>28</v>
      </c>
      <c r="AA54" s="35">
        <f>IF(AND($A54&lt;&gt;0,$A54&lt;&gt;""),LOOKUP($A54,Discrete_NFET[PARTNUMBER],Discrete_NFET[QOSSTYP]),"")</f>
        <v>39</v>
      </c>
      <c r="AB54" s="35">
        <f>IF(AND($A54&lt;&gt;0,$A54&lt;&gt;""),LOOKUP($A54,Discrete_NFET[PARTNUMBER],Discrete_NFET[QRR]),"")</f>
        <v>40</v>
      </c>
      <c r="AC54" s="35">
        <f>IF(AND(A54&lt;&gt;0,A54&lt;&gt;""),LOOKUP(A54,Discrete_NFET[PARTNUMBER],Discrete_NFET[VF_TYP]),"")</f>
        <v>0.8</v>
      </c>
      <c r="AD54" s="127">
        <f>IF(AND($A54&lt;&gt;0,$A54&lt;&gt;"",OR(RIGHT(Logic!B54,2)="C)",LEFT(Logic!B54,4)="CSD1")),(1+(1-DUTY))*IM_RMS_120^2*V54*m/3/Num_FETS2,"")</f>
        <v>5.8777700831024911E-2</v>
      </c>
      <c r="AE54" s="127">
        <f>IF(AND($A54&lt;&gt;0,$A54&lt;&gt;"",OR(RIGHT(Logic!B54,2)="C)",LEFT(Logic!B54,4)="CSD1")),Num_FETS2*0.5*IM_RMS_120*VDC_AVG*Z54*n*MOT_ELEC_FREQ/GDR_SRC,"")</f>
        <v>9.0299277605779155E-5</v>
      </c>
      <c r="AF54" s="127">
        <f>IF(AND($A54&lt;&gt;0,$A54&lt;&gt;"",OR(RIGHT(Logic!B54,2)="C)",LEFT(Logic!B54,4)="CSD1")),Num_FETS2*0.5*IM_RMS_120*VDC_AVG*Z54*n*MOT_ELEC_FREQ/GDR_SINK,"")</f>
        <v>6.1403508771929827E-5</v>
      </c>
      <c r="AG54" s="127">
        <f>IF(AND($A54&lt;&gt;0,$A54&lt;&gt;"",OR(RIGHT(Logic!B54,2)="T)",LEFT(Logic!B54,4)="CSD1")),DUTY*IM_RMS_120^2*V54*m/3/Num_FETS2,"")</f>
        <v>5.3179824561403487E-2</v>
      </c>
      <c r="AH54" s="127">
        <f>IF(AND($A54&lt;&gt;0,$A54&lt;&gt;"",OR(RIGHT(Logic!B54,2)="T)",LEFT(Logic!B54,4)="CSD1")),Num_FETS2*0.5*IM_RMS_120*VDC_AVG*Z54*n*FSW*k/GDR_SRC/3,"")</f>
        <v>1.805985552115583E-2</v>
      </c>
      <c r="AI54" s="127">
        <f>IF(AND($A54&lt;&gt;0,$A54&lt;&gt;"",OR(RIGHT(Logic!B54,2)="T)",LEFT(Logic!B54,4)="CSD1")),Num_FETS2*0.5*IM_RMS_120*VDC_AVG*Z54*n*FSW*k/GDR_SINK/3,"")</f>
        <v>1.2280701754385963E-2</v>
      </c>
      <c r="AJ54" s="127">
        <f t="shared" si="31"/>
        <v>4.6800000000000001E-3</v>
      </c>
      <c r="AK54" s="127">
        <f t="shared" si="33"/>
        <v>1.2414567897146714E-2</v>
      </c>
      <c r="AL54" s="127">
        <f t="shared" si="32"/>
        <v>9.6160000000000013E-3</v>
      </c>
      <c r="AM54" s="127">
        <f t="shared" si="29"/>
        <v>0.37243703691440144</v>
      </c>
      <c r="AN54" s="127">
        <f>IF(AND($A54&lt;&gt;0,$A54&lt;&gt;"",OR(RIGHT(Logic!B54,2)="C)",LEFT(Logic!B54,4)="CSD1")),SUM(AD54:AF54)+(AJ54/3)+AK54+AL54/6+AM54/6,AN55)</f>
        <v>0.13657947766694958</v>
      </c>
      <c r="AO54" s="127">
        <f>IF(AND($A54&lt;&gt;0,$A54&lt;&gt;"",OR(RIGHT(Logic!B54,2)="T)",LEFT(Logic!B54,4)="CSD1")),SUM(AG54:AI54)+(AJ54/3)+AL54/6+AM54/6,AO53)</f>
        <v>0.14875588798934553</v>
      </c>
      <c r="AP54" s="48">
        <f t="shared" si="30"/>
        <v>0.28999999999999998</v>
      </c>
      <c r="AQ54" s="35" t="str">
        <f>IF(AND(A54&lt;&gt;0,A54&lt;&gt;""),LOOKUP(A54,Discrete_NFET[PARTNUMBER],Discrete_NFET[TI_EQ_PACKAGE]),"")</f>
        <v>SON5X6</v>
      </c>
      <c r="AR54" s="49">
        <f>IF(AND(A54&lt;&gt;0,A54&lt;&gt;""),LOOKUP(A54,Discrete_NFET[PARTNUMBER],Discrete_NFET[1KPRICE]),"")</f>
        <v>0.76</v>
      </c>
      <c r="AS54" s="35" t="str">
        <f>IF(AND($A54&lt;&gt;0,$A54&lt;&gt;""),CONCATENATE(TEXT(AP54,"0.00"),"W, ",IF('User Input'!G$11="Single Discrete",A54,IF('User Input'!G$11="Dual/Power Block",LEFT(A54,FIND(")",A54)-7),A54)),", ",AQ54,", ",TEXT(AR54,"$0.00")),"Invalid Part")</f>
        <v>0.29W, CSD18509Q5B, SON5X6, $0.76</v>
      </c>
      <c r="AT54" t="s">
        <v>854</v>
      </c>
      <c r="AW54"/>
    </row>
    <row r="55" spans="1:49" ht="15" customHeight="1" x14ac:dyDescent="0.25">
      <c r="A55" s="35" t="str">
        <f>IF(OR(AND(FET_config2="Dual/Power Block",LEFT(Logic!B55,4)="CSD8"),AND(FET_config2="Single Discrete",LEFT(Logic!B55,4)="CSD1")),Logic!B55,"")</f>
        <v>CSD18510KCS</v>
      </c>
      <c r="B55" s="37" t="str">
        <f>IF(OR($A55=0,$A55=""),"0",IF(LOOKUP($A55,Discrete_NFET[PARTNUMBER],Discrete_NFET[RDSON25])="(NULL)","0","1"))</f>
        <v>0</v>
      </c>
      <c r="C55" s="38" t="str">
        <f>IF(OR($A55=0,$A55=""),"0",IF(LOOKUP($A55,Discrete_NFET[PARTNUMBER],Discrete_NFET[RDSON3])="(NULL)","0","1"))</f>
        <v>0</v>
      </c>
      <c r="D55" s="40" t="str">
        <f>IF(OR($A55=0,$A55=""),"0",IF(LOOKUP($A55,Discrete_NFET[PARTNUMBER],Discrete_NFET[RDSON45])="(NULL)","0","1"))</f>
        <v>1</v>
      </c>
      <c r="E55" s="45" t="str">
        <f>IF(OR($A55=0,$A55=""),"0",IF(LOOKUP($A55,Discrete_NFET[PARTNUMBER],Discrete_NFET[RDSON6])="(NULL)","0","1"))</f>
        <v>0</v>
      </c>
      <c r="F55" s="34" t="str">
        <f>IF(OR($A55=0,$A55=""),"0",IF(LOOKUP($A55,Discrete_NFET[PARTNUMBER],Discrete_NFET[RDSON8])="(NULL)","0","1"))</f>
        <v>0</v>
      </c>
      <c r="G55" s="43" t="str">
        <f>IF(OR($A55=0,$A55=""),"0",IF(LOOKUP($A55,Discrete_NFET[PARTNUMBER],Discrete_NFET[RDSON10])="(NULL)","0","1"))</f>
        <v>1</v>
      </c>
      <c r="H55" s="36" t="b">
        <f t="shared" si="15"/>
        <v>0</v>
      </c>
      <c r="I55" s="39" t="b">
        <f t="shared" si="16"/>
        <v>0</v>
      </c>
      <c r="J55" s="41" t="b">
        <f t="shared" si="17"/>
        <v>1</v>
      </c>
      <c r="K55" s="46" t="b">
        <f t="shared" si="18"/>
        <v>0</v>
      </c>
      <c r="L55" s="42" t="b">
        <f t="shared" si="19"/>
        <v>0</v>
      </c>
      <c r="M55" s="44" t="b">
        <f t="shared" si="20"/>
        <v>1</v>
      </c>
      <c r="N55" s="47" t="b">
        <f t="shared" si="21"/>
        <v>1</v>
      </c>
      <c r="O55" s="36" t="b">
        <f t="shared" si="22"/>
        <v>0</v>
      </c>
      <c r="P55" s="39" t="b">
        <f t="shared" si="23"/>
        <v>0</v>
      </c>
      <c r="Q55" s="41" t="b">
        <f t="shared" si="24"/>
        <v>1</v>
      </c>
      <c r="R55" s="46" t="b">
        <f t="shared" si="25"/>
        <v>0</v>
      </c>
      <c r="S55" s="42" t="b">
        <f t="shared" si="26"/>
        <v>0</v>
      </c>
      <c r="T55" s="44" t="b">
        <f t="shared" si="27"/>
        <v>1</v>
      </c>
      <c r="U55" s="148">
        <f>IF(T55,LOOKUP(A55,Discrete_NFET[PARTNUMBER],Discrete_NFET[RDSON10])*1000,IF(S55,LOOKUP(A55,Discrete_NFET[PARTNUMBER],Discrete_NFET[RDSON8])*1000,IF(R55,LOOKUP(A55,Discrete_NFET[PARTNUMBER],Discrete_NFET[RDSON6])*1000,IF(Q55,LOOKUP(A55,Discrete_NFET[PARTNUMBER],Discrete_NFET[RDSON45])*1000,IF(P55,LOOKUP(A55,Discrete_NFET[PARTNUMBER],Discrete_NFET[RDSON3])*1000,IF(O55,LOOKUP(A55,Discrete_NFET[PARTNUMBER],Discrete_NFET[RDSON25])*1000,""))))))</f>
        <v>1.4</v>
      </c>
      <c r="V55" s="48">
        <f>IF(AND(A55&lt;&gt;0,A55&lt;&gt;""),U55*(1+(Tj-25)*(LOOKUP(A55,Discrete_NFET[PARTNUMBER],Discrete_NFET[RDSDELTA])/((LOOKUP(A55,Discrete_NFET[PARTNUMBER],Discrete_NFET[TJMAX])-25)))),"")</f>
        <v>1.5913333333333333</v>
      </c>
      <c r="W55" s="35">
        <f>IF(AND($A55&lt;&gt;0,$A55&lt;&gt;""),LOOKUP($A55,Discrete_NFET[PARTNUMBER],Discrete_NFET[QGS]),"")</f>
        <v>28</v>
      </c>
      <c r="X55" s="35">
        <f>IF(AND($A55&lt;&gt;0,$A55&lt;&gt;""),LOOKUP($A55,Discrete_NFET[PARTNUMBER],Discrete_NFET[QGD]),"")</f>
        <v>21</v>
      </c>
      <c r="Y55" s="35">
        <f>IF(AND($A55&lt;&gt;0,$A55&lt;&gt;""),LOOKUP($A55,Discrete_NFET[PARTNUMBER],Discrete_NFET[QGTH]),"")</f>
        <v>15</v>
      </c>
      <c r="Z55" s="35">
        <f t="shared" si="28"/>
        <v>34</v>
      </c>
      <c r="AA55" s="35">
        <f>IF(AND($A55&lt;&gt;0,$A55&lt;&gt;""),LOOKUP($A55,Discrete_NFET[PARTNUMBER],Discrete_NFET[QOSSTYP]),"")</f>
        <v>35</v>
      </c>
      <c r="AB55" s="35">
        <f>IF(AND($A55&lt;&gt;0,$A55&lt;&gt;""),LOOKUP($A55,Discrete_NFET[PARTNUMBER],Discrete_NFET[QRR]),"")</f>
        <v>70</v>
      </c>
      <c r="AC55" s="35">
        <f>IF(AND(A55&lt;&gt;0,A55&lt;&gt;""),LOOKUP(A55,Discrete_NFET[PARTNUMBER],Discrete_NFET[VF_TYP]),"")</f>
        <v>0.85</v>
      </c>
      <c r="AD55" s="127">
        <f>IF(AND($A55&lt;&gt;0,$A55&lt;&gt;"",OR(RIGHT(Logic!B55,2)="C)",LEFT(Logic!B55,4)="CSD1")),(1+(1-DUTY))*IM_RMS_120^2*V55*m/3/Num_FETS2,"")</f>
        <v>6.6963713193803204E-2</v>
      </c>
      <c r="AE55" s="127">
        <f>IF(AND($A55&lt;&gt;0,$A55&lt;&gt;"",OR(RIGHT(Logic!B55,2)="C)",LEFT(Logic!B55,4)="CSD1")),Num_FETS2*0.5*IM_RMS_120*VDC_AVG*Z55*n*MOT_ELEC_FREQ/GDR_SRC,"")</f>
        <v>1.0964912280701752E-4</v>
      </c>
      <c r="AF55" s="127">
        <f>IF(AND($A55&lt;&gt;0,$A55&lt;&gt;"",OR(RIGHT(Logic!B55,2)="C)",LEFT(Logic!B55,4)="CSD1")),Num_FETS2*0.5*IM_RMS_120*VDC_AVG*Z55*n*MOT_ELEC_FREQ/GDR_SINK,"")</f>
        <v>7.4561403508771921E-5</v>
      </c>
      <c r="AG55" s="127">
        <f>IF(AND($A55&lt;&gt;0,$A55&lt;&gt;"",OR(RIGHT(Logic!B55,2)="T)",LEFT(Logic!B55,4)="CSD1")),DUTY*IM_RMS_120^2*V55*m/3/Num_FETS2,"")</f>
        <v>6.0586216699155288E-2</v>
      </c>
      <c r="AH55" s="127">
        <f>IF(AND($A55&lt;&gt;0,$A55&lt;&gt;"",OR(RIGHT(Logic!B55,2)="T)",LEFT(Logic!B55,4)="CSD1")),Num_FETS2*0.5*IM_RMS_120*VDC_AVG*Z55*n*FSW*k/GDR_SRC/3,"")</f>
        <v>2.1929824561403504E-2</v>
      </c>
      <c r="AI55" s="127">
        <f>IF(AND($A55&lt;&gt;0,$A55&lt;&gt;"",OR(RIGHT(Logic!B55,2)="T)",LEFT(Logic!B55,4)="CSD1")),Num_FETS2*0.5*IM_RMS_120*VDC_AVG*Z55*n*FSW*k/GDR_SINK/3,"")</f>
        <v>1.4912280701754384E-2</v>
      </c>
      <c r="AJ55" s="127">
        <f t="shared" si="31"/>
        <v>4.2000000000000006E-3</v>
      </c>
      <c r="AK55" s="127">
        <f t="shared" si="33"/>
        <v>1.3190478390718382E-2</v>
      </c>
      <c r="AL55" s="127">
        <f t="shared" si="32"/>
        <v>1.6828000000000003E-2</v>
      </c>
      <c r="AM55" s="127">
        <f t="shared" si="29"/>
        <v>0.39571435172155139</v>
      </c>
      <c r="AN55" s="127">
        <f>IF(AND($A55&lt;&gt;0,$A55&lt;&gt;"",OR(RIGHT(Logic!B55,2)="C)",LEFT(Logic!B55,4)="CSD1")),SUM(AD55:AF55)+(AJ55/3)+AK55+AL55/6+AM55/6,AN56)</f>
        <v>0.15049546073109593</v>
      </c>
      <c r="AO55" s="127">
        <f>IF(AND($A55&lt;&gt;0,$A55&lt;&gt;"",OR(RIGHT(Logic!B55,2)="T)",LEFT(Logic!B55,4)="CSD1")),SUM(AG55:AI55)+(AJ55/3)+AL55/6+AM55/6,AO54)</f>
        <v>0.16758538058257175</v>
      </c>
      <c r="AP55" s="48">
        <f t="shared" si="30"/>
        <v>0.32</v>
      </c>
      <c r="AQ55" s="35" t="str">
        <f>IF(AND(A55&lt;&gt;0,A55&lt;&gt;""),LOOKUP(A55,Discrete_NFET[PARTNUMBER],Discrete_NFET[TI_EQ_PACKAGE]),"")</f>
        <v>TO-220</v>
      </c>
      <c r="AR55" s="49">
        <f>IF(AND(A55&lt;&gt;0,A55&lt;&gt;""),LOOKUP(A55,Discrete_NFET[PARTNUMBER],Discrete_NFET[1KPRICE]),"")</f>
        <v>0.72</v>
      </c>
      <c r="AS55" s="35" t="str">
        <f>IF(AND($A55&lt;&gt;0,$A55&lt;&gt;""),CONCATENATE(TEXT(AP55,"0.00"),"W, ",IF('User Input'!G$11="Single Discrete",A55,IF('User Input'!G$11="Dual/Power Block",LEFT(A55,FIND(")",A55)-7),A55)),", ",AQ55,", ",TEXT(AR55,"$0.00")),"Invalid Part")</f>
        <v>0.32W, CSD18510KCS, TO-220, $0.72</v>
      </c>
      <c r="AT55" t="s">
        <v>814</v>
      </c>
      <c r="AW55"/>
    </row>
    <row r="56" spans="1:49" ht="15" customHeight="1" x14ac:dyDescent="0.25">
      <c r="A56" s="35" t="str">
        <f>IF(OR(AND(FET_config2="Dual/Power Block",LEFT(Logic!B56,4)="CSD8"),AND(FET_config2="Single Discrete",LEFT(Logic!B56,4)="CSD1")),Logic!B56,"")</f>
        <v>CSD18510KTT</v>
      </c>
      <c r="B56" s="37" t="str">
        <f>IF(OR($A56=0,$A56=""),"0",IF(LOOKUP($A56,Discrete_NFET[PARTNUMBER],Discrete_NFET[RDSON25])="(NULL)","0","1"))</f>
        <v>0</v>
      </c>
      <c r="C56" s="38" t="str">
        <f>IF(OR($A56=0,$A56=""),"0",IF(LOOKUP($A56,Discrete_NFET[PARTNUMBER],Discrete_NFET[RDSON3])="(NULL)","0","1"))</f>
        <v>0</v>
      </c>
      <c r="D56" s="40" t="str">
        <f>IF(OR($A56=0,$A56=""),"0",IF(LOOKUP($A56,Discrete_NFET[PARTNUMBER],Discrete_NFET[RDSON45])="(NULL)","0","1"))</f>
        <v>1</v>
      </c>
      <c r="E56" s="45" t="str">
        <f>IF(OR($A56=0,$A56=""),"0",IF(LOOKUP($A56,Discrete_NFET[PARTNUMBER],Discrete_NFET[RDSON6])="(NULL)","0","1"))</f>
        <v>0</v>
      </c>
      <c r="F56" s="34" t="str">
        <f>IF(OR($A56=0,$A56=""),"0",IF(LOOKUP($A56,Discrete_NFET[PARTNUMBER],Discrete_NFET[RDSON8])="(NULL)","0","1"))</f>
        <v>0</v>
      </c>
      <c r="G56" s="43" t="str">
        <f>IF(OR($A56=0,$A56=""),"0",IF(LOOKUP($A56,Discrete_NFET[PARTNUMBER],Discrete_NFET[RDSON10])="(NULL)","0","1"))</f>
        <v>1</v>
      </c>
      <c r="H56" s="36" t="b">
        <f t="shared" si="15"/>
        <v>0</v>
      </c>
      <c r="I56" s="39" t="b">
        <f t="shared" si="16"/>
        <v>0</v>
      </c>
      <c r="J56" s="41" t="b">
        <f t="shared" si="17"/>
        <v>1</v>
      </c>
      <c r="K56" s="46" t="b">
        <f t="shared" si="18"/>
        <v>0</v>
      </c>
      <c r="L56" s="42" t="b">
        <f t="shared" si="19"/>
        <v>0</v>
      </c>
      <c r="M56" s="44" t="b">
        <f t="shared" si="20"/>
        <v>1</v>
      </c>
      <c r="N56" s="47" t="b">
        <f t="shared" si="21"/>
        <v>1</v>
      </c>
      <c r="O56" s="36" t="b">
        <f t="shared" si="22"/>
        <v>0</v>
      </c>
      <c r="P56" s="39" t="b">
        <f t="shared" si="23"/>
        <v>0</v>
      </c>
      <c r="Q56" s="41" t="b">
        <f t="shared" si="24"/>
        <v>1</v>
      </c>
      <c r="R56" s="46" t="b">
        <f t="shared" si="25"/>
        <v>0</v>
      </c>
      <c r="S56" s="42" t="b">
        <f t="shared" si="26"/>
        <v>0</v>
      </c>
      <c r="T56" s="44" t="b">
        <f t="shared" si="27"/>
        <v>1</v>
      </c>
      <c r="U56" s="148">
        <f>IF(T56,LOOKUP(A56,Discrete_NFET[PARTNUMBER],Discrete_NFET[RDSON10])*1000,IF(S56,LOOKUP(A56,Discrete_NFET[PARTNUMBER],Discrete_NFET[RDSON8])*1000,IF(R56,LOOKUP(A56,Discrete_NFET[PARTNUMBER],Discrete_NFET[RDSON6])*1000,IF(Q56,LOOKUP(A56,Discrete_NFET[PARTNUMBER],Discrete_NFET[RDSON45])*1000,IF(P56,LOOKUP(A56,Discrete_NFET[PARTNUMBER],Discrete_NFET[RDSON3])*1000,IF(O56,LOOKUP(A56,Discrete_NFET[PARTNUMBER],Discrete_NFET[RDSON25])*1000,""))))))</f>
        <v>1.4</v>
      </c>
      <c r="V56" s="48">
        <f>IF(AND(A56&lt;&gt;0,A56&lt;&gt;""),U56*(1+(Tj-25)*(LOOKUP(A56,Discrete_NFET[PARTNUMBER],Discrete_NFET[RDSDELTA])/((LOOKUP(A56,Discrete_NFET[PARTNUMBER],Discrete_NFET[TJMAX])-25)))),"")</f>
        <v>1.5913333333333333</v>
      </c>
      <c r="W56" s="35">
        <f>IF(AND($A56&lt;&gt;0,$A56&lt;&gt;""),LOOKUP($A56,Discrete_NFET[PARTNUMBER],Discrete_NFET[QGS]),"")</f>
        <v>28</v>
      </c>
      <c r="X56" s="35">
        <f>IF(AND($A56&lt;&gt;0,$A56&lt;&gt;""),LOOKUP($A56,Discrete_NFET[PARTNUMBER],Discrete_NFET[QGD]),"")</f>
        <v>21</v>
      </c>
      <c r="Y56" s="35">
        <f>IF(AND($A56&lt;&gt;0,$A56&lt;&gt;""),LOOKUP($A56,Discrete_NFET[PARTNUMBER],Discrete_NFET[QGTH]),"")</f>
        <v>15</v>
      </c>
      <c r="Z56" s="35">
        <f t="shared" si="28"/>
        <v>34</v>
      </c>
      <c r="AA56" s="35">
        <f>IF(AND($A56&lt;&gt;0,$A56&lt;&gt;""),LOOKUP($A56,Discrete_NFET[PARTNUMBER],Discrete_NFET[QOSSTYP]),"")</f>
        <v>35</v>
      </c>
      <c r="AB56" s="35">
        <f>IF(AND($A56&lt;&gt;0,$A56&lt;&gt;""),LOOKUP($A56,Discrete_NFET[PARTNUMBER],Discrete_NFET[QRR]),"")</f>
        <v>70</v>
      </c>
      <c r="AC56" s="35">
        <f>IF(AND(A56&lt;&gt;0,A56&lt;&gt;""),LOOKUP(A56,Discrete_NFET[PARTNUMBER],Discrete_NFET[VF_TYP]),"")</f>
        <v>0.85</v>
      </c>
      <c r="AD56" s="127">
        <f>IF(AND($A56&lt;&gt;0,$A56&lt;&gt;"",OR(RIGHT(Logic!B56,2)="C)",LEFT(Logic!B56,4)="CSD1")),(1+(1-DUTY))*IM_RMS_120^2*V56*m/3/Num_FETS2,"")</f>
        <v>6.6963713193803204E-2</v>
      </c>
      <c r="AE56" s="127">
        <f>IF(AND($A56&lt;&gt;0,$A56&lt;&gt;"",OR(RIGHT(Logic!B56,2)="C)",LEFT(Logic!B56,4)="CSD1")),Num_FETS2*0.5*IM_RMS_120*VDC_AVG*Z56*n*MOT_ELEC_FREQ/GDR_SRC,"")</f>
        <v>1.0964912280701752E-4</v>
      </c>
      <c r="AF56" s="127">
        <f>IF(AND($A56&lt;&gt;0,$A56&lt;&gt;"",OR(RIGHT(Logic!B56,2)="C)",LEFT(Logic!B56,4)="CSD1")),Num_FETS2*0.5*IM_RMS_120*VDC_AVG*Z56*n*MOT_ELEC_FREQ/GDR_SINK,"")</f>
        <v>7.4561403508771921E-5</v>
      </c>
      <c r="AG56" s="127">
        <f>IF(AND($A56&lt;&gt;0,$A56&lt;&gt;"",OR(RIGHT(Logic!B56,2)="T)",LEFT(Logic!B56,4)="CSD1")),DUTY*IM_RMS_120^2*V56*m/3/Num_FETS2,"")</f>
        <v>6.0586216699155288E-2</v>
      </c>
      <c r="AH56" s="127">
        <f>IF(AND($A56&lt;&gt;0,$A56&lt;&gt;"",OR(RIGHT(Logic!B56,2)="T)",LEFT(Logic!B56,4)="CSD1")),Num_FETS2*0.5*IM_RMS_120*VDC_AVG*Z56*n*FSW*k/GDR_SRC/3,"")</f>
        <v>2.1929824561403504E-2</v>
      </c>
      <c r="AI56" s="127">
        <f>IF(AND($A56&lt;&gt;0,$A56&lt;&gt;"",OR(RIGHT(Logic!B56,2)="T)",LEFT(Logic!B56,4)="CSD1")),Num_FETS2*0.5*IM_RMS_120*VDC_AVG*Z56*n*FSW*k/GDR_SINK/3,"")</f>
        <v>1.4912280701754384E-2</v>
      </c>
      <c r="AJ56" s="127">
        <f t="shared" si="31"/>
        <v>4.2000000000000006E-3</v>
      </c>
      <c r="AK56" s="127">
        <f t="shared" si="33"/>
        <v>1.3190478390718382E-2</v>
      </c>
      <c r="AL56" s="127">
        <f t="shared" si="32"/>
        <v>1.6828000000000003E-2</v>
      </c>
      <c r="AM56" s="127">
        <f t="shared" si="29"/>
        <v>0.39571435172155139</v>
      </c>
      <c r="AN56" s="127">
        <f>IF(AND($A56&lt;&gt;0,$A56&lt;&gt;"",OR(RIGHT(Logic!B56,2)="C)",LEFT(Logic!B56,4)="CSD1")),SUM(AD56:AF56)+(AJ56/3)+AK56+AL56/6+AM56/6,AN57)</f>
        <v>0.15049546073109593</v>
      </c>
      <c r="AO56" s="127">
        <f>IF(AND($A56&lt;&gt;0,$A56&lt;&gt;"",OR(RIGHT(Logic!B56,2)="T)",LEFT(Logic!B56,4)="CSD1")),SUM(AG56:AI56)+(AJ56/3)+AL56/6+AM56/6,AO55)</f>
        <v>0.16758538058257175</v>
      </c>
      <c r="AP56" s="48">
        <f t="shared" si="30"/>
        <v>0.32</v>
      </c>
      <c r="AQ56" s="35" t="str">
        <f>IF(AND(A56&lt;&gt;0,A56&lt;&gt;""),LOOKUP(A56,Discrete_NFET[PARTNUMBER],Discrete_NFET[TI_EQ_PACKAGE]),"")</f>
        <v>DDPAK</v>
      </c>
      <c r="AR56" s="49">
        <f>IF(AND(A56&lt;&gt;0,A56&lt;&gt;""),LOOKUP(A56,Discrete_NFET[PARTNUMBER],Discrete_NFET[1KPRICE]),"")</f>
        <v>0.77</v>
      </c>
      <c r="AS56" s="35" t="str">
        <f>IF(AND($A56&lt;&gt;0,$A56&lt;&gt;""),CONCATENATE(TEXT(AP56,"0.00"),"W, ",IF('User Input'!G$11="Single Discrete",A56,IF('User Input'!G$11="Dual/Power Block",LEFT(A56,FIND(")",A56)-7),A56)),", ",AQ56,", ",TEXT(AR56,"$0.00")),"Invalid Part")</f>
        <v>0.32W, CSD18510KTT, DDPAK, $0.77</v>
      </c>
      <c r="AT56" t="s">
        <v>802</v>
      </c>
      <c r="AW56"/>
    </row>
    <row r="57" spans="1:49" ht="15" customHeight="1" x14ac:dyDescent="0.25">
      <c r="A57" s="35" t="str">
        <f>IF(OR(AND(FET_config2="Dual/Power Block",LEFT(Logic!B57,4)="CSD8"),AND(FET_config2="Single Discrete",LEFT(Logic!B57,4)="CSD1")),Logic!B57,"")</f>
        <v>CSD18510Q5B</v>
      </c>
      <c r="B57" s="37" t="str">
        <f>IF(OR($A57=0,$A57=""),"0",IF(LOOKUP($A57,Discrete_NFET[PARTNUMBER],Discrete_NFET[RDSON25])="(NULL)","0","1"))</f>
        <v>0</v>
      </c>
      <c r="C57" s="38" t="str">
        <f>IF(OR($A57=0,$A57=""),"0",IF(LOOKUP($A57,Discrete_NFET[PARTNUMBER],Discrete_NFET[RDSON3])="(NULL)","0","1"))</f>
        <v>0</v>
      </c>
      <c r="D57" s="40" t="str">
        <f>IF(OR($A57=0,$A57=""),"0",IF(LOOKUP($A57,Discrete_NFET[PARTNUMBER],Discrete_NFET[RDSON45])="(NULL)","0","1"))</f>
        <v>1</v>
      </c>
      <c r="E57" s="45" t="str">
        <f>IF(OR($A57=0,$A57=""),"0",IF(LOOKUP($A57,Discrete_NFET[PARTNUMBER],Discrete_NFET[RDSON6])="(NULL)","0","1"))</f>
        <v>0</v>
      </c>
      <c r="F57" s="34" t="str">
        <f>IF(OR($A57=0,$A57=""),"0",IF(LOOKUP($A57,Discrete_NFET[PARTNUMBER],Discrete_NFET[RDSON8])="(NULL)","0","1"))</f>
        <v>0</v>
      </c>
      <c r="G57" s="43" t="str">
        <f>IF(OR($A57=0,$A57=""),"0",IF(LOOKUP($A57,Discrete_NFET[PARTNUMBER],Discrete_NFET[RDSON10])="(NULL)","0","1"))</f>
        <v>1</v>
      </c>
      <c r="H57" s="36" t="b">
        <f t="shared" si="15"/>
        <v>0</v>
      </c>
      <c r="I57" s="39" t="b">
        <f t="shared" si="16"/>
        <v>0</v>
      </c>
      <c r="J57" s="41" t="b">
        <f t="shared" si="17"/>
        <v>1</v>
      </c>
      <c r="K57" s="46" t="b">
        <f t="shared" si="18"/>
        <v>0</v>
      </c>
      <c r="L57" s="42" t="b">
        <f t="shared" si="19"/>
        <v>0</v>
      </c>
      <c r="M57" s="44" t="b">
        <f t="shared" si="20"/>
        <v>1</v>
      </c>
      <c r="N57" s="47" t="b">
        <f t="shared" si="21"/>
        <v>1</v>
      </c>
      <c r="O57" s="36" t="b">
        <f t="shared" si="22"/>
        <v>0</v>
      </c>
      <c r="P57" s="39" t="b">
        <f t="shared" si="23"/>
        <v>0</v>
      </c>
      <c r="Q57" s="41" t="b">
        <f t="shared" si="24"/>
        <v>1</v>
      </c>
      <c r="R57" s="46" t="b">
        <f t="shared" si="25"/>
        <v>0</v>
      </c>
      <c r="S57" s="42" t="b">
        <f t="shared" si="26"/>
        <v>0</v>
      </c>
      <c r="T57" s="44" t="b">
        <f t="shared" si="27"/>
        <v>1</v>
      </c>
      <c r="U57" s="148">
        <f>IF(T57,LOOKUP(A57,Discrete_NFET[PARTNUMBER],Discrete_NFET[RDSON10])*1000,IF(S57,LOOKUP(A57,Discrete_NFET[PARTNUMBER],Discrete_NFET[RDSON8])*1000,IF(R57,LOOKUP(A57,Discrete_NFET[PARTNUMBER],Discrete_NFET[RDSON6])*1000,IF(Q57,LOOKUP(A57,Discrete_NFET[PARTNUMBER],Discrete_NFET[RDSON45])*1000,IF(P57,LOOKUP(A57,Discrete_NFET[PARTNUMBER],Discrete_NFET[RDSON3])*1000,IF(O57,LOOKUP(A57,Discrete_NFET[PARTNUMBER],Discrete_NFET[RDSON25])*1000,""))))))</f>
        <v>0.96000000000000008</v>
      </c>
      <c r="V57" s="48">
        <f>IF(AND(A57&lt;&gt;0,A57&lt;&gt;""),U57*(1+(Tj-25)*(LOOKUP(A57,Discrete_NFET[PARTNUMBER],Discrete_NFET[RDSDELTA])/((LOOKUP(A57,Discrete_NFET[PARTNUMBER],Discrete_NFET[TJMAX])-25)))),"")</f>
        <v>1.11744</v>
      </c>
      <c r="W57" s="35">
        <f>IF(AND($A57&lt;&gt;0,$A57&lt;&gt;""),LOOKUP($A57,Discrete_NFET[PARTNUMBER],Discrete_NFET[QGS]),"")</f>
        <v>28</v>
      </c>
      <c r="X57" s="35">
        <f>IF(AND($A57&lt;&gt;0,$A57&lt;&gt;""),LOOKUP($A57,Discrete_NFET[PARTNUMBER],Discrete_NFET[QGD]),"")</f>
        <v>21</v>
      </c>
      <c r="Y57" s="35">
        <f>IF(AND($A57&lt;&gt;0,$A57&lt;&gt;""),LOOKUP($A57,Discrete_NFET[PARTNUMBER],Discrete_NFET[QGTH]),"")</f>
        <v>15</v>
      </c>
      <c r="Z57" s="35">
        <f t="shared" si="28"/>
        <v>34</v>
      </c>
      <c r="AA57" s="35">
        <f>IF(AND($A57&lt;&gt;0,$A57&lt;&gt;""),LOOKUP($A57,Discrete_NFET[PARTNUMBER],Discrete_NFET[QOSSTYP]),"")</f>
        <v>35</v>
      </c>
      <c r="AB57" s="35">
        <f>IF(AND($A57&lt;&gt;0,$A57&lt;&gt;""),LOOKUP($A57,Discrete_NFET[PARTNUMBER],Discrete_NFET[QRR]),"")</f>
        <v>31</v>
      </c>
      <c r="AC57" s="35">
        <f>IF(AND(A57&lt;&gt;0,A57&lt;&gt;""),LOOKUP(A57,Discrete_NFET[PARTNUMBER],Discrete_NFET[VF_TYP]),"")</f>
        <v>0.8</v>
      </c>
      <c r="AD57" s="127">
        <f>IF(AND($A57&lt;&gt;0,$A57&lt;&gt;"",OR(RIGHT(Logic!B57,2)="C)",LEFT(Logic!B57,4)="CSD1")),(1+(1-DUTY))*IM_RMS_120^2*V57*m/3/Num_FETS2,"")</f>
        <v>4.7022160664819929E-2</v>
      </c>
      <c r="AE57" s="127">
        <f>IF(AND($A57&lt;&gt;0,$A57&lt;&gt;"",OR(RIGHT(Logic!B57,2)="C)",LEFT(Logic!B57,4)="CSD1")),Num_FETS2*0.5*IM_RMS_120*VDC_AVG*Z57*n*MOT_ELEC_FREQ/GDR_SRC,"")</f>
        <v>1.0964912280701752E-4</v>
      </c>
      <c r="AF57" s="127">
        <f>IF(AND($A57&lt;&gt;0,$A57&lt;&gt;"",OR(RIGHT(Logic!B57,2)="C)",LEFT(Logic!B57,4)="CSD1")),Num_FETS2*0.5*IM_RMS_120*VDC_AVG*Z57*n*MOT_ELEC_FREQ/GDR_SINK,"")</f>
        <v>7.4561403508771921E-5</v>
      </c>
      <c r="AG57" s="127">
        <f>IF(AND($A57&lt;&gt;0,$A57&lt;&gt;"",OR(RIGHT(Logic!B57,2)="T)",LEFT(Logic!B57,4)="CSD1")),DUTY*IM_RMS_120^2*V57*m/3/Num_FETS2,"")</f>
        <v>4.2543859649122794E-2</v>
      </c>
      <c r="AH57" s="127">
        <f>IF(AND($A57&lt;&gt;0,$A57&lt;&gt;"",OR(RIGHT(Logic!B57,2)="T)",LEFT(Logic!B57,4)="CSD1")),Num_FETS2*0.5*IM_RMS_120*VDC_AVG*Z57*n*FSW*k/GDR_SRC/3,"")</f>
        <v>2.1929824561403504E-2</v>
      </c>
      <c r="AI57" s="127">
        <f>IF(AND($A57&lt;&gt;0,$A57&lt;&gt;"",OR(RIGHT(Logic!B57,2)="T)",LEFT(Logic!B57,4)="CSD1")),Num_FETS2*0.5*IM_RMS_120*VDC_AVG*Z57*n*FSW*k/GDR_SINK/3,"")</f>
        <v>1.4912280701754384E-2</v>
      </c>
      <c r="AJ57" s="127">
        <f t="shared" si="31"/>
        <v>4.2000000000000006E-3</v>
      </c>
      <c r="AK57" s="127">
        <f t="shared" si="33"/>
        <v>1.2414567897146714E-2</v>
      </c>
      <c r="AL57" s="127">
        <f t="shared" si="32"/>
        <v>7.4524000000000005E-3</v>
      </c>
      <c r="AM57" s="127">
        <f t="shared" si="29"/>
        <v>0.37243703691440144</v>
      </c>
      <c r="AN57" s="127">
        <f>IF(AND($A57&lt;&gt;0,$A57&lt;&gt;"",OR(RIGHT(Logic!B57,2)="C)",LEFT(Logic!B57,4)="CSD1")),SUM(AD57:AF57)+(AJ57/3)+AK57+AL57/6+AM57/6,AN58)</f>
        <v>0.12433584524068267</v>
      </c>
      <c r="AO57" s="127">
        <f>IF(AND($A57&lt;&gt;0,$A57&lt;&gt;"",OR(RIGHT(Logic!B57,2)="T)",LEFT(Logic!B57,4)="CSD1")),SUM(AG57:AI57)+(AJ57/3)+AL57/6+AM57/6,AO56)</f>
        <v>0.14410087106468092</v>
      </c>
      <c r="AP57" s="48">
        <f t="shared" si="30"/>
        <v>0.27</v>
      </c>
      <c r="AQ57" s="35" t="str">
        <f>IF(AND(A57&lt;&gt;0,A57&lt;&gt;""),LOOKUP(A57,Discrete_NFET[PARTNUMBER],Discrete_NFET[TI_EQ_PACKAGE]),"")</f>
        <v>SON5X6</v>
      </c>
      <c r="AR57" s="49">
        <f>IF(AND(A57&lt;&gt;0,A57&lt;&gt;""),LOOKUP(A57,Discrete_NFET[PARTNUMBER],Discrete_NFET[1KPRICE]),"")</f>
        <v>0.75</v>
      </c>
      <c r="AS57" s="35" t="str">
        <f>IF(AND($A57&lt;&gt;0,$A57&lt;&gt;""),CONCATENATE(TEXT(AP57,"0.00"),"W, ",IF('User Input'!G$11="Single Discrete",A57,IF('User Input'!G$11="Dual/Power Block",LEFT(A57,FIND(")",A57)-7),A57)),", ",AQ57,", ",TEXT(AR57,"$0.00")),"Invalid Part")</f>
        <v>0.27W, CSD18510Q5B, SON5X6, $0.75</v>
      </c>
      <c r="AT57" t="s">
        <v>853</v>
      </c>
      <c r="AW57"/>
    </row>
    <row r="58" spans="1:49" ht="15" customHeight="1" x14ac:dyDescent="0.25">
      <c r="A58" s="35" t="str">
        <f>IF(OR(AND(FET_config2="Dual/Power Block",LEFT(Logic!B58,4)="CSD8"),AND(FET_config2="Single Discrete",LEFT(Logic!B58,4)="CSD1")),Logic!B58,"")</f>
        <v>CSD18511KCS</v>
      </c>
      <c r="B58" s="37" t="str">
        <f>IF(OR($A58=0,$A58=""),"0",IF(LOOKUP($A58,Discrete_NFET[PARTNUMBER],Discrete_NFET[RDSON25])="(NULL)","0","1"))</f>
        <v>0</v>
      </c>
      <c r="C58" s="38" t="str">
        <f>IF(OR($A58=0,$A58=""),"0",IF(LOOKUP($A58,Discrete_NFET[PARTNUMBER],Discrete_NFET[RDSON3])="(NULL)","0","1"))</f>
        <v>0</v>
      </c>
      <c r="D58" s="40" t="str">
        <f>IF(OR($A58=0,$A58=""),"0",IF(LOOKUP($A58,Discrete_NFET[PARTNUMBER],Discrete_NFET[RDSON45])="(NULL)","0","1"))</f>
        <v>1</v>
      </c>
      <c r="E58" s="45" t="str">
        <f>IF(OR($A58=0,$A58=""),"0",IF(LOOKUP($A58,Discrete_NFET[PARTNUMBER],Discrete_NFET[RDSON6])="(NULL)","0","1"))</f>
        <v>0</v>
      </c>
      <c r="F58" s="34" t="str">
        <f>IF(OR($A58=0,$A58=""),"0",IF(LOOKUP($A58,Discrete_NFET[PARTNUMBER],Discrete_NFET[RDSON8])="(NULL)","0","1"))</f>
        <v>0</v>
      </c>
      <c r="G58" s="43" t="str">
        <f>IF(OR($A58=0,$A58=""),"0",IF(LOOKUP($A58,Discrete_NFET[PARTNUMBER],Discrete_NFET[RDSON10])="(NULL)","0","1"))</f>
        <v>1</v>
      </c>
      <c r="H58" s="36" t="b">
        <f t="shared" si="15"/>
        <v>0</v>
      </c>
      <c r="I58" s="39" t="b">
        <f t="shared" si="16"/>
        <v>0</v>
      </c>
      <c r="J58" s="41" t="b">
        <f t="shared" si="17"/>
        <v>1</v>
      </c>
      <c r="K58" s="46" t="b">
        <f t="shared" si="18"/>
        <v>0</v>
      </c>
      <c r="L58" s="42" t="b">
        <f t="shared" si="19"/>
        <v>0</v>
      </c>
      <c r="M58" s="44" t="b">
        <f t="shared" si="20"/>
        <v>1</v>
      </c>
      <c r="N58" s="47" t="b">
        <f t="shared" si="21"/>
        <v>1</v>
      </c>
      <c r="O58" s="36" t="b">
        <f t="shared" si="22"/>
        <v>0</v>
      </c>
      <c r="P58" s="39" t="b">
        <f t="shared" si="23"/>
        <v>0</v>
      </c>
      <c r="Q58" s="41" t="b">
        <f t="shared" si="24"/>
        <v>1</v>
      </c>
      <c r="R58" s="46" t="b">
        <f t="shared" si="25"/>
        <v>0</v>
      </c>
      <c r="S58" s="42" t="b">
        <f t="shared" si="26"/>
        <v>0</v>
      </c>
      <c r="T58" s="44" t="b">
        <f t="shared" si="27"/>
        <v>1</v>
      </c>
      <c r="U58" s="148">
        <f>IF(T58,LOOKUP(A58,Discrete_NFET[PARTNUMBER],Discrete_NFET[RDSON10])*1000,IF(S58,LOOKUP(A58,Discrete_NFET[PARTNUMBER],Discrete_NFET[RDSON8])*1000,IF(R58,LOOKUP(A58,Discrete_NFET[PARTNUMBER],Discrete_NFET[RDSON6])*1000,IF(Q58,LOOKUP(A58,Discrete_NFET[PARTNUMBER],Discrete_NFET[RDSON45])*1000,IF(P58,LOOKUP(A58,Discrete_NFET[PARTNUMBER],Discrete_NFET[RDSON3])*1000,IF(O58,LOOKUP(A58,Discrete_NFET[PARTNUMBER],Discrete_NFET[RDSON25])*1000,""))))))</f>
        <v>2.6</v>
      </c>
      <c r="V58" s="48">
        <f>IF(AND(A58&lt;&gt;0,A58&lt;&gt;""),U58*(1+(Tj-25)*(LOOKUP(A58,Discrete_NFET[PARTNUMBER],Discrete_NFET[RDSDELTA])/((LOOKUP(A58,Discrete_NFET[PARTNUMBER],Discrete_NFET[TJMAX])-25)))),"")</f>
        <v>2.8860000000000006</v>
      </c>
      <c r="W58" s="35">
        <f>IF(AND($A58&lt;&gt;0,$A58&lt;&gt;""),LOOKUP($A58,Discrete_NFET[PARTNUMBER],Discrete_NFET[QGS]),"")</f>
        <v>17.899999999999999</v>
      </c>
      <c r="X58" s="35">
        <f>IF(AND($A58&lt;&gt;0,$A58&lt;&gt;""),LOOKUP($A58,Discrete_NFET[PARTNUMBER],Discrete_NFET[QGD]),"")</f>
        <v>9.6999999999999993</v>
      </c>
      <c r="Y58" s="35">
        <f>IF(AND($A58&lt;&gt;0,$A58&lt;&gt;""),LOOKUP($A58,Discrete_NFET[PARTNUMBER],Discrete_NFET[QGTH]),"")</f>
        <v>7.4</v>
      </c>
      <c r="Z58" s="35">
        <f t="shared" si="28"/>
        <v>20.199999999999996</v>
      </c>
      <c r="AA58" s="35">
        <f>IF(AND($A58&lt;&gt;0,$A58&lt;&gt;""),LOOKUP($A58,Discrete_NFET[PARTNUMBER],Discrete_NFET[QOSSTYP]),"")</f>
        <v>20.7</v>
      </c>
      <c r="AB58" s="35">
        <f>IF(AND($A58&lt;&gt;0,$A58&lt;&gt;""),LOOKUP($A58,Discrete_NFET[PARTNUMBER],Discrete_NFET[QRR]),"")</f>
        <v>62</v>
      </c>
      <c r="AC58" s="35">
        <f>IF(AND(A58&lt;&gt;0,A58&lt;&gt;""),LOOKUP(A58,Discrete_NFET[PARTNUMBER],Discrete_NFET[VF_TYP]),"")</f>
        <v>0.9</v>
      </c>
      <c r="AD58" s="127">
        <f>IF(AND($A58&lt;&gt;0,$A58&lt;&gt;"",OR(RIGHT(Logic!B58,2)="C)",LEFT(Logic!B58,4)="CSD1")),(1+(1-DUTY))*IM_RMS_120^2*V58*m/3/Num_FETS2,"")</f>
        <v>0.12144361726685134</v>
      </c>
      <c r="AE58" s="127">
        <f>IF(AND($A58&lt;&gt;0,$A58&lt;&gt;"",OR(RIGHT(Logic!B58,2)="C)",LEFT(Logic!B58,4)="CSD1")),Num_FETS2*0.5*IM_RMS_120*VDC_AVG*Z58*n*MOT_ELEC_FREQ/GDR_SRC,"")</f>
        <v>6.5144478844169243E-5</v>
      </c>
      <c r="AF58" s="127">
        <f>IF(AND($A58&lt;&gt;0,$A58&lt;&gt;"",OR(RIGHT(Logic!B58,2)="C)",LEFT(Logic!B58,4)="CSD1")),Num_FETS2*0.5*IM_RMS_120*VDC_AVG*Z58*n*MOT_ELEC_FREQ/GDR_SINK,"")</f>
        <v>4.4298245614035087E-5</v>
      </c>
      <c r="AG58" s="127">
        <f>IF(AND($A58&lt;&gt;0,$A58&lt;&gt;"",OR(RIGHT(Logic!B58,2)="T)",LEFT(Logic!B58,4)="CSD1")),DUTY*IM_RMS_120^2*V58*m/3/Num_FETS2,"")</f>
        <v>0.10987755847953216</v>
      </c>
      <c r="AH58" s="127">
        <f>IF(AND($A58&lt;&gt;0,$A58&lt;&gt;"",OR(RIGHT(Logic!B58,2)="T)",LEFT(Logic!B58,4)="CSD1")),Num_FETS2*0.5*IM_RMS_120*VDC_AVG*Z58*n*FSW*k/GDR_SRC/3,"")</f>
        <v>1.3028895768833848E-2</v>
      </c>
      <c r="AI58" s="127">
        <f>IF(AND($A58&lt;&gt;0,$A58&lt;&gt;"",OR(RIGHT(Logic!B58,2)="T)",LEFT(Logic!B58,4)="CSD1")),Num_FETS2*0.5*IM_RMS_120*VDC_AVG*Z58*n*FSW*k/GDR_SINK/3,"")</f>
        <v>8.859649122807017E-3</v>
      </c>
      <c r="AJ58" s="127">
        <f t="shared" si="31"/>
        <v>2.4840000000000001E-3</v>
      </c>
      <c r="AK58" s="127">
        <f t="shared" si="33"/>
        <v>1.3966388884290052E-2</v>
      </c>
      <c r="AL58" s="127">
        <f t="shared" si="32"/>
        <v>1.4904800000000001E-2</v>
      </c>
      <c r="AM58" s="127">
        <f t="shared" si="29"/>
        <v>0.41899166652870157</v>
      </c>
      <c r="AN58" s="127">
        <f>IF(AND($A58&lt;&gt;0,$A58&lt;&gt;"",OR(RIGHT(Logic!B58,2)="C)",LEFT(Logic!B58,4)="CSD1")),SUM(AD58:AF58)+(AJ58/3)+AK58+AL58/6+AM58/6,AN59)</f>
        <v>0.20866352663038318</v>
      </c>
      <c r="AO58" s="127">
        <f>IF(AND($A58&lt;&gt;0,$A58&lt;&gt;"",OR(RIGHT(Logic!B58,2)="T)",LEFT(Logic!B58,4)="CSD1")),SUM(AG58:AI58)+(AJ58/3)+AL58/6+AM58/6,AO57)</f>
        <v>0.2049101811259566</v>
      </c>
      <c r="AP58" s="48">
        <f t="shared" si="30"/>
        <v>0.41</v>
      </c>
      <c r="AQ58" s="35" t="str">
        <f>IF(AND(A58&lt;&gt;0,A58&lt;&gt;""),LOOKUP(A58,Discrete_NFET[PARTNUMBER],Discrete_NFET[TI_EQ_PACKAGE]),"")</f>
        <v>TO-220</v>
      </c>
      <c r="AR58" s="49">
        <f>IF(AND(A58&lt;&gt;0,A58&lt;&gt;""),LOOKUP(A58,Discrete_NFET[PARTNUMBER],Discrete_NFET[1KPRICE]),"")</f>
        <v>0.51</v>
      </c>
      <c r="AS58" s="35" t="str">
        <f>IF(AND($A58&lt;&gt;0,$A58&lt;&gt;""),CONCATENATE(TEXT(AP58,"0.00"),"W, ",IF('User Input'!G$11="Single Discrete",A58,IF('User Input'!G$11="Dual/Power Block",LEFT(A58,FIND(")",A58)-7),A58)),", ",AQ58,", ",TEXT(AR58,"$0.00")),"Invalid Part")</f>
        <v>0.41W, CSD18511KCS, TO-220, $0.51</v>
      </c>
      <c r="AT58" t="s">
        <v>819</v>
      </c>
      <c r="AW58"/>
    </row>
    <row r="59" spans="1:49" ht="15" customHeight="1" x14ac:dyDescent="0.25">
      <c r="A59" s="35" t="str">
        <f>IF(OR(AND(FET_config2="Dual/Power Block",LEFT(Logic!B59,4)="CSD8"),AND(FET_config2="Single Discrete",LEFT(Logic!B59,4)="CSD1")),Logic!B59,"")</f>
        <v>CSD18511KTT</v>
      </c>
      <c r="B59" s="37" t="str">
        <f>IF(OR($A59=0,$A59=""),"0",IF(LOOKUP($A59,Discrete_NFET[PARTNUMBER],Discrete_NFET[RDSON25])="(NULL)","0","1"))</f>
        <v>0</v>
      </c>
      <c r="C59" s="38" t="str">
        <f>IF(OR($A59=0,$A59=""),"0",IF(LOOKUP($A59,Discrete_NFET[PARTNUMBER],Discrete_NFET[RDSON3])="(NULL)","0","1"))</f>
        <v>0</v>
      </c>
      <c r="D59" s="40" t="str">
        <f>IF(OR($A59=0,$A59=""),"0",IF(LOOKUP($A59,Discrete_NFET[PARTNUMBER],Discrete_NFET[RDSON45])="(NULL)","0","1"))</f>
        <v>1</v>
      </c>
      <c r="E59" s="45" t="str">
        <f>IF(OR($A59=0,$A59=""),"0",IF(LOOKUP($A59,Discrete_NFET[PARTNUMBER],Discrete_NFET[RDSON6])="(NULL)","0","1"))</f>
        <v>0</v>
      </c>
      <c r="F59" s="34" t="str">
        <f>IF(OR($A59=0,$A59=""),"0",IF(LOOKUP($A59,Discrete_NFET[PARTNUMBER],Discrete_NFET[RDSON8])="(NULL)","0","1"))</f>
        <v>0</v>
      </c>
      <c r="G59" s="43" t="str">
        <f>IF(OR($A59=0,$A59=""),"0",IF(LOOKUP($A59,Discrete_NFET[PARTNUMBER],Discrete_NFET[RDSON10])="(NULL)","0","1"))</f>
        <v>1</v>
      </c>
      <c r="H59" s="36" t="b">
        <f t="shared" si="15"/>
        <v>0</v>
      </c>
      <c r="I59" s="39" t="b">
        <f t="shared" si="16"/>
        <v>0</v>
      </c>
      <c r="J59" s="41" t="b">
        <f t="shared" si="17"/>
        <v>1</v>
      </c>
      <c r="K59" s="46" t="b">
        <f t="shared" si="18"/>
        <v>0</v>
      </c>
      <c r="L59" s="42" t="b">
        <f t="shared" si="19"/>
        <v>0</v>
      </c>
      <c r="M59" s="44" t="b">
        <f t="shared" si="20"/>
        <v>1</v>
      </c>
      <c r="N59" s="47" t="b">
        <f t="shared" si="21"/>
        <v>1</v>
      </c>
      <c r="O59" s="36" t="b">
        <f t="shared" si="22"/>
        <v>0</v>
      </c>
      <c r="P59" s="39" t="b">
        <f t="shared" si="23"/>
        <v>0</v>
      </c>
      <c r="Q59" s="41" t="b">
        <f t="shared" si="24"/>
        <v>1</v>
      </c>
      <c r="R59" s="46" t="b">
        <f t="shared" si="25"/>
        <v>0</v>
      </c>
      <c r="S59" s="42" t="b">
        <f t="shared" si="26"/>
        <v>0</v>
      </c>
      <c r="T59" s="44" t="b">
        <f t="shared" si="27"/>
        <v>1</v>
      </c>
      <c r="U59" s="148">
        <f>IF(T59,LOOKUP(A59,Discrete_NFET[PARTNUMBER],Discrete_NFET[RDSON10])*1000,IF(S59,LOOKUP(A59,Discrete_NFET[PARTNUMBER],Discrete_NFET[RDSON8])*1000,IF(R59,LOOKUP(A59,Discrete_NFET[PARTNUMBER],Discrete_NFET[RDSON6])*1000,IF(Q59,LOOKUP(A59,Discrete_NFET[PARTNUMBER],Discrete_NFET[RDSON45])*1000,IF(P59,LOOKUP(A59,Discrete_NFET[PARTNUMBER],Discrete_NFET[RDSON3])*1000,IF(O59,LOOKUP(A59,Discrete_NFET[PARTNUMBER],Discrete_NFET[RDSON25])*1000,""))))))</f>
        <v>2.6</v>
      </c>
      <c r="V59" s="48">
        <f>IF(AND(A59&lt;&gt;0,A59&lt;&gt;""),U59*(1+(Tj-25)*(LOOKUP(A59,Discrete_NFET[PARTNUMBER],Discrete_NFET[RDSDELTA])/((LOOKUP(A59,Discrete_NFET[PARTNUMBER],Discrete_NFET[TJMAX])-25)))),"")</f>
        <v>2.8860000000000006</v>
      </c>
      <c r="W59" s="35">
        <f>IF(AND($A59&lt;&gt;0,$A59&lt;&gt;""),LOOKUP($A59,Discrete_NFET[PARTNUMBER],Discrete_NFET[QGS]),"")</f>
        <v>17.899999999999999</v>
      </c>
      <c r="X59" s="35">
        <f>IF(AND($A59&lt;&gt;0,$A59&lt;&gt;""),LOOKUP($A59,Discrete_NFET[PARTNUMBER],Discrete_NFET[QGD]),"")</f>
        <v>9.6999999999999993</v>
      </c>
      <c r="Y59" s="35">
        <f>IF(AND($A59&lt;&gt;0,$A59&lt;&gt;""),LOOKUP($A59,Discrete_NFET[PARTNUMBER],Discrete_NFET[QGTH]),"")</f>
        <v>7.4</v>
      </c>
      <c r="Z59" s="35">
        <f t="shared" si="28"/>
        <v>20.199999999999996</v>
      </c>
      <c r="AA59" s="35">
        <f>IF(AND($A59&lt;&gt;0,$A59&lt;&gt;""),LOOKUP($A59,Discrete_NFET[PARTNUMBER],Discrete_NFET[QOSSTYP]),"")</f>
        <v>20.7</v>
      </c>
      <c r="AB59" s="35">
        <f>IF(AND($A59&lt;&gt;0,$A59&lt;&gt;""),LOOKUP($A59,Discrete_NFET[PARTNUMBER],Discrete_NFET[QRR]),"")</f>
        <v>62</v>
      </c>
      <c r="AC59" s="35">
        <f>IF(AND(A59&lt;&gt;0,A59&lt;&gt;""),LOOKUP(A59,Discrete_NFET[PARTNUMBER],Discrete_NFET[VF_TYP]),"")</f>
        <v>0.9</v>
      </c>
      <c r="AD59" s="127">
        <f>IF(AND($A59&lt;&gt;0,$A59&lt;&gt;"",OR(RIGHT(Logic!B59,2)="C)",LEFT(Logic!B59,4)="CSD1")),(1+(1-DUTY))*IM_RMS_120^2*V59*m/3/Num_FETS2,"")</f>
        <v>0.12144361726685134</v>
      </c>
      <c r="AE59" s="127">
        <f>IF(AND($A59&lt;&gt;0,$A59&lt;&gt;"",OR(RIGHT(Logic!B59,2)="C)",LEFT(Logic!B59,4)="CSD1")),Num_FETS2*0.5*IM_RMS_120*VDC_AVG*Z59*n*MOT_ELEC_FREQ/GDR_SRC,"")</f>
        <v>6.5144478844169243E-5</v>
      </c>
      <c r="AF59" s="127">
        <f>IF(AND($A59&lt;&gt;0,$A59&lt;&gt;"",OR(RIGHT(Logic!B59,2)="C)",LEFT(Logic!B59,4)="CSD1")),Num_FETS2*0.5*IM_RMS_120*VDC_AVG*Z59*n*MOT_ELEC_FREQ/GDR_SINK,"")</f>
        <v>4.4298245614035087E-5</v>
      </c>
      <c r="AG59" s="127">
        <f>IF(AND($A59&lt;&gt;0,$A59&lt;&gt;"",OR(RIGHT(Logic!B59,2)="T)",LEFT(Logic!B59,4)="CSD1")),DUTY*IM_RMS_120^2*V59*m/3/Num_FETS2,"")</f>
        <v>0.10987755847953216</v>
      </c>
      <c r="AH59" s="127">
        <f>IF(AND($A59&lt;&gt;0,$A59&lt;&gt;"",OR(RIGHT(Logic!B59,2)="T)",LEFT(Logic!B59,4)="CSD1")),Num_FETS2*0.5*IM_RMS_120*VDC_AVG*Z59*n*FSW*k/GDR_SRC/3,"")</f>
        <v>1.3028895768833848E-2</v>
      </c>
      <c r="AI59" s="127">
        <f>IF(AND($A59&lt;&gt;0,$A59&lt;&gt;"",OR(RIGHT(Logic!B59,2)="T)",LEFT(Logic!B59,4)="CSD1")),Num_FETS2*0.5*IM_RMS_120*VDC_AVG*Z59*n*FSW*k/GDR_SINK/3,"")</f>
        <v>8.859649122807017E-3</v>
      </c>
      <c r="AJ59" s="127">
        <f t="shared" si="31"/>
        <v>2.4840000000000001E-3</v>
      </c>
      <c r="AK59" s="127">
        <f t="shared" si="33"/>
        <v>1.3966388884290052E-2</v>
      </c>
      <c r="AL59" s="127">
        <f t="shared" si="32"/>
        <v>1.4904800000000001E-2</v>
      </c>
      <c r="AM59" s="127">
        <f t="shared" si="29"/>
        <v>0.41899166652870157</v>
      </c>
      <c r="AN59" s="127">
        <f>IF(AND($A59&lt;&gt;0,$A59&lt;&gt;"",OR(RIGHT(Logic!B59,2)="C)",LEFT(Logic!B59,4)="CSD1")),SUM(AD59:AF59)+(AJ59/3)+AK59+AL59/6+AM59/6,AN60)</f>
        <v>0.20866352663038318</v>
      </c>
      <c r="AO59" s="127">
        <f>IF(AND($A59&lt;&gt;0,$A59&lt;&gt;"",OR(RIGHT(Logic!B59,2)="T)",LEFT(Logic!B59,4)="CSD1")),SUM(AG59:AI59)+(AJ59/3)+AL59/6+AM59/6,AO58)</f>
        <v>0.2049101811259566</v>
      </c>
      <c r="AP59" s="48">
        <f t="shared" si="30"/>
        <v>0.41</v>
      </c>
      <c r="AQ59" s="35" t="str">
        <f>IF(AND(A59&lt;&gt;0,A59&lt;&gt;""),LOOKUP(A59,Discrete_NFET[PARTNUMBER],Discrete_NFET[TI_EQ_PACKAGE]),"")</f>
        <v>DDPAK</v>
      </c>
      <c r="AR59" s="49">
        <f>IF(AND(A59&lt;&gt;0,A59&lt;&gt;""),LOOKUP(A59,Discrete_NFET[PARTNUMBER],Discrete_NFET[1KPRICE]),"")</f>
        <v>0.56000000000000005</v>
      </c>
      <c r="AS59" s="35" t="str">
        <f>IF(AND($A59&lt;&gt;0,$A59&lt;&gt;""),CONCATENATE(TEXT(AP59,"0.00"),"W, ",IF('User Input'!G$11="Single Discrete",A59,IF('User Input'!G$11="Dual/Power Block",LEFT(A59,FIND(")",A59)-7),A59)),", ",AQ59,", ",TEXT(AR59,"$0.00")),"Invalid Part")</f>
        <v>0.41W, CSD18511KTT, DDPAK, $0.56</v>
      </c>
      <c r="AT59" t="s">
        <v>820</v>
      </c>
      <c r="AW59"/>
    </row>
    <row r="60" spans="1:49" ht="15" customHeight="1" x14ac:dyDescent="0.25">
      <c r="A60" s="35" t="str">
        <f>IF(OR(AND(FET_config2="Dual/Power Block",LEFT(Logic!B60,4)="CSD8"),AND(FET_config2="Single Discrete",LEFT(Logic!B60,4)="CSD1")),Logic!B60,"")</f>
        <v>CSD18511Q5A</v>
      </c>
      <c r="B60" s="37" t="str">
        <f>IF(OR($A60=0,$A60=""),"0",IF(LOOKUP($A60,Discrete_NFET[PARTNUMBER],Discrete_NFET[RDSON25])="(NULL)","0","1"))</f>
        <v>0</v>
      </c>
      <c r="C60" s="38" t="str">
        <f>IF(OR($A60=0,$A60=""),"0",IF(LOOKUP($A60,Discrete_NFET[PARTNUMBER],Discrete_NFET[RDSON3])="(NULL)","0","1"))</f>
        <v>0</v>
      </c>
      <c r="D60" s="40" t="str">
        <f>IF(OR($A60=0,$A60=""),"0",IF(LOOKUP($A60,Discrete_NFET[PARTNUMBER],Discrete_NFET[RDSON45])="(NULL)","0","1"))</f>
        <v>1</v>
      </c>
      <c r="E60" s="45" t="str">
        <f>IF(OR($A60=0,$A60=""),"0",IF(LOOKUP($A60,Discrete_NFET[PARTNUMBER],Discrete_NFET[RDSON6])="(NULL)","0","1"))</f>
        <v>0</v>
      </c>
      <c r="F60" s="34" t="str">
        <f>IF(OR($A60=0,$A60=""),"0",IF(LOOKUP($A60,Discrete_NFET[PARTNUMBER],Discrete_NFET[RDSON8])="(NULL)","0","1"))</f>
        <v>0</v>
      </c>
      <c r="G60" s="43" t="str">
        <f>IF(OR($A60=0,$A60=""),"0",IF(LOOKUP($A60,Discrete_NFET[PARTNUMBER],Discrete_NFET[RDSON10])="(NULL)","0","1"))</f>
        <v>1</v>
      </c>
      <c r="H60" s="36" t="b">
        <f t="shared" si="15"/>
        <v>0</v>
      </c>
      <c r="I60" s="39" t="b">
        <f t="shared" si="16"/>
        <v>0</v>
      </c>
      <c r="J60" s="41" t="b">
        <f t="shared" si="17"/>
        <v>1</v>
      </c>
      <c r="K60" s="46" t="b">
        <f t="shared" si="18"/>
        <v>0</v>
      </c>
      <c r="L60" s="42" t="b">
        <f t="shared" si="19"/>
        <v>0</v>
      </c>
      <c r="M60" s="44" t="b">
        <f t="shared" si="20"/>
        <v>1</v>
      </c>
      <c r="N60" s="47" t="b">
        <f t="shared" si="21"/>
        <v>1</v>
      </c>
      <c r="O60" s="36" t="b">
        <f t="shared" si="22"/>
        <v>0</v>
      </c>
      <c r="P60" s="39" t="b">
        <f t="shared" si="23"/>
        <v>0</v>
      </c>
      <c r="Q60" s="41" t="b">
        <f t="shared" si="24"/>
        <v>1</v>
      </c>
      <c r="R60" s="46" t="b">
        <f t="shared" si="25"/>
        <v>0</v>
      </c>
      <c r="S60" s="42" t="b">
        <f t="shared" si="26"/>
        <v>0</v>
      </c>
      <c r="T60" s="44" t="b">
        <f t="shared" si="27"/>
        <v>1</v>
      </c>
      <c r="U60" s="148">
        <f>IF(T60,LOOKUP(A60,Discrete_NFET[PARTNUMBER],Discrete_NFET[RDSON10])*1000,IF(S60,LOOKUP(A60,Discrete_NFET[PARTNUMBER],Discrete_NFET[RDSON8])*1000,IF(R60,LOOKUP(A60,Discrete_NFET[PARTNUMBER],Discrete_NFET[RDSON6])*1000,IF(Q60,LOOKUP(A60,Discrete_NFET[PARTNUMBER],Discrete_NFET[RDSON45])*1000,IF(P60,LOOKUP(A60,Discrete_NFET[PARTNUMBER],Discrete_NFET[RDSON3])*1000,IF(O60,LOOKUP(A60,Discrete_NFET[PARTNUMBER],Discrete_NFET[RDSON25])*1000,""))))))</f>
        <v>2.2999999999999998</v>
      </c>
      <c r="V60" s="48">
        <f>IF(AND(A60&lt;&gt;0,A60&lt;&gt;""),U60*(1+(Tj-25)*(LOOKUP(A60,Discrete_NFET[PARTNUMBER],Discrete_NFET[RDSDELTA])/((LOOKUP(A60,Discrete_NFET[PARTNUMBER],Discrete_NFET[TJMAX])-25)))),"")</f>
        <v>2.6036000000000001</v>
      </c>
      <c r="W60" s="35">
        <f>IF(AND($A60&lt;&gt;0,$A60&lt;&gt;""),LOOKUP($A60,Discrete_NFET[PARTNUMBER],Discrete_NFET[QGS]),"")</f>
        <v>13.2</v>
      </c>
      <c r="X60" s="35">
        <f>IF(AND($A60&lt;&gt;0,$A60&lt;&gt;""),LOOKUP($A60,Discrete_NFET[PARTNUMBER],Discrete_NFET[QGD]),"")</f>
        <v>11.2</v>
      </c>
      <c r="Y60" s="35">
        <f>IF(AND($A60&lt;&gt;0,$A60&lt;&gt;""),LOOKUP($A60,Discrete_NFET[PARTNUMBER],Discrete_NFET[QGTH]),"")</f>
        <v>8.1999999999999993</v>
      </c>
      <c r="Z60" s="35">
        <f t="shared" si="28"/>
        <v>16.2</v>
      </c>
      <c r="AA60" s="35">
        <f>IF(AND($A60&lt;&gt;0,$A60&lt;&gt;""),LOOKUP($A60,Discrete_NFET[PARTNUMBER],Discrete_NFET[QOSSTYP]),"")</f>
        <v>20</v>
      </c>
      <c r="AB60" s="35">
        <f>IF(AND($A60&lt;&gt;0,$A60&lt;&gt;""),LOOKUP($A60,Discrete_NFET[PARTNUMBER],Discrete_NFET[QRR]),"")</f>
        <v>17</v>
      </c>
      <c r="AC60" s="35">
        <f>IF(AND(A60&lt;&gt;0,A60&lt;&gt;""),LOOKUP(A60,Discrete_NFET[PARTNUMBER],Discrete_NFET[VF_TYP]),"")</f>
        <v>0.75</v>
      </c>
      <c r="AD60" s="127">
        <f>IF(AND($A60&lt;&gt;0,$A60&lt;&gt;"",OR(RIGHT(Logic!B60,2)="C)",LEFT(Logic!B60,4)="CSD1")),(1+(1-DUTY))*IM_RMS_120^2*V60*m/3/Num_FETS2,"")</f>
        <v>0.10956015312403816</v>
      </c>
      <c r="AE60" s="127">
        <f>IF(AND($A60&lt;&gt;0,$A60&lt;&gt;"",OR(RIGHT(Logic!B60,2)="C)",LEFT(Logic!B60,4)="CSD1")),Num_FETS2*0.5*IM_RMS_120*VDC_AVG*Z60*n*MOT_ELEC_FREQ/GDR_SRC,"")</f>
        <v>5.2244582043343647E-5</v>
      </c>
      <c r="AF60" s="127">
        <f>IF(AND($A60&lt;&gt;0,$A60&lt;&gt;"",OR(RIGHT(Logic!B60,2)="C)",LEFT(Logic!B60,4)="CSD1")),Num_FETS2*0.5*IM_RMS_120*VDC_AVG*Z60*n*MOT_ELEC_FREQ/GDR_SINK,"")</f>
        <v>3.5526315789473684E-5</v>
      </c>
      <c r="AG60" s="127">
        <f>IF(AND($A60&lt;&gt;0,$A60&lt;&gt;"",OR(RIGHT(Logic!B60,2)="T)",LEFT(Logic!B60,4)="CSD1")),DUTY*IM_RMS_120^2*V60*m/3/Num_FETS2,"")</f>
        <v>9.9125852826510708E-2</v>
      </c>
      <c r="AH60" s="127">
        <f>IF(AND($A60&lt;&gt;0,$A60&lt;&gt;"",OR(RIGHT(Logic!B60,2)="T)",LEFT(Logic!B60,4)="CSD1")),Num_FETS2*0.5*IM_RMS_120*VDC_AVG*Z60*n*FSW*k/GDR_SRC/3,"")</f>
        <v>1.0448916408668728E-2</v>
      </c>
      <c r="AI60" s="127">
        <f>IF(AND($A60&lt;&gt;0,$A60&lt;&gt;"",OR(RIGHT(Logic!B60,2)="T)",LEFT(Logic!B60,4)="CSD1")),Num_FETS2*0.5*IM_RMS_120*VDC_AVG*Z60*n*FSW*k/GDR_SINK/3,"")</f>
        <v>7.105263157894736E-3</v>
      </c>
      <c r="AJ60" s="127">
        <f t="shared" si="31"/>
        <v>2.4000000000000002E-3</v>
      </c>
      <c r="AK60" s="127">
        <f t="shared" si="33"/>
        <v>1.1638657403575043E-2</v>
      </c>
      <c r="AL60" s="127">
        <f t="shared" si="32"/>
        <v>4.0867999999999998E-3</v>
      </c>
      <c r="AM60" s="127">
        <f t="shared" si="29"/>
        <v>0.34915972210725127</v>
      </c>
      <c r="AN60" s="127">
        <f>IF(AND($A60&lt;&gt;0,$A60&lt;&gt;"",OR(RIGHT(Logic!B60,2)="C)",LEFT(Logic!B60,4)="CSD1")),SUM(AD60:AF60)+(AJ60/3)+AK60+AL60/6+AM60/6,AN61)</f>
        <v>0.18096100177665456</v>
      </c>
      <c r="AO60" s="127">
        <f>IF(AND($A60&lt;&gt;0,$A60&lt;&gt;"",OR(RIGHT(Logic!B60,2)="T)",LEFT(Logic!B60,4)="CSD1")),SUM(AG60:AI60)+(AJ60/3)+AL60/6+AM60/6,AO59)</f>
        <v>0.17635445274428271</v>
      </c>
      <c r="AP60" s="48">
        <f t="shared" si="30"/>
        <v>0.36</v>
      </c>
      <c r="AQ60" s="35" t="str">
        <f>IF(AND(A60&lt;&gt;0,A60&lt;&gt;""),LOOKUP(A60,Discrete_NFET[PARTNUMBER],Discrete_NFET[TI_EQ_PACKAGE]),"")</f>
        <v>SON5X6</v>
      </c>
      <c r="AR60" s="49">
        <f>IF(AND(A60&lt;&gt;0,A60&lt;&gt;""),LOOKUP(A60,Discrete_NFET[PARTNUMBER],Discrete_NFET[1KPRICE]),"")</f>
        <v>0.41</v>
      </c>
      <c r="AS60" s="35" t="str">
        <f>IF(AND($A60&lt;&gt;0,$A60&lt;&gt;""),CONCATENATE(TEXT(AP60,"0.00"),"W, ",IF('User Input'!G$11="Single Discrete",A60,IF('User Input'!G$11="Dual/Power Block",LEFT(A60,FIND(")",A60)-7),A60)),", ",AQ60,", ",TEXT(AR60,"$0.00")),"Invalid Part")</f>
        <v>0.36W, CSD18511Q5A, SON5X6, $0.41</v>
      </c>
      <c r="AT60" t="s">
        <v>831</v>
      </c>
      <c r="AW60"/>
    </row>
    <row r="61" spans="1:49" ht="15" customHeight="1" x14ac:dyDescent="0.25">
      <c r="A61" s="35" t="str">
        <f>IF(OR(AND(FET_config2="Dual/Power Block",LEFT(Logic!B61,4)="CSD8"),AND(FET_config2="Single Discrete",LEFT(Logic!B61,4)="CSD1")),Logic!B61,"")</f>
        <v>CSD18512Q5B</v>
      </c>
      <c r="B61" s="37" t="str">
        <f>IF(OR($A61=0,$A61=""),"0",IF(LOOKUP($A61,Discrete_NFET[PARTNUMBER],Discrete_NFET[RDSON25])="(NULL)","0","1"))</f>
        <v>0</v>
      </c>
      <c r="C61" s="38" t="str">
        <f>IF(OR($A61=0,$A61=""),"0",IF(LOOKUP($A61,Discrete_NFET[PARTNUMBER],Discrete_NFET[RDSON3])="(NULL)","0","1"))</f>
        <v>0</v>
      </c>
      <c r="D61" s="40" t="str">
        <f>IF(OR($A61=0,$A61=""),"0",IF(LOOKUP($A61,Discrete_NFET[PARTNUMBER],Discrete_NFET[RDSON45])="(NULL)","0","1"))</f>
        <v>1</v>
      </c>
      <c r="E61" s="45" t="str">
        <f>IF(OR($A61=0,$A61=""),"0",IF(LOOKUP($A61,Discrete_NFET[PARTNUMBER],Discrete_NFET[RDSON6])="(NULL)","0","1"))</f>
        <v>0</v>
      </c>
      <c r="F61" s="34" t="str">
        <f>IF(OR($A61=0,$A61=""),"0",IF(LOOKUP($A61,Discrete_NFET[PARTNUMBER],Discrete_NFET[RDSON8])="(NULL)","0","1"))</f>
        <v>0</v>
      </c>
      <c r="G61" s="43" t="str">
        <f>IF(OR($A61=0,$A61=""),"0",IF(LOOKUP($A61,Discrete_NFET[PARTNUMBER],Discrete_NFET[RDSON10])="(NULL)","0","1"))</f>
        <v>1</v>
      </c>
      <c r="H61" s="36" t="b">
        <f t="shared" si="15"/>
        <v>0</v>
      </c>
      <c r="I61" s="39" t="b">
        <f t="shared" si="16"/>
        <v>0</v>
      </c>
      <c r="J61" s="41" t="b">
        <f t="shared" si="17"/>
        <v>1</v>
      </c>
      <c r="K61" s="46" t="b">
        <f t="shared" si="18"/>
        <v>0</v>
      </c>
      <c r="L61" s="42" t="b">
        <f t="shared" si="19"/>
        <v>0</v>
      </c>
      <c r="M61" s="44" t="b">
        <f t="shared" si="20"/>
        <v>1</v>
      </c>
      <c r="N61" s="47" t="b">
        <f t="shared" si="21"/>
        <v>1</v>
      </c>
      <c r="O61" s="36" t="b">
        <f t="shared" si="22"/>
        <v>0</v>
      </c>
      <c r="P61" s="39" t="b">
        <f t="shared" si="23"/>
        <v>0</v>
      </c>
      <c r="Q61" s="41" t="b">
        <f t="shared" si="24"/>
        <v>1</v>
      </c>
      <c r="R61" s="46" t="b">
        <f t="shared" si="25"/>
        <v>0</v>
      </c>
      <c r="S61" s="42" t="b">
        <f t="shared" si="26"/>
        <v>0</v>
      </c>
      <c r="T61" s="44" t="b">
        <f t="shared" si="27"/>
        <v>1</v>
      </c>
      <c r="U61" s="148">
        <f>IF(T61,LOOKUP(A61,Discrete_NFET[PARTNUMBER],Discrete_NFET[RDSON10])*1000,IF(S61,LOOKUP(A61,Discrete_NFET[PARTNUMBER],Discrete_NFET[RDSON8])*1000,IF(R61,LOOKUP(A61,Discrete_NFET[PARTNUMBER],Discrete_NFET[RDSON6])*1000,IF(Q61,LOOKUP(A61,Discrete_NFET[PARTNUMBER],Discrete_NFET[RDSON45])*1000,IF(P61,LOOKUP(A61,Discrete_NFET[PARTNUMBER],Discrete_NFET[RDSON3])*1000,IF(O61,LOOKUP(A61,Discrete_NFET[PARTNUMBER],Discrete_NFET[RDSON25])*1000,""))))))</f>
        <v>1.6</v>
      </c>
      <c r="V61" s="48">
        <f>IF(AND(A61&lt;&gt;0,A61&lt;&gt;""),U61*(1+(Tj-25)*(LOOKUP(A61,Discrete_NFET[PARTNUMBER],Discrete_NFET[RDSDELTA])/((LOOKUP(A61,Discrete_NFET[PARTNUMBER],Discrete_NFET[TJMAX])-25)))),"")</f>
        <v>1.8335999999999999</v>
      </c>
      <c r="W61" s="35">
        <f>IF(AND($A61&lt;&gt;0,$A61&lt;&gt;""),LOOKUP($A61,Discrete_NFET[PARTNUMBER],Discrete_NFET[QGS]),"")</f>
        <v>15.1</v>
      </c>
      <c r="X61" s="35">
        <f>IF(AND($A61&lt;&gt;0,$A61&lt;&gt;""),LOOKUP($A61,Discrete_NFET[PARTNUMBER],Discrete_NFET[QGD]),"")</f>
        <v>13.3</v>
      </c>
      <c r="Y61" s="35">
        <f>IF(AND($A61&lt;&gt;0,$A61&lt;&gt;""),LOOKUP($A61,Discrete_NFET[PARTNUMBER],Discrete_NFET[QGTH]),"")</f>
        <v>8.1999999999999993</v>
      </c>
      <c r="Z61" s="35">
        <f t="shared" si="28"/>
        <v>20.2</v>
      </c>
      <c r="AA61" s="35">
        <f>IF(AND($A61&lt;&gt;0,$A61&lt;&gt;""),LOOKUP($A61,Discrete_NFET[PARTNUMBER],Discrete_NFET[QOSSTYP]),"")</f>
        <v>23</v>
      </c>
      <c r="AB61" s="35">
        <f>IF(AND($A61&lt;&gt;0,$A61&lt;&gt;""),LOOKUP($A61,Discrete_NFET[PARTNUMBER],Discrete_NFET[QRR]),"")</f>
        <v>22</v>
      </c>
      <c r="AC61" s="35">
        <f>IF(AND(A61&lt;&gt;0,A61&lt;&gt;""),LOOKUP(A61,Discrete_NFET[PARTNUMBER],Discrete_NFET[VF_TYP]),"")</f>
        <v>1</v>
      </c>
      <c r="AD61" s="127">
        <f>IF(AND($A61&lt;&gt;0,$A61&lt;&gt;"",OR(RIGHT(Logic!B61,2)="C)",LEFT(Logic!B61,4)="CSD1")),(1+(1-DUTY))*IM_RMS_120^2*V61*m/3/Num_FETS2,"")</f>
        <v>7.7158356417359172E-2</v>
      </c>
      <c r="AE61" s="127">
        <f>IF(AND($A61&lt;&gt;0,$A61&lt;&gt;"",OR(RIGHT(Logic!B61,2)="C)",LEFT(Logic!B61,4)="CSD1")),Num_FETS2*0.5*IM_RMS_120*VDC_AVG*Z61*n*MOT_ELEC_FREQ/GDR_SRC,"")</f>
        <v>6.5144478844169257E-5</v>
      </c>
      <c r="AF61" s="127">
        <f>IF(AND($A61&lt;&gt;0,$A61&lt;&gt;"",OR(RIGHT(Logic!B61,2)="C)",LEFT(Logic!B61,4)="CSD1")),Num_FETS2*0.5*IM_RMS_120*VDC_AVG*Z61*n*MOT_ELEC_FREQ/GDR_SINK,"")</f>
        <v>4.4298245614035094E-5</v>
      </c>
      <c r="AG61" s="127">
        <f>IF(AND($A61&lt;&gt;0,$A61&lt;&gt;"",OR(RIGHT(Logic!B61,2)="T)",LEFT(Logic!B61,4)="CSD1")),DUTY*IM_RMS_120^2*V61*m/3/Num_FETS2,"")</f>
        <v>6.9809941520467822E-2</v>
      </c>
      <c r="AH61" s="127">
        <f>IF(AND($A61&lt;&gt;0,$A61&lt;&gt;"",OR(RIGHT(Logic!B61,2)="T)",LEFT(Logic!B61,4)="CSD1")),Num_FETS2*0.5*IM_RMS_120*VDC_AVG*Z61*n*FSW*k/GDR_SRC/3,"")</f>
        <v>1.3028895768833849E-2</v>
      </c>
      <c r="AI61" s="127">
        <f>IF(AND($A61&lt;&gt;0,$A61&lt;&gt;"",OR(RIGHT(Logic!B61,2)="T)",LEFT(Logic!B61,4)="CSD1")),Num_FETS2*0.5*IM_RMS_120*VDC_AVG*Z61*n*FSW*k/GDR_SINK/3,"")</f>
        <v>8.859649122807017E-3</v>
      </c>
      <c r="AJ61" s="127">
        <f t="shared" si="31"/>
        <v>2.7600000000000003E-3</v>
      </c>
      <c r="AK61" s="127">
        <f t="shared" si="33"/>
        <v>1.5518209871433389E-2</v>
      </c>
      <c r="AL61" s="127">
        <f t="shared" si="32"/>
        <v>5.2888000000000006E-3</v>
      </c>
      <c r="AM61" s="127">
        <f t="shared" si="29"/>
        <v>0.46554629614300186</v>
      </c>
      <c r="AN61" s="127">
        <f>IF(AND($A61&lt;&gt;0,$A61&lt;&gt;"",OR(RIGHT(Logic!B61,2)="C)",LEFT(Logic!B61,4)="CSD1")),SUM(AD61:AF61)+(AJ61/3)+AK61+AL61/6+AM61/6,AN62)</f>
        <v>0.17217852503708442</v>
      </c>
      <c r="AO61" s="127">
        <f>IF(AND($A61&lt;&gt;0,$A61&lt;&gt;"",OR(RIGHT(Logic!B61,2)="T)",LEFT(Logic!B61,4)="CSD1")),SUM(AG61:AI61)+(AJ61/3)+AL61/6+AM61/6,AO60)</f>
        <v>0.17109100243594233</v>
      </c>
      <c r="AP61" s="48">
        <f t="shared" si="30"/>
        <v>0.34</v>
      </c>
      <c r="AQ61" s="35" t="str">
        <f>IF(AND(A61&lt;&gt;0,A61&lt;&gt;""),LOOKUP(A61,Discrete_NFET[PARTNUMBER],Discrete_NFET[TI_EQ_PACKAGE]),"")</f>
        <v>SON5X6</v>
      </c>
      <c r="AR61" s="49">
        <f>IF(AND(A61&lt;&gt;0,A61&lt;&gt;""),LOOKUP(A61,Discrete_NFET[PARTNUMBER],Discrete_NFET[1KPRICE]),"")</f>
        <v>0.57999999999999996</v>
      </c>
      <c r="AS61" s="35" t="str">
        <f>IF(AND($A61&lt;&gt;0,$A61&lt;&gt;""),CONCATENATE(TEXT(AP61,"0.00"),"W, ",IF('User Input'!G$11="Single Discrete",A61,IF('User Input'!G$11="Dual/Power Block",LEFT(A61,FIND(")",A61)-7),A61)),", ",AQ61,", ",TEXT(AR61,"$0.00")),"Invalid Part")</f>
        <v>0.34W, CSD18512Q5B, SON5X6, $0.58</v>
      </c>
      <c r="AT61" t="s">
        <v>859</v>
      </c>
      <c r="AW61"/>
    </row>
    <row r="62" spans="1:49" ht="15" customHeight="1" x14ac:dyDescent="0.25">
      <c r="A62" s="35" t="str">
        <f>IF(OR(AND(FET_config2="Dual/Power Block",LEFT(Logic!B62,4)="CSD8"),AND(FET_config2="Single Discrete",LEFT(Logic!B62,4)="CSD1")),Logic!B62,"")</f>
        <v>CSD18513Q5A</v>
      </c>
      <c r="B62" s="37" t="str">
        <f>IF(OR($A62=0,$A62=""),"0",IF(LOOKUP($A62,Discrete_NFET[PARTNUMBER],Discrete_NFET[RDSON25])="(NULL)","0","1"))</f>
        <v>0</v>
      </c>
      <c r="C62" s="38" t="str">
        <f>IF(OR($A62=0,$A62=""),"0",IF(LOOKUP($A62,Discrete_NFET[PARTNUMBER],Discrete_NFET[RDSON3])="(NULL)","0","1"))</f>
        <v>0</v>
      </c>
      <c r="D62" s="40" t="str">
        <f>IF(OR($A62=0,$A62=""),"0",IF(LOOKUP($A62,Discrete_NFET[PARTNUMBER],Discrete_NFET[RDSON45])="(NULL)","0","1"))</f>
        <v>1</v>
      </c>
      <c r="E62" s="45" t="str">
        <f>IF(OR($A62=0,$A62=""),"0",IF(LOOKUP($A62,Discrete_NFET[PARTNUMBER],Discrete_NFET[RDSON6])="(NULL)","0","1"))</f>
        <v>0</v>
      </c>
      <c r="F62" s="34" t="str">
        <f>IF(OR($A62=0,$A62=""),"0",IF(LOOKUP($A62,Discrete_NFET[PARTNUMBER],Discrete_NFET[RDSON8])="(NULL)","0","1"))</f>
        <v>0</v>
      </c>
      <c r="G62" s="43" t="str">
        <f>IF(OR($A62=0,$A62=""),"0",IF(LOOKUP($A62,Discrete_NFET[PARTNUMBER],Discrete_NFET[RDSON10])="(NULL)","0","1"))</f>
        <v>1</v>
      </c>
      <c r="H62" s="36" t="b">
        <f t="shared" si="15"/>
        <v>0</v>
      </c>
      <c r="I62" s="39" t="b">
        <f t="shared" si="16"/>
        <v>0</v>
      </c>
      <c r="J62" s="41" t="b">
        <f t="shared" si="17"/>
        <v>1</v>
      </c>
      <c r="K62" s="46" t="b">
        <f t="shared" si="18"/>
        <v>0</v>
      </c>
      <c r="L62" s="42" t="b">
        <f t="shared" si="19"/>
        <v>0</v>
      </c>
      <c r="M62" s="44" t="b">
        <f t="shared" si="20"/>
        <v>1</v>
      </c>
      <c r="N62" s="47" t="b">
        <f t="shared" si="21"/>
        <v>1</v>
      </c>
      <c r="O62" s="36" t="b">
        <f t="shared" si="22"/>
        <v>0</v>
      </c>
      <c r="P62" s="39" t="b">
        <f t="shared" si="23"/>
        <v>0</v>
      </c>
      <c r="Q62" s="41" t="b">
        <f t="shared" si="24"/>
        <v>1</v>
      </c>
      <c r="R62" s="46" t="b">
        <f t="shared" si="25"/>
        <v>0</v>
      </c>
      <c r="S62" s="42" t="b">
        <f t="shared" si="26"/>
        <v>0</v>
      </c>
      <c r="T62" s="44" t="b">
        <f t="shared" si="27"/>
        <v>1</v>
      </c>
      <c r="U62" s="148">
        <f>IF(T62,LOOKUP(A62,Discrete_NFET[PARTNUMBER],Discrete_NFET[RDSON10])*1000,IF(S62,LOOKUP(A62,Discrete_NFET[PARTNUMBER],Discrete_NFET[RDSON8])*1000,IF(R62,LOOKUP(A62,Discrete_NFET[PARTNUMBER],Discrete_NFET[RDSON6])*1000,IF(Q62,LOOKUP(A62,Discrete_NFET[PARTNUMBER],Discrete_NFET[RDSON45])*1000,IF(P62,LOOKUP(A62,Discrete_NFET[PARTNUMBER],Discrete_NFET[RDSON3])*1000,IF(O62,LOOKUP(A62,Discrete_NFET[PARTNUMBER],Discrete_NFET[RDSON25])*1000,""))))))</f>
        <v>3.4</v>
      </c>
      <c r="V62" s="48">
        <f>IF(AND(A62&lt;&gt;0,A62&lt;&gt;""),U62*(1+(Tj-25)*(LOOKUP(A62,Discrete_NFET[PARTNUMBER],Discrete_NFET[RDSDELTA])/((LOOKUP(A62,Discrete_NFET[PARTNUMBER],Discrete_NFET[TJMAX])-25)))),"")</f>
        <v>3.8080000000000003</v>
      </c>
      <c r="W62" s="35">
        <f>IF(AND($A62&lt;&gt;0,$A62&lt;&gt;""),LOOKUP($A62,Discrete_NFET[PARTNUMBER],Discrete_NFET[QGS]),"")</f>
        <v>9.1</v>
      </c>
      <c r="X62" s="35">
        <f>IF(AND($A62&lt;&gt;0,$A62&lt;&gt;""),LOOKUP($A62,Discrete_NFET[PARTNUMBER],Discrete_NFET[QGD]),"")</f>
        <v>8.8000000000000007</v>
      </c>
      <c r="Y62" s="35">
        <f>IF(AND($A62&lt;&gt;0,$A62&lt;&gt;""),LOOKUP($A62,Discrete_NFET[PARTNUMBER],Discrete_NFET[QGTH]),"")</f>
        <v>5.8</v>
      </c>
      <c r="Z62" s="35">
        <f t="shared" si="28"/>
        <v>12.099999999999998</v>
      </c>
      <c r="AA62" s="35">
        <f>IF(AND($A62&lt;&gt;0,$A62&lt;&gt;""),LOOKUP($A62,Discrete_NFET[PARTNUMBER],Discrete_NFET[QOSSTYP]),"")</f>
        <v>15</v>
      </c>
      <c r="AB62" s="35">
        <f>IF(AND($A62&lt;&gt;0,$A62&lt;&gt;""),LOOKUP($A62,Discrete_NFET[PARTNUMBER],Discrete_NFET[QRR]),"")</f>
        <v>14.7</v>
      </c>
      <c r="AC62" s="35">
        <f>IF(AND(A62&lt;&gt;0,A62&lt;&gt;""),LOOKUP(A62,Discrete_NFET[PARTNUMBER],Discrete_NFET[VF_TYP]),"")</f>
        <v>1</v>
      </c>
      <c r="AD62" s="127">
        <f>IF(AND($A62&lt;&gt;0,$A62&lt;&gt;"",OR(RIGHT(Logic!B62,2)="C)",LEFT(Logic!B62,4)="CSD1")),(1+(1-DUTY))*IM_RMS_120^2*V62*m/3/Num_FETS2,"")</f>
        <v>0.16024161280393964</v>
      </c>
      <c r="AE62" s="127">
        <f>IF(AND($A62&lt;&gt;0,$A62&lt;&gt;"",OR(RIGHT(Logic!B62,2)="C)",LEFT(Logic!B62,4)="CSD1")),Num_FETS2*0.5*IM_RMS_120*VDC_AVG*Z62*n*MOT_ELEC_FREQ/GDR_SRC,"")</f>
        <v>3.902218782249741E-5</v>
      </c>
      <c r="AF62" s="127">
        <f>IF(AND($A62&lt;&gt;0,$A62&lt;&gt;"",OR(RIGHT(Logic!B62,2)="C)",LEFT(Logic!B62,4)="CSD1")),Num_FETS2*0.5*IM_RMS_120*VDC_AVG*Z62*n*MOT_ELEC_FREQ/GDR_SINK,"")</f>
        <v>2.6535087719298241E-5</v>
      </c>
      <c r="AG62" s="127">
        <f>IF(AND($A62&lt;&gt;0,$A62&lt;&gt;"",OR(RIGHT(Logic!B62,2)="T)",LEFT(Logic!B62,4)="CSD1")),DUTY*IM_RMS_120^2*V62*m/3/Num_FETS2,"")</f>
        <v>0.14498050682261207</v>
      </c>
      <c r="AH62" s="127">
        <f>IF(AND($A62&lt;&gt;0,$A62&lt;&gt;"",OR(RIGHT(Logic!B62,2)="T)",LEFT(Logic!B62,4)="CSD1")),Num_FETS2*0.5*IM_RMS_120*VDC_AVG*Z62*n*FSW*k/GDR_SRC/3,"")</f>
        <v>7.8044375644994819E-3</v>
      </c>
      <c r="AI62" s="127">
        <f>IF(AND($A62&lt;&gt;0,$A62&lt;&gt;"",OR(RIGHT(Logic!B62,2)="T)",LEFT(Logic!B62,4)="CSD1")),Num_FETS2*0.5*IM_RMS_120*VDC_AVG*Z62*n*FSW*k/GDR_SINK/3,"")</f>
        <v>5.3070175438596481E-3</v>
      </c>
      <c r="AJ62" s="127">
        <f t="shared" si="31"/>
        <v>1.8000000000000002E-3</v>
      </c>
      <c r="AK62" s="127">
        <f t="shared" si="33"/>
        <v>1.5518209871433389E-2</v>
      </c>
      <c r="AL62" s="127">
        <f t="shared" si="32"/>
        <v>3.5338799999999997E-3</v>
      </c>
      <c r="AM62" s="127">
        <f t="shared" si="29"/>
        <v>0.46554629614300186</v>
      </c>
      <c r="AN62" s="127">
        <f>IF(AND($A62&lt;&gt;0,$A62&lt;&gt;"",OR(RIGHT(Logic!B62,2)="C)",LEFT(Logic!B62,4)="CSD1")),SUM(AD62:AF62)+(AJ62/3)+AK62+AL62/6+AM62/6,AN63)</f>
        <v>0.25460540930808179</v>
      </c>
      <c r="AO62" s="127">
        <f>IF(AND($A62&lt;&gt;0,$A62&lt;&gt;"",OR(RIGHT(Logic!B62,2)="T)",LEFT(Logic!B62,4)="CSD1")),SUM(AG62:AI62)+(AJ62/3)+AL62/6+AM62/6,AO61)</f>
        <v>0.23687199128813813</v>
      </c>
      <c r="AP62" s="48">
        <f t="shared" si="30"/>
        <v>0.49</v>
      </c>
      <c r="AQ62" s="35" t="str">
        <f>IF(AND(A62&lt;&gt;0,A62&lt;&gt;""),LOOKUP(A62,Discrete_NFET[PARTNUMBER],Discrete_NFET[TI_EQ_PACKAGE]),"")</f>
        <v>SON5X6</v>
      </c>
      <c r="AR62" s="49">
        <f>IF(AND(A62&lt;&gt;0,A62&lt;&gt;""),LOOKUP(A62,Discrete_NFET[PARTNUMBER],Discrete_NFET[1KPRICE]),"")</f>
        <v>0.34</v>
      </c>
      <c r="AS62" s="35" t="str">
        <f>IF(AND($A62&lt;&gt;0,$A62&lt;&gt;""),CONCATENATE(TEXT(AP62,"0.00"),"W, ",IF('User Input'!G$11="Single Discrete",A62,IF('User Input'!G$11="Dual/Power Block",LEFT(A62,FIND(")",A62)-7),A62)),", ",AQ62,", ",TEXT(AR62,"$0.00")),"Invalid Part")</f>
        <v>0.49W, CSD18513Q5A, SON5X6, $0.34</v>
      </c>
      <c r="AT62" t="s">
        <v>858</v>
      </c>
      <c r="AW62"/>
    </row>
    <row r="63" spans="1:49" ht="15" customHeight="1" x14ac:dyDescent="0.25">
      <c r="A63" s="35" t="str">
        <f>IF(OR(AND(FET_config2="Dual/Power Block",LEFT(Logic!B63,4)="CSD8"),AND(FET_config2="Single Discrete",LEFT(Logic!B63,4)="CSD1")),Logic!B63,"")</f>
        <v>CSD18514Q5A</v>
      </c>
      <c r="B63" s="37" t="str">
        <f>IF(OR($A63=0,$A63=""),"0",IF(LOOKUP($A63,Discrete_NFET[PARTNUMBER],Discrete_NFET[RDSON25])="(NULL)","0","1"))</f>
        <v>0</v>
      </c>
      <c r="C63" s="38" t="str">
        <f>IF(OR($A63=0,$A63=""),"0",IF(LOOKUP($A63,Discrete_NFET[PARTNUMBER],Discrete_NFET[RDSON3])="(NULL)","0","1"))</f>
        <v>0</v>
      </c>
      <c r="D63" s="40" t="str">
        <f>IF(OR($A63=0,$A63=""),"0",IF(LOOKUP($A63,Discrete_NFET[PARTNUMBER],Discrete_NFET[RDSON45])="(NULL)","0","1"))</f>
        <v>1</v>
      </c>
      <c r="E63" s="45" t="str">
        <f>IF(OR($A63=0,$A63=""),"0",IF(LOOKUP($A63,Discrete_NFET[PARTNUMBER],Discrete_NFET[RDSON6])="(NULL)","0","1"))</f>
        <v>0</v>
      </c>
      <c r="F63" s="34" t="str">
        <f>IF(OR($A63=0,$A63=""),"0",IF(LOOKUP($A63,Discrete_NFET[PARTNUMBER],Discrete_NFET[RDSON8])="(NULL)","0","1"))</f>
        <v>0</v>
      </c>
      <c r="G63" s="43" t="str">
        <f>IF(OR($A63=0,$A63=""),"0",IF(LOOKUP($A63,Discrete_NFET[PARTNUMBER],Discrete_NFET[RDSON10])="(NULL)","0","1"))</f>
        <v>1</v>
      </c>
      <c r="H63" s="36" t="b">
        <f t="shared" si="15"/>
        <v>0</v>
      </c>
      <c r="I63" s="39" t="b">
        <f t="shared" si="16"/>
        <v>0</v>
      </c>
      <c r="J63" s="41" t="b">
        <f t="shared" si="17"/>
        <v>1</v>
      </c>
      <c r="K63" s="46" t="b">
        <f t="shared" si="18"/>
        <v>0</v>
      </c>
      <c r="L63" s="42" t="b">
        <f t="shared" si="19"/>
        <v>0</v>
      </c>
      <c r="M63" s="44" t="b">
        <f t="shared" si="20"/>
        <v>1</v>
      </c>
      <c r="N63" s="47" t="b">
        <f t="shared" si="21"/>
        <v>1</v>
      </c>
      <c r="O63" s="36" t="b">
        <f t="shared" si="22"/>
        <v>0</v>
      </c>
      <c r="P63" s="39" t="b">
        <f t="shared" si="23"/>
        <v>0</v>
      </c>
      <c r="Q63" s="41" t="b">
        <f t="shared" si="24"/>
        <v>1</v>
      </c>
      <c r="R63" s="46" t="b">
        <f t="shared" si="25"/>
        <v>0</v>
      </c>
      <c r="S63" s="42" t="b">
        <f t="shared" si="26"/>
        <v>0</v>
      </c>
      <c r="T63" s="44" t="b">
        <f t="shared" si="27"/>
        <v>1</v>
      </c>
      <c r="U63" s="148">
        <f>IF(T63,LOOKUP(A63,Discrete_NFET[PARTNUMBER],Discrete_NFET[RDSON10])*1000,IF(S63,LOOKUP(A63,Discrete_NFET[PARTNUMBER],Discrete_NFET[RDSON8])*1000,IF(R63,LOOKUP(A63,Discrete_NFET[PARTNUMBER],Discrete_NFET[RDSON6])*1000,IF(Q63,LOOKUP(A63,Discrete_NFET[PARTNUMBER],Discrete_NFET[RDSON45])*1000,IF(P63,LOOKUP(A63,Discrete_NFET[PARTNUMBER],Discrete_NFET[RDSON3])*1000,IF(O63,LOOKUP(A63,Discrete_NFET[PARTNUMBER],Discrete_NFET[RDSON25])*1000,""))))))</f>
        <v>4.8999999999999995</v>
      </c>
      <c r="V63" s="48">
        <f>IF(AND(A63&lt;&gt;0,A63&lt;&gt;""),U63*(1+(Tj-25)*(LOOKUP(A63,Discrete_NFET[PARTNUMBER],Discrete_NFET[RDSDELTA])/((LOOKUP(A63,Discrete_NFET[PARTNUMBER],Discrete_NFET[TJMAX])-25)))),"")</f>
        <v>5.5076000000000001</v>
      </c>
      <c r="W63" s="35">
        <f>IF(AND($A63&lt;&gt;0,$A63&lt;&gt;""),LOOKUP($A63,Discrete_NFET[PARTNUMBER],Discrete_NFET[QGS]),"")</f>
        <v>6</v>
      </c>
      <c r="X63" s="35">
        <f>IF(AND($A63&lt;&gt;0,$A63&lt;&gt;""),LOOKUP($A63,Discrete_NFET[PARTNUMBER],Discrete_NFET[QGD]),"")</f>
        <v>5</v>
      </c>
      <c r="Y63" s="35">
        <f>IF(AND($A63&lt;&gt;0,$A63&lt;&gt;""),LOOKUP($A63,Discrete_NFET[PARTNUMBER],Discrete_NFET[QGTH]),"")</f>
        <v>3.4</v>
      </c>
      <c r="Z63" s="35">
        <f t="shared" si="28"/>
        <v>7.6</v>
      </c>
      <c r="AA63" s="35">
        <f>IF(AND($A63&lt;&gt;0,$A63&lt;&gt;""),LOOKUP($A63,Discrete_NFET[PARTNUMBER],Discrete_NFET[QOSSTYP]),"")</f>
        <v>9.1999999999999993</v>
      </c>
      <c r="AB63" s="35">
        <f>IF(AND($A63&lt;&gt;0,$A63&lt;&gt;""),LOOKUP($A63,Discrete_NFET[PARTNUMBER],Discrete_NFET[QRR]),"")</f>
        <v>8.5</v>
      </c>
      <c r="AC63" s="35">
        <f>IF(AND(A63&lt;&gt;0,A63&lt;&gt;""),LOOKUP(A63,Discrete_NFET[PARTNUMBER],Discrete_NFET[VF_TYP]),"")</f>
        <v>1</v>
      </c>
      <c r="AD63" s="127">
        <f>IF(AND($A63&lt;&gt;0,$A63&lt;&gt;"",OR(RIGHT(Logic!B63,2)="C)",LEFT(Logic!B63,4)="CSD1")),(1+(1-DUTY))*IM_RMS_120^2*V63*m/3/Num_FETS2,"")</f>
        <v>0.23176121498922742</v>
      </c>
      <c r="AE63" s="127">
        <f>IF(AND($A63&lt;&gt;0,$A63&lt;&gt;"",OR(RIGHT(Logic!B63,2)="C)",LEFT(Logic!B63,4)="CSD1")),Num_FETS2*0.5*IM_RMS_120*VDC_AVG*Z63*n*MOT_ELEC_FREQ/GDR_SRC,"")</f>
        <v>2.4509803921568626E-5</v>
      </c>
      <c r="AF63" s="127">
        <f>IF(AND($A63&lt;&gt;0,$A63&lt;&gt;"",OR(RIGHT(Logic!B63,2)="C)",LEFT(Logic!B63,4)="CSD1")),Num_FETS2*0.5*IM_RMS_120*VDC_AVG*Z63*n*MOT_ELEC_FREQ/GDR_SINK,"")</f>
        <v>1.6666666666666667E-5</v>
      </c>
      <c r="AG63" s="127">
        <f>IF(AND($A63&lt;&gt;0,$A63&lt;&gt;"",OR(RIGHT(Logic!B63,2)="T)",LEFT(Logic!B63,4)="CSD1")),DUTY*IM_RMS_120^2*V63*m/3/Num_FETS2,"")</f>
        <v>0.20968871832358671</v>
      </c>
      <c r="AH63" s="127">
        <f>IF(AND($A63&lt;&gt;0,$A63&lt;&gt;"",OR(RIGHT(Logic!B63,2)="T)",LEFT(Logic!B63,4)="CSD1")),Num_FETS2*0.5*IM_RMS_120*VDC_AVG*Z63*n*FSW*k/GDR_SRC/3,"")</f>
        <v>4.9019607843137246E-3</v>
      </c>
      <c r="AI63" s="127">
        <f>IF(AND($A63&lt;&gt;0,$A63&lt;&gt;"",OR(RIGHT(Logic!B63,2)="T)",LEFT(Logic!B63,4)="CSD1")),Num_FETS2*0.5*IM_RMS_120*VDC_AVG*Z63*n*FSW*k/GDR_SINK/3,"")</f>
        <v>3.3333333333333327E-3</v>
      </c>
      <c r="AJ63" s="127">
        <f t="shared" si="31"/>
        <v>1.1040000000000002E-3</v>
      </c>
      <c r="AK63" s="127">
        <f t="shared" si="33"/>
        <v>1.5518209871433389E-2</v>
      </c>
      <c r="AL63" s="127">
        <f t="shared" si="32"/>
        <v>2.0433999999999999E-3</v>
      </c>
      <c r="AM63" s="127">
        <f t="shared" si="29"/>
        <v>0.46554629614300186</v>
      </c>
      <c r="AN63" s="127">
        <f>IF(AND($A63&lt;&gt;0,$A63&lt;&gt;"",OR(RIGHT(Logic!B63,2)="C)",LEFT(Logic!B63,4)="CSD1")),SUM(AD63:AF63)+(AJ63/3)+AK63+AL63/6+AM63/6,AN64)</f>
        <v>0.32562021735508268</v>
      </c>
      <c r="AO63" s="127">
        <f>IF(AND($A63&lt;&gt;0,$A63&lt;&gt;"",OR(RIGHT(Logic!B63,2)="T)",LEFT(Logic!B63,4)="CSD1")),SUM(AG63:AI63)+(AJ63/3)+AL63/6+AM63/6,AO62)</f>
        <v>0.29622362846506739</v>
      </c>
      <c r="AP63" s="48">
        <f t="shared" si="30"/>
        <v>0.62</v>
      </c>
      <c r="AQ63" s="35" t="str">
        <f>IF(AND(A63&lt;&gt;0,A63&lt;&gt;""),LOOKUP(A63,Discrete_NFET[PARTNUMBER],Discrete_NFET[TI_EQ_PACKAGE]),"")</f>
        <v>SON5X6</v>
      </c>
      <c r="AR63" s="49">
        <f>IF(AND(A63&lt;&gt;0,A63&lt;&gt;""),LOOKUP(A63,Discrete_NFET[PARTNUMBER],Discrete_NFET[1KPRICE]),"")</f>
        <v>0.24</v>
      </c>
      <c r="AS63" s="35" t="str">
        <f>IF(AND($A63&lt;&gt;0,$A63&lt;&gt;""),CONCATENATE(TEXT(AP63,"0.00"),"W, ",IF('User Input'!G$11="Single Discrete",A63,IF('User Input'!G$11="Dual/Power Block",LEFT(A63,FIND(")",A63)-7),A63)),", ",AQ63,", ",TEXT(AR63,"$0.00")),"Invalid Part")</f>
        <v>0.62W, CSD18514Q5A, SON5X6, $0.24</v>
      </c>
      <c r="AT63" t="s">
        <v>843</v>
      </c>
      <c r="AW63"/>
    </row>
    <row r="64" spans="1:49" ht="15" customHeight="1" x14ac:dyDescent="0.25">
      <c r="A64" s="35" t="str">
        <f>IF(OR(AND(FET_config2="Dual/Power Block",LEFT(Logic!B64,4)="CSD8"),AND(FET_config2="Single Discrete",LEFT(Logic!B64,4)="CSD1")),Logic!B64,"")</f>
        <v>CSD18531Q5A</v>
      </c>
      <c r="B64" s="37" t="str">
        <f>IF(OR($A64=0,$A64=""),"0",IF(LOOKUP($A64,Discrete_NFET[PARTNUMBER],Discrete_NFET[RDSON25])="(NULL)","0","1"))</f>
        <v>0</v>
      </c>
      <c r="C64" s="38" t="str">
        <f>IF(OR($A64=0,$A64=""),"0",IF(LOOKUP($A64,Discrete_NFET[PARTNUMBER],Discrete_NFET[RDSON3])="(NULL)","0","1"))</f>
        <v>0</v>
      </c>
      <c r="D64" s="40" t="str">
        <f>IF(OR($A64=0,$A64=""),"0",IF(LOOKUP($A64,Discrete_NFET[PARTNUMBER],Discrete_NFET[RDSON45])="(NULL)","0","1"))</f>
        <v>1</v>
      </c>
      <c r="E64" s="45" t="str">
        <f>IF(OR($A64=0,$A64=""),"0",IF(LOOKUP($A64,Discrete_NFET[PARTNUMBER],Discrete_NFET[RDSON6])="(NULL)","0","1"))</f>
        <v>0</v>
      </c>
      <c r="F64" s="34" t="str">
        <f>IF(OR($A64=0,$A64=""),"0",IF(LOOKUP($A64,Discrete_NFET[PARTNUMBER],Discrete_NFET[RDSON8])="(NULL)","0","1"))</f>
        <v>0</v>
      </c>
      <c r="G64" s="43" t="str">
        <f>IF(OR($A64=0,$A64=""),"0",IF(LOOKUP($A64,Discrete_NFET[PARTNUMBER],Discrete_NFET[RDSON10])="(NULL)","0","1"))</f>
        <v>1</v>
      </c>
      <c r="H64" s="36" t="b">
        <f t="shared" si="15"/>
        <v>0</v>
      </c>
      <c r="I64" s="39" t="b">
        <f t="shared" si="16"/>
        <v>0</v>
      </c>
      <c r="J64" s="41" t="b">
        <f t="shared" si="17"/>
        <v>1</v>
      </c>
      <c r="K64" s="46" t="b">
        <f t="shared" si="18"/>
        <v>0</v>
      </c>
      <c r="L64" s="42" t="b">
        <f t="shared" si="19"/>
        <v>0</v>
      </c>
      <c r="M64" s="44" t="b">
        <f t="shared" si="20"/>
        <v>1</v>
      </c>
      <c r="N64" s="47" t="b">
        <f t="shared" si="21"/>
        <v>1</v>
      </c>
      <c r="O64" s="36" t="b">
        <f t="shared" si="22"/>
        <v>0</v>
      </c>
      <c r="P64" s="39" t="b">
        <f t="shared" si="23"/>
        <v>0</v>
      </c>
      <c r="Q64" s="41" t="b">
        <f t="shared" si="24"/>
        <v>1</v>
      </c>
      <c r="R64" s="46" t="b">
        <f t="shared" si="25"/>
        <v>0</v>
      </c>
      <c r="S64" s="42" t="b">
        <f t="shared" si="26"/>
        <v>0</v>
      </c>
      <c r="T64" s="44" t="b">
        <f t="shared" si="27"/>
        <v>1</v>
      </c>
      <c r="U64" s="148">
        <f>IF(T64,LOOKUP(A64,Discrete_NFET[PARTNUMBER],Discrete_NFET[RDSON10])*1000,IF(S64,LOOKUP(A64,Discrete_NFET[PARTNUMBER],Discrete_NFET[RDSON8])*1000,IF(R64,LOOKUP(A64,Discrete_NFET[PARTNUMBER],Discrete_NFET[RDSON6])*1000,IF(Q64,LOOKUP(A64,Discrete_NFET[PARTNUMBER],Discrete_NFET[RDSON45])*1000,IF(P64,LOOKUP(A64,Discrete_NFET[PARTNUMBER],Discrete_NFET[RDSON3])*1000,IF(O64,LOOKUP(A64,Discrete_NFET[PARTNUMBER],Discrete_NFET[RDSON25])*1000,""))))))</f>
        <v>4.5999999999999996</v>
      </c>
      <c r="V64" s="48">
        <f>IF(AND(A64&lt;&gt;0,A64&lt;&gt;""),U64*(1+(Tj-25)*(LOOKUP(A64,Discrete_NFET[PARTNUMBER],Discrete_NFET[RDSDELTA])/((LOOKUP(A64,Discrete_NFET[PARTNUMBER],Discrete_NFET[TJMAX])-25)))),"")</f>
        <v>5.4739999999999993</v>
      </c>
      <c r="W64" s="35">
        <f>IF(AND($A64&lt;&gt;0,$A64&lt;&gt;""),LOOKUP($A64,Discrete_NFET[PARTNUMBER],Discrete_NFET[QGS]),"")</f>
        <v>6.9</v>
      </c>
      <c r="X64" s="35">
        <f>IF(AND($A64&lt;&gt;0,$A64&lt;&gt;""),LOOKUP($A64,Discrete_NFET[PARTNUMBER],Discrete_NFET[QGD]),"")</f>
        <v>5.9</v>
      </c>
      <c r="Y64" s="35">
        <f>IF(AND($A64&lt;&gt;0,$A64&lt;&gt;""),LOOKUP($A64,Discrete_NFET[PARTNUMBER],Discrete_NFET[QGTH]),"")</f>
        <v>5.2</v>
      </c>
      <c r="Z64" s="35">
        <f t="shared" si="28"/>
        <v>7.6000000000000005</v>
      </c>
      <c r="AA64" s="35">
        <f>IF(AND($A64&lt;&gt;0,$A64&lt;&gt;""),LOOKUP($A64,Discrete_NFET[PARTNUMBER],Discrete_NFET[QOSSTYP]),"")</f>
        <v>32</v>
      </c>
      <c r="AB64" s="35">
        <f>IF(AND($A64&lt;&gt;0,$A64&lt;&gt;""),LOOKUP($A64,Discrete_NFET[PARTNUMBER],Discrete_NFET[QRR]),"")</f>
        <v>100</v>
      </c>
      <c r="AC64" s="35">
        <f>IF(AND(A64&lt;&gt;0,A64&lt;&gt;""),LOOKUP(A64,Discrete_NFET[PARTNUMBER],Discrete_NFET[VF_TYP]),"")</f>
        <v>0.8</v>
      </c>
      <c r="AD64" s="127">
        <f>IF(AND($A64&lt;&gt;0,$A64&lt;&gt;"",OR(RIGHT(Logic!B64,2)="C)",LEFT(Logic!B64,4)="CSD1")),(1+(1-DUTY))*IM_RMS_120^2*V64*m/3/Num_FETS2,"")</f>
        <v>0.23034731840566322</v>
      </c>
      <c r="AE64" s="127">
        <f>IF(AND($A64&lt;&gt;0,$A64&lt;&gt;"",OR(RIGHT(Logic!B64,2)="C)",LEFT(Logic!B64,4)="CSD1")),Num_FETS2*0.5*IM_RMS_120*VDC_AVG*Z64*n*MOT_ELEC_FREQ/GDR_SRC,"")</f>
        <v>2.4509803921568633E-5</v>
      </c>
      <c r="AF64" s="127">
        <f>IF(AND($A64&lt;&gt;0,$A64&lt;&gt;"",OR(RIGHT(Logic!B64,2)="C)",LEFT(Logic!B64,4)="CSD1")),Num_FETS2*0.5*IM_RMS_120*VDC_AVG*Z64*n*MOT_ELEC_FREQ/GDR_SINK,"")</f>
        <v>1.6666666666666671E-5</v>
      </c>
      <c r="AG64" s="127">
        <f>IF(AND($A64&lt;&gt;0,$A64&lt;&gt;"",OR(RIGHT(Logic!B64,2)="T)",LEFT(Logic!B64,4)="CSD1")),DUTY*IM_RMS_120^2*V64*m/3/Num_FETS2,"")</f>
        <v>0.2084094785575048</v>
      </c>
      <c r="AH64" s="127">
        <f>IF(AND($A64&lt;&gt;0,$A64&lt;&gt;"",OR(RIGHT(Logic!B64,2)="T)",LEFT(Logic!B64,4)="CSD1")),Num_FETS2*0.5*IM_RMS_120*VDC_AVG*Z64*n*FSW*k/GDR_SRC/3,"")</f>
        <v>4.9019607843137263E-3</v>
      </c>
      <c r="AI64" s="127">
        <f>IF(AND($A64&lt;&gt;0,$A64&lt;&gt;"",OR(RIGHT(Logic!B64,2)="T)",LEFT(Logic!B64,4)="CSD1")),Num_FETS2*0.5*IM_RMS_120*VDC_AVG*Z64*n*FSW*k/GDR_SINK/3,"")</f>
        <v>3.333333333333334E-3</v>
      </c>
      <c r="AJ64" s="127">
        <f t="shared" si="31"/>
        <v>3.8400000000000001E-3</v>
      </c>
      <c r="AK64" s="127">
        <f t="shared" si="33"/>
        <v>1.2414567897146714E-2</v>
      </c>
      <c r="AL64" s="127">
        <f t="shared" si="32"/>
        <v>2.4040000000000002E-2</v>
      </c>
      <c r="AM64" s="127">
        <f t="shared" si="29"/>
        <v>0.37243703691440144</v>
      </c>
      <c r="AN64" s="127">
        <f>IF(AND($A64&lt;&gt;0,$A64&lt;&gt;"",OR(RIGHT(Logic!B64,2)="C)",LEFT(Logic!B64,4)="CSD1")),SUM(AD64:AF64)+(AJ64/3)+AK64+AL64/6+AM64/6,AN65)</f>
        <v>0.31016256892579841</v>
      </c>
      <c r="AO64" s="127">
        <f>IF(AND($A64&lt;&gt;0,$A64&lt;&gt;"",OR(RIGHT(Logic!B64,2)="T)",LEFT(Logic!B64,4)="CSD1")),SUM(AG64:AI64)+(AJ64/3)+AL64/6+AM64/6,AO63)</f>
        <v>0.28400427882755208</v>
      </c>
      <c r="AP64" s="48">
        <f t="shared" si="30"/>
        <v>0.59</v>
      </c>
      <c r="AQ64" s="35" t="str">
        <f>IF(AND(A64&lt;&gt;0,A64&lt;&gt;""),LOOKUP(A64,Discrete_NFET[PARTNUMBER],Discrete_NFET[TI_EQ_PACKAGE]),"")</f>
        <v>SON5X6</v>
      </c>
      <c r="AR64" s="49">
        <f>IF(AND(A64&lt;&gt;0,A64&lt;&gt;""),LOOKUP(A64,Discrete_NFET[PARTNUMBER],Discrete_NFET[1KPRICE]),"")</f>
        <v>0.56000000000000005</v>
      </c>
      <c r="AS64" s="35" t="str">
        <f>IF(AND($A64&lt;&gt;0,$A64&lt;&gt;""),CONCATENATE(TEXT(AP64,"0.00"),"W, ",IF('User Input'!G$11="Single Discrete",A64,IF('User Input'!G$11="Dual/Power Block",LEFT(A64,FIND(")",A64)-7),A64)),", ",AQ64,", ",TEXT(AR64,"$0.00")),"Invalid Part")</f>
        <v>0.59W, CSD18531Q5A, SON5X6, $0.56</v>
      </c>
      <c r="AT64" t="s">
        <v>832</v>
      </c>
      <c r="AW64"/>
    </row>
    <row r="65" spans="1:49" ht="15" customHeight="1" x14ac:dyDescent="0.25">
      <c r="A65" s="35" t="str">
        <f>IF(OR(AND(FET_config2="Dual/Power Block",LEFT(Logic!B65,4)="CSD8"),AND(FET_config2="Single Discrete",LEFT(Logic!B65,4)="CSD1")),Logic!B65,"")</f>
        <v>CSD18532KCS</v>
      </c>
      <c r="B65" s="37" t="str">
        <f>IF(OR($A65=0,$A65=""),"0",IF(LOOKUP($A65,Discrete_NFET[PARTNUMBER],Discrete_NFET[RDSON25])="(NULL)","0","1"))</f>
        <v>0</v>
      </c>
      <c r="C65" s="38" t="str">
        <f>IF(OR($A65=0,$A65=""),"0",IF(LOOKUP($A65,Discrete_NFET[PARTNUMBER],Discrete_NFET[RDSON3])="(NULL)","0","1"))</f>
        <v>0</v>
      </c>
      <c r="D65" s="40" t="str">
        <f>IF(OR($A65=0,$A65=""),"0",IF(LOOKUP($A65,Discrete_NFET[PARTNUMBER],Discrete_NFET[RDSON45])="(NULL)","0","1"))</f>
        <v>1</v>
      </c>
      <c r="E65" s="45" t="str">
        <f>IF(OR($A65=0,$A65=""),"0",IF(LOOKUP($A65,Discrete_NFET[PARTNUMBER],Discrete_NFET[RDSON6])="(NULL)","0","1"))</f>
        <v>0</v>
      </c>
      <c r="F65" s="34" t="str">
        <f>IF(OR($A65=0,$A65=""),"0",IF(LOOKUP($A65,Discrete_NFET[PARTNUMBER],Discrete_NFET[RDSON8])="(NULL)","0","1"))</f>
        <v>0</v>
      </c>
      <c r="G65" s="43" t="str">
        <f>IF(OR($A65=0,$A65=""),"0",IF(LOOKUP($A65,Discrete_NFET[PARTNUMBER],Discrete_NFET[RDSON10])="(NULL)","0","1"))</f>
        <v>1</v>
      </c>
      <c r="H65" s="36" t="b">
        <f t="shared" si="15"/>
        <v>0</v>
      </c>
      <c r="I65" s="39" t="b">
        <f t="shared" si="16"/>
        <v>0</v>
      </c>
      <c r="J65" s="41" t="b">
        <f t="shared" si="17"/>
        <v>1</v>
      </c>
      <c r="K65" s="46" t="b">
        <f t="shared" si="18"/>
        <v>0</v>
      </c>
      <c r="L65" s="42" t="b">
        <f t="shared" si="19"/>
        <v>0</v>
      </c>
      <c r="M65" s="44" t="b">
        <f t="shared" si="20"/>
        <v>1</v>
      </c>
      <c r="N65" s="47" t="b">
        <f t="shared" si="21"/>
        <v>1</v>
      </c>
      <c r="O65" s="36" t="b">
        <f t="shared" si="22"/>
        <v>0</v>
      </c>
      <c r="P65" s="39" t="b">
        <f t="shared" si="23"/>
        <v>0</v>
      </c>
      <c r="Q65" s="41" t="b">
        <f t="shared" si="24"/>
        <v>1</v>
      </c>
      <c r="R65" s="46" t="b">
        <f t="shared" si="25"/>
        <v>0</v>
      </c>
      <c r="S65" s="42" t="b">
        <f t="shared" si="26"/>
        <v>0</v>
      </c>
      <c r="T65" s="44" t="b">
        <f t="shared" si="27"/>
        <v>1</v>
      </c>
      <c r="U65" s="148">
        <f>IF(T65,LOOKUP(A65,Discrete_NFET[PARTNUMBER],Discrete_NFET[RDSON10])*1000,IF(S65,LOOKUP(A65,Discrete_NFET[PARTNUMBER],Discrete_NFET[RDSON8])*1000,IF(R65,LOOKUP(A65,Discrete_NFET[PARTNUMBER],Discrete_NFET[RDSON6])*1000,IF(Q65,LOOKUP(A65,Discrete_NFET[PARTNUMBER],Discrete_NFET[RDSON45])*1000,IF(P65,LOOKUP(A65,Discrete_NFET[PARTNUMBER],Discrete_NFET[RDSON3])*1000,IF(O65,LOOKUP(A65,Discrete_NFET[PARTNUMBER],Discrete_NFET[RDSON25])*1000,""))))))</f>
        <v>4.2</v>
      </c>
      <c r="V65" s="48">
        <f>IF(AND(A65&lt;&gt;0,A65&lt;&gt;""),U65*(1+(Tj-25)*(LOOKUP(A65,Discrete_NFET[PARTNUMBER],Discrete_NFET[RDSDELTA])/((LOOKUP(A65,Discrete_NFET[PARTNUMBER],Discrete_NFET[TJMAX])-25)))),"")</f>
        <v>4.8790000000000004</v>
      </c>
      <c r="W65" s="35">
        <f>IF(AND($A65&lt;&gt;0,$A65&lt;&gt;""),LOOKUP($A65,Discrete_NFET[PARTNUMBER],Discrete_NFET[QGS]),"")</f>
        <v>10</v>
      </c>
      <c r="X65" s="35">
        <f>IF(AND($A65&lt;&gt;0,$A65&lt;&gt;""),LOOKUP($A65,Discrete_NFET[PARTNUMBER],Discrete_NFET[QGD]),"")</f>
        <v>6.9</v>
      </c>
      <c r="Y65" s="35">
        <f>IF(AND($A65&lt;&gt;0,$A65&lt;&gt;""),LOOKUP($A65,Discrete_NFET[PARTNUMBER],Discrete_NFET[QGTH]),"")</f>
        <v>7.3</v>
      </c>
      <c r="Z65" s="35">
        <f t="shared" si="28"/>
        <v>9.5999999999999979</v>
      </c>
      <c r="AA65" s="35">
        <f>IF(AND($A65&lt;&gt;0,$A65&lt;&gt;""),LOOKUP($A65,Discrete_NFET[PARTNUMBER],Discrete_NFET[QOSSTYP]),"")</f>
        <v>52</v>
      </c>
      <c r="AB65" s="35">
        <f>IF(AND($A65&lt;&gt;0,$A65&lt;&gt;""),LOOKUP($A65,Discrete_NFET[PARTNUMBER],Discrete_NFET[QRR]),"")</f>
        <v>127</v>
      </c>
      <c r="AC65" s="35">
        <f>IF(AND(A65&lt;&gt;0,A65&lt;&gt;""),LOOKUP(A65,Discrete_NFET[PARTNUMBER],Discrete_NFET[VF_TYP]),"")</f>
        <v>0.8</v>
      </c>
      <c r="AD65" s="127">
        <f>IF(AND($A65&lt;&gt;0,$A65&lt;&gt;"",OR(RIGHT(Logic!B65,2)="C)",LEFT(Logic!B65,4)="CSD1")),(1+(1-DUTY))*IM_RMS_120^2*V65*m/3/Num_FETS2,"")</f>
        <v>0.20530956640504769</v>
      </c>
      <c r="AE65" s="127">
        <f>IF(AND($A65&lt;&gt;0,$A65&lt;&gt;"",OR(RIGHT(Logic!B65,2)="C)",LEFT(Logic!B65,4)="CSD1")),Num_FETS2*0.5*IM_RMS_120*VDC_AVG*Z65*n*MOT_ELEC_FREQ/GDR_SRC,"")</f>
        <v>3.0959752321981418E-5</v>
      </c>
      <c r="AF65" s="127">
        <f>IF(AND($A65&lt;&gt;0,$A65&lt;&gt;"",OR(RIGHT(Logic!B65,2)="C)",LEFT(Logic!B65,4)="CSD1")),Num_FETS2*0.5*IM_RMS_120*VDC_AVG*Z65*n*MOT_ELEC_FREQ/GDR_SINK,"")</f>
        <v>2.1052631578947366E-5</v>
      </c>
      <c r="AG65" s="127">
        <f>IF(AND($A65&lt;&gt;0,$A65&lt;&gt;"",OR(RIGHT(Logic!B65,2)="T)",LEFT(Logic!B65,4)="CSD1")),DUTY*IM_RMS_120^2*V65*m/3/Num_FETS2,"")</f>
        <v>0.18575627436647171</v>
      </c>
      <c r="AH65" s="127">
        <f>IF(AND($A65&lt;&gt;0,$A65&lt;&gt;"",OR(RIGHT(Logic!B65,2)="T)",LEFT(Logic!B65,4)="CSD1")),Num_FETS2*0.5*IM_RMS_120*VDC_AVG*Z65*n*FSW*k/GDR_SRC/3,"")</f>
        <v>6.1919504643962826E-3</v>
      </c>
      <c r="AI65" s="127">
        <f>IF(AND($A65&lt;&gt;0,$A65&lt;&gt;"",OR(RIGHT(Logic!B65,2)="T)",LEFT(Logic!B65,4)="CSD1")),Num_FETS2*0.5*IM_RMS_120*VDC_AVG*Z65*n*FSW*k/GDR_SINK/3,"")</f>
        <v>4.2105263157894727E-3</v>
      </c>
      <c r="AJ65" s="127">
        <f t="shared" si="31"/>
        <v>6.2400000000000008E-3</v>
      </c>
      <c r="AK65" s="127">
        <f t="shared" si="33"/>
        <v>1.2414567897146714E-2</v>
      </c>
      <c r="AL65" s="127">
        <f t="shared" si="32"/>
        <v>3.05308E-2</v>
      </c>
      <c r="AM65" s="127">
        <f t="shared" si="29"/>
        <v>0.37243703691440144</v>
      </c>
      <c r="AN65" s="127">
        <f>IF(AND($A65&lt;&gt;0,$A65&lt;&gt;"",OR(RIGHT(Logic!B65,2)="C)",LEFT(Logic!B65,4)="CSD1")),SUM(AD65:AF65)+(AJ65/3)+AK65+AL65/6+AM65/6,AN66)</f>
        <v>0.28701745283849556</v>
      </c>
      <c r="AO65" s="127">
        <f>IF(AND($A65&lt;&gt;0,$A65&lt;&gt;"",OR(RIGHT(Logic!B65,2)="T)",LEFT(Logic!B65,4)="CSD1")),SUM(AG65:AI65)+(AJ65/3)+AL65/6+AM65/6,AO64)</f>
        <v>0.26540005729905769</v>
      </c>
      <c r="AP65" s="48">
        <f t="shared" si="30"/>
        <v>0.55000000000000004</v>
      </c>
      <c r="AQ65" s="35" t="str">
        <f>IF(AND(A65&lt;&gt;0,A65&lt;&gt;""),LOOKUP(A65,Discrete_NFET[PARTNUMBER],Discrete_NFET[TI_EQ_PACKAGE]),"")</f>
        <v>TO-220</v>
      </c>
      <c r="AR65" s="49">
        <f>IF(AND(A65&lt;&gt;0,A65&lt;&gt;""),LOOKUP(A65,Discrete_NFET[PARTNUMBER],Discrete_NFET[1KPRICE]),"")</f>
        <v>0.78</v>
      </c>
      <c r="AS65" s="35" t="str">
        <f>IF(AND($A65&lt;&gt;0,$A65&lt;&gt;""),CONCATENATE(TEXT(AP65,"0.00"),"W, ",IF('User Input'!G$11="Single Discrete",A65,IF('User Input'!G$11="Dual/Power Block",LEFT(A65,FIND(")",A65)-7),A65)),", ",AQ65,", ",TEXT(AR65,"$0.00")),"Invalid Part")</f>
        <v>0.55W, CSD18532KCS, TO-220, $0.78</v>
      </c>
      <c r="AT65" t="s">
        <v>842</v>
      </c>
      <c r="AW65"/>
    </row>
    <row r="66" spans="1:49" ht="15" customHeight="1" x14ac:dyDescent="0.25">
      <c r="A66" s="35" t="str">
        <f>IF(OR(AND(FET_config2="Dual/Power Block",LEFT(Logic!B66,4)="CSD8"),AND(FET_config2="Single Discrete",LEFT(Logic!B66,4)="CSD1")),Logic!B66,"")</f>
        <v>CSD18532NQ5B</v>
      </c>
      <c r="B66" s="37" t="str">
        <f>IF(OR($A66=0,$A66=""),"0",IF(LOOKUP($A66,Discrete_NFET[PARTNUMBER],Discrete_NFET[RDSON25])="(NULL)","0","1"))</f>
        <v>0</v>
      </c>
      <c r="C66" s="38" t="str">
        <f>IF(OR($A66=0,$A66=""),"0",IF(LOOKUP($A66,Discrete_NFET[PARTNUMBER],Discrete_NFET[RDSON3])="(NULL)","0","1"))</f>
        <v>0</v>
      </c>
      <c r="D66" s="40" t="str">
        <f>IF(OR($A66=0,$A66=""),"0",IF(LOOKUP($A66,Discrete_NFET[PARTNUMBER],Discrete_NFET[RDSON45])="(NULL)","0","1"))</f>
        <v>0</v>
      </c>
      <c r="E66" s="45" t="str">
        <f>IF(OR($A66=0,$A66=""),"0",IF(LOOKUP($A66,Discrete_NFET[PARTNUMBER],Discrete_NFET[RDSON6])="(NULL)","0","1"))</f>
        <v>1</v>
      </c>
      <c r="F66" s="34" t="str">
        <f>IF(OR($A66=0,$A66=""),"0",IF(LOOKUP($A66,Discrete_NFET[PARTNUMBER],Discrete_NFET[RDSON8])="(NULL)","0","1"))</f>
        <v>0</v>
      </c>
      <c r="G66" s="43" t="str">
        <f>IF(OR($A66=0,$A66=""),"0",IF(LOOKUP($A66,Discrete_NFET[PARTNUMBER],Discrete_NFET[RDSON10])="(NULL)","0","1"))</f>
        <v>1</v>
      </c>
      <c r="H66" s="36" t="b">
        <f t="shared" si="15"/>
        <v>0</v>
      </c>
      <c r="I66" s="39" t="b">
        <f t="shared" si="16"/>
        <v>0</v>
      </c>
      <c r="J66" s="41" t="b">
        <f t="shared" si="17"/>
        <v>0</v>
      </c>
      <c r="K66" s="46" t="b">
        <f t="shared" si="18"/>
        <v>1</v>
      </c>
      <c r="L66" s="42" t="b">
        <f t="shared" si="19"/>
        <v>0</v>
      </c>
      <c r="M66" s="44" t="b">
        <f t="shared" si="20"/>
        <v>1</v>
      </c>
      <c r="N66" s="47" t="b">
        <f t="shared" si="21"/>
        <v>1</v>
      </c>
      <c r="O66" s="36" t="b">
        <f t="shared" si="22"/>
        <v>0</v>
      </c>
      <c r="P66" s="39" t="b">
        <f t="shared" si="23"/>
        <v>0</v>
      </c>
      <c r="Q66" s="41" t="b">
        <f t="shared" si="24"/>
        <v>0</v>
      </c>
      <c r="R66" s="46" t="b">
        <f t="shared" si="25"/>
        <v>1</v>
      </c>
      <c r="S66" s="42" t="b">
        <f t="shared" si="26"/>
        <v>0</v>
      </c>
      <c r="T66" s="44" t="b">
        <f t="shared" si="27"/>
        <v>1</v>
      </c>
      <c r="U66" s="148">
        <f>IF(T66,LOOKUP(A66,Discrete_NFET[PARTNUMBER],Discrete_NFET[RDSON10])*1000,IF(S66,LOOKUP(A66,Discrete_NFET[PARTNUMBER],Discrete_NFET[RDSON8])*1000,IF(R66,LOOKUP(A66,Discrete_NFET[PARTNUMBER],Discrete_NFET[RDSON6])*1000,IF(Q66,LOOKUP(A66,Discrete_NFET[PARTNUMBER],Discrete_NFET[RDSON45])*1000,IF(P66,LOOKUP(A66,Discrete_NFET[PARTNUMBER],Discrete_NFET[RDSON3])*1000,IF(O66,LOOKUP(A66,Discrete_NFET[PARTNUMBER],Discrete_NFET[RDSON25])*1000,""))))))</f>
        <v>3.4</v>
      </c>
      <c r="V66" s="48">
        <f>IF(AND(A66&lt;&gt;0,A66&lt;&gt;""),U66*(1+(Tj-25)*(LOOKUP(A66,Discrete_NFET[PARTNUMBER],Discrete_NFET[RDSDELTA])/((LOOKUP(A66,Discrete_NFET[PARTNUMBER],Discrete_NFET[TJMAX])-25)))),"")</f>
        <v>3.9779999999999998</v>
      </c>
      <c r="W66" s="35">
        <f>IF(AND($A66&lt;&gt;0,$A66&lt;&gt;""),LOOKUP($A66,Discrete_NFET[PARTNUMBER],Discrete_NFET[QGS]),"")</f>
        <v>16</v>
      </c>
      <c r="X66" s="35">
        <f>IF(AND($A66&lt;&gt;0,$A66&lt;&gt;""),LOOKUP($A66,Discrete_NFET[PARTNUMBER],Discrete_NFET[QGD]),"")</f>
        <v>7.9</v>
      </c>
      <c r="Y66" s="35">
        <f>IF(AND($A66&lt;&gt;0,$A66&lt;&gt;""),LOOKUP($A66,Discrete_NFET[PARTNUMBER],Discrete_NFET[QGTH]),"")</f>
        <v>11</v>
      </c>
      <c r="Z66" s="35">
        <f t="shared" si="28"/>
        <v>12.899999999999999</v>
      </c>
      <c r="AA66" s="35">
        <f>IF(AND($A66&lt;&gt;0,$A66&lt;&gt;""),LOOKUP($A66,Discrete_NFET[PARTNUMBER],Discrete_NFET[QOSSTYP]),"")</f>
        <v>69</v>
      </c>
      <c r="AB66" s="35">
        <f>IF(AND($A66&lt;&gt;0,$A66&lt;&gt;""),LOOKUP($A66,Discrete_NFET[PARTNUMBER],Discrete_NFET[QRR]),"")</f>
        <v>139</v>
      </c>
      <c r="AC66" s="35">
        <f>IF(AND(A66&lt;&gt;0,A66&lt;&gt;""),LOOKUP(A66,Discrete_NFET[PARTNUMBER],Discrete_NFET[VF_TYP]),"")</f>
        <v>0.8</v>
      </c>
      <c r="AD66" s="127">
        <f>IF(AND($A66&lt;&gt;0,$A66&lt;&gt;"",OR(RIGHT(Logic!B66,2)="C)",LEFT(Logic!B66,4)="CSD1")),(1+(1-DUTY))*IM_RMS_120^2*V66*m/3/Num_FETS2,"")</f>
        <v>0.16739525623268695</v>
      </c>
      <c r="AE66" s="127">
        <f>IF(AND($A66&lt;&gt;0,$A66&lt;&gt;"",OR(RIGHT(Logic!B66,2)="C)",LEFT(Logic!B66,4)="CSD1")),Num_FETS2*0.5*IM_RMS_120*VDC_AVG*Z66*n*MOT_ELEC_FREQ/GDR_SRC,"")</f>
        <v>4.1602167182662536E-5</v>
      </c>
      <c r="AF66" s="127">
        <f>IF(AND($A66&lt;&gt;0,$A66&lt;&gt;"",OR(RIGHT(Logic!B66,2)="C)",LEFT(Logic!B66,4)="CSD1")),Num_FETS2*0.5*IM_RMS_120*VDC_AVG*Z66*n*MOT_ELEC_FREQ/GDR_SINK,"")</f>
        <v>2.8289473684210525E-5</v>
      </c>
      <c r="AG66" s="127">
        <f>IF(AND($A66&lt;&gt;0,$A66&lt;&gt;"",OR(RIGHT(Logic!B66,2)="T)",LEFT(Logic!B66,4)="CSD1")),DUTY*IM_RMS_120^2*V66*m/3/Num_FETS2,"")</f>
        <v>0.15145285087719293</v>
      </c>
      <c r="AH66" s="127">
        <f>IF(AND($A66&lt;&gt;0,$A66&lt;&gt;"",OR(RIGHT(Logic!B66,2)="T)",LEFT(Logic!B66,4)="CSD1")),Num_FETS2*0.5*IM_RMS_120*VDC_AVG*Z66*n*FSW*k/GDR_SRC/3,"")</f>
        <v>8.3204334365325067E-3</v>
      </c>
      <c r="AI66" s="127">
        <f>IF(AND($A66&lt;&gt;0,$A66&lt;&gt;"",OR(RIGHT(Logic!B66,2)="T)",LEFT(Logic!B66,4)="CSD1")),Num_FETS2*0.5*IM_RMS_120*VDC_AVG*Z66*n*FSW*k/GDR_SINK/3,"")</f>
        <v>5.6578947368421048E-3</v>
      </c>
      <c r="AJ66" s="127">
        <f t="shared" ref="AJ66:AJ97" si="34">IF(AND($A66&lt;&gt;0,$A66&lt;&gt;""),Num_FETS2*((AA66*VDC_AVG)*((FSW*k)))*n/2,"")</f>
        <v>8.2800000000000009E-3</v>
      </c>
      <c r="AK66" s="127">
        <f t="shared" si="33"/>
        <v>1.2414567897146714E-2</v>
      </c>
      <c r="AL66" s="127">
        <f t="shared" ref="AL66:AL97" si="35">IF(AND($A66&lt;&gt;0,$A66&lt;&gt;""),Num_FETS2*((AB66*VDC_AVG)*((MOT_ELEC_FREQ+FSW*k)))*n,"")</f>
        <v>3.3415599999999997E-2</v>
      </c>
      <c r="AM66" s="127">
        <f t="shared" si="29"/>
        <v>0.37243703691440144</v>
      </c>
      <c r="AN66" s="127">
        <f>IF(AND($A66&lt;&gt;0,$A66&lt;&gt;"",OR(RIGHT(Logic!B66,2)="C)",LEFT(Logic!B66,4)="CSD1")),SUM(AD66:AF66)+(AJ66/3)+AK66+AL66/6+AM66/6,AN67)</f>
        <v>0.25028182192310078</v>
      </c>
      <c r="AO66" s="127">
        <f>IF(AND($A66&lt;&gt;0,$A66&lt;&gt;"",OR(RIGHT(Logic!B66,2)="T)",LEFT(Logic!B66,4)="CSD1")),SUM(AG66:AI66)+(AJ66/3)+AL66/6+AM66/6,AO65)</f>
        <v>0.23583328520296781</v>
      </c>
      <c r="AP66" s="48">
        <f t="shared" si="30"/>
        <v>0.49</v>
      </c>
      <c r="AQ66" s="35" t="str">
        <f>IF(AND(A66&lt;&gt;0,A66&lt;&gt;""),LOOKUP(A66,Discrete_NFET[PARTNUMBER],Discrete_NFET[TI_EQ_PACKAGE]),"")</f>
        <v>SON5X6</v>
      </c>
      <c r="AR66" s="49">
        <f>IF(AND(A66&lt;&gt;0,A66&lt;&gt;""),LOOKUP(A66,Discrete_NFET[PARTNUMBER],Discrete_NFET[1KPRICE]),"")</f>
        <v>0.81</v>
      </c>
      <c r="AS66" s="35" t="str">
        <f>IF(AND($A66&lt;&gt;0,$A66&lt;&gt;""),CONCATENATE(TEXT(AP66,"0.00"),"W, ",IF('User Input'!G$11="Single Discrete",A66,IF('User Input'!G$11="Dual/Power Block",LEFT(A66,FIND(")",A66)-7),A66)),", ",AQ66,", ",TEXT(AR66,"$0.00")),"Invalid Part")</f>
        <v>0.49W, CSD18532NQ5B, SON5X6, $0.81</v>
      </c>
      <c r="AT66" t="s">
        <v>872</v>
      </c>
      <c r="AW66"/>
    </row>
    <row r="67" spans="1:49" ht="15" customHeight="1" x14ac:dyDescent="0.25">
      <c r="A67" s="35" t="str">
        <f>IF(OR(AND(FET_config2="Dual/Power Block",LEFT(Logic!B67,4)="CSD8"),AND(FET_config2="Single Discrete",LEFT(Logic!B67,4)="CSD1")),Logic!B67,"")</f>
        <v>CSD18532Q5B</v>
      </c>
      <c r="B67" s="37" t="str">
        <f>IF(OR($A67=0,$A67=""),"0",IF(LOOKUP($A67,Discrete_NFET[PARTNUMBER],Discrete_NFET[RDSON25])="(NULL)","0","1"))</f>
        <v>0</v>
      </c>
      <c r="C67" s="38" t="str">
        <f>IF(OR($A67=0,$A67=""),"0",IF(LOOKUP($A67,Discrete_NFET[PARTNUMBER],Discrete_NFET[RDSON3])="(NULL)","0","1"))</f>
        <v>0</v>
      </c>
      <c r="D67" s="40" t="str">
        <f>IF(OR($A67=0,$A67=""),"0",IF(LOOKUP($A67,Discrete_NFET[PARTNUMBER],Discrete_NFET[RDSON45])="(NULL)","0","1"))</f>
        <v>1</v>
      </c>
      <c r="E67" s="45" t="str">
        <f>IF(OR($A67=0,$A67=""),"0",IF(LOOKUP($A67,Discrete_NFET[PARTNUMBER],Discrete_NFET[RDSON6])="(NULL)","0","1"))</f>
        <v>0</v>
      </c>
      <c r="F67" s="34" t="str">
        <f>IF(OR($A67=0,$A67=""),"0",IF(LOOKUP($A67,Discrete_NFET[PARTNUMBER],Discrete_NFET[RDSON8])="(NULL)","0","1"))</f>
        <v>0</v>
      </c>
      <c r="G67" s="43" t="str">
        <f>IF(OR($A67=0,$A67=""),"0",IF(LOOKUP($A67,Discrete_NFET[PARTNUMBER],Discrete_NFET[RDSON10])="(NULL)","0","1"))</f>
        <v>1</v>
      </c>
      <c r="H67" s="36" t="b">
        <f t="shared" si="15"/>
        <v>0</v>
      </c>
      <c r="I67" s="39" t="b">
        <f t="shared" si="16"/>
        <v>0</v>
      </c>
      <c r="J67" s="41" t="b">
        <f t="shared" si="17"/>
        <v>1</v>
      </c>
      <c r="K67" s="46" t="b">
        <f t="shared" si="18"/>
        <v>0</v>
      </c>
      <c r="L67" s="42" t="b">
        <f t="shared" si="19"/>
        <v>0</v>
      </c>
      <c r="M67" s="44" t="b">
        <f t="shared" si="20"/>
        <v>1</v>
      </c>
      <c r="N67" s="47" t="b">
        <f t="shared" si="21"/>
        <v>1</v>
      </c>
      <c r="O67" s="36" t="b">
        <f t="shared" si="22"/>
        <v>0</v>
      </c>
      <c r="P67" s="39" t="b">
        <f t="shared" si="23"/>
        <v>0</v>
      </c>
      <c r="Q67" s="41" t="b">
        <f t="shared" si="24"/>
        <v>1</v>
      </c>
      <c r="R67" s="46" t="b">
        <f t="shared" si="25"/>
        <v>0</v>
      </c>
      <c r="S67" s="42" t="b">
        <f t="shared" si="26"/>
        <v>0</v>
      </c>
      <c r="T67" s="44" t="b">
        <f t="shared" si="27"/>
        <v>1</v>
      </c>
      <c r="U67" s="148">
        <f>IF(T67,LOOKUP(A67,Discrete_NFET[PARTNUMBER],Discrete_NFET[RDSON10])*1000,IF(S67,LOOKUP(A67,Discrete_NFET[PARTNUMBER],Discrete_NFET[RDSON8])*1000,IF(R67,LOOKUP(A67,Discrete_NFET[PARTNUMBER],Discrete_NFET[RDSON6])*1000,IF(Q67,LOOKUP(A67,Discrete_NFET[PARTNUMBER],Discrete_NFET[RDSON45])*1000,IF(P67,LOOKUP(A67,Discrete_NFET[PARTNUMBER],Discrete_NFET[RDSON3])*1000,IF(O67,LOOKUP(A67,Discrete_NFET[PARTNUMBER],Discrete_NFET[RDSON25])*1000,""))))))</f>
        <v>3.2</v>
      </c>
      <c r="V67" s="48">
        <f>IF(AND(A67&lt;&gt;0,A67&lt;&gt;""),U67*(1+(Tj-25)*(LOOKUP(A67,Discrete_NFET[PARTNUMBER],Discrete_NFET[RDSDELTA])/((LOOKUP(A67,Discrete_NFET[PARTNUMBER],Discrete_NFET[TJMAX])-25)))),"")</f>
        <v>3.8656000000000001</v>
      </c>
      <c r="W67" s="35">
        <f>IF(AND($A67&lt;&gt;0,$A67&lt;&gt;""),LOOKUP($A67,Discrete_NFET[PARTNUMBER],Discrete_NFET[QGS]),"")</f>
        <v>10</v>
      </c>
      <c r="X67" s="35">
        <f>IF(AND($A67&lt;&gt;0,$A67&lt;&gt;""),LOOKUP($A67,Discrete_NFET[PARTNUMBER],Discrete_NFET[QGD]),"")</f>
        <v>6.9</v>
      </c>
      <c r="Y67" s="35">
        <f>IF(AND($A67&lt;&gt;0,$A67&lt;&gt;""),LOOKUP($A67,Discrete_NFET[PARTNUMBER],Discrete_NFET[QGTH]),"")</f>
        <v>6.3</v>
      </c>
      <c r="Z67" s="35">
        <f t="shared" si="28"/>
        <v>10.599999999999998</v>
      </c>
      <c r="AA67" s="35">
        <f>IF(AND($A67&lt;&gt;0,$A67&lt;&gt;""),LOOKUP($A67,Discrete_NFET[PARTNUMBER],Discrete_NFET[QOSSTYP]),"")</f>
        <v>52</v>
      </c>
      <c r="AB67" s="35">
        <f>IF(AND($A67&lt;&gt;0,$A67&lt;&gt;""),LOOKUP($A67,Discrete_NFET[PARTNUMBER],Discrete_NFET[QRR]),"")</f>
        <v>111</v>
      </c>
      <c r="AC67" s="35">
        <f>IF(AND(A67&lt;&gt;0,A67&lt;&gt;""),LOOKUP(A67,Discrete_NFET[PARTNUMBER],Discrete_NFET[VF_TYP]),"")</f>
        <v>0.8</v>
      </c>
      <c r="AD67" s="127">
        <f>IF(AND($A67&lt;&gt;0,$A67&lt;&gt;"",OR(RIGHT(Logic!B67,2)="C)",LEFT(Logic!B67,4)="CSD1")),(1+(1-DUTY))*IM_RMS_120^2*V67*m/3/Num_FETS2,"")</f>
        <v>0.16266543551862109</v>
      </c>
      <c r="AE67" s="127">
        <f>IF(AND($A67&lt;&gt;0,$A67&lt;&gt;"",OR(RIGHT(Logic!B67,2)="C)",LEFT(Logic!B67,4)="CSD1")),Num_FETS2*0.5*IM_RMS_120*VDC_AVG*Z67*n*MOT_ELEC_FREQ/GDR_SRC,"")</f>
        <v>3.4184726522187812E-5</v>
      </c>
      <c r="AF67" s="127">
        <f>IF(AND($A67&lt;&gt;0,$A67&lt;&gt;"",OR(RIGHT(Logic!B67,2)="C)",LEFT(Logic!B67,4)="CSD1")),Num_FETS2*0.5*IM_RMS_120*VDC_AVG*Z67*n*MOT_ELEC_FREQ/GDR_SINK,"")</f>
        <v>2.3245614035087715E-5</v>
      </c>
      <c r="AG67" s="127">
        <f>IF(AND($A67&lt;&gt;0,$A67&lt;&gt;"",OR(RIGHT(Logic!B67,2)="T)",LEFT(Logic!B67,4)="CSD1")),DUTY*IM_RMS_120^2*V67*m/3/Num_FETS2,"")</f>
        <v>0.14717348927875243</v>
      </c>
      <c r="AH67" s="127">
        <f>IF(AND($A67&lt;&gt;0,$A67&lt;&gt;"",OR(RIGHT(Logic!B67,2)="T)",LEFT(Logic!B67,4)="CSD1")),Num_FETS2*0.5*IM_RMS_120*VDC_AVG*Z67*n*FSW*k/GDR_SRC/3,"")</f>
        <v>6.8369453044375616E-3</v>
      </c>
      <c r="AI67" s="127">
        <f>IF(AND($A67&lt;&gt;0,$A67&lt;&gt;"",OR(RIGHT(Logic!B67,2)="T)",LEFT(Logic!B67,4)="CSD1")),Num_FETS2*0.5*IM_RMS_120*VDC_AVG*Z67*n*FSW*k/GDR_SINK/3,"")</f>
        <v>4.6491228070175425E-3</v>
      </c>
      <c r="AJ67" s="127">
        <f t="shared" si="34"/>
        <v>6.2400000000000008E-3</v>
      </c>
      <c r="AK67" s="127">
        <f t="shared" ref="AK67:AK98" si="36">IF(AND($A67&lt;&gt;0,$A67&lt;&gt;""),2*T_DEAD*n*AC67*IM_PEAK*(FSW*k)/3,"")</f>
        <v>1.2414567897146714E-2</v>
      </c>
      <c r="AL67" s="127">
        <f t="shared" si="35"/>
        <v>2.66844E-2</v>
      </c>
      <c r="AM67" s="127">
        <f t="shared" si="29"/>
        <v>0.37243703691440144</v>
      </c>
      <c r="AN67" s="127">
        <f>IF(AND($A67&lt;&gt;0,$A67&lt;&gt;"",OR(RIGHT(Logic!B67,2)="C)",LEFT(Logic!B67,4)="CSD1")),SUM(AD67:AF67)+(AJ67/3)+AK67+AL67/6+AM67/6,AN68)</f>
        <v>0.24373767324205864</v>
      </c>
      <c r="AO67" s="127">
        <f>IF(AND($A67&lt;&gt;0,$A67&lt;&gt;"",OR(RIGHT(Logic!B67,2)="T)",LEFT(Logic!B67,4)="CSD1")),SUM(AG67:AI67)+(AJ67/3)+AL67/6+AM67/6,AO66)</f>
        <v>0.22725979687594111</v>
      </c>
      <c r="AP67" s="48">
        <f t="shared" si="30"/>
        <v>0.47</v>
      </c>
      <c r="AQ67" s="35" t="str">
        <f>IF(AND(A67&lt;&gt;0,A67&lt;&gt;""),LOOKUP(A67,Discrete_NFET[PARTNUMBER],Discrete_NFET[TI_EQ_PACKAGE]),"")</f>
        <v>SON5X6</v>
      </c>
      <c r="AR67" s="49">
        <f>IF(AND(A67&lt;&gt;0,A67&lt;&gt;""),LOOKUP(A67,Discrete_NFET[PARTNUMBER],Discrete_NFET[1KPRICE]),"")</f>
        <v>0.81</v>
      </c>
      <c r="AS67" s="35" t="str">
        <f>IF(AND($A67&lt;&gt;0,$A67&lt;&gt;""),CONCATENATE(TEXT(AP67,"0.00"),"W, ",IF('User Input'!G$11="Single Discrete",A67,IF('User Input'!G$11="Dual/Power Block",LEFT(A67,FIND(")",A67)-7),A67)),", ",AQ67,", ",TEXT(AR67,"$0.00")),"Invalid Part")</f>
        <v>0.47W, CSD18532Q5B, SON5X6, $0.81</v>
      </c>
      <c r="AT67" t="s">
        <v>873</v>
      </c>
      <c r="AW67"/>
    </row>
    <row r="68" spans="1:49" ht="15" customHeight="1" x14ac:dyDescent="0.25">
      <c r="A68" s="35" t="str">
        <f>IF(OR(AND(FET_config2="Dual/Power Block",LEFT(Logic!B68,4)="CSD8"),AND(FET_config2="Single Discrete",LEFT(Logic!B68,4)="CSD1")),Logic!B68,"")</f>
        <v>CSD18533KCS</v>
      </c>
      <c r="B68" s="37" t="str">
        <f>IF(OR($A68=0,$A68=""),"0",IF(LOOKUP($A68,Discrete_NFET[PARTNUMBER],Discrete_NFET[RDSON25])="(NULL)","0","1"))</f>
        <v>0</v>
      </c>
      <c r="C68" s="38" t="str">
        <f>IF(OR($A68=0,$A68=""),"0",IF(LOOKUP($A68,Discrete_NFET[PARTNUMBER],Discrete_NFET[RDSON3])="(NULL)","0","1"))</f>
        <v>0</v>
      </c>
      <c r="D68" s="40" t="str">
        <f>IF(OR($A68=0,$A68=""),"0",IF(LOOKUP($A68,Discrete_NFET[PARTNUMBER],Discrete_NFET[RDSON45])="(NULL)","0","1"))</f>
        <v>1</v>
      </c>
      <c r="E68" s="45" t="str">
        <f>IF(OR($A68=0,$A68=""),"0",IF(LOOKUP($A68,Discrete_NFET[PARTNUMBER],Discrete_NFET[RDSON6])="(NULL)","0","1"))</f>
        <v>0</v>
      </c>
      <c r="F68" s="34" t="str">
        <f>IF(OR($A68=0,$A68=""),"0",IF(LOOKUP($A68,Discrete_NFET[PARTNUMBER],Discrete_NFET[RDSON8])="(NULL)","0","1"))</f>
        <v>0</v>
      </c>
      <c r="G68" s="43" t="str">
        <f>IF(OR($A68=0,$A68=""),"0",IF(LOOKUP($A68,Discrete_NFET[PARTNUMBER],Discrete_NFET[RDSON10])="(NULL)","0","1"))</f>
        <v>1</v>
      </c>
      <c r="H68" s="36" t="b">
        <f t="shared" ref="H68:H131" si="37">AND(AV$2,B68="1")</f>
        <v>0</v>
      </c>
      <c r="I68" s="39" t="b">
        <f t="shared" ref="I68:I131" si="38">AND(AW$2,C68="1")</f>
        <v>0</v>
      </c>
      <c r="J68" s="41" t="b">
        <f t="shared" ref="J68:J131" si="39">AND(AX$2,D68="1")</f>
        <v>1</v>
      </c>
      <c r="K68" s="46" t="b">
        <f t="shared" ref="K68:K131" si="40">AND(AY$2,E68="1")</f>
        <v>0</v>
      </c>
      <c r="L68" s="42" t="b">
        <f t="shared" ref="L68:L131" si="41">AND(AZ$2,F68="1")</f>
        <v>0</v>
      </c>
      <c r="M68" s="44" t="b">
        <f t="shared" ref="M68:M131" si="42">AND(BA$2,G68="1")</f>
        <v>1</v>
      </c>
      <c r="N68" s="47" t="b">
        <f t="shared" ref="N68:N131" si="43">OR(H68:M68)</f>
        <v>1</v>
      </c>
      <c r="O68" s="36" t="b">
        <f t="shared" ref="O68:O131" si="44">IF($N68,H68,IF((B68="1"),OR($AU$2,$AU$9)))</f>
        <v>0</v>
      </c>
      <c r="P68" s="39" t="b">
        <f t="shared" ref="P68:P131" si="45">IF($N68,I68,IF((C68="1"),OR(AU$2,AU$9,AX$2,J68)))</f>
        <v>0</v>
      </c>
      <c r="Q68" s="41" t="b">
        <f t="shared" ref="Q68:Q131" si="46">IF($N68,J68,IF((D68="1"),OR(AW$2,I68,AY$2,K68)))</f>
        <v>1</v>
      </c>
      <c r="R68" s="46" t="b">
        <f t="shared" ref="R68:R131" si="47">IF($N68,K68,IF((E68="1"),OR(AX$2,J68,AZ$2,L68)))</f>
        <v>0</v>
      </c>
      <c r="S68" s="42" t="b">
        <f t="shared" ref="S68:S131" si="48">IF($N68,L68,IF((F68="1"),OR(AY$2,K68,BA$2,M68)))</f>
        <v>0</v>
      </c>
      <c r="T68" s="44" t="b">
        <f t="shared" ref="T68:T131" si="49">IF($N68,M68,IF((G68="1"),OR(AZ$2,L68)))</f>
        <v>1</v>
      </c>
      <c r="U68" s="148">
        <f>IF(T68,LOOKUP(A68,Discrete_NFET[PARTNUMBER],Discrete_NFET[RDSON10])*1000,IF(S68,LOOKUP(A68,Discrete_NFET[PARTNUMBER],Discrete_NFET[RDSON8])*1000,IF(R68,LOOKUP(A68,Discrete_NFET[PARTNUMBER],Discrete_NFET[RDSON6])*1000,IF(Q68,LOOKUP(A68,Discrete_NFET[PARTNUMBER],Discrete_NFET[RDSON45])*1000,IF(P68,LOOKUP(A68,Discrete_NFET[PARTNUMBER],Discrete_NFET[RDSON3])*1000,IF(O68,LOOKUP(A68,Discrete_NFET[PARTNUMBER],Discrete_NFET[RDSON25])*1000,""))))))</f>
        <v>6.3</v>
      </c>
      <c r="V68" s="48">
        <f>IF(AND(A68&lt;&gt;0,A68&lt;&gt;""),U68*(1+(Tj-25)*(LOOKUP(A68,Discrete_NFET[PARTNUMBER],Discrete_NFET[RDSDELTA])/((LOOKUP(A68,Discrete_NFET[PARTNUMBER],Discrete_NFET[TJMAX])-25)))),"")</f>
        <v>7.3079999999999989</v>
      </c>
      <c r="W68" s="35">
        <f>IF(AND($A68&lt;&gt;0,$A68&lt;&gt;""),LOOKUP($A68,Discrete_NFET[PARTNUMBER],Discrete_NFET[QGS]),"")</f>
        <v>9.4</v>
      </c>
      <c r="X68" s="35">
        <f>IF(AND($A68&lt;&gt;0,$A68&lt;&gt;""),LOOKUP($A68,Discrete_NFET[PARTNUMBER],Discrete_NFET[QGD]),"")</f>
        <v>3.9</v>
      </c>
      <c r="Y68" s="35">
        <f>IF(AND($A68&lt;&gt;0,$A68&lt;&gt;""),LOOKUP($A68,Discrete_NFET[PARTNUMBER],Discrete_NFET[QGTH]),"")</f>
        <v>4.5999999999999996</v>
      </c>
      <c r="Z68" s="35">
        <f t="shared" ref="Z68:Z131" si="50">IF(AND(A68&lt;&gt;0,A68&lt;&gt;""),W68+X68-Y68,"")</f>
        <v>8.7000000000000011</v>
      </c>
      <c r="AA68" s="35">
        <f>IF(AND($A68&lt;&gt;0,$A68&lt;&gt;""),LOOKUP($A68,Discrete_NFET[PARTNUMBER],Discrete_NFET[QOSSTYP]),"")</f>
        <v>31</v>
      </c>
      <c r="AB68" s="35">
        <f>IF(AND($A68&lt;&gt;0,$A68&lt;&gt;""),LOOKUP($A68,Discrete_NFET[PARTNUMBER],Discrete_NFET[QRR]),"")</f>
        <v>97</v>
      </c>
      <c r="AC68" s="35">
        <f>IF(AND(A68&lt;&gt;0,A68&lt;&gt;""),LOOKUP(A68,Discrete_NFET[PARTNUMBER],Discrete_NFET[VF_TYP]),"")</f>
        <v>0.8</v>
      </c>
      <c r="AD68" s="127">
        <f>IF(AND($A68&lt;&gt;0,$A68&lt;&gt;"",OR(RIGHT(Logic!B68,2)="C)",LEFT(Logic!B68,4)="CSD1")),(1+(1-DUTY))*IM_RMS_120^2*V68*m/3/Num_FETS2,"")</f>
        <v>0.30752250692520766</v>
      </c>
      <c r="AE68" s="127">
        <f>IF(AND($A68&lt;&gt;0,$A68&lt;&gt;"",OR(RIGHT(Logic!B68,2)="C)",LEFT(Logic!B68,4)="CSD1")),Num_FETS2*0.5*IM_RMS_120*VDC_AVG*Z68*n*MOT_ELEC_FREQ/GDR_SRC,"")</f>
        <v>2.8057275541795665E-5</v>
      </c>
      <c r="AF68" s="127">
        <f>IF(AND($A68&lt;&gt;0,$A68&lt;&gt;"",OR(RIGHT(Logic!B68,2)="C)",LEFT(Logic!B68,4)="CSD1")),Num_FETS2*0.5*IM_RMS_120*VDC_AVG*Z68*n*MOT_ELEC_FREQ/GDR_SINK,"")</f>
        <v>1.9078947368421053E-5</v>
      </c>
      <c r="AG68" s="127">
        <f>IF(AND($A68&lt;&gt;0,$A68&lt;&gt;"",OR(RIGHT(Logic!B68,2)="T)",LEFT(Logic!B68,4)="CSD1")),DUTY*IM_RMS_120^2*V68*m/3/Num_FETS2,"")</f>
        <v>0.27823464912280688</v>
      </c>
      <c r="AH68" s="127">
        <f>IF(AND($A68&lt;&gt;0,$A68&lt;&gt;"",OR(RIGHT(Logic!B68,2)="T)",LEFT(Logic!B68,4)="CSD1")),Num_FETS2*0.5*IM_RMS_120*VDC_AVG*Z68*n*FSW*k/GDR_SRC/3,"")</f>
        <v>5.6114551083591329E-3</v>
      </c>
      <c r="AI68" s="127">
        <f>IF(AND($A68&lt;&gt;0,$A68&lt;&gt;"",OR(RIGHT(Logic!B68,2)="T)",LEFT(Logic!B68,4)="CSD1")),Num_FETS2*0.5*IM_RMS_120*VDC_AVG*Z68*n*FSW*k/GDR_SINK/3,"")</f>
        <v>3.8157894736842103E-3</v>
      </c>
      <c r="AJ68" s="127">
        <f t="shared" si="34"/>
        <v>3.7200000000000002E-3</v>
      </c>
      <c r="AK68" s="127">
        <f t="shared" si="36"/>
        <v>1.2414567897146714E-2</v>
      </c>
      <c r="AL68" s="127">
        <f t="shared" si="35"/>
        <v>2.3318800000000001E-2</v>
      </c>
      <c r="AM68" s="127">
        <f t="shared" ref="AM68:AM131" si="51">IF(AND($A68&lt;&gt;0,$A68&lt;&gt;""),6*0.5*AC68*IM_PEAK*MOT_COM_TIME*m*MOT_ELEC_FREQ,"")</f>
        <v>0.37243703691440144</v>
      </c>
      <c r="AN68" s="127">
        <f>IF(AND($A68&lt;&gt;0,$A68&lt;&gt;"",OR(RIGHT(Logic!B68,2)="C)",LEFT(Logic!B68,4)="CSD1")),SUM(AD68:AF68)+(AJ68/3)+AK68+AL68/6+AM68/6,AN69)</f>
        <v>0.38718351719766481</v>
      </c>
      <c r="AO68" s="127">
        <f>IF(AND($A68&lt;&gt;0,$A68&lt;&gt;"",OR(RIGHT(Logic!B68,2)="T)",LEFT(Logic!B68,4)="CSD1")),SUM(AG68:AI68)+(AJ68/3)+AL68/6+AM68/6,AO67)</f>
        <v>0.35486119985725045</v>
      </c>
      <c r="AP68" s="48">
        <f t="shared" ref="AP68:AP131" si="52">IF(AND($A68&lt;&gt;0,$A68&lt;&gt;""),ROUND(SUM(AN68:AO68),2),"")</f>
        <v>0.74</v>
      </c>
      <c r="AQ68" s="35" t="str">
        <f>IF(AND(A68&lt;&gt;0,A68&lt;&gt;""),LOOKUP(A68,Discrete_NFET[PARTNUMBER],Discrete_NFET[TI_EQ_PACKAGE]),"")</f>
        <v>TO-220</v>
      </c>
      <c r="AR68" s="49">
        <f>IF(AND(A68&lt;&gt;0,A68&lt;&gt;""),LOOKUP(A68,Discrete_NFET[PARTNUMBER],Discrete_NFET[1KPRICE]),"")</f>
        <v>0.55000000000000004</v>
      </c>
      <c r="AS68" s="35" t="str">
        <f>IF(AND($A68&lt;&gt;0,$A68&lt;&gt;""),CONCATENATE(TEXT(AP68,"0.00"),"W, ",IF('User Input'!G$11="Single Discrete",A68,IF('User Input'!G$11="Dual/Power Block",LEFT(A68,FIND(")",A68)-7),A68)),", ",AQ68,", ",TEXT(AR68,"$0.00")),"Invalid Part")</f>
        <v>0.74W, CSD18533KCS, TO-220, $0.55</v>
      </c>
      <c r="AT68" t="s">
        <v>797</v>
      </c>
      <c r="AW68"/>
    </row>
    <row r="69" spans="1:49" ht="15" customHeight="1" x14ac:dyDescent="0.25">
      <c r="A69" s="35" t="str">
        <f>IF(OR(AND(FET_config2="Dual/Power Block",LEFT(Logic!B69,4)="CSD8"),AND(FET_config2="Single Discrete",LEFT(Logic!B69,4)="CSD1")),Logic!B69,"")</f>
        <v>CSD18533Q5A</v>
      </c>
      <c r="B69" s="37" t="str">
        <f>IF(OR($A69=0,$A69=""),"0",IF(LOOKUP($A69,Discrete_NFET[PARTNUMBER],Discrete_NFET[RDSON25])="(NULL)","0","1"))</f>
        <v>0</v>
      </c>
      <c r="C69" s="38" t="str">
        <f>IF(OR($A69=0,$A69=""),"0",IF(LOOKUP($A69,Discrete_NFET[PARTNUMBER],Discrete_NFET[RDSON3])="(NULL)","0","1"))</f>
        <v>0</v>
      </c>
      <c r="D69" s="40" t="str">
        <f>IF(OR($A69=0,$A69=""),"0",IF(LOOKUP($A69,Discrete_NFET[PARTNUMBER],Discrete_NFET[RDSON45])="(NULL)","0","1"))</f>
        <v>1</v>
      </c>
      <c r="E69" s="45" t="str">
        <f>IF(OR($A69=0,$A69=""),"0",IF(LOOKUP($A69,Discrete_NFET[PARTNUMBER],Discrete_NFET[RDSON6])="(NULL)","0","1"))</f>
        <v>0</v>
      </c>
      <c r="F69" s="34" t="str">
        <f>IF(OR($A69=0,$A69=""),"0",IF(LOOKUP($A69,Discrete_NFET[PARTNUMBER],Discrete_NFET[RDSON8])="(NULL)","0","1"))</f>
        <v>0</v>
      </c>
      <c r="G69" s="43" t="str">
        <f>IF(OR($A69=0,$A69=""),"0",IF(LOOKUP($A69,Discrete_NFET[PARTNUMBER],Discrete_NFET[RDSON10])="(NULL)","0","1"))</f>
        <v>1</v>
      </c>
      <c r="H69" s="36" t="b">
        <f t="shared" si="37"/>
        <v>0</v>
      </c>
      <c r="I69" s="39" t="b">
        <f t="shared" si="38"/>
        <v>0</v>
      </c>
      <c r="J69" s="41" t="b">
        <f t="shared" si="39"/>
        <v>1</v>
      </c>
      <c r="K69" s="46" t="b">
        <f t="shared" si="40"/>
        <v>0</v>
      </c>
      <c r="L69" s="42" t="b">
        <f t="shared" si="41"/>
        <v>0</v>
      </c>
      <c r="M69" s="44" t="b">
        <f t="shared" si="42"/>
        <v>1</v>
      </c>
      <c r="N69" s="47" t="b">
        <f t="shared" si="43"/>
        <v>1</v>
      </c>
      <c r="O69" s="36" t="b">
        <f t="shared" si="44"/>
        <v>0</v>
      </c>
      <c r="P69" s="39" t="b">
        <f t="shared" si="45"/>
        <v>0</v>
      </c>
      <c r="Q69" s="41" t="b">
        <f t="shared" si="46"/>
        <v>1</v>
      </c>
      <c r="R69" s="46" t="b">
        <f t="shared" si="47"/>
        <v>0</v>
      </c>
      <c r="S69" s="42" t="b">
        <f t="shared" si="48"/>
        <v>0</v>
      </c>
      <c r="T69" s="44" t="b">
        <f t="shared" si="49"/>
        <v>1</v>
      </c>
      <c r="U69" s="148">
        <f>IF(T69,LOOKUP(A69,Discrete_NFET[PARTNUMBER],Discrete_NFET[RDSON10])*1000,IF(S69,LOOKUP(A69,Discrete_NFET[PARTNUMBER],Discrete_NFET[RDSON8])*1000,IF(R69,LOOKUP(A69,Discrete_NFET[PARTNUMBER],Discrete_NFET[RDSON6])*1000,IF(Q69,LOOKUP(A69,Discrete_NFET[PARTNUMBER],Discrete_NFET[RDSON45])*1000,IF(P69,LOOKUP(A69,Discrete_NFET[PARTNUMBER],Discrete_NFET[RDSON3])*1000,IF(O69,LOOKUP(A69,Discrete_NFET[PARTNUMBER],Discrete_NFET[RDSON25])*1000,""))))))</f>
        <v>5.8999999999999995</v>
      </c>
      <c r="V69" s="48">
        <f>IF(AND(A69&lt;&gt;0,A69&lt;&gt;""),U69*(1+(Tj-25)*(LOOKUP(A69,Discrete_NFET[PARTNUMBER],Discrete_NFET[RDSDELTA])/((LOOKUP(A69,Discrete_NFET[PARTNUMBER],Discrete_NFET[TJMAX])-25)))),"")</f>
        <v>7.0799999999999992</v>
      </c>
      <c r="W69" s="35">
        <f>IF(AND($A69&lt;&gt;0,$A69&lt;&gt;""),LOOKUP($A69,Discrete_NFET[PARTNUMBER],Discrete_NFET[QGS]),"")</f>
        <v>6.6</v>
      </c>
      <c r="X69" s="35">
        <f>IF(AND($A69&lt;&gt;0,$A69&lt;&gt;""),LOOKUP($A69,Discrete_NFET[PARTNUMBER],Discrete_NFET[QGD]),"")</f>
        <v>5.4</v>
      </c>
      <c r="Y69" s="35">
        <f>IF(AND($A69&lt;&gt;0,$A69&lt;&gt;""),LOOKUP($A69,Discrete_NFET[PARTNUMBER],Discrete_NFET[QGTH]),"")</f>
        <v>4.7</v>
      </c>
      <c r="Z69" s="35">
        <f t="shared" si="50"/>
        <v>7.3</v>
      </c>
      <c r="AA69" s="35">
        <f>IF(AND($A69&lt;&gt;0,$A69&lt;&gt;""),LOOKUP($A69,Discrete_NFET[PARTNUMBER],Discrete_NFET[QOSSTYP]),"")</f>
        <v>31</v>
      </c>
      <c r="AB69" s="35">
        <f>IF(AND($A69&lt;&gt;0,$A69&lt;&gt;""),LOOKUP($A69,Discrete_NFET[PARTNUMBER],Discrete_NFET[QRR]),"")</f>
        <v>68</v>
      </c>
      <c r="AC69" s="35">
        <f>IF(AND(A69&lt;&gt;0,A69&lt;&gt;""),LOOKUP(A69,Discrete_NFET[PARTNUMBER],Discrete_NFET[VF_TYP]),"")</f>
        <v>0.8</v>
      </c>
      <c r="AD69" s="127">
        <f>IF(AND($A69&lt;&gt;0,$A69&lt;&gt;"",OR(RIGHT(Logic!B69,2)="C)",LEFT(Logic!B69,4)="CSD1")),(1+(1-DUTY))*IM_RMS_120^2*V69*m/3/Num_FETS2,"")</f>
        <v>0.29792820867959363</v>
      </c>
      <c r="AE69" s="127">
        <f>IF(AND($A69&lt;&gt;0,$A69&lt;&gt;"",OR(RIGHT(Logic!B69,2)="C)",LEFT(Logic!B69,4)="CSD1")),Num_FETS2*0.5*IM_RMS_120*VDC_AVG*Z69*n*MOT_ELEC_FREQ/GDR_SRC,"")</f>
        <v>2.3542311661506708E-5</v>
      </c>
      <c r="AF69" s="127">
        <f>IF(AND($A69&lt;&gt;0,$A69&lt;&gt;"",OR(RIGHT(Logic!B69,2)="C)",LEFT(Logic!B69,4)="CSD1")),Num_FETS2*0.5*IM_RMS_120*VDC_AVG*Z69*n*MOT_ELEC_FREQ/GDR_SINK,"")</f>
        <v>1.6008771929824562E-5</v>
      </c>
      <c r="AG69" s="127">
        <f>IF(AND($A69&lt;&gt;0,$A69&lt;&gt;"",OR(RIGHT(Logic!B69,2)="T)",LEFT(Logic!B69,4)="CSD1")),DUTY*IM_RMS_120^2*V69*m/3/Num_FETS2,"")</f>
        <v>0.26955409356725135</v>
      </c>
      <c r="AH69" s="127">
        <f>IF(AND($A69&lt;&gt;0,$A69&lt;&gt;"",OR(RIGHT(Logic!B69,2)="T)",LEFT(Logic!B69,4)="CSD1")),Num_FETS2*0.5*IM_RMS_120*VDC_AVG*Z69*n*FSW*k/GDR_SRC/3,"")</f>
        <v>4.708462332301341E-3</v>
      </c>
      <c r="AI69" s="127">
        <f>IF(AND($A69&lt;&gt;0,$A69&lt;&gt;"",OR(RIGHT(Logic!B69,2)="T)",LEFT(Logic!B69,4)="CSD1")),Num_FETS2*0.5*IM_RMS_120*VDC_AVG*Z69*n*FSW*k/GDR_SINK/3,"")</f>
        <v>3.2017543859649122E-3</v>
      </c>
      <c r="AJ69" s="127">
        <f t="shared" si="34"/>
        <v>3.7200000000000002E-3</v>
      </c>
      <c r="AK69" s="127">
        <f t="shared" si="36"/>
        <v>1.2414567897146714E-2</v>
      </c>
      <c r="AL69" s="127">
        <f t="shared" si="35"/>
        <v>1.6347199999999999E-2</v>
      </c>
      <c r="AM69" s="127">
        <f t="shared" si="51"/>
        <v>0.37243703691440144</v>
      </c>
      <c r="AN69" s="127">
        <f>IF(AND($A69&lt;&gt;0,$A69&lt;&gt;"",OR(RIGHT(Logic!B69,2)="C)",LEFT(Logic!B69,4)="CSD1")),SUM(AD69:AF69)+(AJ69/3)+AK69+AL69/6+AM69/6,AN70)</f>
        <v>0.3764197004793986</v>
      </c>
      <c r="AO69" s="127">
        <f>IF(AND($A69&lt;&gt;0,$A69&lt;&gt;"",OR(RIGHT(Logic!B69,2)="T)",LEFT(Logic!B69,4)="CSD1")),SUM(AG69:AI69)+(AJ69/3)+AL69/6+AM69/6,AO68)</f>
        <v>0.34350168310458451</v>
      </c>
      <c r="AP69" s="48">
        <f t="shared" si="52"/>
        <v>0.72</v>
      </c>
      <c r="AQ69" s="35" t="str">
        <f>IF(AND(A69&lt;&gt;0,A69&lt;&gt;""),LOOKUP(A69,Discrete_NFET[PARTNUMBER],Discrete_NFET[TI_EQ_PACKAGE]),"")</f>
        <v>SON5X6</v>
      </c>
      <c r="AR69" s="49">
        <f>IF(AND(A69&lt;&gt;0,A69&lt;&gt;""),LOOKUP(A69,Discrete_NFET[PARTNUMBER],Discrete_NFET[1KPRICE]),"")</f>
        <v>0.44</v>
      </c>
      <c r="AS69" s="35" t="str">
        <f>IF(AND($A69&lt;&gt;0,$A69&lt;&gt;""),CONCATENATE(TEXT(AP69,"0.00"),"W, ",IF('User Input'!G$11="Single Discrete",A69,IF('User Input'!G$11="Dual/Power Block",LEFT(A69,FIND(")",A69)-7),A69)),", ",AQ69,", ",TEXT(AR69,"$0.00")),"Invalid Part")</f>
        <v>0.72W, CSD18533Q5A, SON5X6, $0.44</v>
      </c>
      <c r="AT69" t="s">
        <v>795</v>
      </c>
      <c r="AW69"/>
    </row>
    <row r="70" spans="1:49" ht="15" customHeight="1" x14ac:dyDescent="0.25">
      <c r="A70" s="35" t="str">
        <f>IF(OR(AND(FET_config2="Dual/Power Block",LEFT(Logic!B70,4)="CSD8"),AND(FET_config2="Single Discrete",LEFT(Logic!B70,4)="CSD1")),Logic!B70,"")</f>
        <v>CSD18534KCS</v>
      </c>
      <c r="B70" s="37" t="str">
        <f>IF(OR($A70=0,$A70=""),"0",IF(LOOKUP($A70,Discrete_NFET[PARTNUMBER],Discrete_NFET[RDSON25])="(NULL)","0","1"))</f>
        <v>0</v>
      </c>
      <c r="C70" s="38" t="str">
        <f>IF(OR($A70=0,$A70=""),"0",IF(LOOKUP($A70,Discrete_NFET[PARTNUMBER],Discrete_NFET[RDSON3])="(NULL)","0","1"))</f>
        <v>0</v>
      </c>
      <c r="D70" s="40" t="str">
        <f>IF(OR($A70=0,$A70=""),"0",IF(LOOKUP($A70,Discrete_NFET[PARTNUMBER],Discrete_NFET[RDSON45])="(NULL)","0","1"))</f>
        <v>1</v>
      </c>
      <c r="E70" s="45" t="str">
        <f>IF(OR($A70=0,$A70=""),"0",IF(LOOKUP($A70,Discrete_NFET[PARTNUMBER],Discrete_NFET[RDSON6])="(NULL)","0","1"))</f>
        <v>0</v>
      </c>
      <c r="F70" s="34" t="str">
        <f>IF(OR($A70=0,$A70=""),"0",IF(LOOKUP($A70,Discrete_NFET[PARTNUMBER],Discrete_NFET[RDSON8])="(NULL)","0","1"))</f>
        <v>0</v>
      </c>
      <c r="G70" s="43" t="str">
        <f>IF(OR($A70=0,$A70=""),"0",IF(LOOKUP($A70,Discrete_NFET[PARTNUMBER],Discrete_NFET[RDSON10])="(NULL)","0","1"))</f>
        <v>1</v>
      </c>
      <c r="H70" s="36" t="b">
        <f t="shared" si="37"/>
        <v>0</v>
      </c>
      <c r="I70" s="39" t="b">
        <f t="shared" si="38"/>
        <v>0</v>
      </c>
      <c r="J70" s="41" t="b">
        <f t="shared" si="39"/>
        <v>1</v>
      </c>
      <c r="K70" s="46" t="b">
        <f t="shared" si="40"/>
        <v>0</v>
      </c>
      <c r="L70" s="42" t="b">
        <f t="shared" si="41"/>
        <v>0</v>
      </c>
      <c r="M70" s="44" t="b">
        <f t="shared" si="42"/>
        <v>1</v>
      </c>
      <c r="N70" s="47" t="b">
        <f t="shared" si="43"/>
        <v>1</v>
      </c>
      <c r="O70" s="36" t="b">
        <f t="shared" si="44"/>
        <v>0</v>
      </c>
      <c r="P70" s="39" t="b">
        <f t="shared" si="45"/>
        <v>0</v>
      </c>
      <c r="Q70" s="41" t="b">
        <f t="shared" si="46"/>
        <v>1</v>
      </c>
      <c r="R70" s="46" t="b">
        <f t="shared" si="47"/>
        <v>0</v>
      </c>
      <c r="S70" s="42" t="b">
        <f t="shared" si="48"/>
        <v>0</v>
      </c>
      <c r="T70" s="44" t="b">
        <f t="shared" si="49"/>
        <v>1</v>
      </c>
      <c r="U70" s="148">
        <f>IF(T70,LOOKUP(A70,Discrete_NFET[PARTNUMBER],Discrete_NFET[RDSON10])*1000,IF(S70,LOOKUP(A70,Discrete_NFET[PARTNUMBER],Discrete_NFET[RDSON8])*1000,IF(R70,LOOKUP(A70,Discrete_NFET[PARTNUMBER],Discrete_NFET[RDSON6])*1000,IF(Q70,LOOKUP(A70,Discrete_NFET[PARTNUMBER],Discrete_NFET[RDSON45])*1000,IF(P70,LOOKUP(A70,Discrete_NFET[PARTNUMBER],Discrete_NFET[RDSON3])*1000,IF(O70,LOOKUP(A70,Discrete_NFET[PARTNUMBER],Discrete_NFET[RDSON25])*1000,""))))))</f>
        <v>9.5</v>
      </c>
      <c r="V70" s="48">
        <f>IF(AND(A70&lt;&gt;0,A70&lt;&gt;""),U70*(1+(Tj-25)*(LOOKUP(A70,Discrete_NFET[PARTNUMBER],Discrete_NFET[RDSDELTA])/((LOOKUP(A70,Discrete_NFET[PARTNUMBER],Discrete_NFET[TJMAX])-25)))),"")</f>
        <v>11.1625</v>
      </c>
      <c r="W70" s="35">
        <f>IF(AND($A70&lt;&gt;0,$A70&lt;&gt;""),LOOKUP($A70,Discrete_NFET[PARTNUMBER],Discrete_NFET[QGS]),"")</f>
        <v>4.8</v>
      </c>
      <c r="X70" s="35">
        <f>IF(AND($A70&lt;&gt;0,$A70&lt;&gt;""),LOOKUP($A70,Discrete_NFET[PARTNUMBER],Discrete_NFET[QGD]),"")</f>
        <v>3.1</v>
      </c>
      <c r="Y70" s="35">
        <f>IF(AND($A70&lt;&gt;0,$A70&lt;&gt;""),LOOKUP($A70,Discrete_NFET[PARTNUMBER],Discrete_NFET[QGTH]),"")</f>
        <v>3.3</v>
      </c>
      <c r="Z70" s="35">
        <f t="shared" si="50"/>
        <v>4.6000000000000005</v>
      </c>
      <c r="AA70" s="35">
        <f>IF(AND($A70&lt;&gt;0,$A70&lt;&gt;""),LOOKUP($A70,Discrete_NFET[PARTNUMBER],Discrete_NFET[QOSSTYP]),"")</f>
        <v>18</v>
      </c>
      <c r="AB70" s="35">
        <f>IF(AND($A70&lt;&gt;0,$A70&lt;&gt;""),LOOKUP($A70,Discrete_NFET[PARTNUMBER],Discrete_NFET[QRR]),"")</f>
        <v>68</v>
      </c>
      <c r="AC70" s="35">
        <f>IF(AND(A70&lt;&gt;0,A70&lt;&gt;""),LOOKUP(A70,Discrete_NFET[PARTNUMBER],Discrete_NFET[VF_TYP]),"")</f>
        <v>0.8</v>
      </c>
      <c r="AD70" s="127">
        <f>IF(AND($A70&lt;&gt;0,$A70&lt;&gt;"",OR(RIGHT(Logic!B70,2)="C)",LEFT(Logic!B70,4)="CSD1")),(1+(1-DUTY))*IM_RMS_120^2*V70*m/3/Num_FETS2,"")</f>
        <v>0.46972085160818705</v>
      </c>
      <c r="AE70" s="127">
        <f>IF(AND($A70&lt;&gt;0,$A70&lt;&gt;"",OR(RIGHT(Logic!B70,2)="C)",LEFT(Logic!B70,4)="CSD1")),Num_FETS2*0.5*IM_RMS_120*VDC_AVG*Z70*n*MOT_ELEC_FREQ/GDR_SRC,"")</f>
        <v>1.4834881320949433E-5</v>
      </c>
      <c r="AF70" s="127">
        <f>IF(AND($A70&lt;&gt;0,$A70&lt;&gt;"",OR(RIGHT(Logic!B70,2)="C)",LEFT(Logic!B70,4)="CSD1")),Num_FETS2*0.5*IM_RMS_120*VDC_AVG*Z70*n*MOT_ELEC_FREQ/GDR_SINK,"")</f>
        <v>1.0087719298245615E-5</v>
      </c>
      <c r="AG70" s="127">
        <f>IF(AND($A70&lt;&gt;0,$A70&lt;&gt;"",OR(RIGHT(Logic!B70,2)="T)",LEFT(Logic!B70,4)="CSD1")),DUTY*IM_RMS_120^2*V70*m/3/Num_FETS2,"")</f>
        <v>0.42498553240740727</v>
      </c>
      <c r="AH70" s="127">
        <f>IF(AND($A70&lt;&gt;0,$A70&lt;&gt;"",OR(RIGHT(Logic!B70,2)="T)",LEFT(Logic!B70,4)="CSD1")),Num_FETS2*0.5*IM_RMS_120*VDC_AVG*Z70*n*FSW*k/GDR_SRC/3,"")</f>
        <v>2.9669762641898866E-3</v>
      </c>
      <c r="AI70" s="127">
        <f>IF(AND($A70&lt;&gt;0,$A70&lt;&gt;"",OR(RIGHT(Logic!B70,2)="T)",LEFT(Logic!B70,4)="CSD1")),Num_FETS2*0.5*IM_RMS_120*VDC_AVG*Z70*n*FSW*k/GDR_SINK/3,"")</f>
        <v>2.0175438596491233E-3</v>
      </c>
      <c r="AJ70" s="127">
        <f t="shared" si="34"/>
        <v>2.16E-3</v>
      </c>
      <c r="AK70" s="127">
        <f t="shared" si="36"/>
        <v>1.2414567897146714E-2</v>
      </c>
      <c r="AL70" s="127">
        <f t="shared" si="35"/>
        <v>1.6347199999999999E-2</v>
      </c>
      <c r="AM70" s="127">
        <f t="shared" si="51"/>
        <v>0.37243703691440144</v>
      </c>
      <c r="AN70" s="127">
        <f>IF(AND($A70&lt;&gt;0,$A70&lt;&gt;"",OR(RIGHT(Logic!B70,2)="C)",LEFT(Logic!B70,4)="CSD1")),SUM(AD70:AF70)+(AJ70/3)+AK70+AL70/6+AM70/6,AN71)</f>
        <v>0.54767771492501982</v>
      </c>
      <c r="AO70" s="127">
        <f>IF(AND($A70&lt;&gt;0,$A70&lt;&gt;"",OR(RIGHT(Logic!B70,2)="T)",LEFT(Logic!B70,4)="CSD1")),SUM(AG70:AI70)+(AJ70/3)+AL70/6+AM70/6,AO69)</f>
        <v>0.4954874253503132</v>
      </c>
      <c r="AP70" s="48">
        <f t="shared" si="52"/>
        <v>1.04</v>
      </c>
      <c r="AQ70" s="35" t="str">
        <f>IF(AND(A70&lt;&gt;0,A70&lt;&gt;""),LOOKUP(A70,Discrete_NFET[PARTNUMBER],Discrete_NFET[TI_EQ_PACKAGE]),"")</f>
        <v>TO-220</v>
      </c>
      <c r="AR70" s="49">
        <f>IF(AND(A70&lt;&gt;0,A70&lt;&gt;""),LOOKUP(A70,Discrete_NFET[PARTNUMBER],Discrete_NFET[1KPRICE]),"")</f>
        <v>0.44</v>
      </c>
      <c r="AS70" s="35" t="str">
        <f>IF(AND($A70&lt;&gt;0,$A70&lt;&gt;""),CONCATENATE(TEXT(AP70,"0.00"),"W, ",IF('User Input'!G$11="Single Discrete",A70,IF('User Input'!G$11="Dual/Power Block",LEFT(A70,FIND(")",A70)-7),A70)),", ",AQ70,", ",TEXT(AR70,"$0.00")),"Invalid Part")</f>
        <v>1.04W, CSD18534KCS, TO-220, $0.44</v>
      </c>
      <c r="AT70" t="s">
        <v>815</v>
      </c>
      <c r="AW70"/>
    </row>
    <row r="71" spans="1:49" ht="15" customHeight="1" x14ac:dyDescent="0.25">
      <c r="A71" s="35" t="str">
        <f>IF(OR(AND(FET_config2="Dual/Power Block",LEFT(Logic!B71,4)="CSD8"),AND(FET_config2="Single Discrete",LEFT(Logic!B71,4)="CSD1")),Logic!B71,"")</f>
        <v>CSD18534Q5A</v>
      </c>
      <c r="B71" s="37" t="str">
        <f>IF(OR($A71=0,$A71=""),"0",IF(LOOKUP($A71,Discrete_NFET[PARTNUMBER],Discrete_NFET[RDSON25])="(NULL)","0","1"))</f>
        <v>0</v>
      </c>
      <c r="C71" s="38" t="str">
        <f>IF(OR($A71=0,$A71=""),"0",IF(LOOKUP($A71,Discrete_NFET[PARTNUMBER],Discrete_NFET[RDSON3])="(NULL)","0","1"))</f>
        <v>0</v>
      </c>
      <c r="D71" s="40" t="str">
        <f>IF(OR($A71=0,$A71=""),"0",IF(LOOKUP($A71,Discrete_NFET[PARTNUMBER],Discrete_NFET[RDSON45])="(NULL)","0","1"))</f>
        <v>1</v>
      </c>
      <c r="E71" s="45" t="str">
        <f>IF(OR($A71=0,$A71=""),"0",IF(LOOKUP($A71,Discrete_NFET[PARTNUMBER],Discrete_NFET[RDSON6])="(NULL)","0","1"))</f>
        <v>0</v>
      </c>
      <c r="F71" s="34" t="str">
        <f>IF(OR($A71=0,$A71=""),"0",IF(LOOKUP($A71,Discrete_NFET[PARTNUMBER],Discrete_NFET[RDSON8])="(NULL)","0","1"))</f>
        <v>0</v>
      </c>
      <c r="G71" s="43" t="str">
        <f>IF(OR($A71=0,$A71=""),"0",IF(LOOKUP($A71,Discrete_NFET[PARTNUMBER],Discrete_NFET[RDSON10])="(NULL)","0","1"))</f>
        <v>1</v>
      </c>
      <c r="H71" s="36" t="b">
        <f t="shared" si="37"/>
        <v>0</v>
      </c>
      <c r="I71" s="39" t="b">
        <f t="shared" si="38"/>
        <v>0</v>
      </c>
      <c r="J71" s="41" t="b">
        <f t="shared" si="39"/>
        <v>1</v>
      </c>
      <c r="K71" s="46" t="b">
        <f t="shared" si="40"/>
        <v>0</v>
      </c>
      <c r="L71" s="42" t="b">
        <f t="shared" si="41"/>
        <v>0</v>
      </c>
      <c r="M71" s="44" t="b">
        <f t="shared" si="42"/>
        <v>1</v>
      </c>
      <c r="N71" s="47" t="b">
        <f t="shared" si="43"/>
        <v>1</v>
      </c>
      <c r="O71" s="36" t="b">
        <f t="shared" si="44"/>
        <v>0</v>
      </c>
      <c r="P71" s="39" t="b">
        <f t="shared" si="45"/>
        <v>0</v>
      </c>
      <c r="Q71" s="41" t="b">
        <f t="shared" si="46"/>
        <v>1</v>
      </c>
      <c r="R71" s="46" t="b">
        <f t="shared" si="47"/>
        <v>0</v>
      </c>
      <c r="S71" s="42" t="b">
        <f t="shared" si="48"/>
        <v>0</v>
      </c>
      <c r="T71" s="44" t="b">
        <f t="shared" si="49"/>
        <v>1</v>
      </c>
      <c r="U71" s="148">
        <f>IF(T71,LOOKUP(A71,Discrete_NFET[PARTNUMBER],Discrete_NFET[RDSON10])*1000,IF(S71,LOOKUP(A71,Discrete_NFET[PARTNUMBER],Discrete_NFET[RDSON8])*1000,IF(R71,LOOKUP(A71,Discrete_NFET[PARTNUMBER],Discrete_NFET[RDSON6])*1000,IF(Q71,LOOKUP(A71,Discrete_NFET[PARTNUMBER],Discrete_NFET[RDSON45])*1000,IF(P71,LOOKUP(A71,Discrete_NFET[PARTNUMBER],Discrete_NFET[RDSON3])*1000,IF(O71,LOOKUP(A71,Discrete_NFET[PARTNUMBER],Discrete_NFET[RDSON25])*1000,""))))))</f>
        <v>9.7999999999999989</v>
      </c>
      <c r="V71" s="48">
        <f>IF(AND(A71&lt;&gt;0,A71&lt;&gt;""),U71*(1+(Tj-25)*(LOOKUP(A71,Discrete_NFET[PARTNUMBER],Discrete_NFET[RDSDELTA])/((LOOKUP(A71,Discrete_NFET[PARTNUMBER],Discrete_NFET[TJMAX])-25)))),"")</f>
        <v>11.642399999999999</v>
      </c>
      <c r="W71" s="35">
        <f>IF(AND($A71&lt;&gt;0,$A71&lt;&gt;""),LOOKUP($A71,Discrete_NFET[PARTNUMBER],Discrete_NFET[QGS]),"")</f>
        <v>3.2</v>
      </c>
      <c r="X71" s="35">
        <f>IF(AND($A71&lt;&gt;0,$A71&lt;&gt;""),LOOKUP($A71,Discrete_NFET[PARTNUMBER],Discrete_NFET[QGD]),"")</f>
        <v>3.5</v>
      </c>
      <c r="Y71" s="35">
        <f>IF(AND($A71&lt;&gt;0,$A71&lt;&gt;""),LOOKUP($A71,Discrete_NFET[PARTNUMBER],Discrete_NFET[QGTH]),"")</f>
        <v>2.6</v>
      </c>
      <c r="Z71" s="35">
        <f t="shared" si="50"/>
        <v>4.0999999999999996</v>
      </c>
      <c r="AA71" s="35">
        <f>IF(AND($A71&lt;&gt;0,$A71&lt;&gt;""),LOOKUP($A71,Discrete_NFET[PARTNUMBER],Discrete_NFET[QOSSTYP]),"")</f>
        <v>19</v>
      </c>
      <c r="AB71" s="35">
        <f>IF(AND($A71&lt;&gt;0,$A71&lt;&gt;""),LOOKUP($A71,Discrete_NFET[PARTNUMBER],Discrete_NFET[QRR]),"")</f>
        <v>54</v>
      </c>
      <c r="AC71" s="35">
        <f>IF(AND(A71&lt;&gt;0,A71&lt;&gt;""),LOOKUP(A71,Discrete_NFET[PARTNUMBER],Discrete_NFET[VF_TYP]),"")</f>
        <v>0.8</v>
      </c>
      <c r="AD71" s="127">
        <f>IF(AND($A71&lt;&gt;0,$A71&lt;&gt;"",OR(RIGHT(Logic!B71,2)="C)",LEFT(Logic!B71,4)="CSD1")),(1+(1-DUTY))*IM_RMS_120^2*V71*m/3/Num_FETS2,"")</f>
        <v>0.48991516620498604</v>
      </c>
      <c r="AE71" s="127">
        <f>IF(AND($A71&lt;&gt;0,$A71&lt;&gt;"",OR(RIGHT(Logic!B71,2)="C)",LEFT(Logic!B71,4)="CSD1")),Num_FETS2*0.5*IM_RMS_120*VDC_AVG*Z71*n*MOT_ELEC_FREQ/GDR_SRC,"")</f>
        <v>1.322239422084623E-5</v>
      </c>
      <c r="AF71" s="127">
        <f>IF(AND($A71&lt;&gt;0,$A71&lt;&gt;"",OR(RIGHT(Logic!B71,2)="C)",LEFT(Logic!B71,4)="CSD1")),Num_FETS2*0.5*IM_RMS_120*VDC_AVG*Z71*n*MOT_ELEC_FREQ/GDR_SINK,"")</f>
        <v>8.9912280701754374E-6</v>
      </c>
      <c r="AG71" s="127">
        <f>IF(AND($A71&lt;&gt;0,$A71&lt;&gt;"",OR(RIGHT(Logic!B71,2)="T)",LEFT(Logic!B71,4)="CSD1")),DUTY*IM_RMS_120^2*V71*m/3/Num_FETS2,"")</f>
        <v>0.44325657894736831</v>
      </c>
      <c r="AH71" s="127">
        <f>IF(AND($A71&lt;&gt;0,$A71&lt;&gt;"",OR(RIGHT(Logic!B71,2)="T)",LEFT(Logic!B71,4)="CSD1")),Num_FETS2*0.5*IM_RMS_120*VDC_AVG*Z71*n*FSW*k/GDR_SRC/3,"")</f>
        <v>2.6444788441692458E-3</v>
      </c>
      <c r="AI71" s="127">
        <f>IF(AND($A71&lt;&gt;0,$A71&lt;&gt;"",OR(RIGHT(Logic!B71,2)="T)",LEFT(Logic!B71,4)="CSD1")),Num_FETS2*0.5*IM_RMS_120*VDC_AVG*Z71*n*FSW*k/GDR_SINK/3,"")</f>
        <v>1.7982456140350873E-3</v>
      </c>
      <c r="AJ71" s="127">
        <f t="shared" si="34"/>
        <v>2.2800000000000003E-3</v>
      </c>
      <c r="AK71" s="127">
        <f t="shared" si="36"/>
        <v>1.2414567897146714E-2</v>
      </c>
      <c r="AL71" s="127">
        <f t="shared" si="35"/>
        <v>1.2981600000000001E-2</v>
      </c>
      <c r="AM71" s="127">
        <f t="shared" si="51"/>
        <v>0.37243703691440144</v>
      </c>
      <c r="AN71" s="127">
        <f>IF(AND($A71&lt;&gt;0,$A71&lt;&gt;"",OR(RIGHT(Logic!B71,2)="C)",LEFT(Logic!B71,4)="CSD1")),SUM(AD71:AF71)+(AJ71/3)+AK71+AL71/6+AM71/6,AN72)</f>
        <v>0.56734838721015746</v>
      </c>
      <c r="AO71" s="127">
        <f>IF(AND($A71&lt;&gt;0,$A71&lt;&gt;"",OR(RIGHT(Logic!B71,2)="T)",LEFT(Logic!B71,4)="CSD1")),SUM(AG71:AI71)+(AJ71/3)+AL71/6+AM71/6,AO70)</f>
        <v>0.51269574289130615</v>
      </c>
      <c r="AP71" s="48">
        <f t="shared" si="52"/>
        <v>1.08</v>
      </c>
      <c r="AQ71" s="35" t="str">
        <f>IF(AND(A71&lt;&gt;0,A71&lt;&gt;""),LOOKUP(A71,Discrete_NFET[PARTNUMBER],Discrete_NFET[TI_EQ_PACKAGE]),"")</f>
        <v>SON5X6</v>
      </c>
      <c r="AR71" s="49">
        <f>IF(AND(A71&lt;&gt;0,A71&lt;&gt;""),LOOKUP(A71,Discrete_NFET[PARTNUMBER],Discrete_NFET[1KPRICE]),"")</f>
        <v>0.31</v>
      </c>
      <c r="AS71" s="35" t="str">
        <f>IF(AND($A71&lt;&gt;0,$A71&lt;&gt;""),CONCATENATE(TEXT(AP71,"0.00"),"W, ",IF('User Input'!G$11="Single Discrete",A71,IF('User Input'!G$11="Dual/Power Block",LEFT(A71,FIND(")",A71)-7),A71)),", ",AQ71,", ",TEXT(AR71,"$0.00")),"Invalid Part")</f>
        <v>1.08W, CSD18534Q5A, SON5X6, $0.31</v>
      </c>
      <c r="AT71" t="s">
        <v>808</v>
      </c>
      <c r="AU71" s="35" t="e">
        <f>IF('User Input'!F55&lt;&gt;"Dual/Power Block",LEFT(A73,FIND("L",A73)-1),A73)</f>
        <v>#VALUE!</v>
      </c>
      <c r="AW71"/>
    </row>
    <row r="72" spans="1:49" ht="15" customHeight="1" x14ac:dyDescent="0.25">
      <c r="A72" s="35" t="str">
        <f>IF(OR(AND(FET_config2="Dual/Power Block",LEFT(Logic!B72,4)="CSD8"),AND(FET_config2="Single Discrete",LEFT(Logic!B72,4)="CSD1")),Logic!B72,"")</f>
        <v>CSD18535KCS</v>
      </c>
      <c r="B72" s="37" t="str">
        <f>IF(OR($A72=0,$A72=""),"0",IF(LOOKUP($A72,Discrete_NFET[PARTNUMBER],Discrete_NFET[RDSON25])="(NULL)","0","1"))</f>
        <v>0</v>
      </c>
      <c r="C72" s="38" t="str">
        <f>IF(OR($A72=0,$A72=""),"0",IF(LOOKUP($A72,Discrete_NFET[PARTNUMBER],Discrete_NFET[RDSON3])="(NULL)","0","1"))</f>
        <v>0</v>
      </c>
      <c r="D72" s="40" t="str">
        <f>IF(OR($A72=0,$A72=""),"0",IF(LOOKUP($A72,Discrete_NFET[PARTNUMBER],Discrete_NFET[RDSON45])="(NULL)","0","1"))</f>
        <v>1</v>
      </c>
      <c r="E72" s="45" t="str">
        <f>IF(OR($A72=0,$A72=""),"0",IF(LOOKUP($A72,Discrete_NFET[PARTNUMBER],Discrete_NFET[RDSON6])="(NULL)","0","1"))</f>
        <v>0</v>
      </c>
      <c r="F72" s="34" t="str">
        <f>IF(OR($A72=0,$A72=""),"0",IF(LOOKUP($A72,Discrete_NFET[PARTNUMBER],Discrete_NFET[RDSON8])="(NULL)","0","1"))</f>
        <v>0</v>
      </c>
      <c r="G72" s="43" t="str">
        <f>IF(OR($A72=0,$A72=""),"0",IF(LOOKUP($A72,Discrete_NFET[PARTNUMBER],Discrete_NFET[RDSON10])="(NULL)","0","1"))</f>
        <v>1</v>
      </c>
      <c r="H72" s="36" t="b">
        <f t="shared" si="37"/>
        <v>0</v>
      </c>
      <c r="I72" s="39" t="b">
        <f t="shared" si="38"/>
        <v>0</v>
      </c>
      <c r="J72" s="41" t="b">
        <f t="shared" si="39"/>
        <v>1</v>
      </c>
      <c r="K72" s="46" t="b">
        <f t="shared" si="40"/>
        <v>0</v>
      </c>
      <c r="L72" s="42" t="b">
        <f t="shared" si="41"/>
        <v>0</v>
      </c>
      <c r="M72" s="44" t="b">
        <f t="shared" si="42"/>
        <v>1</v>
      </c>
      <c r="N72" s="47" t="b">
        <f t="shared" si="43"/>
        <v>1</v>
      </c>
      <c r="O72" s="36" t="b">
        <f t="shared" si="44"/>
        <v>0</v>
      </c>
      <c r="P72" s="39" t="b">
        <f t="shared" si="45"/>
        <v>0</v>
      </c>
      <c r="Q72" s="41" t="b">
        <f t="shared" si="46"/>
        <v>1</v>
      </c>
      <c r="R72" s="46" t="b">
        <f t="shared" si="47"/>
        <v>0</v>
      </c>
      <c r="S72" s="42" t="b">
        <f t="shared" si="48"/>
        <v>0</v>
      </c>
      <c r="T72" s="44" t="b">
        <f t="shared" si="49"/>
        <v>1</v>
      </c>
      <c r="U72" s="148">
        <f>IF(T72,LOOKUP(A72,Discrete_NFET[PARTNUMBER],Discrete_NFET[RDSON10])*1000,IF(S72,LOOKUP(A72,Discrete_NFET[PARTNUMBER],Discrete_NFET[RDSON8])*1000,IF(R72,LOOKUP(A72,Discrete_NFET[PARTNUMBER],Discrete_NFET[RDSON6])*1000,IF(Q72,LOOKUP(A72,Discrete_NFET[PARTNUMBER],Discrete_NFET[RDSON45])*1000,IF(P72,LOOKUP(A72,Discrete_NFET[PARTNUMBER],Discrete_NFET[RDSON3])*1000,IF(O72,LOOKUP(A72,Discrete_NFET[PARTNUMBER],Discrete_NFET[RDSON25])*1000,""))))))</f>
        <v>2</v>
      </c>
      <c r="V72" s="48">
        <f>IF(AND(A72&lt;&gt;0,A72&lt;&gt;""),U72*(1+(Tj-25)*(LOOKUP(A72,Discrete_NFET[PARTNUMBER],Discrete_NFET[RDSDELTA])/((LOOKUP(A72,Discrete_NFET[PARTNUMBER],Discrete_NFET[TJMAX])-25)))),"")</f>
        <v>2.25</v>
      </c>
      <c r="W72" s="35">
        <f>IF(AND($A72&lt;&gt;0,$A72&lt;&gt;""),LOOKUP($A72,Discrete_NFET[PARTNUMBER],Discrete_NFET[QGS]),"")</f>
        <v>15.7</v>
      </c>
      <c r="X72" s="35">
        <f>IF(AND($A72&lt;&gt;0,$A72&lt;&gt;""),LOOKUP($A72,Discrete_NFET[PARTNUMBER],Discrete_NFET[QGD]),"")</f>
        <v>10.4</v>
      </c>
      <c r="Y72" s="35">
        <f>IF(AND($A72&lt;&gt;0,$A72&lt;&gt;""),LOOKUP($A72,Discrete_NFET[PARTNUMBER],Discrete_NFET[QGTH]),"")</f>
        <v>9.4</v>
      </c>
      <c r="Z72" s="35">
        <f t="shared" si="50"/>
        <v>16.700000000000003</v>
      </c>
      <c r="AA72" s="35">
        <f>IF(AND($A72&lt;&gt;0,$A72&lt;&gt;""),LOOKUP($A72,Discrete_NFET[PARTNUMBER],Discrete_NFET[QOSSTYP]),"")</f>
        <v>140</v>
      </c>
      <c r="AB72" s="35">
        <f>IF(AND($A72&lt;&gt;0,$A72&lt;&gt;""),LOOKUP($A72,Discrete_NFET[PARTNUMBER],Discrete_NFET[QRR]),"")</f>
        <v>214</v>
      </c>
      <c r="AC72" s="35">
        <f>IF(AND(A72&lt;&gt;0,A72&lt;&gt;""),LOOKUP(A72,Discrete_NFET[PARTNUMBER],Discrete_NFET[VF_TYP]),"")</f>
        <v>0.9</v>
      </c>
      <c r="AD72" s="127">
        <f>IF(AND($A72&lt;&gt;0,$A72&lt;&gt;"",OR(RIGHT(Logic!B72,2)="C)",LEFT(Logic!B72,4)="CSD1")),(1+(1-DUTY))*IM_RMS_120^2*V72*m/3/Num_FETS2,"")</f>
        <v>9.4680574792243746E-2</v>
      </c>
      <c r="AE72" s="127">
        <f>IF(AND($A72&lt;&gt;0,$A72&lt;&gt;"",OR(RIGHT(Logic!B72,2)="C)",LEFT(Logic!B72,4)="CSD1")),Num_FETS2*0.5*IM_RMS_120*VDC_AVG*Z72*n*MOT_ELEC_FREQ/GDR_SRC,"")</f>
        <v>5.3857069143446857E-5</v>
      </c>
      <c r="AF72" s="127">
        <f>IF(AND($A72&lt;&gt;0,$A72&lt;&gt;"",OR(RIGHT(Logic!B72,2)="C)",LEFT(Logic!B72,4)="CSD1")),Num_FETS2*0.5*IM_RMS_120*VDC_AVG*Z72*n*MOT_ELEC_FREQ/GDR_SINK,"")</f>
        <v>3.6622807017543865E-5</v>
      </c>
      <c r="AG72" s="127">
        <f>IF(AND($A72&lt;&gt;0,$A72&lt;&gt;"",OR(RIGHT(Logic!B72,2)="T)",LEFT(Logic!B72,4)="CSD1")),DUTY*IM_RMS_120^2*V72*m/3/Num_FETS2,"")</f>
        <v>8.5663377192982434E-2</v>
      </c>
      <c r="AH72" s="127">
        <f>IF(AND($A72&lt;&gt;0,$A72&lt;&gt;"",OR(RIGHT(Logic!B72,2)="T)",LEFT(Logic!B72,4)="CSD1")),Num_FETS2*0.5*IM_RMS_120*VDC_AVG*Z72*n*FSW*k/GDR_SRC/3,"")</f>
        <v>1.0771413828689373E-2</v>
      </c>
      <c r="AI72" s="127">
        <f>IF(AND($A72&lt;&gt;0,$A72&lt;&gt;"",OR(RIGHT(Logic!B72,2)="T)",LEFT(Logic!B72,4)="CSD1")),Num_FETS2*0.5*IM_RMS_120*VDC_AVG*Z72*n*FSW*k/GDR_SINK/3,"")</f>
        <v>7.3245614035087727E-3</v>
      </c>
      <c r="AJ72" s="127">
        <f t="shared" si="34"/>
        <v>1.6800000000000002E-2</v>
      </c>
      <c r="AK72" s="127">
        <f t="shared" si="36"/>
        <v>1.3966388884290052E-2</v>
      </c>
      <c r="AL72" s="127">
        <f t="shared" si="35"/>
        <v>5.1445600000000001E-2</v>
      </c>
      <c r="AM72" s="127">
        <f t="shared" si="51"/>
        <v>0.41899166652870157</v>
      </c>
      <c r="AN72" s="127">
        <f>IF(AND($A72&lt;&gt;0,$A72&lt;&gt;"",OR(RIGHT(Logic!B72,2)="C)",LEFT(Logic!B72,4)="CSD1")),SUM(AD72:AF72)+(AJ72/3)+AK72+AL72/6+AM72/6,AN73)</f>
        <v>0.19274365464081172</v>
      </c>
      <c r="AO72" s="127">
        <f>IF(AND($A72&lt;&gt;0,$A72&lt;&gt;"",OR(RIGHT(Logic!B72,2)="T)",LEFT(Logic!B72,4)="CSD1")),SUM(AG72:AI72)+(AJ72/3)+AL72/6+AM72/6,AO71)</f>
        <v>0.18776556351329748</v>
      </c>
      <c r="AP72" s="48">
        <f t="shared" si="52"/>
        <v>0.38</v>
      </c>
      <c r="AQ72" s="35" t="str">
        <f>IF(AND(A72&lt;&gt;0,A72&lt;&gt;""),LOOKUP(A72,Discrete_NFET[PARTNUMBER],Discrete_NFET[TI_EQ_PACKAGE]),"")</f>
        <v>TO-220</v>
      </c>
      <c r="AR72" s="49">
        <f>IF(AND(A72&lt;&gt;0,A72&lt;&gt;""),LOOKUP(A72,Discrete_NFET[PARTNUMBER],Discrete_NFET[1KPRICE]),"")</f>
        <v>1.1599999999999999</v>
      </c>
      <c r="AS72" s="35" t="str">
        <f>IF(AND($A72&lt;&gt;0,$A72&lt;&gt;""),CONCATENATE(TEXT(AP72,"0.00"),"W, ",IF('User Input'!G$11="Single Discrete",A72,IF('User Input'!G$11="Dual/Power Block",LEFT(A72,FIND(")",A72)-7),A72)),", ",AQ72,", ",TEXT(AR72,"$0.00")),"Invalid Part")</f>
        <v>0.38W, CSD18535KCS, TO-220, $1.16</v>
      </c>
      <c r="AT72" t="s">
        <v>833</v>
      </c>
      <c r="AW72"/>
    </row>
    <row r="73" spans="1:49" ht="15" customHeight="1" x14ac:dyDescent="0.25">
      <c r="A73" s="35" t="str">
        <f>IF(OR(AND(FET_config2="Dual/Power Block",LEFT(Logic!B73,4)="CSD8"),AND(FET_config2="Single Discrete",LEFT(Logic!B73,4)="CSD1")),Logic!B73,"")</f>
        <v>CSD18535KTT</v>
      </c>
      <c r="B73" s="37" t="str">
        <f>IF(OR($A73=0,$A73=""),"0",IF(LOOKUP($A73,Discrete_NFET[PARTNUMBER],Discrete_NFET[RDSON25])="(NULL)","0","1"))</f>
        <v>0</v>
      </c>
      <c r="C73" s="38" t="str">
        <f>IF(OR($A73=0,$A73=""),"0",IF(LOOKUP($A73,Discrete_NFET[PARTNUMBER],Discrete_NFET[RDSON3])="(NULL)","0","1"))</f>
        <v>0</v>
      </c>
      <c r="D73" s="40" t="str">
        <f>IF(OR($A73=0,$A73=""),"0",IF(LOOKUP($A73,Discrete_NFET[PARTNUMBER],Discrete_NFET[RDSON45])="(NULL)","0","1"))</f>
        <v>1</v>
      </c>
      <c r="E73" s="45" t="str">
        <f>IF(OR($A73=0,$A73=""),"0",IF(LOOKUP($A73,Discrete_NFET[PARTNUMBER],Discrete_NFET[RDSON6])="(NULL)","0","1"))</f>
        <v>0</v>
      </c>
      <c r="F73" s="34" t="str">
        <f>IF(OR($A73=0,$A73=""),"0",IF(LOOKUP($A73,Discrete_NFET[PARTNUMBER],Discrete_NFET[RDSON8])="(NULL)","0","1"))</f>
        <v>0</v>
      </c>
      <c r="G73" s="43" t="str">
        <f>IF(OR($A73=0,$A73=""),"0",IF(LOOKUP($A73,Discrete_NFET[PARTNUMBER],Discrete_NFET[RDSON10])="(NULL)","0","1"))</f>
        <v>1</v>
      </c>
      <c r="H73" s="36" t="b">
        <f t="shared" si="37"/>
        <v>0</v>
      </c>
      <c r="I73" s="39" t="b">
        <f t="shared" si="38"/>
        <v>0</v>
      </c>
      <c r="J73" s="41" t="b">
        <f t="shared" si="39"/>
        <v>1</v>
      </c>
      <c r="K73" s="46" t="b">
        <f t="shared" si="40"/>
        <v>0</v>
      </c>
      <c r="L73" s="42" t="b">
        <f t="shared" si="41"/>
        <v>0</v>
      </c>
      <c r="M73" s="44" t="b">
        <f t="shared" si="42"/>
        <v>1</v>
      </c>
      <c r="N73" s="47" t="b">
        <f t="shared" si="43"/>
        <v>1</v>
      </c>
      <c r="O73" s="36" t="b">
        <f t="shared" si="44"/>
        <v>0</v>
      </c>
      <c r="P73" s="39" t="b">
        <f t="shared" si="45"/>
        <v>0</v>
      </c>
      <c r="Q73" s="41" t="b">
        <f t="shared" si="46"/>
        <v>1</v>
      </c>
      <c r="R73" s="46" t="b">
        <f t="shared" si="47"/>
        <v>0</v>
      </c>
      <c r="S73" s="42" t="b">
        <f t="shared" si="48"/>
        <v>0</v>
      </c>
      <c r="T73" s="44" t="b">
        <f t="shared" si="49"/>
        <v>1</v>
      </c>
      <c r="U73" s="148">
        <f>IF(T73,LOOKUP(A73,Discrete_NFET[PARTNUMBER],Discrete_NFET[RDSON10])*1000,IF(S73,LOOKUP(A73,Discrete_NFET[PARTNUMBER],Discrete_NFET[RDSON8])*1000,IF(R73,LOOKUP(A73,Discrete_NFET[PARTNUMBER],Discrete_NFET[RDSON6])*1000,IF(Q73,LOOKUP(A73,Discrete_NFET[PARTNUMBER],Discrete_NFET[RDSON45])*1000,IF(P73,LOOKUP(A73,Discrete_NFET[PARTNUMBER],Discrete_NFET[RDSON3])*1000,IF(O73,LOOKUP(A73,Discrete_NFET[PARTNUMBER],Discrete_NFET[RDSON25])*1000,""))))))</f>
        <v>2</v>
      </c>
      <c r="V73" s="48">
        <f>IF(AND(A73&lt;&gt;0,A73&lt;&gt;""),U73*(1+(Tj-25)*(LOOKUP(A73,Discrete_NFET[PARTNUMBER],Discrete_NFET[RDSDELTA])/((LOOKUP(A73,Discrete_NFET[PARTNUMBER],Discrete_NFET[TJMAX])-25)))),"")</f>
        <v>2.31</v>
      </c>
      <c r="W73" s="35">
        <f>IF(AND($A73&lt;&gt;0,$A73&lt;&gt;""),LOOKUP($A73,Discrete_NFET[PARTNUMBER],Discrete_NFET[QGS]),"")</f>
        <v>15.7</v>
      </c>
      <c r="X73" s="35">
        <f>IF(AND($A73&lt;&gt;0,$A73&lt;&gt;""),LOOKUP($A73,Discrete_NFET[PARTNUMBER],Discrete_NFET[QGD]),"")</f>
        <v>10.4</v>
      </c>
      <c r="Y73" s="35">
        <f>IF(AND($A73&lt;&gt;0,$A73&lt;&gt;""),LOOKUP($A73,Discrete_NFET[PARTNUMBER],Discrete_NFET[QGTH]),"")</f>
        <v>9.4</v>
      </c>
      <c r="Z73" s="35">
        <f t="shared" si="50"/>
        <v>16.700000000000003</v>
      </c>
      <c r="AA73" s="35">
        <f>IF(AND($A73&lt;&gt;0,$A73&lt;&gt;""),LOOKUP($A73,Discrete_NFET[PARTNUMBER],Discrete_NFET[QOSSTYP]),"")</f>
        <v>140</v>
      </c>
      <c r="AB73" s="35">
        <f>IF(AND($A73&lt;&gt;0,$A73&lt;&gt;""),LOOKUP($A73,Discrete_NFET[PARTNUMBER],Discrete_NFET[QRR]),"")</f>
        <v>214</v>
      </c>
      <c r="AC73" s="35">
        <f>IF(AND(A73&lt;&gt;0,A73&lt;&gt;""),LOOKUP(A73,Discrete_NFET[PARTNUMBER],Discrete_NFET[VF_TYP]),"")</f>
        <v>0.9</v>
      </c>
      <c r="AD73" s="127">
        <f>IF(AND($A73&lt;&gt;0,$A73&lt;&gt;"",OR(RIGHT(Logic!B73,2)="C)",LEFT(Logic!B73,4)="CSD1")),(1+(1-DUTY))*IM_RMS_120^2*V73*m/3/Num_FETS2,"")</f>
        <v>9.7205390120036914E-2</v>
      </c>
      <c r="AE73" s="127">
        <f>IF(AND($A73&lt;&gt;0,$A73&lt;&gt;"",OR(RIGHT(Logic!B73,2)="C)",LEFT(Logic!B73,4)="CSD1")),Num_FETS2*0.5*IM_RMS_120*VDC_AVG*Z73*n*MOT_ELEC_FREQ/GDR_SRC,"")</f>
        <v>5.3857069143446857E-5</v>
      </c>
      <c r="AF73" s="127">
        <f>IF(AND($A73&lt;&gt;0,$A73&lt;&gt;"",OR(RIGHT(Logic!B73,2)="C)",LEFT(Logic!B73,4)="CSD1")),Num_FETS2*0.5*IM_RMS_120*VDC_AVG*Z73*n*MOT_ELEC_FREQ/GDR_SINK,"")</f>
        <v>3.6622807017543865E-5</v>
      </c>
      <c r="AG73" s="127">
        <f>IF(AND($A73&lt;&gt;0,$A73&lt;&gt;"",OR(RIGHT(Logic!B73,2)="T)",LEFT(Logic!B73,4)="CSD1")),DUTY*IM_RMS_120^2*V73*m/3/Num_FETS2,"")</f>
        <v>8.7947733918128643E-2</v>
      </c>
      <c r="AH73" s="127">
        <f>IF(AND($A73&lt;&gt;0,$A73&lt;&gt;"",OR(RIGHT(Logic!B73,2)="T)",LEFT(Logic!B73,4)="CSD1")),Num_FETS2*0.5*IM_RMS_120*VDC_AVG*Z73*n*FSW*k/GDR_SRC/3,"")</f>
        <v>1.0771413828689373E-2</v>
      </c>
      <c r="AI73" s="127">
        <f>IF(AND($A73&lt;&gt;0,$A73&lt;&gt;"",OR(RIGHT(Logic!B73,2)="T)",LEFT(Logic!B73,4)="CSD1")),Num_FETS2*0.5*IM_RMS_120*VDC_AVG*Z73*n*FSW*k/GDR_SINK/3,"")</f>
        <v>7.3245614035087727E-3</v>
      </c>
      <c r="AJ73" s="127">
        <f t="shared" si="34"/>
        <v>1.6800000000000002E-2</v>
      </c>
      <c r="AK73" s="127">
        <f t="shared" si="36"/>
        <v>1.3966388884290052E-2</v>
      </c>
      <c r="AL73" s="127">
        <f t="shared" si="35"/>
        <v>5.1445600000000001E-2</v>
      </c>
      <c r="AM73" s="127">
        <f t="shared" si="51"/>
        <v>0.41899166652870157</v>
      </c>
      <c r="AN73" s="127">
        <f>IF(AND($A73&lt;&gt;0,$A73&lt;&gt;"",OR(RIGHT(Logic!B73,2)="C)",LEFT(Logic!B73,4)="CSD1")),SUM(AD73:AF73)+(AJ73/3)+AK73+AL73/6+AM73/6,AN74)</f>
        <v>0.19526846996860486</v>
      </c>
      <c r="AO73" s="127">
        <f>IF(AND($A73&lt;&gt;0,$A73&lt;&gt;"",OR(RIGHT(Logic!B73,2)="T)",LEFT(Logic!B73,4)="CSD1")),SUM(AG73:AI73)+(AJ73/3)+AL73/6+AM73/6,AO72)</f>
        <v>0.19004992023844369</v>
      </c>
      <c r="AP73" s="48">
        <f t="shared" si="52"/>
        <v>0.39</v>
      </c>
      <c r="AQ73" s="35" t="str">
        <f>IF(AND(A73&lt;&gt;0,A73&lt;&gt;""),LOOKUP(A73,Discrete_NFET[PARTNUMBER],Discrete_NFET[TI_EQ_PACKAGE]),"")</f>
        <v>DDPAK</v>
      </c>
      <c r="AR73" s="49">
        <f>IF(AND(A73&lt;&gt;0,A73&lt;&gt;""),LOOKUP(A73,Discrete_NFET[PARTNUMBER],Discrete_NFET[1KPRICE]),"")</f>
        <v>1.21</v>
      </c>
      <c r="AS73" s="35" t="str">
        <f>IF(AND($A73&lt;&gt;0,$A73&lt;&gt;""),CONCATENATE(TEXT(AP73,"0.00"),"W, ",IF('User Input'!G$11="Single Discrete",A73,IF('User Input'!G$11="Dual/Power Block",LEFT(A73,FIND(")",A73)-7),A73)),", ",AQ73,", ",TEXT(AR73,"$0.00")),"Invalid Part")</f>
        <v>0.39W, CSD18535KTT, DDPAK, $1.21</v>
      </c>
      <c r="AT73" t="s">
        <v>818</v>
      </c>
      <c r="AW73"/>
    </row>
    <row r="74" spans="1:49" ht="15" customHeight="1" x14ac:dyDescent="0.25">
      <c r="A74" s="35" t="str">
        <f>IF(OR(AND(FET_config2="Dual/Power Block",LEFT(Logic!B74,4)="CSD8"),AND(FET_config2="Single Discrete",LEFT(Logic!B74,4)="CSD1")),Logic!B74,"")</f>
        <v>CSD18536KCS</v>
      </c>
      <c r="B74" s="37" t="str">
        <f>IF(OR($A74=0,$A74=""),"0",IF(LOOKUP($A74,Discrete_NFET[PARTNUMBER],Discrete_NFET[RDSON25])="(NULL)","0","1"))</f>
        <v>0</v>
      </c>
      <c r="C74" s="38" t="str">
        <f>IF(OR($A74=0,$A74=""),"0",IF(LOOKUP($A74,Discrete_NFET[PARTNUMBER],Discrete_NFET[RDSON3])="(NULL)","0","1"))</f>
        <v>0</v>
      </c>
      <c r="D74" s="40" t="str">
        <f>IF(OR($A74=0,$A74=""),"0",IF(LOOKUP($A74,Discrete_NFET[PARTNUMBER],Discrete_NFET[RDSON45])="(NULL)","0","1"))</f>
        <v>1</v>
      </c>
      <c r="E74" s="45" t="str">
        <f>IF(OR($A74=0,$A74=""),"0",IF(LOOKUP($A74,Discrete_NFET[PARTNUMBER],Discrete_NFET[RDSON6])="(NULL)","0","1"))</f>
        <v>0</v>
      </c>
      <c r="F74" s="34" t="str">
        <f>IF(OR($A74=0,$A74=""),"0",IF(LOOKUP($A74,Discrete_NFET[PARTNUMBER],Discrete_NFET[RDSON8])="(NULL)","0","1"))</f>
        <v>0</v>
      </c>
      <c r="G74" s="43" t="str">
        <f>IF(OR($A74=0,$A74=""),"0",IF(LOOKUP($A74,Discrete_NFET[PARTNUMBER],Discrete_NFET[RDSON10])="(NULL)","0","1"))</f>
        <v>1</v>
      </c>
      <c r="H74" s="36" t="b">
        <f t="shared" si="37"/>
        <v>0</v>
      </c>
      <c r="I74" s="39" t="b">
        <f t="shared" si="38"/>
        <v>0</v>
      </c>
      <c r="J74" s="41" t="b">
        <f t="shared" si="39"/>
        <v>1</v>
      </c>
      <c r="K74" s="46" t="b">
        <f t="shared" si="40"/>
        <v>0</v>
      </c>
      <c r="L74" s="42" t="b">
        <f t="shared" si="41"/>
        <v>0</v>
      </c>
      <c r="M74" s="44" t="b">
        <f t="shared" si="42"/>
        <v>1</v>
      </c>
      <c r="N74" s="47" t="b">
        <f t="shared" si="43"/>
        <v>1</v>
      </c>
      <c r="O74" s="36" t="b">
        <f t="shared" si="44"/>
        <v>0</v>
      </c>
      <c r="P74" s="39" t="b">
        <f t="shared" si="45"/>
        <v>0</v>
      </c>
      <c r="Q74" s="41" t="b">
        <f t="shared" si="46"/>
        <v>1</v>
      </c>
      <c r="R74" s="46" t="b">
        <f t="shared" si="47"/>
        <v>0</v>
      </c>
      <c r="S74" s="42" t="b">
        <f t="shared" si="48"/>
        <v>0</v>
      </c>
      <c r="T74" s="44" t="b">
        <f t="shared" si="49"/>
        <v>1</v>
      </c>
      <c r="U74" s="148">
        <f>IF(T74,LOOKUP(A74,Discrete_NFET[PARTNUMBER],Discrete_NFET[RDSON10])*1000,IF(S74,LOOKUP(A74,Discrete_NFET[PARTNUMBER],Discrete_NFET[RDSON8])*1000,IF(R74,LOOKUP(A74,Discrete_NFET[PARTNUMBER],Discrete_NFET[RDSON6])*1000,IF(Q74,LOOKUP(A74,Discrete_NFET[PARTNUMBER],Discrete_NFET[RDSON45])*1000,IF(P74,LOOKUP(A74,Discrete_NFET[PARTNUMBER],Discrete_NFET[RDSON3])*1000,IF(O74,LOOKUP(A74,Discrete_NFET[PARTNUMBER],Discrete_NFET[RDSON25])*1000,""))))))</f>
        <v>1.6</v>
      </c>
      <c r="V74" s="48">
        <f>IF(AND(A74&lt;&gt;0,A74&lt;&gt;""),U74*(1+(Tj-25)*(LOOKUP(A74,Discrete_NFET[PARTNUMBER],Discrete_NFET[RDSDELTA])/((LOOKUP(A74,Discrete_NFET[PARTNUMBER],Discrete_NFET[TJMAX])-25)))),"")</f>
        <v>1.7920000000000003</v>
      </c>
      <c r="W74" s="35">
        <f>IF(AND($A74&lt;&gt;0,$A74&lt;&gt;""),LOOKUP($A74,Discrete_NFET[PARTNUMBER],Discrete_NFET[QGS]),"")</f>
        <v>18</v>
      </c>
      <c r="X74" s="35">
        <f>IF(AND($A74&lt;&gt;0,$A74&lt;&gt;""),LOOKUP($A74,Discrete_NFET[PARTNUMBER],Discrete_NFET[QGD]),"")</f>
        <v>14</v>
      </c>
      <c r="Y74" s="35">
        <f>IF(AND($A74&lt;&gt;0,$A74&lt;&gt;""),LOOKUP($A74,Discrete_NFET[PARTNUMBER],Discrete_NFET[QGTH]),"")</f>
        <v>17</v>
      </c>
      <c r="Z74" s="35">
        <f t="shared" si="50"/>
        <v>15</v>
      </c>
      <c r="AA74" s="35">
        <f>IF(AND($A74&lt;&gt;0,$A74&lt;&gt;""),LOOKUP($A74,Discrete_NFET[PARTNUMBER],Discrete_NFET[QOSSTYP]),"")</f>
        <v>230</v>
      </c>
      <c r="AB74" s="35">
        <f>IF(AND($A74&lt;&gt;0,$A74&lt;&gt;""),LOOKUP($A74,Discrete_NFET[PARTNUMBER],Discrete_NFET[QRR]),"")</f>
        <v>323</v>
      </c>
      <c r="AC74" s="35">
        <f>IF(AND(A74&lt;&gt;0,A74&lt;&gt;""),LOOKUP(A74,Discrete_NFET[PARTNUMBER],Discrete_NFET[VF_TYP]),"")</f>
        <v>0.9</v>
      </c>
      <c r="AD74" s="127">
        <f>IF(AND($A74&lt;&gt;0,$A74&lt;&gt;"",OR(RIGHT(Logic!B74,2)="C)",LEFT(Logic!B74,4)="CSD1")),(1+(1-DUTY))*IM_RMS_120^2*V74*m/3/Num_FETS2,"")</f>
        <v>7.540781779008926E-2</v>
      </c>
      <c r="AE74" s="127">
        <f>IF(AND($A74&lt;&gt;0,$A74&lt;&gt;"",OR(RIGHT(Logic!B74,2)="C)",LEFT(Logic!B74,4)="CSD1")),Num_FETS2*0.5*IM_RMS_120*VDC_AVG*Z74*n*MOT_ELEC_FREQ/GDR_SRC,"")</f>
        <v>4.8374613003095971E-5</v>
      </c>
      <c r="AF74" s="127">
        <f>IF(AND($A74&lt;&gt;0,$A74&lt;&gt;"",OR(RIGHT(Logic!B74,2)="C)",LEFT(Logic!B74,4)="CSD1")),Num_FETS2*0.5*IM_RMS_120*VDC_AVG*Z74*n*MOT_ELEC_FREQ/GDR_SINK,"")</f>
        <v>3.2894736842105262E-5</v>
      </c>
      <c r="AG74" s="127">
        <f>IF(AND($A74&lt;&gt;0,$A74&lt;&gt;"",OR(RIGHT(Logic!B74,2)="T)",LEFT(Logic!B74,4)="CSD1")),DUTY*IM_RMS_120^2*V74*m/3/Num_FETS2,"")</f>
        <v>6.8226120857699801E-2</v>
      </c>
      <c r="AH74" s="127">
        <f>IF(AND($A74&lt;&gt;0,$A74&lt;&gt;"",OR(RIGHT(Logic!B74,2)="T)",LEFT(Logic!B74,4)="CSD1")),Num_FETS2*0.5*IM_RMS_120*VDC_AVG*Z74*n*FSW*k/GDR_SRC/3,"")</f>
        <v>9.674922600619194E-3</v>
      </c>
      <c r="AI74" s="127">
        <f>IF(AND($A74&lt;&gt;0,$A74&lt;&gt;"",OR(RIGHT(Logic!B74,2)="T)",LEFT(Logic!B74,4)="CSD1")),Num_FETS2*0.5*IM_RMS_120*VDC_AVG*Z74*n*FSW*k/GDR_SINK/3,"")</f>
        <v>6.5789473684210523E-3</v>
      </c>
      <c r="AJ74" s="127">
        <f t="shared" si="34"/>
        <v>2.7600000000000003E-2</v>
      </c>
      <c r="AK74" s="127">
        <f t="shared" si="36"/>
        <v>1.3966388884290052E-2</v>
      </c>
      <c r="AL74" s="127">
        <f t="shared" si="35"/>
        <v>7.7649200000000002E-2</v>
      </c>
      <c r="AM74" s="127">
        <f t="shared" si="51"/>
        <v>0.41899166652870157</v>
      </c>
      <c r="AN74" s="127">
        <f>IF(AND($A74&lt;&gt;0,$A74&lt;&gt;"",OR(RIGHT(Logic!B74,2)="C)",LEFT(Logic!B74,4)="CSD1")),SUM(AD74:AF74)+(AJ74/3)+AK74+AL74/6+AM74/6,AN75)</f>
        <v>0.18142895377900811</v>
      </c>
      <c r="AO74" s="127">
        <f>IF(AND($A74&lt;&gt;0,$A74&lt;&gt;"",OR(RIGHT(Logic!B74,2)="T)",LEFT(Logic!B74,4)="CSD1")),SUM(AG74:AI74)+(AJ74/3)+AL74/6+AM74/6,AO73)</f>
        <v>0.17645346858152364</v>
      </c>
      <c r="AP74" s="48">
        <f t="shared" si="52"/>
        <v>0.36</v>
      </c>
      <c r="AQ74" s="35" t="str">
        <f>IF(AND(A74&lt;&gt;0,A74&lt;&gt;""),LOOKUP(A74,Discrete_NFET[PARTNUMBER],Discrete_NFET[TI_EQ_PACKAGE]),"")</f>
        <v>TO-220</v>
      </c>
      <c r="AR74" s="49">
        <f>IF(AND(A74&lt;&gt;0,A74&lt;&gt;""),LOOKUP(A74,Discrete_NFET[PARTNUMBER],Discrete_NFET[1KPRICE]),"")</f>
        <v>1.76</v>
      </c>
      <c r="AS74" s="35" t="str">
        <f>IF(AND($A74&lt;&gt;0,$A74&lt;&gt;""),CONCATENATE(TEXT(AP74,"0.00"),"W, ",IF('User Input'!G$11="Single Discrete",A74,IF('User Input'!G$11="Dual/Power Block",LEFT(A74,FIND(")",A74)-7),A74)),", ",AQ74,", ",TEXT(AR74,"$0.00")),"Invalid Part")</f>
        <v>0.36W, CSD18536KCS, TO-220, $1.76</v>
      </c>
      <c r="AT74" t="s">
        <v>817</v>
      </c>
      <c r="AW74"/>
    </row>
    <row r="75" spans="1:49" ht="15" customHeight="1" x14ac:dyDescent="0.25">
      <c r="A75" s="35" t="str">
        <f>IF(OR(AND(FET_config2="Dual/Power Block",LEFT(Logic!B75,4)="CSD8"),AND(FET_config2="Single Discrete",LEFT(Logic!B75,4)="CSD1")),Logic!B75,"")</f>
        <v>CSD18536KTT</v>
      </c>
      <c r="B75" s="37" t="str">
        <f>IF(OR($A75=0,$A75=""),"0",IF(LOOKUP($A75,Discrete_NFET[PARTNUMBER],Discrete_NFET[RDSON25])="(NULL)","0","1"))</f>
        <v>0</v>
      </c>
      <c r="C75" s="38" t="str">
        <f>IF(OR($A75=0,$A75=""),"0",IF(LOOKUP($A75,Discrete_NFET[PARTNUMBER],Discrete_NFET[RDSON3])="(NULL)","0","1"))</f>
        <v>0</v>
      </c>
      <c r="D75" s="40" t="str">
        <f>IF(OR($A75=0,$A75=""),"0",IF(LOOKUP($A75,Discrete_NFET[PARTNUMBER],Discrete_NFET[RDSON45])="(NULL)","0","1"))</f>
        <v>1</v>
      </c>
      <c r="E75" s="45" t="str">
        <f>IF(OR($A75=0,$A75=""),"0",IF(LOOKUP($A75,Discrete_NFET[PARTNUMBER],Discrete_NFET[RDSON6])="(NULL)","0","1"))</f>
        <v>0</v>
      </c>
      <c r="F75" s="34" t="str">
        <f>IF(OR($A75=0,$A75=""),"0",IF(LOOKUP($A75,Discrete_NFET[PARTNUMBER],Discrete_NFET[RDSON8])="(NULL)","0","1"))</f>
        <v>0</v>
      </c>
      <c r="G75" s="43" t="str">
        <f>IF(OR($A75=0,$A75=""),"0",IF(LOOKUP($A75,Discrete_NFET[PARTNUMBER],Discrete_NFET[RDSON10])="(NULL)","0","1"))</f>
        <v>1</v>
      </c>
      <c r="H75" s="36" t="b">
        <f t="shared" si="37"/>
        <v>0</v>
      </c>
      <c r="I75" s="39" t="b">
        <f t="shared" si="38"/>
        <v>0</v>
      </c>
      <c r="J75" s="41" t="b">
        <f t="shared" si="39"/>
        <v>1</v>
      </c>
      <c r="K75" s="46" t="b">
        <f t="shared" si="40"/>
        <v>0</v>
      </c>
      <c r="L75" s="42" t="b">
        <f t="shared" si="41"/>
        <v>0</v>
      </c>
      <c r="M75" s="44" t="b">
        <f t="shared" si="42"/>
        <v>1</v>
      </c>
      <c r="N75" s="47" t="b">
        <f t="shared" si="43"/>
        <v>1</v>
      </c>
      <c r="O75" s="36" t="b">
        <f t="shared" si="44"/>
        <v>0</v>
      </c>
      <c r="P75" s="39" t="b">
        <f t="shared" si="45"/>
        <v>0</v>
      </c>
      <c r="Q75" s="41" t="b">
        <f t="shared" si="46"/>
        <v>1</v>
      </c>
      <c r="R75" s="46" t="b">
        <f t="shared" si="47"/>
        <v>0</v>
      </c>
      <c r="S75" s="42" t="b">
        <f t="shared" si="48"/>
        <v>0</v>
      </c>
      <c r="T75" s="44" t="b">
        <f t="shared" si="49"/>
        <v>1</v>
      </c>
      <c r="U75" s="148">
        <f>IF(T75,LOOKUP(A75,Discrete_NFET[PARTNUMBER],Discrete_NFET[RDSON10])*1000,IF(S75,LOOKUP(A75,Discrete_NFET[PARTNUMBER],Discrete_NFET[RDSON8])*1000,IF(R75,LOOKUP(A75,Discrete_NFET[PARTNUMBER],Discrete_NFET[RDSON6])*1000,IF(Q75,LOOKUP(A75,Discrete_NFET[PARTNUMBER],Discrete_NFET[RDSON45])*1000,IF(P75,LOOKUP(A75,Discrete_NFET[PARTNUMBER],Discrete_NFET[RDSON3])*1000,IF(O75,LOOKUP(A75,Discrete_NFET[PARTNUMBER],Discrete_NFET[RDSON25])*1000,""))))))</f>
        <v>1.6</v>
      </c>
      <c r="V75" s="48">
        <f>IF(AND(A75&lt;&gt;0,A75&lt;&gt;""),U75*(1+(Tj-25)*(LOOKUP(A75,Discrete_NFET[PARTNUMBER],Discrete_NFET[RDSDELTA])/((LOOKUP(A75,Discrete_NFET[PARTNUMBER],Discrete_NFET[TJMAX])-25)))),"")</f>
        <v>1.8346666666666669</v>
      </c>
      <c r="W75" s="35">
        <f>IF(AND($A75&lt;&gt;0,$A75&lt;&gt;""),LOOKUP($A75,Discrete_NFET[PARTNUMBER],Discrete_NFET[QGS]),"")</f>
        <v>18</v>
      </c>
      <c r="X75" s="35">
        <f>IF(AND($A75&lt;&gt;0,$A75&lt;&gt;""),LOOKUP($A75,Discrete_NFET[PARTNUMBER],Discrete_NFET[QGD]),"")</f>
        <v>14</v>
      </c>
      <c r="Y75" s="35">
        <f>IF(AND($A75&lt;&gt;0,$A75&lt;&gt;""),LOOKUP($A75,Discrete_NFET[PARTNUMBER],Discrete_NFET[QGTH]),"")</f>
        <v>17</v>
      </c>
      <c r="Z75" s="35">
        <f t="shared" si="50"/>
        <v>15</v>
      </c>
      <c r="AA75" s="35">
        <f>IF(AND($A75&lt;&gt;0,$A75&lt;&gt;""),LOOKUP($A75,Discrete_NFET[PARTNUMBER],Discrete_NFET[QOSSTYP]),"")</f>
        <v>230</v>
      </c>
      <c r="AB75" s="35">
        <f>IF(AND($A75&lt;&gt;0,$A75&lt;&gt;""),LOOKUP($A75,Discrete_NFET[PARTNUMBER],Discrete_NFET[QRR]),"")</f>
        <v>323</v>
      </c>
      <c r="AC75" s="35">
        <f>IF(AND(A75&lt;&gt;0,A75&lt;&gt;""),LOOKUP(A75,Discrete_NFET[PARTNUMBER],Discrete_NFET[VF_TYP]),"")</f>
        <v>0.9</v>
      </c>
      <c r="AD75" s="127">
        <f>IF(AND($A75&lt;&gt;0,$A75&lt;&gt;"",OR(RIGHT(Logic!B75,2)="C)",LEFT(Logic!B75,4)="CSD1")),(1+(1-DUTY))*IM_RMS_120^2*V75*m/3/Num_FETS2,"")</f>
        <v>7.7203242023186625E-2</v>
      </c>
      <c r="AE75" s="127">
        <f>IF(AND($A75&lt;&gt;0,$A75&lt;&gt;"",OR(RIGHT(Logic!B75,2)="C)",LEFT(Logic!B75,4)="CSD1")),Num_FETS2*0.5*IM_RMS_120*VDC_AVG*Z75*n*MOT_ELEC_FREQ/GDR_SRC,"")</f>
        <v>4.8374613003095971E-5</v>
      </c>
      <c r="AF75" s="127">
        <f>IF(AND($A75&lt;&gt;0,$A75&lt;&gt;"",OR(RIGHT(Logic!B75,2)="C)",LEFT(Logic!B75,4)="CSD1")),Num_FETS2*0.5*IM_RMS_120*VDC_AVG*Z75*n*MOT_ELEC_FREQ/GDR_SINK,"")</f>
        <v>3.2894736842105262E-5</v>
      </c>
      <c r="AG75" s="127">
        <f>IF(AND($A75&lt;&gt;0,$A75&lt;&gt;"",OR(RIGHT(Logic!B75,2)="T)",LEFT(Logic!B75,4)="CSD1")),DUTY*IM_RMS_120^2*V75*m/3/Num_FETS2,"")</f>
        <v>6.985055230669264E-2</v>
      </c>
      <c r="AH75" s="127">
        <f>IF(AND($A75&lt;&gt;0,$A75&lt;&gt;"",OR(RIGHT(Logic!B75,2)="T)",LEFT(Logic!B75,4)="CSD1")),Num_FETS2*0.5*IM_RMS_120*VDC_AVG*Z75*n*FSW*k/GDR_SRC/3,"")</f>
        <v>9.674922600619194E-3</v>
      </c>
      <c r="AI75" s="127">
        <f>IF(AND($A75&lt;&gt;0,$A75&lt;&gt;"",OR(RIGHT(Logic!B75,2)="T)",LEFT(Logic!B75,4)="CSD1")),Num_FETS2*0.5*IM_RMS_120*VDC_AVG*Z75*n*FSW*k/GDR_SINK/3,"")</f>
        <v>6.5789473684210523E-3</v>
      </c>
      <c r="AJ75" s="127">
        <f t="shared" si="34"/>
        <v>2.7600000000000003E-2</v>
      </c>
      <c r="AK75" s="127">
        <f t="shared" si="36"/>
        <v>1.3966388884290052E-2</v>
      </c>
      <c r="AL75" s="127">
        <f t="shared" si="35"/>
        <v>7.7649200000000002E-2</v>
      </c>
      <c r="AM75" s="127">
        <f t="shared" si="51"/>
        <v>0.41899166652870157</v>
      </c>
      <c r="AN75" s="127">
        <f>IF(AND($A75&lt;&gt;0,$A75&lt;&gt;"",OR(RIGHT(Logic!B75,2)="C)",LEFT(Logic!B75,4)="CSD1")),SUM(AD75:AF75)+(AJ75/3)+AK75+AL75/6+AM75/6,AN76)</f>
        <v>0.18322437801210548</v>
      </c>
      <c r="AO75" s="127">
        <f>IF(AND($A75&lt;&gt;0,$A75&lt;&gt;"",OR(RIGHT(Logic!B75,2)="T)",LEFT(Logic!B75,4)="CSD1")),SUM(AG75:AI75)+(AJ75/3)+AL75/6+AM75/6,AO74)</f>
        <v>0.17807790003051649</v>
      </c>
      <c r="AP75" s="48">
        <f t="shared" si="52"/>
        <v>0.36</v>
      </c>
      <c r="AQ75" s="35" t="str">
        <f>IF(AND(A75&lt;&gt;0,A75&lt;&gt;""),LOOKUP(A75,Discrete_NFET[PARTNUMBER],Discrete_NFET[TI_EQ_PACKAGE]),"")</f>
        <v>DDPAK</v>
      </c>
      <c r="AR75" s="49">
        <f>IF(AND(A75&lt;&gt;0,A75&lt;&gt;""),LOOKUP(A75,Discrete_NFET[PARTNUMBER],Discrete_NFET[1KPRICE]),"")</f>
        <v>1.8</v>
      </c>
      <c r="AS75" s="35" t="str">
        <f>IF(AND($A75&lt;&gt;0,$A75&lt;&gt;""),CONCATENATE(TEXT(AP75,"0.00"),"W, ",IF('User Input'!G$11="Single Discrete",A75,IF('User Input'!G$11="Dual/Power Block",LEFT(A75,FIND(")",A75)-7),A75)),", ",AQ75,", ",TEXT(AR75,"$0.00")),"Invalid Part")</f>
        <v>0.36W, CSD18536KTT, DDPAK, $1.80</v>
      </c>
      <c r="AT75" t="s">
        <v>875</v>
      </c>
      <c r="AW75"/>
    </row>
    <row r="76" spans="1:49" ht="15" customHeight="1" x14ac:dyDescent="0.25">
      <c r="A76" s="35" t="str">
        <f>IF(OR(AND(FET_config2="Dual/Power Block",LEFT(Logic!B76,4)="CSD8"),AND(FET_config2="Single Discrete",LEFT(Logic!B76,4)="CSD1")),Logic!B76,"")</f>
        <v>CSD18537NKCS</v>
      </c>
      <c r="B76" s="37" t="str">
        <f>IF(OR($A76=0,$A76=""),"0",IF(LOOKUP($A76,Discrete_NFET[PARTNUMBER],Discrete_NFET[RDSON25])="(NULL)","0","1"))</f>
        <v>0</v>
      </c>
      <c r="C76" s="38" t="str">
        <f>IF(OR($A76=0,$A76=""),"0",IF(LOOKUP($A76,Discrete_NFET[PARTNUMBER],Discrete_NFET[RDSON3])="(NULL)","0","1"))</f>
        <v>0</v>
      </c>
      <c r="D76" s="40" t="str">
        <f>IF(OR($A76=0,$A76=""),"0",IF(LOOKUP($A76,Discrete_NFET[PARTNUMBER],Discrete_NFET[RDSON45])="(NULL)","0","1"))</f>
        <v>0</v>
      </c>
      <c r="E76" s="45" t="str">
        <f>IF(OR($A76=0,$A76=""),"0",IF(LOOKUP($A76,Discrete_NFET[PARTNUMBER],Discrete_NFET[RDSON6])="(NULL)","0","1"))</f>
        <v>1</v>
      </c>
      <c r="F76" s="34" t="str">
        <f>IF(OR($A76=0,$A76=""),"0",IF(LOOKUP($A76,Discrete_NFET[PARTNUMBER],Discrete_NFET[RDSON8])="(NULL)","0","1"))</f>
        <v>0</v>
      </c>
      <c r="G76" s="43" t="str">
        <f>IF(OR($A76=0,$A76=""),"0",IF(LOOKUP($A76,Discrete_NFET[PARTNUMBER],Discrete_NFET[RDSON10])="(NULL)","0","1"))</f>
        <v>1</v>
      </c>
      <c r="H76" s="36" t="b">
        <f t="shared" si="37"/>
        <v>0</v>
      </c>
      <c r="I76" s="39" t="b">
        <f t="shared" si="38"/>
        <v>0</v>
      </c>
      <c r="J76" s="41" t="b">
        <f t="shared" si="39"/>
        <v>0</v>
      </c>
      <c r="K76" s="46" t="b">
        <f t="shared" si="40"/>
        <v>1</v>
      </c>
      <c r="L76" s="42" t="b">
        <f t="shared" si="41"/>
        <v>0</v>
      </c>
      <c r="M76" s="44" t="b">
        <f t="shared" si="42"/>
        <v>1</v>
      </c>
      <c r="N76" s="47" t="b">
        <f t="shared" si="43"/>
        <v>1</v>
      </c>
      <c r="O76" s="36" t="b">
        <f t="shared" si="44"/>
        <v>0</v>
      </c>
      <c r="P76" s="39" t="b">
        <f t="shared" si="45"/>
        <v>0</v>
      </c>
      <c r="Q76" s="41" t="b">
        <f t="shared" si="46"/>
        <v>0</v>
      </c>
      <c r="R76" s="46" t="b">
        <f t="shared" si="47"/>
        <v>1</v>
      </c>
      <c r="S76" s="42" t="b">
        <f t="shared" si="48"/>
        <v>0</v>
      </c>
      <c r="T76" s="44" t="b">
        <f t="shared" si="49"/>
        <v>1</v>
      </c>
      <c r="U76" s="148">
        <f>IF(T76,LOOKUP(A76,Discrete_NFET[PARTNUMBER],Discrete_NFET[RDSON10])*1000,IF(S76,LOOKUP(A76,Discrete_NFET[PARTNUMBER],Discrete_NFET[RDSON8])*1000,IF(R76,LOOKUP(A76,Discrete_NFET[PARTNUMBER],Discrete_NFET[RDSON6])*1000,IF(Q76,LOOKUP(A76,Discrete_NFET[PARTNUMBER],Discrete_NFET[RDSON45])*1000,IF(P76,LOOKUP(A76,Discrete_NFET[PARTNUMBER],Discrete_NFET[RDSON3])*1000,IF(O76,LOOKUP(A76,Discrete_NFET[PARTNUMBER],Discrete_NFET[RDSON25])*1000,""))))))</f>
        <v>14</v>
      </c>
      <c r="V76" s="48">
        <f>IF(AND(A76&lt;&gt;0,A76&lt;&gt;""),U76*(1+(Tj-25)*(LOOKUP(A76,Discrete_NFET[PARTNUMBER],Discrete_NFET[RDSDELTA])/((LOOKUP(A76,Discrete_NFET[PARTNUMBER],Discrete_NFET[TJMAX])-25)))),"")</f>
        <v>16.193333333333335</v>
      </c>
      <c r="W76" s="35">
        <f>IF(AND($A76&lt;&gt;0,$A76&lt;&gt;""),LOOKUP($A76,Discrete_NFET[PARTNUMBER],Discrete_NFET[QGS]),"")</f>
        <v>5.2</v>
      </c>
      <c r="X76" s="35">
        <f>IF(AND($A76&lt;&gt;0,$A76&lt;&gt;""),LOOKUP($A76,Discrete_NFET[PARTNUMBER],Discrete_NFET[QGD]),"")</f>
        <v>2.2999999999999998</v>
      </c>
      <c r="Y76" s="35">
        <f>IF(AND($A76&lt;&gt;0,$A76&lt;&gt;""),LOOKUP($A76,Discrete_NFET[PARTNUMBER],Discrete_NFET[QGTH]),"")</f>
        <v>3.3</v>
      </c>
      <c r="Z76" s="35">
        <f t="shared" si="50"/>
        <v>4.2</v>
      </c>
      <c r="AA76" s="35">
        <f>IF(AND($A76&lt;&gt;0,$A76&lt;&gt;""),LOOKUP($A76,Discrete_NFET[PARTNUMBER],Discrete_NFET[QOSSTYP]),"")</f>
        <v>25</v>
      </c>
      <c r="AB76" s="35">
        <f>IF(AND($A76&lt;&gt;0,$A76&lt;&gt;""),LOOKUP($A76,Discrete_NFET[PARTNUMBER],Discrete_NFET[QRR]),"")</f>
        <v>77</v>
      </c>
      <c r="AC76" s="35">
        <f>IF(AND(A76&lt;&gt;0,A76&lt;&gt;""),LOOKUP(A76,Discrete_NFET[PARTNUMBER],Discrete_NFET[VF_TYP]),"")</f>
        <v>0.9</v>
      </c>
      <c r="AD76" s="127">
        <f>IF(AND($A76&lt;&gt;0,$A76&lt;&gt;"",OR(RIGHT(Logic!B76,2)="C)",LEFT(Logic!B76,4)="CSD1")),(1+(1-DUTY))*IM_RMS_120^2*V76*m/3/Num_FETS2,"")</f>
        <v>0.68141960346773367</v>
      </c>
      <c r="AE76" s="127">
        <f>IF(AND($A76&lt;&gt;0,$A76&lt;&gt;"",OR(RIGHT(Logic!B76,2)="C)",LEFT(Logic!B76,4)="CSD1")),Num_FETS2*0.5*IM_RMS_120*VDC_AVG*Z76*n*MOT_ELEC_FREQ/GDR_SRC,"")</f>
        <v>1.3544891640866875E-5</v>
      </c>
      <c r="AF76" s="127">
        <f>IF(AND($A76&lt;&gt;0,$A76&lt;&gt;"",OR(RIGHT(Logic!B76,2)="C)",LEFT(Logic!B76,4)="CSD1")),Num_FETS2*0.5*IM_RMS_120*VDC_AVG*Z76*n*MOT_ELEC_FREQ/GDR_SINK,"")</f>
        <v>9.2105263157894754E-6</v>
      </c>
      <c r="AG76" s="127">
        <f>IF(AND($A76&lt;&gt;0,$A76&lt;&gt;"",OR(RIGHT(Logic!B76,2)="T)",LEFT(Logic!B76,4)="CSD1")),DUTY*IM_RMS_120^2*V76*m/3/Num_FETS2,"")</f>
        <v>0.6165224983755685</v>
      </c>
      <c r="AH76" s="127">
        <f>IF(AND($A76&lt;&gt;0,$A76&lt;&gt;"",OR(RIGHT(Logic!B76,2)="T)",LEFT(Logic!B76,4)="CSD1")),Num_FETS2*0.5*IM_RMS_120*VDC_AVG*Z76*n*FSW*k/GDR_SRC/3,"")</f>
        <v>2.7089783281733747E-3</v>
      </c>
      <c r="AI76" s="127">
        <f>IF(AND($A76&lt;&gt;0,$A76&lt;&gt;"",OR(RIGHT(Logic!B76,2)="T)",LEFT(Logic!B76,4)="CSD1")),Num_FETS2*0.5*IM_RMS_120*VDC_AVG*Z76*n*FSW*k/GDR_SINK/3,"")</f>
        <v>1.8421052631578949E-3</v>
      </c>
      <c r="AJ76" s="127">
        <f t="shared" si="34"/>
        <v>3.0000000000000001E-3</v>
      </c>
      <c r="AK76" s="127">
        <f t="shared" si="36"/>
        <v>1.3966388884290052E-2</v>
      </c>
      <c r="AL76" s="127">
        <f t="shared" si="35"/>
        <v>1.8510800000000001E-2</v>
      </c>
      <c r="AM76" s="127">
        <f t="shared" si="51"/>
        <v>0.41899166652870157</v>
      </c>
      <c r="AN76" s="127">
        <f>IF(AND($A76&lt;&gt;0,$A76&lt;&gt;"",OR(RIGHT(Logic!B76,2)="C)",LEFT(Logic!B76,4)="CSD1")),SUM(AD76:AF76)+(AJ76/3)+AK76+AL76/6+AM76/6,AN77)</f>
        <v>0.76932582552476392</v>
      </c>
      <c r="AO76" s="127">
        <f>IF(AND($A76&lt;&gt;0,$A76&lt;&gt;"",OR(RIGHT(Logic!B76,2)="T)",LEFT(Logic!B76,4)="CSD1")),SUM(AG76:AI76)+(AJ76/3)+AL76/6+AM76/6,AO75)</f>
        <v>0.69499065972168339</v>
      </c>
      <c r="AP76" s="48">
        <f t="shared" si="52"/>
        <v>1.46</v>
      </c>
      <c r="AQ76" s="35" t="str">
        <f>IF(AND(A76&lt;&gt;0,A76&lt;&gt;""),LOOKUP(A76,Discrete_NFET[PARTNUMBER],Discrete_NFET[TI_EQ_PACKAGE]),"")</f>
        <v>TO-220</v>
      </c>
      <c r="AR76" s="49">
        <f>IF(AND(A76&lt;&gt;0,A76&lt;&gt;""),LOOKUP(A76,Discrete_NFET[PARTNUMBER],Discrete_NFET[1KPRICE]),"")</f>
        <v>0.39</v>
      </c>
      <c r="AS76" s="35" t="str">
        <f>IF(AND($A76&lt;&gt;0,$A76&lt;&gt;""),CONCATENATE(TEXT(AP76,"0.00"),"W, ",IF('User Input'!G$11="Single Discrete",A76,IF('User Input'!G$11="Dual/Power Block",LEFT(A76,FIND(")",A76)-7),A76)),", ",AQ76,", ",TEXT(AR76,"$0.00")),"Invalid Part")</f>
        <v>1.46W, CSD18537NKCS, TO-220, $0.39</v>
      </c>
      <c r="AT76" t="s">
        <v>834</v>
      </c>
      <c r="AW76"/>
    </row>
    <row r="77" spans="1:49" ht="15" customHeight="1" x14ac:dyDescent="0.25">
      <c r="A77" s="35" t="str">
        <f>IF(OR(AND(FET_config2="Dual/Power Block",LEFT(Logic!B77,4)="CSD8"),AND(FET_config2="Single Discrete",LEFT(Logic!B77,4)="CSD1")),Logic!B77,"")</f>
        <v>CSD18537NQ5A</v>
      </c>
      <c r="B77" s="37" t="str">
        <f>IF(OR($A77=0,$A77=""),"0",IF(LOOKUP($A77,Discrete_NFET[PARTNUMBER],Discrete_NFET[RDSON25])="(NULL)","0","1"))</f>
        <v>0</v>
      </c>
      <c r="C77" s="38" t="str">
        <f>IF(OR($A77=0,$A77=""),"0",IF(LOOKUP($A77,Discrete_NFET[PARTNUMBER],Discrete_NFET[RDSON3])="(NULL)","0","1"))</f>
        <v>0</v>
      </c>
      <c r="D77" s="40" t="str">
        <f>IF(OR($A77=0,$A77=""),"0",IF(LOOKUP($A77,Discrete_NFET[PARTNUMBER],Discrete_NFET[RDSON45])="(NULL)","0","1"))</f>
        <v>0</v>
      </c>
      <c r="E77" s="45" t="str">
        <f>IF(OR($A77=0,$A77=""),"0",IF(LOOKUP($A77,Discrete_NFET[PARTNUMBER],Discrete_NFET[RDSON6])="(NULL)","0","1"))</f>
        <v>1</v>
      </c>
      <c r="F77" s="34" t="str">
        <f>IF(OR($A77=0,$A77=""),"0",IF(LOOKUP($A77,Discrete_NFET[PARTNUMBER],Discrete_NFET[RDSON8])="(NULL)","0","1"))</f>
        <v>0</v>
      </c>
      <c r="G77" s="43" t="str">
        <f>IF(OR($A77=0,$A77=""),"0",IF(LOOKUP($A77,Discrete_NFET[PARTNUMBER],Discrete_NFET[RDSON10])="(NULL)","0","1"))</f>
        <v>1</v>
      </c>
      <c r="H77" s="36" t="b">
        <f t="shared" si="37"/>
        <v>0</v>
      </c>
      <c r="I77" s="39" t="b">
        <f t="shared" si="38"/>
        <v>0</v>
      </c>
      <c r="J77" s="41" t="b">
        <f t="shared" si="39"/>
        <v>0</v>
      </c>
      <c r="K77" s="46" t="b">
        <f t="shared" si="40"/>
        <v>1</v>
      </c>
      <c r="L77" s="42" t="b">
        <f t="shared" si="41"/>
        <v>0</v>
      </c>
      <c r="M77" s="44" t="b">
        <f t="shared" si="42"/>
        <v>1</v>
      </c>
      <c r="N77" s="47" t="b">
        <f t="shared" si="43"/>
        <v>1</v>
      </c>
      <c r="O77" s="36" t="b">
        <f t="shared" si="44"/>
        <v>0</v>
      </c>
      <c r="P77" s="39" t="b">
        <f t="shared" si="45"/>
        <v>0</v>
      </c>
      <c r="Q77" s="41" t="b">
        <f t="shared" si="46"/>
        <v>0</v>
      </c>
      <c r="R77" s="46" t="b">
        <f t="shared" si="47"/>
        <v>1</v>
      </c>
      <c r="S77" s="42" t="b">
        <f t="shared" si="48"/>
        <v>0</v>
      </c>
      <c r="T77" s="44" t="b">
        <f t="shared" si="49"/>
        <v>1</v>
      </c>
      <c r="U77" s="148">
        <f>IF(T77,LOOKUP(A77,Discrete_NFET[PARTNUMBER],Discrete_NFET[RDSON10])*1000,IF(S77,LOOKUP(A77,Discrete_NFET[PARTNUMBER],Discrete_NFET[RDSON8])*1000,IF(R77,LOOKUP(A77,Discrete_NFET[PARTNUMBER],Discrete_NFET[RDSON6])*1000,IF(Q77,LOOKUP(A77,Discrete_NFET[PARTNUMBER],Discrete_NFET[RDSON45])*1000,IF(P77,LOOKUP(A77,Discrete_NFET[PARTNUMBER],Discrete_NFET[RDSON3])*1000,IF(O77,LOOKUP(A77,Discrete_NFET[PARTNUMBER],Discrete_NFET[RDSON25])*1000,""))))))</f>
        <v>13</v>
      </c>
      <c r="V77" s="48">
        <f>IF(AND(A77&lt;&gt;0,A77&lt;&gt;""),U77*(1+(Tj-25)*(LOOKUP(A77,Discrete_NFET[PARTNUMBER],Discrete_NFET[RDSDELTA])/((LOOKUP(A77,Discrete_NFET[PARTNUMBER],Discrete_NFET[TJMAX])-25)))),"")</f>
        <v>15.469999999999999</v>
      </c>
      <c r="W77" s="35">
        <f>IF(AND($A77&lt;&gt;0,$A77&lt;&gt;""),LOOKUP($A77,Discrete_NFET[PARTNUMBER],Discrete_NFET[QGS]),"")</f>
        <v>4.7</v>
      </c>
      <c r="X77" s="35">
        <f>IF(AND($A77&lt;&gt;0,$A77&lt;&gt;""),LOOKUP($A77,Discrete_NFET[PARTNUMBER],Discrete_NFET[QGD]),"")</f>
        <v>2.2999999999999998</v>
      </c>
      <c r="Y77" s="35">
        <f>IF(AND($A77&lt;&gt;0,$A77&lt;&gt;""),LOOKUP($A77,Discrete_NFET[PARTNUMBER],Discrete_NFET[QGTH]),"")</f>
        <v>3.3</v>
      </c>
      <c r="Z77" s="35">
        <f t="shared" si="50"/>
        <v>3.7</v>
      </c>
      <c r="AA77" s="35">
        <f>IF(AND($A77&lt;&gt;0,$A77&lt;&gt;""),LOOKUP($A77,Discrete_NFET[PARTNUMBER],Discrete_NFET[QOSSTYP]),"")</f>
        <v>25</v>
      </c>
      <c r="AB77" s="35">
        <f>IF(AND($A77&lt;&gt;0,$A77&lt;&gt;""),LOOKUP($A77,Discrete_NFET[PARTNUMBER],Discrete_NFET[QRR]),"")</f>
        <v>54</v>
      </c>
      <c r="AC77" s="35">
        <f>IF(AND(A77&lt;&gt;0,A77&lt;&gt;""),LOOKUP(A77,Discrete_NFET[PARTNUMBER],Discrete_NFET[VF_TYP]),"")</f>
        <v>0.8</v>
      </c>
      <c r="AD77" s="127">
        <f>IF(AND($A77&lt;&gt;0,$A77&lt;&gt;"",OR(RIGHT(Logic!B77,2)="C)",LEFT(Logic!B77,4)="CSD1")),(1+(1-DUTY))*IM_RMS_120^2*V77*m/3/Num_FETS2,"")</f>
        <v>0.65098155201600472</v>
      </c>
      <c r="AE77" s="127">
        <f>IF(AND($A77&lt;&gt;0,$A77&lt;&gt;"",OR(RIGHT(Logic!B77,2)="C)",LEFT(Logic!B77,4)="CSD1")),Num_FETS2*0.5*IM_RMS_120*VDC_AVG*Z77*n*MOT_ELEC_FREQ/GDR_SRC,"")</f>
        <v>1.1932404540763674E-5</v>
      </c>
      <c r="AF77" s="127">
        <f>IF(AND($A77&lt;&gt;0,$A77&lt;&gt;"",OR(RIGHT(Logic!B77,2)="C)",LEFT(Logic!B77,4)="CSD1")),Num_FETS2*0.5*IM_RMS_120*VDC_AVG*Z77*n*MOT_ELEC_FREQ/GDR_SINK,"")</f>
        <v>8.1140350877192992E-6</v>
      </c>
      <c r="AG77" s="127">
        <f>IF(AND($A77&lt;&gt;0,$A77&lt;&gt;"",OR(RIGHT(Logic!B77,2)="T)",LEFT(Logic!B77,4)="CSD1")),DUTY*IM_RMS_120^2*V77*m/3/Num_FETS2,"")</f>
        <v>0.58898330896686135</v>
      </c>
      <c r="AH77" s="127">
        <f>IF(AND($A77&lt;&gt;0,$A77&lt;&gt;"",OR(RIGHT(Logic!B77,2)="T)",LEFT(Logic!B77,4)="CSD1")),Num_FETS2*0.5*IM_RMS_120*VDC_AVG*Z77*n*FSW*k/GDR_SRC/3,"")</f>
        <v>2.3864809081527343E-3</v>
      </c>
      <c r="AI77" s="127">
        <f>IF(AND($A77&lt;&gt;0,$A77&lt;&gt;"",OR(RIGHT(Logic!B77,2)="T)",LEFT(Logic!B77,4)="CSD1")),Num_FETS2*0.5*IM_RMS_120*VDC_AVG*Z77*n*FSW*k/GDR_SINK/3,"")</f>
        <v>1.6228070175438594E-3</v>
      </c>
      <c r="AJ77" s="127">
        <f t="shared" si="34"/>
        <v>3.0000000000000001E-3</v>
      </c>
      <c r="AK77" s="127">
        <f t="shared" si="36"/>
        <v>1.2414567897146714E-2</v>
      </c>
      <c r="AL77" s="127">
        <f t="shared" si="35"/>
        <v>1.2981600000000001E-2</v>
      </c>
      <c r="AM77" s="127">
        <f t="shared" si="51"/>
        <v>0.37243703691440144</v>
      </c>
      <c r="AN77" s="127">
        <f>IF(AND($A77&lt;&gt;0,$A77&lt;&gt;"",OR(RIGHT(Logic!B77,2)="C)",LEFT(Logic!B77,4)="CSD1")),SUM(AD77:AF77)+(AJ77/3)+AK77+AL77/6+AM77/6,AN78)</f>
        <v>0.72865260583851355</v>
      </c>
      <c r="AO77" s="127">
        <f>IF(AND($A77&lt;&gt;0,$A77&lt;&gt;"",OR(RIGHT(Logic!B77,2)="T)",LEFT(Logic!B77,4)="CSD1")),SUM(AG77:AI77)+(AJ77/3)+AL77/6+AM77/6,AO76)</f>
        <v>0.65822903637829167</v>
      </c>
      <c r="AP77" s="48">
        <f t="shared" si="52"/>
        <v>1.39</v>
      </c>
      <c r="AQ77" s="35" t="str">
        <f>IF(AND(A77&lt;&gt;0,A77&lt;&gt;""),LOOKUP(A77,Discrete_NFET[PARTNUMBER],Discrete_NFET[TI_EQ_PACKAGE]),"")</f>
        <v>SON5X6</v>
      </c>
      <c r="AR77" s="49">
        <f>IF(AND(A77&lt;&gt;0,A77&lt;&gt;""),LOOKUP(A77,Discrete_NFET[PARTNUMBER],Discrete_NFET[1KPRICE]),"")</f>
        <v>0.26</v>
      </c>
      <c r="AS77" s="35" t="str">
        <f>IF(AND($A77&lt;&gt;0,$A77&lt;&gt;""),CONCATENATE(TEXT(AP77,"0.00"),"W, ",IF('User Input'!G$11="Single Discrete",A77,IF('User Input'!G$11="Dual/Power Block",LEFT(A77,FIND(")",A77)-7),A77)),", ",AQ77,", ",TEXT(AR77,"$0.00")),"Invalid Part")</f>
        <v>1.39W, CSD18537NQ5A, SON5X6, $0.26</v>
      </c>
      <c r="AT77" t="s">
        <v>801</v>
      </c>
      <c r="AW77"/>
    </row>
    <row r="78" spans="1:49" ht="15" customHeight="1" x14ac:dyDescent="0.25">
      <c r="A78" s="35" t="str">
        <f>IF(OR(AND(FET_config2="Dual/Power Block",LEFT(Logic!B78,4)="CSD8"),AND(FET_config2="Single Discrete",LEFT(Logic!B78,4)="CSD1")),Logic!B78,"")</f>
        <v>CSD18540Q5B</v>
      </c>
      <c r="B78" s="37" t="str">
        <f>IF(OR($A78=0,$A78=""),"0",IF(LOOKUP($A78,Discrete_NFET[PARTNUMBER],Discrete_NFET[RDSON25])="(NULL)","0","1"))</f>
        <v>0</v>
      </c>
      <c r="C78" s="38" t="str">
        <f>IF(OR($A78=0,$A78=""),"0",IF(LOOKUP($A78,Discrete_NFET[PARTNUMBER],Discrete_NFET[RDSON3])="(NULL)","0","1"))</f>
        <v>0</v>
      </c>
      <c r="D78" s="40" t="str">
        <f>IF(OR($A78=0,$A78=""),"0",IF(LOOKUP($A78,Discrete_NFET[PARTNUMBER],Discrete_NFET[RDSON45])="(NULL)","0","1"))</f>
        <v>1</v>
      </c>
      <c r="E78" s="45" t="str">
        <f>IF(OR($A78=0,$A78=""),"0",IF(LOOKUP($A78,Discrete_NFET[PARTNUMBER],Discrete_NFET[RDSON6])="(NULL)","0","1"))</f>
        <v>0</v>
      </c>
      <c r="F78" s="34" t="str">
        <f>IF(OR($A78=0,$A78=""),"0",IF(LOOKUP($A78,Discrete_NFET[PARTNUMBER],Discrete_NFET[RDSON8])="(NULL)","0","1"))</f>
        <v>0</v>
      </c>
      <c r="G78" s="43" t="str">
        <f>IF(OR($A78=0,$A78=""),"0",IF(LOOKUP($A78,Discrete_NFET[PARTNUMBER],Discrete_NFET[RDSON10])="(NULL)","0","1"))</f>
        <v>1</v>
      </c>
      <c r="H78" s="36" t="b">
        <f t="shared" si="37"/>
        <v>0</v>
      </c>
      <c r="I78" s="39" t="b">
        <f t="shared" si="38"/>
        <v>0</v>
      </c>
      <c r="J78" s="41" t="b">
        <f t="shared" si="39"/>
        <v>1</v>
      </c>
      <c r="K78" s="46" t="b">
        <f t="shared" si="40"/>
        <v>0</v>
      </c>
      <c r="L78" s="42" t="b">
        <f t="shared" si="41"/>
        <v>0</v>
      </c>
      <c r="M78" s="44" t="b">
        <f t="shared" si="42"/>
        <v>1</v>
      </c>
      <c r="N78" s="47" t="b">
        <f t="shared" si="43"/>
        <v>1</v>
      </c>
      <c r="O78" s="36" t="b">
        <f t="shared" si="44"/>
        <v>0</v>
      </c>
      <c r="P78" s="39" t="b">
        <f t="shared" si="45"/>
        <v>0</v>
      </c>
      <c r="Q78" s="41" t="b">
        <f t="shared" si="46"/>
        <v>1</v>
      </c>
      <c r="R78" s="46" t="b">
        <f t="shared" si="47"/>
        <v>0</v>
      </c>
      <c r="S78" s="42" t="b">
        <f t="shared" si="48"/>
        <v>0</v>
      </c>
      <c r="T78" s="44" t="b">
        <f t="shared" si="49"/>
        <v>1</v>
      </c>
      <c r="U78" s="148">
        <f>IF(T78,LOOKUP(A78,Discrete_NFET[PARTNUMBER],Discrete_NFET[RDSON10])*1000,IF(S78,LOOKUP(A78,Discrete_NFET[PARTNUMBER],Discrete_NFET[RDSON8])*1000,IF(R78,LOOKUP(A78,Discrete_NFET[PARTNUMBER],Discrete_NFET[RDSON6])*1000,IF(Q78,LOOKUP(A78,Discrete_NFET[PARTNUMBER],Discrete_NFET[RDSON45])*1000,IF(P78,LOOKUP(A78,Discrete_NFET[PARTNUMBER],Discrete_NFET[RDSON3])*1000,IF(O78,LOOKUP(A78,Discrete_NFET[PARTNUMBER],Discrete_NFET[RDSON25])*1000,""))))))</f>
        <v>2.2000000000000002</v>
      </c>
      <c r="V78" s="48">
        <f>IF(AND(A78&lt;&gt;0,A78&lt;&gt;""),U78*(1+(Tj-25)*(LOOKUP(A78,Discrete_NFET[PARTNUMBER],Discrete_NFET[RDSDELTA])/((LOOKUP(A78,Discrete_NFET[PARTNUMBER],Discrete_NFET[TJMAX])-25)))),"")</f>
        <v>2.500666666666667</v>
      </c>
      <c r="W78" s="35">
        <f>IF(AND($A78&lt;&gt;0,$A78&lt;&gt;""),LOOKUP($A78,Discrete_NFET[PARTNUMBER],Discrete_NFET[QGS]),"")</f>
        <v>8.6</v>
      </c>
      <c r="X78" s="35">
        <f>IF(AND($A78&lt;&gt;0,$A78&lt;&gt;""),LOOKUP($A78,Discrete_NFET[PARTNUMBER],Discrete_NFET[QGD]),"")</f>
        <v>6.7</v>
      </c>
      <c r="Y78" s="35">
        <f>IF(AND($A78&lt;&gt;0,$A78&lt;&gt;""),LOOKUP($A78,Discrete_NFET[PARTNUMBER],Discrete_NFET[QGTH]),"")</f>
        <v>6.3</v>
      </c>
      <c r="Z78" s="35">
        <f t="shared" si="50"/>
        <v>9</v>
      </c>
      <c r="AA78" s="35">
        <f>IF(AND($A78&lt;&gt;0,$A78&lt;&gt;""),LOOKUP($A78,Discrete_NFET[PARTNUMBER],Discrete_NFET[QOSSTYP]),"")</f>
        <v>83</v>
      </c>
      <c r="AB78" s="35">
        <f>IF(AND($A78&lt;&gt;0,$A78&lt;&gt;""),LOOKUP($A78,Discrete_NFET[PARTNUMBER],Discrete_NFET[QRR]),"")</f>
        <v>145</v>
      </c>
      <c r="AC78" s="35">
        <f>IF(AND(A78&lt;&gt;0,A78&lt;&gt;""),LOOKUP(A78,Discrete_NFET[PARTNUMBER],Discrete_NFET[VF_TYP]),"")</f>
        <v>0.8</v>
      </c>
      <c r="AD78" s="127">
        <f>IF(AND($A78&lt;&gt;0,$A78&lt;&gt;"",OR(RIGHT(Logic!B78,2)="C)",LEFT(Logic!B78,4)="CSD1")),(1+(1-DUTY))*IM_RMS_120^2*V78*m/3/Num_FETS2,"")</f>
        <v>0.10522869216169077</v>
      </c>
      <c r="AE78" s="127">
        <f>IF(AND($A78&lt;&gt;0,$A78&lt;&gt;"",OR(RIGHT(Logic!B78,2)="C)",LEFT(Logic!B78,4)="CSD1")),Num_FETS2*0.5*IM_RMS_120*VDC_AVG*Z78*n*MOT_ELEC_FREQ/GDR_SRC,"")</f>
        <v>2.9024767801857583E-5</v>
      </c>
      <c r="AF78" s="127">
        <f>IF(AND($A78&lt;&gt;0,$A78&lt;&gt;"",OR(RIGHT(Logic!B78,2)="C)",LEFT(Logic!B78,4)="CSD1")),Num_FETS2*0.5*IM_RMS_120*VDC_AVG*Z78*n*MOT_ELEC_FREQ/GDR_SINK,"")</f>
        <v>1.9736842105263158E-5</v>
      </c>
      <c r="AG78" s="127">
        <f>IF(AND($A78&lt;&gt;0,$A78&lt;&gt;"",OR(RIGHT(Logic!B78,2)="T)",LEFT(Logic!B78,4)="CSD1")),DUTY*IM_RMS_120^2*V78*m/3/Num_FETS2,"")</f>
        <v>9.5206911955815446E-2</v>
      </c>
      <c r="AH78" s="127">
        <f>IF(AND($A78&lt;&gt;0,$A78&lt;&gt;"",OR(RIGHT(Logic!B78,2)="T)",LEFT(Logic!B78,4)="CSD1")),Num_FETS2*0.5*IM_RMS_120*VDC_AVG*Z78*n*FSW*k/GDR_SRC/3,"")</f>
        <v>5.8049535603715155E-3</v>
      </c>
      <c r="AI78" s="127">
        <f>IF(AND($A78&lt;&gt;0,$A78&lt;&gt;"",OR(RIGHT(Logic!B78,2)="T)",LEFT(Logic!B78,4)="CSD1")),Num_FETS2*0.5*IM_RMS_120*VDC_AVG*Z78*n*FSW*k/GDR_SINK/3,"")</f>
        <v>3.9473684210526308E-3</v>
      </c>
      <c r="AJ78" s="127">
        <f t="shared" si="34"/>
        <v>9.9600000000000001E-3</v>
      </c>
      <c r="AK78" s="127">
        <f t="shared" si="36"/>
        <v>1.2414567897146714E-2</v>
      </c>
      <c r="AL78" s="127">
        <f t="shared" si="35"/>
        <v>3.4858E-2</v>
      </c>
      <c r="AM78" s="127">
        <f t="shared" si="51"/>
        <v>0.37243703691440144</v>
      </c>
      <c r="AN78" s="127">
        <f>IF(AND($A78&lt;&gt;0,$A78&lt;&gt;"",OR(RIGHT(Logic!B78,2)="C)",LEFT(Logic!B78,4)="CSD1")),SUM(AD78:AF78)+(AJ78/3)+AK78+AL78/6+AM78/6,AN79)</f>
        <v>0.18889452782114485</v>
      </c>
      <c r="AO78" s="127">
        <f>IF(AND($A78&lt;&gt;0,$A78&lt;&gt;"",OR(RIGHT(Logic!B78,2)="T)",LEFT(Logic!B78,4)="CSD1")),SUM(AG78:AI78)+(AJ78/3)+AL78/6+AM78/6,AO77)</f>
        <v>0.17616174008963983</v>
      </c>
      <c r="AP78" s="48">
        <f t="shared" si="52"/>
        <v>0.37</v>
      </c>
      <c r="AQ78" s="35" t="str">
        <f>IF(AND(A78&lt;&gt;0,A78&lt;&gt;""),LOOKUP(A78,Discrete_NFET[PARTNUMBER],Discrete_NFET[TI_EQ_PACKAGE]),"")</f>
        <v>SON5X6</v>
      </c>
      <c r="AR78" s="49">
        <f>IF(AND(A78&lt;&gt;0,A78&lt;&gt;""),LOOKUP(A78,Discrete_NFET[PARTNUMBER],Discrete_NFET[1KPRICE]),"")</f>
        <v>0.83</v>
      </c>
      <c r="AS78" s="35" t="str">
        <f>IF(AND($A78&lt;&gt;0,$A78&lt;&gt;""),CONCATENATE(TEXT(AP78,"0.00"),"W, ",IF('User Input'!G$11="Single Discrete",A78,IF('User Input'!G$11="Dual/Power Block",LEFT(A78,FIND(")",A78)-7),A78)),", ",AQ78,", ",TEXT(AR78,"$0.00")),"Invalid Part")</f>
        <v>0.37W, CSD18540Q5B, SON5X6, $0.83</v>
      </c>
      <c r="AT78" t="s">
        <v>860</v>
      </c>
      <c r="AW78"/>
    </row>
    <row r="79" spans="1:49" ht="15" customHeight="1" x14ac:dyDescent="0.25">
      <c r="A79" s="35" t="str">
        <f>IF(OR(AND(FET_config2="Dual/Power Block",LEFT(Logic!B79,4)="CSD8"),AND(FET_config2="Single Discrete",LEFT(Logic!B79,4)="CSD1")),Logic!B79,"")</f>
        <v>CSD18542KCS</v>
      </c>
      <c r="B79" s="37" t="str">
        <f>IF(OR($A79=0,$A79=""),"0",IF(LOOKUP($A79,Discrete_NFET[PARTNUMBER],Discrete_NFET[RDSON25])="(NULL)","0","1"))</f>
        <v>0</v>
      </c>
      <c r="C79" s="38" t="str">
        <f>IF(OR($A79=0,$A79=""),"0",IF(LOOKUP($A79,Discrete_NFET[PARTNUMBER],Discrete_NFET[RDSON3])="(NULL)","0","1"))</f>
        <v>0</v>
      </c>
      <c r="D79" s="40" t="str">
        <f>IF(OR($A79=0,$A79=""),"0",IF(LOOKUP($A79,Discrete_NFET[PARTNUMBER],Discrete_NFET[RDSON45])="(NULL)","0","1"))</f>
        <v>1</v>
      </c>
      <c r="E79" s="45" t="str">
        <f>IF(OR($A79=0,$A79=""),"0",IF(LOOKUP($A79,Discrete_NFET[PARTNUMBER],Discrete_NFET[RDSON6])="(NULL)","0","1"))</f>
        <v>0</v>
      </c>
      <c r="F79" s="34" t="str">
        <f>IF(OR($A79=0,$A79=""),"0",IF(LOOKUP($A79,Discrete_NFET[PARTNUMBER],Discrete_NFET[RDSON8])="(NULL)","0","1"))</f>
        <v>0</v>
      </c>
      <c r="G79" s="43" t="str">
        <f>IF(OR($A79=0,$A79=""),"0",IF(LOOKUP($A79,Discrete_NFET[PARTNUMBER],Discrete_NFET[RDSON10])="(NULL)","0","1"))</f>
        <v>1</v>
      </c>
      <c r="H79" s="36" t="b">
        <f t="shared" si="37"/>
        <v>0</v>
      </c>
      <c r="I79" s="39" t="b">
        <f t="shared" si="38"/>
        <v>0</v>
      </c>
      <c r="J79" s="41" t="b">
        <f t="shared" si="39"/>
        <v>1</v>
      </c>
      <c r="K79" s="46" t="b">
        <f t="shared" si="40"/>
        <v>0</v>
      </c>
      <c r="L79" s="42" t="b">
        <f t="shared" si="41"/>
        <v>0</v>
      </c>
      <c r="M79" s="44" t="b">
        <f t="shared" si="42"/>
        <v>1</v>
      </c>
      <c r="N79" s="47" t="b">
        <f t="shared" si="43"/>
        <v>1</v>
      </c>
      <c r="O79" s="36" t="b">
        <f t="shared" si="44"/>
        <v>0</v>
      </c>
      <c r="P79" s="39" t="b">
        <f t="shared" si="45"/>
        <v>0</v>
      </c>
      <c r="Q79" s="41" t="b">
        <f t="shared" si="46"/>
        <v>1</v>
      </c>
      <c r="R79" s="46" t="b">
        <f t="shared" si="47"/>
        <v>0</v>
      </c>
      <c r="S79" s="42" t="b">
        <f t="shared" si="48"/>
        <v>0</v>
      </c>
      <c r="T79" s="44" t="b">
        <f t="shared" si="49"/>
        <v>1</v>
      </c>
      <c r="U79" s="148">
        <f>IF(T79,LOOKUP(A79,Discrete_NFET[PARTNUMBER],Discrete_NFET[RDSON10])*1000,IF(S79,LOOKUP(A79,Discrete_NFET[PARTNUMBER],Discrete_NFET[RDSON8])*1000,IF(R79,LOOKUP(A79,Discrete_NFET[PARTNUMBER],Discrete_NFET[RDSON6])*1000,IF(Q79,LOOKUP(A79,Discrete_NFET[PARTNUMBER],Discrete_NFET[RDSON45])*1000,IF(P79,LOOKUP(A79,Discrete_NFET[PARTNUMBER],Discrete_NFET[RDSON3])*1000,IF(O79,LOOKUP(A79,Discrete_NFET[PARTNUMBER],Discrete_NFET[RDSON25])*1000,""))))))</f>
        <v>4</v>
      </c>
      <c r="V79" s="48">
        <f>IF(AND(A79&lt;&gt;0,A79&lt;&gt;""),U79*(1+(Tj-25)*(LOOKUP(A79,Discrete_NFET[PARTNUMBER],Discrete_NFET[RDSDELTA])/((LOOKUP(A79,Discrete_NFET[PARTNUMBER],Discrete_NFET[TJMAX])-25)))),"")</f>
        <v>4.6266666666666669</v>
      </c>
      <c r="W79" s="35">
        <f>IF(AND($A79&lt;&gt;0,$A79&lt;&gt;""),LOOKUP($A79,Discrete_NFET[PARTNUMBER],Discrete_NFET[QGS]),"")</f>
        <v>10</v>
      </c>
      <c r="X79" s="35">
        <f>IF(AND($A79&lt;&gt;0,$A79&lt;&gt;""),LOOKUP($A79,Discrete_NFET[PARTNUMBER],Discrete_NFET[QGD]),"")</f>
        <v>6.9</v>
      </c>
      <c r="Y79" s="35">
        <f>IF(AND($A79&lt;&gt;0,$A79&lt;&gt;""),LOOKUP($A79,Discrete_NFET[PARTNUMBER],Discrete_NFET[QGTH]),"")</f>
        <v>7.3</v>
      </c>
      <c r="Z79" s="35">
        <f t="shared" si="50"/>
        <v>9.5999999999999979</v>
      </c>
      <c r="AA79" s="35">
        <f>IF(AND($A79&lt;&gt;0,$A79&lt;&gt;""),LOOKUP($A79,Discrete_NFET[PARTNUMBER],Discrete_NFET[QOSSTYP]),"")</f>
        <v>63</v>
      </c>
      <c r="AB79" s="35">
        <f>IF(AND($A79&lt;&gt;0,$A79&lt;&gt;""),LOOKUP($A79,Discrete_NFET[PARTNUMBER],Discrete_NFET[QRR]),"")</f>
        <v>148</v>
      </c>
      <c r="AC79" s="35">
        <f>IF(AND(A79&lt;&gt;0,A79&lt;&gt;""),LOOKUP(A79,Discrete_NFET[PARTNUMBER],Discrete_NFET[VF_TYP]),"")</f>
        <v>0.9</v>
      </c>
      <c r="AD79" s="127">
        <f>IF(AND($A79&lt;&gt;0,$A79&lt;&gt;"",OR(RIGHT(Logic!B79,2)="C)",LEFT(Logic!B79,4)="CSD1")),(1+(1-DUTY))*IM_RMS_120^2*V79*m/3/Num_FETS2,"")</f>
        <v>0.1946913152764953</v>
      </c>
      <c r="AE79" s="127">
        <f>IF(AND($A79&lt;&gt;0,$A79&lt;&gt;"",OR(RIGHT(Logic!B79,2)="C)",LEFT(Logic!B79,4)="CSD1")),Num_FETS2*0.5*IM_RMS_120*VDC_AVG*Z79*n*MOT_ELEC_FREQ/GDR_SRC,"")</f>
        <v>3.0959752321981418E-5</v>
      </c>
      <c r="AF79" s="127">
        <f>IF(AND($A79&lt;&gt;0,$A79&lt;&gt;"",OR(RIGHT(Logic!B79,2)="C)",LEFT(Logic!B79,4)="CSD1")),Num_FETS2*0.5*IM_RMS_120*VDC_AVG*Z79*n*MOT_ELEC_FREQ/GDR_SINK,"")</f>
        <v>2.1052631578947366E-5</v>
      </c>
      <c r="AG79" s="127">
        <f>IF(AND($A79&lt;&gt;0,$A79&lt;&gt;"",OR(RIGHT(Logic!B79,2)="T)",LEFT(Logic!B79,4)="CSD1")),DUTY*IM_RMS_120^2*V79*m/3/Num_FETS2,"")</f>
        <v>0.17614928525016238</v>
      </c>
      <c r="AH79" s="127">
        <f>IF(AND($A79&lt;&gt;0,$A79&lt;&gt;"",OR(RIGHT(Logic!B79,2)="T)",LEFT(Logic!B79,4)="CSD1")),Num_FETS2*0.5*IM_RMS_120*VDC_AVG*Z79*n*FSW*k/GDR_SRC/3,"")</f>
        <v>6.1919504643962826E-3</v>
      </c>
      <c r="AI79" s="127">
        <f>IF(AND($A79&lt;&gt;0,$A79&lt;&gt;"",OR(RIGHT(Logic!B79,2)="T)",LEFT(Logic!B79,4)="CSD1")),Num_FETS2*0.5*IM_RMS_120*VDC_AVG*Z79*n*FSW*k/GDR_SINK/3,"")</f>
        <v>4.2105263157894727E-3</v>
      </c>
      <c r="AJ79" s="127">
        <f t="shared" si="34"/>
        <v>7.5600000000000007E-3</v>
      </c>
      <c r="AK79" s="127">
        <f t="shared" si="36"/>
        <v>1.3966388884290052E-2</v>
      </c>
      <c r="AL79" s="127">
        <f t="shared" si="35"/>
        <v>3.5579200000000005E-2</v>
      </c>
      <c r="AM79" s="127">
        <f t="shared" si="51"/>
        <v>0.41899166652870157</v>
      </c>
      <c r="AN79" s="127">
        <f>IF(AND($A79&lt;&gt;0,$A79&lt;&gt;"",OR(RIGHT(Logic!B79,2)="C)",LEFT(Logic!B79,4)="CSD1")),SUM(AD79:AF79)+(AJ79/3)+AK79+AL79/6+AM79/6,AN80)</f>
        <v>0.28699152763280322</v>
      </c>
      <c r="AO79" s="127">
        <f>IF(AND($A79&lt;&gt;0,$A79&lt;&gt;"",OR(RIGHT(Logic!B79,2)="T)",LEFT(Logic!B79,4)="CSD1")),SUM(AG79:AI79)+(AJ79/3)+AL79/6+AM79/6,AO78)</f>
        <v>0.26483357311846506</v>
      </c>
      <c r="AP79" s="48">
        <f t="shared" si="52"/>
        <v>0.55000000000000004</v>
      </c>
      <c r="AQ79" s="35" t="str">
        <f>IF(AND(A79&lt;&gt;0,A79&lt;&gt;""),LOOKUP(A79,Discrete_NFET[PARTNUMBER],Discrete_NFET[TI_EQ_PACKAGE]),"")</f>
        <v>TO-220</v>
      </c>
      <c r="AR79" s="49">
        <f>IF(AND(A79&lt;&gt;0,A79&lt;&gt;""),LOOKUP(A79,Discrete_NFET[PARTNUMBER],Discrete_NFET[1KPRICE]),"")</f>
        <v>0.78</v>
      </c>
      <c r="AS79" s="35" t="str">
        <f>IF(AND($A79&lt;&gt;0,$A79&lt;&gt;""),CONCATENATE(TEXT(AP79,"0.00"),"W, ",IF('User Input'!G$11="Single Discrete",A79,IF('User Input'!G$11="Dual/Power Block",LEFT(A79,FIND(")",A79)-7),A79)),", ",AQ79,", ",TEXT(AR79,"$0.00")),"Invalid Part")</f>
        <v>0.55W, CSD18542KCS, TO-220, $0.78</v>
      </c>
      <c r="AT79" t="s">
        <v>861</v>
      </c>
      <c r="AW79"/>
    </row>
    <row r="80" spans="1:49" ht="15" customHeight="1" x14ac:dyDescent="0.25">
      <c r="A80" s="35" t="str">
        <f>IF(OR(AND(FET_config2="Dual/Power Block",LEFT(Logic!B80,4)="CSD8"),AND(FET_config2="Single Discrete",LEFT(Logic!B80,4)="CSD1")),Logic!B80,"")</f>
        <v>CSD18542KTT</v>
      </c>
      <c r="B80" s="37" t="str">
        <f>IF(OR($A80=0,$A80=""),"0",IF(LOOKUP($A80,Discrete_NFET[PARTNUMBER],Discrete_NFET[RDSON25])="(NULL)","0","1"))</f>
        <v>0</v>
      </c>
      <c r="C80" s="38" t="str">
        <f>IF(OR($A80=0,$A80=""),"0",IF(LOOKUP($A80,Discrete_NFET[PARTNUMBER],Discrete_NFET[RDSON3])="(NULL)","0","1"))</f>
        <v>0</v>
      </c>
      <c r="D80" s="40" t="str">
        <f>IF(OR($A80=0,$A80=""),"0",IF(LOOKUP($A80,Discrete_NFET[PARTNUMBER],Discrete_NFET[RDSON45])="(NULL)","0","1"))</f>
        <v>1</v>
      </c>
      <c r="E80" s="45" t="str">
        <f>IF(OR($A80=0,$A80=""),"0",IF(LOOKUP($A80,Discrete_NFET[PARTNUMBER],Discrete_NFET[RDSON6])="(NULL)","0","1"))</f>
        <v>0</v>
      </c>
      <c r="F80" s="34" t="str">
        <f>IF(OR($A80=0,$A80=""),"0",IF(LOOKUP($A80,Discrete_NFET[PARTNUMBER],Discrete_NFET[RDSON8])="(NULL)","0","1"))</f>
        <v>0</v>
      </c>
      <c r="G80" s="43" t="str">
        <f>IF(OR($A80=0,$A80=""),"0",IF(LOOKUP($A80,Discrete_NFET[PARTNUMBER],Discrete_NFET[RDSON10])="(NULL)","0","1"))</f>
        <v>1</v>
      </c>
      <c r="H80" s="36" t="b">
        <f t="shared" si="37"/>
        <v>0</v>
      </c>
      <c r="I80" s="39" t="b">
        <f t="shared" si="38"/>
        <v>0</v>
      </c>
      <c r="J80" s="41" t="b">
        <f t="shared" si="39"/>
        <v>1</v>
      </c>
      <c r="K80" s="46" t="b">
        <f t="shared" si="40"/>
        <v>0</v>
      </c>
      <c r="L80" s="42" t="b">
        <f t="shared" si="41"/>
        <v>0</v>
      </c>
      <c r="M80" s="44" t="b">
        <f t="shared" si="42"/>
        <v>1</v>
      </c>
      <c r="N80" s="47" t="b">
        <f t="shared" si="43"/>
        <v>1</v>
      </c>
      <c r="O80" s="36" t="b">
        <f t="shared" si="44"/>
        <v>0</v>
      </c>
      <c r="P80" s="39" t="b">
        <f t="shared" si="45"/>
        <v>0</v>
      </c>
      <c r="Q80" s="41" t="b">
        <f t="shared" si="46"/>
        <v>1</v>
      </c>
      <c r="R80" s="46" t="b">
        <f t="shared" si="47"/>
        <v>0</v>
      </c>
      <c r="S80" s="42" t="b">
        <f t="shared" si="48"/>
        <v>0</v>
      </c>
      <c r="T80" s="44" t="b">
        <f t="shared" si="49"/>
        <v>1</v>
      </c>
      <c r="U80" s="148">
        <f>IF(T80,LOOKUP(A80,Discrete_NFET[PARTNUMBER],Discrete_NFET[RDSON10])*1000,IF(S80,LOOKUP(A80,Discrete_NFET[PARTNUMBER],Discrete_NFET[RDSON8])*1000,IF(R80,LOOKUP(A80,Discrete_NFET[PARTNUMBER],Discrete_NFET[RDSON6])*1000,IF(Q80,LOOKUP(A80,Discrete_NFET[PARTNUMBER],Discrete_NFET[RDSON45])*1000,IF(P80,LOOKUP(A80,Discrete_NFET[PARTNUMBER],Discrete_NFET[RDSON3])*1000,IF(O80,LOOKUP(A80,Discrete_NFET[PARTNUMBER],Discrete_NFET[RDSON25])*1000,""))))))</f>
        <v>4</v>
      </c>
      <c r="V80" s="48">
        <f>IF(AND(A80&lt;&gt;0,A80&lt;&gt;""),U80*(1+(Tj-25)*(LOOKUP(A80,Discrete_NFET[PARTNUMBER],Discrete_NFET[RDSDELTA])/((LOOKUP(A80,Discrete_NFET[PARTNUMBER],Discrete_NFET[TJMAX])-25)))),"")</f>
        <v>4.6266666666666669</v>
      </c>
      <c r="W80" s="35">
        <f>IF(AND($A80&lt;&gt;0,$A80&lt;&gt;""),LOOKUP($A80,Discrete_NFET[PARTNUMBER],Discrete_NFET[QGS]),"")</f>
        <v>13</v>
      </c>
      <c r="X80" s="35">
        <f>IF(AND($A80&lt;&gt;0,$A80&lt;&gt;""),LOOKUP($A80,Discrete_NFET[PARTNUMBER],Discrete_NFET[QGD]),"")</f>
        <v>6.9</v>
      </c>
      <c r="Y80" s="35">
        <f>IF(AND($A80&lt;&gt;0,$A80&lt;&gt;""),LOOKUP($A80,Discrete_NFET[PARTNUMBER],Discrete_NFET[QGTH]),"")</f>
        <v>7.3</v>
      </c>
      <c r="Z80" s="35">
        <f t="shared" si="50"/>
        <v>12.599999999999998</v>
      </c>
      <c r="AA80" s="35">
        <f>IF(AND($A80&lt;&gt;0,$A80&lt;&gt;""),LOOKUP($A80,Discrete_NFET[PARTNUMBER],Discrete_NFET[QOSSTYP]),"")</f>
        <v>63</v>
      </c>
      <c r="AB80" s="35">
        <f>IF(AND($A80&lt;&gt;0,$A80&lt;&gt;""),LOOKUP($A80,Discrete_NFET[PARTNUMBER],Discrete_NFET[QRR]),"")</f>
        <v>132</v>
      </c>
      <c r="AC80" s="35">
        <f>IF(AND(A80&lt;&gt;0,A80&lt;&gt;""),LOOKUP(A80,Discrete_NFET[PARTNUMBER],Discrete_NFET[VF_TYP]),"")</f>
        <v>0.9</v>
      </c>
      <c r="AD80" s="127">
        <f>IF(AND($A80&lt;&gt;0,$A80&lt;&gt;"",OR(RIGHT(Logic!B80,2)="C)",LEFT(Logic!B80,4)="CSD1")),(1+(1-DUTY))*IM_RMS_120^2*V80*m/3/Num_FETS2,"")</f>
        <v>0.1946913152764953</v>
      </c>
      <c r="AE80" s="127">
        <f>IF(AND($A80&lt;&gt;0,$A80&lt;&gt;"",OR(RIGHT(Logic!B80,2)="C)",LEFT(Logic!B80,4)="CSD1")),Num_FETS2*0.5*IM_RMS_120*VDC_AVG*Z80*n*MOT_ELEC_FREQ/GDR_SRC,"")</f>
        <v>4.0634674922600607E-5</v>
      </c>
      <c r="AF80" s="127">
        <f>IF(AND($A80&lt;&gt;0,$A80&lt;&gt;"",OR(RIGHT(Logic!B80,2)="C)",LEFT(Logic!B80,4)="CSD1")),Num_FETS2*0.5*IM_RMS_120*VDC_AVG*Z80*n*MOT_ELEC_FREQ/GDR_SINK,"")</f>
        <v>2.7631578947368416E-5</v>
      </c>
      <c r="AG80" s="127">
        <f>IF(AND($A80&lt;&gt;0,$A80&lt;&gt;"",OR(RIGHT(Logic!B80,2)="T)",LEFT(Logic!B80,4)="CSD1")),DUTY*IM_RMS_120^2*V80*m/3/Num_FETS2,"")</f>
        <v>0.17614928525016238</v>
      </c>
      <c r="AH80" s="127">
        <f>IF(AND($A80&lt;&gt;0,$A80&lt;&gt;"",OR(RIGHT(Logic!B80,2)="T)",LEFT(Logic!B80,4)="CSD1")),Num_FETS2*0.5*IM_RMS_120*VDC_AVG*Z80*n*FSW*k/GDR_SRC/3,"")</f>
        <v>8.1269349845201223E-3</v>
      </c>
      <c r="AI80" s="127">
        <f>IF(AND($A80&lt;&gt;0,$A80&lt;&gt;"",OR(RIGHT(Logic!B80,2)="T)",LEFT(Logic!B80,4)="CSD1")),Num_FETS2*0.5*IM_RMS_120*VDC_AVG*Z80*n*FSW*k/GDR_SINK/3,"")</f>
        <v>5.5263157894736839E-3</v>
      </c>
      <c r="AJ80" s="127">
        <f t="shared" si="34"/>
        <v>7.5600000000000007E-3</v>
      </c>
      <c r="AK80" s="127">
        <f t="shared" si="36"/>
        <v>1.3966388884290052E-2</v>
      </c>
      <c r="AL80" s="127">
        <f t="shared" si="35"/>
        <v>3.1732799999999999E-2</v>
      </c>
      <c r="AM80" s="127">
        <f t="shared" si="51"/>
        <v>0.41899166652870157</v>
      </c>
      <c r="AN80" s="127">
        <f>IF(AND($A80&lt;&gt;0,$A80&lt;&gt;"",OR(RIGHT(Logic!B80,2)="C)",LEFT(Logic!B80,4)="CSD1")),SUM(AD80:AF80)+(AJ80/3)+AK80+AL80/6+AM80/6,AN81)</f>
        <v>0.2863667148361056</v>
      </c>
      <c r="AO80" s="127">
        <f>IF(AND($A80&lt;&gt;0,$A80&lt;&gt;"",OR(RIGHT(Logic!B80,2)="T)",LEFT(Logic!B80,4)="CSD1")),SUM(AG80:AI80)+(AJ80/3)+AL80/6+AM80/6,AO79)</f>
        <v>0.26744328044560645</v>
      </c>
      <c r="AP80" s="48">
        <f t="shared" si="52"/>
        <v>0.55000000000000004</v>
      </c>
      <c r="AQ80" s="35" t="str">
        <f>IF(AND(A80&lt;&gt;0,A80&lt;&gt;""),LOOKUP(A80,Discrete_NFET[PARTNUMBER],Discrete_NFET[TI_EQ_PACKAGE]),"")</f>
        <v>DDPAK</v>
      </c>
      <c r="AR80" s="49">
        <f>IF(AND(A80&lt;&gt;0,A80&lt;&gt;""),LOOKUP(A80,Discrete_NFET[PARTNUMBER],Discrete_NFET[1KPRICE]),"")</f>
        <v>0.82</v>
      </c>
      <c r="AS80" s="35" t="str">
        <f>IF(AND($A80&lt;&gt;0,$A80&lt;&gt;""),CONCATENATE(TEXT(AP80,"0.00"),"W, ",IF('User Input'!G$11="Single Discrete",A80,IF('User Input'!G$11="Dual/Power Block",LEFT(A80,FIND(")",A80)-7),A80)),", ",AQ80,", ",TEXT(AR80,"$0.00")),"Invalid Part")</f>
        <v>0.55W, CSD18542KTT, DDPAK, $0.82</v>
      </c>
      <c r="AT80" t="s">
        <v>800</v>
      </c>
      <c r="AW80"/>
    </row>
    <row r="81" spans="1:49" ht="15" customHeight="1" x14ac:dyDescent="0.25">
      <c r="A81" s="35" t="str">
        <f>IF(OR(AND(FET_config2="Dual/Power Block",LEFT(Logic!B81,4)="CSD8"),AND(FET_config2="Single Discrete",LEFT(Logic!B81,4)="CSD1")),Logic!B81,"")</f>
        <v>CSD18543Q3A</v>
      </c>
      <c r="B81" s="37" t="str">
        <f>IF(OR($A81=0,$A81=""),"0",IF(LOOKUP($A81,Discrete_NFET[PARTNUMBER],Discrete_NFET[RDSON25])="(NULL)","0","1"))</f>
        <v>0</v>
      </c>
      <c r="C81" s="38" t="str">
        <f>IF(OR($A81=0,$A81=""),"0",IF(LOOKUP($A81,Discrete_NFET[PARTNUMBER],Discrete_NFET[RDSON3])="(NULL)","0","1"))</f>
        <v>0</v>
      </c>
      <c r="D81" s="40" t="str">
        <f>IF(OR($A81=0,$A81=""),"0",IF(LOOKUP($A81,Discrete_NFET[PARTNUMBER],Discrete_NFET[RDSON45])="(NULL)","0","1"))</f>
        <v>1</v>
      </c>
      <c r="E81" s="45" t="str">
        <f>IF(OR($A81=0,$A81=""),"0",IF(LOOKUP($A81,Discrete_NFET[PARTNUMBER],Discrete_NFET[RDSON6])="(NULL)","0","1"))</f>
        <v>0</v>
      </c>
      <c r="F81" s="34" t="str">
        <f>IF(OR($A81=0,$A81=""),"0",IF(LOOKUP($A81,Discrete_NFET[PARTNUMBER],Discrete_NFET[RDSON8])="(NULL)","0","1"))</f>
        <v>0</v>
      </c>
      <c r="G81" s="43" t="str">
        <f>IF(OR($A81=0,$A81=""),"0",IF(LOOKUP($A81,Discrete_NFET[PARTNUMBER],Discrete_NFET[RDSON10])="(NULL)","0","1"))</f>
        <v>1</v>
      </c>
      <c r="H81" s="36" t="b">
        <f t="shared" si="37"/>
        <v>0</v>
      </c>
      <c r="I81" s="39" t="b">
        <f t="shared" si="38"/>
        <v>0</v>
      </c>
      <c r="J81" s="41" t="b">
        <f t="shared" si="39"/>
        <v>1</v>
      </c>
      <c r="K81" s="46" t="b">
        <f t="shared" si="40"/>
        <v>0</v>
      </c>
      <c r="L81" s="42" t="b">
        <f t="shared" si="41"/>
        <v>0</v>
      </c>
      <c r="M81" s="44" t="b">
        <f t="shared" si="42"/>
        <v>1</v>
      </c>
      <c r="N81" s="47" t="b">
        <f t="shared" si="43"/>
        <v>1</v>
      </c>
      <c r="O81" s="36" t="b">
        <f t="shared" si="44"/>
        <v>0</v>
      </c>
      <c r="P81" s="39" t="b">
        <f t="shared" si="45"/>
        <v>0</v>
      </c>
      <c r="Q81" s="41" t="b">
        <f t="shared" si="46"/>
        <v>1</v>
      </c>
      <c r="R81" s="46" t="b">
        <f t="shared" si="47"/>
        <v>0</v>
      </c>
      <c r="S81" s="42" t="b">
        <f t="shared" si="48"/>
        <v>0</v>
      </c>
      <c r="T81" s="44" t="b">
        <f t="shared" si="49"/>
        <v>1</v>
      </c>
      <c r="U81" s="148">
        <f>IF(T81,LOOKUP(A81,Discrete_NFET[PARTNUMBER],Discrete_NFET[RDSON10])*1000,IF(S81,LOOKUP(A81,Discrete_NFET[PARTNUMBER],Discrete_NFET[RDSON8])*1000,IF(R81,LOOKUP(A81,Discrete_NFET[PARTNUMBER],Discrete_NFET[RDSON6])*1000,IF(Q81,LOOKUP(A81,Discrete_NFET[PARTNUMBER],Discrete_NFET[RDSON45])*1000,IF(P81,LOOKUP(A81,Discrete_NFET[PARTNUMBER],Discrete_NFET[RDSON3])*1000,IF(O81,LOOKUP(A81,Discrete_NFET[PARTNUMBER],Discrete_NFET[RDSON25])*1000,""))))))</f>
        <v>9.9</v>
      </c>
      <c r="V81" s="48">
        <f>IF(AND(A81&lt;&gt;0,A81&lt;&gt;""),U81*(1+(Tj-25)*(LOOKUP(A81,Discrete_NFET[PARTNUMBER],Discrete_NFET[RDSDELTA])/((LOOKUP(A81,Discrete_NFET[PARTNUMBER],Discrete_NFET[TJMAX])-25)))),"")</f>
        <v>11.781000000000001</v>
      </c>
      <c r="W81" s="35">
        <f>IF(AND($A81&lt;&gt;0,$A81&lt;&gt;""),LOOKUP($A81,Discrete_NFET[PARTNUMBER],Discrete_NFET[QGS]),"")</f>
        <v>3.1</v>
      </c>
      <c r="X81" s="35">
        <f>IF(AND($A81&lt;&gt;0,$A81&lt;&gt;""),LOOKUP($A81,Discrete_NFET[PARTNUMBER],Discrete_NFET[QGD]),"")</f>
        <v>1.7</v>
      </c>
      <c r="Y81" s="35">
        <f>IF(AND($A81&lt;&gt;0,$A81&lt;&gt;""),LOOKUP($A81,Discrete_NFET[PARTNUMBER],Discrete_NFET[QGTH]),"")</f>
        <v>2</v>
      </c>
      <c r="Z81" s="35">
        <f t="shared" si="50"/>
        <v>2.8</v>
      </c>
      <c r="AA81" s="35">
        <f>IF(AND($A81&lt;&gt;0,$A81&lt;&gt;""),LOOKUP($A81,Discrete_NFET[PARTNUMBER],Discrete_NFET[QOSSTYP]),"")</f>
        <v>24</v>
      </c>
      <c r="AB81" s="35">
        <f>IF(AND($A81&lt;&gt;0,$A81&lt;&gt;""),LOOKUP($A81,Discrete_NFET[PARTNUMBER],Discrete_NFET[QRR]),"")</f>
        <v>37</v>
      </c>
      <c r="AC81" s="35">
        <f>IF(AND(A81&lt;&gt;0,A81&lt;&gt;""),LOOKUP(A81,Discrete_NFET[PARTNUMBER],Discrete_NFET[VF_TYP]),"")</f>
        <v>0.8</v>
      </c>
      <c r="AD81" s="127">
        <f>IF(AND($A81&lt;&gt;0,$A81&lt;&gt;"",OR(RIGHT(Logic!B81,2)="C)",LEFT(Logic!B81,4)="CSD1")),(1+(1-DUTY))*IM_RMS_120^2*V81*m/3/Num_FETS2,"")</f>
        <v>0.49574748961218834</v>
      </c>
      <c r="AE81" s="127">
        <f>IF(AND($A81&lt;&gt;0,$A81&lt;&gt;"",OR(RIGHT(Logic!B81,2)="C)",LEFT(Logic!B81,4)="CSD1")),Num_FETS2*0.5*IM_RMS_120*VDC_AVG*Z81*n*MOT_ELEC_FREQ/GDR_SRC,"")</f>
        <v>9.0299277605779141E-6</v>
      </c>
      <c r="AF81" s="127">
        <f>IF(AND($A81&lt;&gt;0,$A81&lt;&gt;"",OR(RIGHT(Logic!B81,2)="C)",LEFT(Logic!B81,4)="CSD1")),Num_FETS2*0.5*IM_RMS_120*VDC_AVG*Z81*n*MOT_ELEC_FREQ/GDR_SINK,"")</f>
        <v>6.1403508771929822E-6</v>
      </c>
      <c r="AG81" s="127">
        <f>IF(AND($A81&lt;&gt;0,$A81&lt;&gt;"",OR(RIGHT(Logic!B81,2)="T)",LEFT(Logic!B81,4)="CSD1")),DUTY*IM_RMS_120^2*V81*m/3/Num_FETS2,"")</f>
        <v>0.44853344298245607</v>
      </c>
      <c r="AH81" s="127">
        <f>IF(AND($A81&lt;&gt;0,$A81&lt;&gt;"",OR(RIGHT(Logic!B81,2)="T)",LEFT(Logic!B81,4)="CSD1")),Num_FETS2*0.5*IM_RMS_120*VDC_AVG*Z81*n*FSW*k/GDR_SRC/3,"")</f>
        <v>1.8059855521155828E-3</v>
      </c>
      <c r="AI81" s="127">
        <f>IF(AND($A81&lt;&gt;0,$A81&lt;&gt;"",OR(RIGHT(Logic!B81,2)="T)",LEFT(Logic!B81,4)="CSD1")),Num_FETS2*0.5*IM_RMS_120*VDC_AVG*Z81*n*FSW*k/GDR_SINK/3,"")</f>
        <v>1.2280701754385965E-3</v>
      </c>
      <c r="AJ81" s="127">
        <f t="shared" si="34"/>
        <v>2.8800000000000002E-3</v>
      </c>
      <c r="AK81" s="127">
        <f t="shared" si="36"/>
        <v>1.2414567897146714E-2</v>
      </c>
      <c r="AL81" s="127">
        <f t="shared" si="35"/>
        <v>8.8948000000000013E-3</v>
      </c>
      <c r="AM81" s="127">
        <f t="shared" si="51"/>
        <v>0.37243703691440144</v>
      </c>
      <c r="AN81" s="127">
        <f>IF(AND($A81&lt;&gt;0,$A81&lt;&gt;"",OR(RIGHT(Logic!B81,2)="C)",LEFT(Logic!B81,4)="CSD1")),SUM(AD81:AF81)+(AJ81/3)+AK81+AL81/6+AM81/6,AN82)</f>
        <v>0.57269253394037312</v>
      </c>
      <c r="AO81" s="127">
        <f>IF(AND($A81&lt;&gt;0,$A81&lt;&gt;"",OR(RIGHT(Logic!B81,2)="T)",LEFT(Logic!B81,4)="CSD1")),SUM(AG81:AI81)+(AJ81/3)+AL81/6+AM81/6,AO80)</f>
        <v>0.51608280486241054</v>
      </c>
      <c r="AP81" s="48">
        <f t="shared" si="52"/>
        <v>1.0900000000000001</v>
      </c>
      <c r="AQ81" s="35" t="str">
        <f>IF(AND(A81&lt;&gt;0,A81&lt;&gt;""),LOOKUP(A81,Discrete_NFET[PARTNUMBER],Discrete_NFET[TI_EQ_PACKAGE]),"")</f>
        <v>SON3X3</v>
      </c>
      <c r="AR81" s="49">
        <f>IF(AND(A81&lt;&gt;0,A81&lt;&gt;""),LOOKUP(A81,Discrete_NFET[PARTNUMBER],Discrete_NFET[1KPRICE]),"")</f>
        <v>0.25</v>
      </c>
      <c r="AS81" s="35" t="str">
        <f>IF(AND($A81&lt;&gt;0,$A81&lt;&gt;""),CONCATENATE(TEXT(AP81,"0.00"),"W, ",IF('User Input'!G$11="Single Discrete",A81,IF('User Input'!G$11="Dual/Power Block",LEFT(A81,FIND(")",A81)-7),A81)),", ",AQ81,", ",TEXT(AR81,"$0.00")),"Invalid Part")</f>
        <v>1.09W, CSD18543Q3A, SON3X3, $0.25</v>
      </c>
      <c r="AT81" t="s">
        <v>813</v>
      </c>
      <c r="AW81"/>
    </row>
    <row r="82" spans="1:49" ht="15" customHeight="1" x14ac:dyDescent="0.25">
      <c r="A82" s="35" t="str">
        <f>IF(OR(AND(FET_config2="Dual/Power Block",LEFT(Logic!B82,4)="CSD8"),AND(FET_config2="Single Discrete",LEFT(Logic!B82,4)="CSD1")),Logic!B82,"")</f>
        <v>CSD18563Q5A</v>
      </c>
      <c r="B82" s="37" t="str">
        <f>IF(OR($A82=0,$A82=""),"0",IF(LOOKUP($A82,Discrete_NFET[PARTNUMBER],Discrete_NFET[RDSON25])="(NULL)","0","1"))</f>
        <v>0</v>
      </c>
      <c r="C82" s="38" t="str">
        <f>IF(OR($A82=0,$A82=""),"0",IF(LOOKUP($A82,Discrete_NFET[PARTNUMBER],Discrete_NFET[RDSON3])="(NULL)","0","1"))</f>
        <v>0</v>
      </c>
      <c r="D82" s="40" t="str">
        <f>IF(OR($A82=0,$A82=""),"0",IF(LOOKUP($A82,Discrete_NFET[PARTNUMBER],Discrete_NFET[RDSON45])="(NULL)","0","1"))</f>
        <v>1</v>
      </c>
      <c r="E82" s="45" t="str">
        <f>IF(OR($A82=0,$A82=""),"0",IF(LOOKUP($A82,Discrete_NFET[PARTNUMBER],Discrete_NFET[RDSON6])="(NULL)","0","1"))</f>
        <v>0</v>
      </c>
      <c r="F82" s="34" t="str">
        <f>IF(OR($A82=0,$A82=""),"0",IF(LOOKUP($A82,Discrete_NFET[PARTNUMBER],Discrete_NFET[RDSON8])="(NULL)","0","1"))</f>
        <v>0</v>
      </c>
      <c r="G82" s="43" t="str">
        <f>IF(OR($A82=0,$A82=""),"0",IF(LOOKUP($A82,Discrete_NFET[PARTNUMBER],Discrete_NFET[RDSON10])="(NULL)","0","1"))</f>
        <v>1</v>
      </c>
      <c r="H82" s="36" t="b">
        <f t="shared" si="37"/>
        <v>0</v>
      </c>
      <c r="I82" s="39" t="b">
        <f t="shared" si="38"/>
        <v>0</v>
      </c>
      <c r="J82" s="41" t="b">
        <f t="shared" si="39"/>
        <v>1</v>
      </c>
      <c r="K82" s="46" t="b">
        <f t="shared" si="40"/>
        <v>0</v>
      </c>
      <c r="L82" s="42" t="b">
        <f t="shared" si="41"/>
        <v>0</v>
      </c>
      <c r="M82" s="44" t="b">
        <f t="shared" si="42"/>
        <v>1</v>
      </c>
      <c r="N82" s="47" t="b">
        <f t="shared" si="43"/>
        <v>1</v>
      </c>
      <c r="O82" s="36" t="b">
        <f t="shared" si="44"/>
        <v>0</v>
      </c>
      <c r="P82" s="39" t="b">
        <f t="shared" si="45"/>
        <v>0</v>
      </c>
      <c r="Q82" s="41" t="b">
        <f t="shared" si="46"/>
        <v>1</v>
      </c>
      <c r="R82" s="46" t="b">
        <f t="shared" si="47"/>
        <v>0</v>
      </c>
      <c r="S82" s="42" t="b">
        <f t="shared" si="48"/>
        <v>0</v>
      </c>
      <c r="T82" s="44" t="b">
        <f t="shared" si="49"/>
        <v>1</v>
      </c>
      <c r="U82" s="148">
        <f>IF(T82,LOOKUP(A82,Discrete_NFET[PARTNUMBER],Discrete_NFET[RDSON10])*1000,IF(S82,LOOKUP(A82,Discrete_NFET[PARTNUMBER],Discrete_NFET[RDSON8])*1000,IF(R82,LOOKUP(A82,Discrete_NFET[PARTNUMBER],Discrete_NFET[RDSON6])*1000,IF(Q82,LOOKUP(A82,Discrete_NFET[PARTNUMBER],Discrete_NFET[RDSON45])*1000,IF(P82,LOOKUP(A82,Discrete_NFET[PARTNUMBER],Discrete_NFET[RDSON3])*1000,IF(O82,LOOKUP(A82,Discrete_NFET[PARTNUMBER],Discrete_NFET[RDSON25])*1000,""))))))</f>
        <v>6.8</v>
      </c>
      <c r="V82" s="48">
        <f>IF(AND(A82&lt;&gt;0,A82&lt;&gt;""),U82*(1+(Tj-25)*(LOOKUP(A82,Discrete_NFET[PARTNUMBER],Discrete_NFET[RDSDELTA])/((LOOKUP(A82,Discrete_NFET[PARTNUMBER],Discrete_NFET[TJMAX])-25)))),"")</f>
        <v>8.0919999999999987</v>
      </c>
      <c r="W82" s="35">
        <f>IF(AND($A82&lt;&gt;0,$A82&lt;&gt;""),LOOKUP($A82,Discrete_NFET[PARTNUMBER],Discrete_NFET[QGS]),"")</f>
        <v>3.3</v>
      </c>
      <c r="X82" s="35">
        <f>IF(AND($A82&lt;&gt;0,$A82&lt;&gt;""),LOOKUP($A82,Discrete_NFET[PARTNUMBER],Discrete_NFET[QGD]),"")</f>
        <v>2.9</v>
      </c>
      <c r="Y82" s="35">
        <f>IF(AND($A82&lt;&gt;0,$A82&lt;&gt;""),LOOKUP($A82,Discrete_NFET[PARTNUMBER],Discrete_NFET[QGTH]),"")</f>
        <v>2.2999999999999998</v>
      </c>
      <c r="Z82" s="35">
        <f t="shared" si="50"/>
        <v>3.8999999999999995</v>
      </c>
      <c r="AA82" s="35">
        <f>IF(AND($A82&lt;&gt;0,$A82&lt;&gt;""),LOOKUP($A82,Discrete_NFET[PARTNUMBER],Discrete_NFET[QOSSTYP]),"")</f>
        <v>36</v>
      </c>
      <c r="AB82" s="35">
        <f>IF(AND($A82&lt;&gt;0,$A82&lt;&gt;""),LOOKUP($A82,Discrete_NFET[PARTNUMBER],Discrete_NFET[QRR]),"")</f>
        <v>63</v>
      </c>
      <c r="AC82" s="35">
        <f>IF(AND(A82&lt;&gt;0,A82&lt;&gt;""),LOOKUP(A82,Discrete_NFET[PARTNUMBER],Discrete_NFET[VF_TYP]),"")</f>
        <v>0.8</v>
      </c>
      <c r="AD82" s="127">
        <f>IF(AND($A82&lt;&gt;0,$A82&lt;&gt;"",OR(RIGHT(Logic!B82,2)="C)",LEFT(Logic!B82,4)="CSD1")),(1+(1-DUTY))*IM_RMS_120^2*V82*m/3/Num_FETS2,"")</f>
        <v>0.34051342720837169</v>
      </c>
      <c r="AE82" s="127">
        <f>IF(AND($A82&lt;&gt;0,$A82&lt;&gt;"",OR(RIGHT(Logic!B82,2)="C)",LEFT(Logic!B82,4)="CSD1")),Num_FETS2*0.5*IM_RMS_120*VDC_AVG*Z82*n*MOT_ELEC_FREQ/GDR_SRC,"")</f>
        <v>1.2577399380804951E-5</v>
      </c>
      <c r="AF82" s="127">
        <f>IF(AND($A82&lt;&gt;0,$A82&lt;&gt;"",OR(RIGHT(Logic!B82,2)="C)",LEFT(Logic!B82,4)="CSD1")),Num_FETS2*0.5*IM_RMS_120*VDC_AVG*Z82*n*MOT_ELEC_FREQ/GDR_SINK,"")</f>
        <v>8.5526315789473666E-6</v>
      </c>
      <c r="AG82" s="127">
        <f>IF(AND($A82&lt;&gt;0,$A82&lt;&gt;"",OR(RIGHT(Logic!B82,2)="T)",LEFT(Logic!B82,4)="CSD1")),DUTY*IM_RMS_120^2*V82*m/3/Num_FETS2,"")</f>
        <v>0.30808357699805056</v>
      </c>
      <c r="AH82" s="127">
        <f>IF(AND($A82&lt;&gt;0,$A82&lt;&gt;"",OR(RIGHT(Logic!B82,2)="T)",LEFT(Logic!B82,4)="CSD1")),Num_FETS2*0.5*IM_RMS_120*VDC_AVG*Z82*n*FSW*k/GDR_SRC/3,"")</f>
        <v>2.5154798761609898E-3</v>
      </c>
      <c r="AI82" s="127">
        <f>IF(AND($A82&lt;&gt;0,$A82&lt;&gt;"",OR(RIGHT(Logic!B82,2)="T)",LEFT(Logic!B82,4)="CSD1")),Num_FETS2*0.5*IM_RMS_120*VDC_AVG*Z82*n*FSW*k/GDR_SINK/3,"")</f>
        <v>1.7105263157894731E-3</v>
      </c>
      <c r="AJ82" s="127">
        <f t="shared" si="34"/>
        <v>4.3200000000000001E-3</v>
      </c>
      <c r="AK82" s="127">
        <f t="shared" si="36"/>
        <v>1.2414567897146714E-2</v>
      </c>
      <c r="AL82" s="127">
        <f t="shared" si="35"/>
        <v>1.5145200000000001E-2</v>
      </c>
      <c r="AM82" s="127">
        <f t="shared" si="51"/>
        <v>0.37243703691440144</v>
      </c>
      <c r="AN82" s="127">
        <f>IF(AND($A82&lt;&gt;0,$A82&lt;&gt;"",OR(RIGHT(Logic!B82,2)="C)",LEFT(Logic!B82,4)="CSD1")),SUM(AD82:AF82)+(AJ82/3)+AK82+AL82/6+AM82/6,AN83)</f>
        <v>0.41898616462221172</v>
      </c>
      <c r="AO82" s="127">
        <f>IF(AND($A82&lt;&gt;0,$A82&lt;&gt;"",OR(RIGHT(Logic!B82,2)="T)",LEFT(Logic!B82,4)="CSD1")),SUM(AG82:AI82)+(AJ82/3)+AL82/6+AM82/6,AO81)</f>
        <v>0.37834662267573455</v>
      </c>
      <c r="AP82" s="48">
        <f t="shared" si="52"/>
        <v>0.8</v>
      </c>
      <c r="AQ82" s="35" t="str">
        <f>IF(AND(A82&lt;&gt;0,A82&lt;&gt;""),LOOKUP(A82,Discrete_NFET[PARTNUMBER],Discrete_NFET[TI_EQ_PACKAGE]),"")</f>
        <v>SON5X6</v>
      </c>
      <c r="AR82" s="49">
        <f>IF(AND(A82&lt;&gt;0,A82&lt;&gt;""),LOOKUP(A82,Discrete_NFET[PARTNUMBER],Discrete_NFET[1KPRICE]),"")</f>
        <v>0.45</v>
      </c>
      <c r="AS82" s="35" t="str">
        <f>IF(AND($A82&lt;&gt;0,$A82&lt;&gt;""),CONCATENATE(TEXT(AP82,"0.00"),"W, ",IF('User Input'!G$11="Single Discrete",A82,IF('User Input'!G$11="Dual/Power Block",LEFT(A82,FIND(")",A82)-7),A82)),", ",AQ82,", ",TEXT(AR82,"$0.00")),"Invalid Part")</f>
        <v>0.80W, CSD18563Q5A, SON5X6, $0.45</v>
      </c>
      <c r="AT82" t="s">
        <v>871</v>
      </c>
      <c r="AW82"/>
    </row>
    <row r="83" spans="1:49" ht="15" customHeight="1" x14ac:dyDescent="0.25">
      <c r="A83" s="35" t="str">
        <f>IF(OR(AND(FET_config2="Dual/Power Block",LEFT(Logic!B83,4)="CSD8"),AND(FET_config2="Single Discrete",LEFT(Logic!B83,4)="CSD1")),Logic!B83,"")</f>
        <v>CSD19501KCS</v>
      </c>
      <c r="B83" s="37" t="str">
        <f>IF(OR($A83=0,$A83=""),"0",IF(LOOKUP($A83,Discrete_NFET[PARTNUMBER],Discrete_NFET[RDSON25])="(NULL)","0","1"))</f>
        <v>0</v>
      </c>
      <c r="C83" s="38" t="str">
        <f>IF(OR($A83=0,$A83=""),"0",IF(LOOKUP($A83,Discrete_NFET[PARTNUMBER],Discrete_NFET[RDSON3])="(NULL)","0","1"))</f>
        <v>0</v>
      </c>
      <c r="D83" s="40" t="str">
        <f>IF(OR($A83=0,$A83=""),"0",IF(LOOKUP($A83,Discrete_NFET[PARTNUMBER],Discrete_NFET[RDSON45])="(NULL)","0","1"))</f>
        <v>0</v>
      </c>
      <c r="E83" s="45" t="str">
        <f>IF(OR($A83=0,$A83=""),"0",IF(LOOKUP($A83,Discrete_NFET[PARTNUMBER],Discrete_NFET[RDSON6])="(NULL)","0","1"))</f>
        <v>1</v>
      </c>
      <c r="F83" s="34" t="str">
        <f>IF(OR($A83=0,$A83=""),"0",IF(LOOKUP($A83,Discrete_NFET[PARTNUMBER],Discrete_NFET[RDSON8])="(NULL)","0","1"))</f>
        <v>0</v>
      </c>
      <c r="G83" s="43" t="str">
        <f>IF(OR($A83=0,$A83=""),"0",IF(LOOKUP($A83,Discrete_NFET[PARTNUMBER],Discrete_NFET[RDSON10])="(NULL)","0","1"))</f>
        <v>1</v>
      </c>
      <c r="H83" s="36" t="b">
        <f t="shared" si="37"/>
        <v>0</v>
      </c>
      <c r="I83" s="39" t="b">
        <f t="shared" si="38"/>
        <v>0</v>
      </c>
      <c r="J83" s="41" t="b">
        <f t="shared" si="39"/>
        <v>0</v>
      </c>
      <c r="K83" s="46" t="b">
        <f t="shared" si="40"/>
        <v>1</v>
      </c>
      <c r="L83" s="42" t="b">
        <f t="shared" si="41"/>
        <v>0</v>
      </c>
      <c r="M83" s="44" t="b">
        <f t="shared" si="42"/>
        <v>1</v>
      </c>
      <c r="N83" s="47" t="b">
        <f t="shared" si="43"/>
        <v>1</v>
      </c>
      <c r="O83" s="36" t="b">
        <f t="shared" si="44"/>
        <v>0</v>
      </c>
      <c r="P83" s="39" t="b">
        <f t="shared" si="45"/>
        <v>0</v>
      </c>
      <c r="Q83" s="41" t="b">
        <f t="shared" si="46"/>
        <v>0</v>
      </c>
      <c r="R83" s="46" t="b">
        <f t="shared" si="47"/>
        <v>1</v>
      </c>
      <c r="S83" s="42" t="b">
        <f t="shared" si="48"/>
        <v>0</v>
      </c>
      <c r="T83" s="44" t="b">
        <f t="shared" si="49"/>
        <v>1</v>
      </c>
      <c r="U83" s="148">
        <f>IF(T83,LOOKUP(A83,Discrete_NFET[PARTNUMBER],Discrete_NFET[RDSON10])*1000,IF(S83,LOOKUP(A83,Discrete_NFET[PARTNUMBER],Discrete_NFET[RDSON8])*1000,IF(R83,LOOKUP(A83,Discrete_NFET[PARTNUMBER],Discrete_NFET[RDSON6])*1000,IF(Q83,LOOKUP(A83,Discrete_NFET[PARTNUMBER],Discrete_NFET[RDSON45])*1000,IF(P83,LOOKUP(A83,Discrete_NFET[PARTNUMBER],Discrete_NFET[RDSON3])*1000,IF(O83,LOOKUP(A83,Discrete_NFET[PARTNUMBER],Discrete_NFET[RDSON25])*1000,""))))))</f>
        <v>6.6</v>
      </c>
      <c r="V83" s="48">
        <f>IF(AND(A83&lt;&gt;0,A83&lt;&gt;""),U83*(1+(Tj-25)*(LOOKUP(A83,Discrete_NFET[PARTNUMBER],Discrete_NFET[RDSDELTA])/((LOOKUP(A83,Discrete_NFET[PARTNUMBER],Discrete_NFET[TJMAX])-25)))),"")</f>
        <v>7.6340000000000003</v>
      </c>
      <c r="W83" s="35">
        <f>IF(AND($A83&lt;&gt;0,$A83&lt;&gt;""),LOOKUP($A83,Discrete_NFET[PARTNUMBER],Discrete_NFET[QGS]),"")</f>
        <v>12.4</v>
      </c>
      <c r="X83" s="35">
        <f>IF(AND($A83&lt;&gt;0,$A83&lt;&gt;""),LOOKUP($A83,Discrete_NFET[PARTNUMBER],Discrete_NFET[QGD]),"")</f>
        <v>5.8</v>
      </c>
      <c r="Y83" s="35">
        <f>IF(AND($A83&lt;&gt;0,$A83&lt;&gt;""),LOOKUP($A83,Discrete_NFET[PARTNUMBER],Discrete_NFET[QGTH]),"")</f>
        <v>7.5</v>
      </c>
      <c r="Z83" s="35">
        <f t="shared" si="50"/>
        <v>10.7</v>
      </c>
      <c r="AA83" s="35">
        <f>IF(AND($A83&lt;&gt;0,$A83&lt;&gt;""),LOOKUP($A83,Discrete_NFET[PARTNUMBER],Discrete_NFET[QOSSTYP]),"")</f>
        <v>98</v>
      </c>
      <c r="AB83" s="35">
        <f>IF(AND($A83&lt;&gt;0,$A83&lt;&gt;""),LOOKUP($A83,Discrete_NFET[PARTNUMBER],Discrete_NFET[QRR]),"")</f>
        <v>230</v>
      </c>
      <c r="AC83" s="35">
        <f>IF(AND(A83&lt;&gt;0,A83&lt;&gt;""),LOOKUP(A83,Discrete_NFET[PARTNUMBER],Discrete_NFET[VF_TYP]),"")</f>
        <v>0.9</v>
      </c>
      <c r="AD83" s="127">
        <f>IF(AND($A83&lt;&gt;0,$A83&lt;&gt;"",OR(RIGHT(Logic!B83,2)="C)",LEFT(Logic!B83,4)="CSD1")),(1+(1-DUTY))*IM_RMS_120^2*V83*m/3/Num_FETS2,"")</f>
        <v>0.32124067020621727</v>
      </c>
      <c r="AE83" s="127">
        <f>IF(AND($A83&lt;&gt;0,$A83&lt;&gt;"",OR(RIGHT(Logic!B83,2)="C)",LEFT(Logic!B83,4)="CSD1")),Num_FETS2*0.5*IM_RMS_120*VDC_AVG*Z83*n*MOT_ELEC_FREQ/GDR_SRC,"")</f>
        <v>3.4507223942208453E-5</v>
      </c>
      <c r="AF83" s="127">
        <f>IF(AND($A83&lt;&gt;0,$A83&lt;&gt;"",OR(RIGHT(Logic!B83,2)="C)",LEFT(Logic!B83,4)="CSD1")),Num_FETS2*0.5*IM_RMS_120*VDC_AVG*Z83*n*MOT_ELEC_FREQ/GDR_SINK,"")</f>
        <v>2.3464912280701751E-5</v>
      </c>
      <c r="AG83" s="127">
        <f>IF(AND($A83&lt;&gt;0,$A83&lt;&gt;"",OR(RIGHT(Logic!B83,2)="T)",LEFT(Logic!B83,4)="CSD1")),DUTY*IM_RMS_120^2*V83*m/3/Num_FETS2,"")</f>
        <v>0.29064632066276802</v>
      </c>
      <c r="AH83" s="127">
        <f>IF(AND($A83&lt;&gt;0,$A83&lt;&gt;"",OR(RIGHT(Logic!B83,2)="T)",LEFT(Logic!B83,4)="CSD1")),Num_FETS2*0.5*IM_RMS_120*VDC_AVG*Z83*n*FSW*k/GDR_SRC/3,"")</f>
        <v>6.9014447884416909E-3</v>
      </c>
      <c r="AI83" s="127">
        <f>IF(AND($A83&lt;&gt;0,$A83&lt;&gt;"",OR(RIGHT(Logic!B83,2)="T)",LEFT(Logic!B83,4)="CSD1")),Num_FETS2*0.5*IM_RMS_120*VDC_AVG*Z83*n*FSW*k/GDR_SINK/3,"")</f>
        <v>4.6929824561403504E-3</v>
      </c>
      <c r="AJ83" s="127">
        <f t="shared" si="34"/>
        <v>1.1760000000000001E-2</v>
      </c>
      <c r="AK83" s="127">
        <f t="shared" si="36"/>
        <v>1.3966388884290052E-2</v>
      </c>
      <c r="AL83" s="127">
        <f t="shared" si="35"/>
        <v>5.5292000000000001E-2</v>
      </c>
      <c r="AM83" s="127">
        <f t="shared" si="51"/>
        <v>0.41899166652870157</v>
      </c>
      <c r="AN83" s="127">
        <f>IF(AND($A83&lt;&gt;0,$A83&lt;&gt;"",OR(RIGHT(Logic!B83,2)="C)",LEFT(Logic!B83,4)="CSD1")),SUM(AD83:AF83)+(AJ83/3)+AK83+AL83/6+AM83/6,AN84)</f>
        <v>0.41823230898151381</v>
      </c>
      <c r="AO83" s="127">
        <f>IF(AND($A83&lt;&gt;0,$A83&lt;&gt;"",OR(RIGHT(Logic!B83,2)="T)",LEFT(Logic!B83,4)="CSD1")),SUM(AG83:AI83)+(AJ83/3)+AL83/6+AM83/6,AO82)</f>
        <v>0.38520802566213364</v>
      </c>
      <c r="AP83" s="48">
        <f t="shared" si="52"/>
        <v>0.8</v>
      </c>
      <c r="AQ83" s="35" t="str">
        <f>IF(AND(A83&lt;&gt;0,A83&lt;&gt;""),LOOKUP(A83,Discrete_NFET[PARTNUMBER],Discrete_NFET[TI_EQ_PACKAGE]),"")</f>
        <v>TO-220</v>
      </c>
      <c r="AR83" s="49">
        <f>IF(AND(A83&lt;&gt;0,A83&lt;&gt;""),LOOKUP(A83,Discrete_NFET[PARTNUMBER],Discrete_NFET[1KPRICE]),"")</f>
        <v>0.69</v>
      </c>
      <c r="AS83" s="35" t="str">
        <f>IF(AND($A83&lt;&gt;0,$A83&lt;&gt;""),CONCATENATE(TEXT(AP83,"0.00"),"W, ",IF('User Input'!G$11="Single Discrete",A83,IF('User Input'!G$11="Dual/Power Block",LEFT(A83,FIND(")",A83)-7),A83)),", ",AQ83,", ",TEXT(AR83,"$0.00")),"Invalid Part")</f>
        <v>0.80W, CSD19501KCS, TO-220, $0.69</v>
      </c>
      <c r="AT83" t="s">
        <v>816</v>
      </c>
      <c r="AW83"/>
    </row>
    <row r="84" spans="1:49" ht="15" customHeight="1" x14ac:dyDescent="0.25">
      <c r="A84" s="35" t="str">
        <f>IF(OR(AND(FET_config2="Dual/Power Block",LEFT(Logic!B84,4)="CSD8"),AND(FET_config2="Single Discrete",LEFT(Logic!B84,4)="CSD1")),Logic!B84,"")</f>
        <v>CSD19502Q5B</v>
      </c>
      <c r="B84" s="37" t="str">
        <f>IF(OR($A84=0,$A84=""),"0",IF(LOOKUP($A84,Discrete_NFET[PARTNUMBER],Discrete_NFET[RDSON25])="(NULL)","0","1"))</f>
        <v>0</v>
      </c>
      <c r="C84" s="38" t="str">
        <f>IF(OR($A84=0,$A84=""),"0",IF(LOOKUP($A84,Discrete_NFET[PARTNUMBER],Discrete_NFET[RDSON3])="(NULL)","0","1"))</f>
        <v>0</v>
      </c>
      <c r="D84" s="40" t="str">
        <f>IF(OR($A84=0,$A84=""),"0",IF(LOOKUP($A84,Discrete_NFET[PARTNUMBER],Discrete_NFET[RDSON45])="(NULL)","0","1"))</f>
        <v>0</v>
      </c>
      <c r="E84" s="45" t="str">
        <f>IF(OR($A84=0,$A84=""),"0",IF(LOOKUP($A84,Discrete_NFET[PARTNUMBER],Discrete_NFET[RDSON6])="(NULL)","0","1"))</f>
        <v>1</v>
      </c>
      <c r="F84" s="34" t="str">
        <f>IF(OR($A84=0,$A84=""),"0",IF(LOOKUP($A84,Discrete_NFET[PARTNUMBER],Discrete_NFET[RDSON8])="(NULL)","0","1"))</f>
        <v>0</v>
      </c>
      <c r="G84" s="43" t="str">
        <f>IF(OR($A84=0,$A84=""),"0",IF(LOOKUP($A84,Discrete_NFET[PARTNUMBER],Discrete_NFET[RDSON10])="(NULL)","0","1"))</f>
        <v>1</v>
      </c>
      <c r="H84" s="36" t="b">
        <f t="shared" si="37"/>
        <v>0</v>
      </c>
      <c r="I84" s="39" t="b">
        <f t="shared" si="38"/>
        <v>0</v>
      </c>
      <c r="J84" s="41" t="b">
        <f t="shared" si="39"/>
        <v>0</v>
      </c>
      <c r="K84" s="46" t="b">
        <f t="shared" si="40"/>
        <v>1</v>
      </c>
      <c r="L84" s="42" t="b">
        <f t="shared" si="41"/>
        <v>0</v>
      </c>
      <c r="M84" s="44" t="b">
        <f t="shared" si="42"/>
        <v>1</v>
      </c>
      <c r="N84" s="47" t="b">
        <f t="shared" si="43"/>
        <v>1</v>
      </c>
      <c r="O84" s="36" t="b">
        <f t="shared" si="44"/>
        <v>0</v>
      </c>
      <c r="P84" s="39" t="b">
        <f t="shared" si="45"/>
        <v>0</v>
      </c>
      <c r="Q84" s="41" t="b">
        <f t="shared" si="46"/>
        <v>0</v>
      </c>
      <c r="R84" s="46" t="b">
        <f t="shared" si="47"/>
        <v>1</v>
      </c>
      <c r="S84" s="42" t="b">
        <f t="shared" si="48"/>
        <v>0</v>
      </c>
      <c r="T84" s="44" t="b">
        <f t="shared" si="49"/>
        <v>1</v>
      </c>
      <c r="U84" s="148">
        <f>IF(T84,LOOKUP(A84,Discrete_NFET[PARTNUMBER],Discrete_NFET[RDSON10])*1000,IF(S84,LOOKUP(A84,Discrete_NFET[PARTNUMBER],Discrete_NFET[RDSON8])*1000,IF(R84,LOOKUP(A84,Discrete_NFET[PARTNUMBER],Discrete_NFET[RDSON6])*1000,IF(Q84,LOOKUP(A84,Discrete_NFET[PARTNUMBER],Discrete_NFET[RDSON45])*1000,IF(P84,LOOKUP(A84,Discrete_NFET[PARTNUMBER],Discrete_NFET[RDSON3])*1000,IF(O84,LOOKUP(A84,Discrete_NFET[PARTNUMBER],Discrete_NFET[RDSON25])*1000,""))))))</f>
        <v>4.1000000000000005</v>
      </c>
      <c r="V84" s="48">
        <f>IF(AND(A84&lt;&gt;0,A84&lt;&gt;""),U84*(1+(Tj-25)*(LOOKUP(A84,Discrete_NFET[PARTNUMBER],Discrete_NFET[RDSDELTA])/((LOOKUP(A84,Discrete_NFET[PARTNUMBER],Discrete_NFET[TJMAX])-25)))),"")</f>
        <v>4.8626000000000005</v>
      </c>
      <c r="W84" s="35">
        <f>IF(AND($A84&lt;&gt;0,$A84&lt;&gt;""),LOOKUP($A84,Discrete_NFET[PARTNUMBER],Discrete_NFET[QGS]),"")</f>
        <v>14</v>
      </c>
      <c r="X84" s="35">
        <f>IF(AND($A84&lt;&gt;0,$A84&lt;&gt;""),LOOKUP($A84,Discrete_NFET[PARTNUMBER],Discrete_NFET[QGD]),"")</f>
        <v>8.6</v>
      </c>
      <c r="Y84" s="35">
        <f>IF(AND($A84&lt;&gt;0,$A84&lt;&gt;""),LOOKUP($A84,Discrete_NFET[PARTNUMBER],Discrete_NFET[QGTH]),"")</f>
        <v>10</v>
      </c>
      <c r="Z84" s="35">
        <f t="shared" si="50"/>
        <v>12.600000000000001</v>
      </c>
      <c r="AA84" s="35">
        <f>IF(AND($A84&lt;&gt;0,$A84&lt;&gt;""),LOOKUP($A84,Discrete_NFET[PARTNUMBER],Discrete_NFET[QOSSTYP]),"")</f>
        <v>130</v>
      </c>
      <c r="AB84" s="35">
        <f>IF(AND($A84&lt;&gt;0,$A84&lt;&gt;""),LOOKUP($A84,Discrete_NFET[PARTNUMBER],Discrete_NFET[QRR]),"")</f>
        <v>275</v>
      </c>
      <c r="AC84" s="35">
        <f>IF(AND(A84&lt;&gt;0,A84&lt;&gt;""),LOOKUP(A84,Discrete_NFET[PARTNUMBER],Discrete_NFET[VF_TYP]),"")</f>
        <v>0.8</v>
      </c>
      <c r="AD84" s="127">
        <f>IF(AND($A84&lt;&gt;0,$A84&lt;&gt;"",OR(RIGHT(Logic!B84,2)="C)",LEFT(Logic!B84,4)="CSD1")),(1+(1-DUTY))*IM_RMS_120^2*V84*m/3/Num_FETS2,"")</f>
        <v>0.20461945021545089</v>
      </c>
      <c r="AE84" s="127">
        <f>IF(AND($A84&lt;&gt;0,$A84&lt;&gt;"",OR(RIGHT(Logic!B84,2)="C)",LEFT(Logic!B84,4)="CSD1")),Num_FETS2*0.5*IM_RMS_120*VDC_AVG*Z84*n*MOT_ELEC_FREQ/GDR_SRC,"")</f>
        <v>4.063467492260062E-5</v>
      </c>
      <c r="AF84" s="127">
        <f>IF(AND($A84&lt;&gt;0,$A84&lt;&gt;"",OR(RIGHT(Logic!B84,2)="C)",LEFT(Logic!B84,4)="CSD1")),Num_FETS2*0.5*IM_RMS_120*VDC_AVG*Z84*n*MOT_ELEC_FREQ/GDR_SINK,"")</f>
        <v>2.7631578947368423E-5</v>
      </c>
      <c r="AG84" s="127">
        <f>IF(AND($A84&lt;&gt;0,$A84&lt;&gt;"",OR(RIGHT(Logic!B84,2)="T)",LEFT(Logic!B84,4)="CSD1")),DUTY*IM_RMS_120^2*V84*m/3/Num_FETS2,"")</f>
        <v>0.18513188352826507</v>
      </c>
      <c r="AH84" s="127">
        <f>IF(AND($A84&lt;&gt;0,$A84&lt;&gt;"",OR(RIGHT(Logic!B84,2)="T)",LEFT(Logic!B84,4)="CSD1")),Num_FETS2*0.5*IM_RMS_120*VDC_AVG*Z84*n*FSW*k/GDR_SRC/3,"")</f>
        <v>8.126934984520124E-3</v>
      </c>
      <c r="AI84" s="127">
        <f>IF(AND($A84&lt;&gt;0,$A84&lt;&gt;"",OR(RIGHT(Logic!B84,2)="T)",LEFT(Logic!B84,4)="CSD1")),Num_FETS2*0.5*IM_RMS_120*VDC_AVG*Z84*n*FSW*k/GDR_SINK/3,"")</f>
        <v>5.5263157894736847E-3</v>
      </c>
      <c r="AJ84" s="127">
        <f t="shared" si="34"/>
        <v>1.5600000000000001E-2</v>
      </c>
      <c r="AK84" s="127">
        <f t="shared" si="36"/>
        <v>1.2414567897146714E-2</v>
      </c>
      <c r="AL84" s="127">
        <f t="shared" si="35"/>
        <v>6.6110000000000002E-2</v>
      </c>
      <c r="AM84" s="127">
        <f t="shared" si="51"/>
        <v>0.37243703691440144</v>
      </c>
      <c r="AN84" s="127">
        <f>IF(AND($A84&lt;&gt;0,$A84&lt;&gt;"",OR(RIGHT(Logic!B84,2)="C)",LEFT(Logic!B84,4)="CSD1")),SUM(AD84:AF84)+(AJ84/3)+AK84+AL84/6+AM84/6,AN85)</f>
        <v>0.29539345718553445</v>
      </c>
      <c r="AO84" s="127">
        <f>IF(AND($A84&lt;&gt;0,$A84&lt;&gt;"",OR(RIGHT(Logic!B84,2)="T)",LEFT(Logic!B84,4)="CSD1")),SUM(AG84:AI84)+(AJ84/3)+AL84/6+AM84/6,AO83)</f>
        <v>0.2770763071213258</v>
      </c>
      <c r="AP84" s="48">
        <f t="shared" si="52"/>
        <v>0.56999999999999995</v>
      </c>
      <c r="AQ84" s="35" t="str">
        <f>IF(AND(A84&lt;&gt;0,A84&lt;&gt;""),LOOKUP(A84,Discrete_NFET[PARTNUMBER],Discrete_NFET[TI_EQ_PACKAGE]),"")</f>
        <v>SON5X6</v>
      </c>
      <c r="AR84" s="49">
        <f>IF(AND(A84&lt;&gt;0,A84&lt;&gt;""),LOOKUP(A84,Discrete_NFET[PARTNUMBER],Discrete_NFET[1KPRICE]),"")</f>
        <v>0.85</v>
      </c>
      <c r="AS84" s="35" t="str">
        <f>IF(AND($A84&lt;&gt;0,$A84&lt;&gt;""),CONCATENATE(TEXT(AP84,"0.00"),"W, ",IF('User Input'!G$11="Single Discrete",A84,IF('User Input'!G$11="Dual/Power Block",LEFT(A84,FIND(")",A84)-7),A84)),", ",AQ84,", ",TEXT(AR84,"$0.00")),"Invalid Part")</f>
        <v>0.57W, CSD19502Q5B, SON5X6, $0.85</v>
      </c>
      <c r="AT84" t="s">
        <v>809</v>
      </c>
      <c r="AW84"/>
    </row>
    <row r="85" spans="1:49" ht="15" customHeight="1" x14ac:dyDescent="0.25">
      <c r="A85" s="35" t="str">
        <f>IF(OR(AND(FET_config2="Dual/Power Block",LEFT(Logic!B85,4)="CSD8"),AND(FET_config2="Single Discrete",LEFT(Logic!B85,4)="CSD1")),Logic!B85,"")</f>
        <v>CSD19503KCS</v>
      </c>
      <c r="B85" s="37" t="str">
        <f>IF(OR($A85=0,$A85=""),"0",IF(LOOKUP($A85,Discrete_NFET[PARTNUMBER],Discrete_NFET[RDSON25])="(NULL)","0","1"))</f>
        <v>0</v>
      </c>
      <c r="C85" s="38" t="str">
        <f>IF(OR($A85=0,$A85=""),"0",IF(LOOKUP($A85,Discrete_NFET[PARTNUMBER],Discrete_NFET[RDSON3])="(NULL)","0","1"))</f>
        <v>0</v>
      </c>
      <c r="D85" s="40" t="str">
        <f>IF(OR($A85=0,$A85=""),"0",IF(LOOKUP($A85,Discrete_NFET[PARTNUMBER],Discrete_NFET[RDSON45])="(NULL)","0","1"))</f>
        <v>0</v>
      </c>
      <c r="E85" s="45" t="str">
        <f>IF(OR($A85=0,$A85=""),"0",IF(LOOKUP($A85,Discrete_NFET[PARTNUMBER],Discrete_NFET[RDSON6])="(NULL)","0","1"))</f>
        <v>1</v>
      </c>
      <c r="F85" s="34" t="str">
        <f>IF(OR($A85=0,$A85=""),"0",IF(LOOKUP($A85,Discrete_NFET[PARTNUMBER],Discrete_NFET[RDSON8])="(NULL)","0","1"))</f>
        <v>0</v>
      </c>
      <c r="G85" s="43" t="str">
        <f>IF(OR($A85=0,$A85=""),"0",IF(LOOKUP($A85,Discrete_NFET[PARTNUMBER],Discrete_NFET[RDSON10])="(NULL)","0","1"))</f>
        <v>1</v>
      </c>
      <c r="H85" s="36" t="b">
        <f t="shared" si="37"/>
        <v>0</v>
      </c>
      <c r="I85" s="39" t="b">
        <f t="shared" si="38"/>
        <v>0</v>
      </c>
      <c r="J85" s="41" t="b">
        <f t="shared" si="39"/>
        <v>0</v>
      </c>
      <c r="K85" s="46" t="b">
        <f t="shared" si="40"/>
        <v>1</v>
      </c>
      <c r="L85" s="42" t="b">
        <f t="shared" si="41"/>
        <v>0</v>
      </c>
      <c r="M85" s="44" t="b">
        <f t="shared" si="42"/>
        <v>1</v>
      </c>
      <c r="N85" s="47" t="b">
        <f t="shared" si="43"/>
        <v>1</v>
      </c>
      <c r="O85" s="36" t="b">
        <f t="shared" si="44"/>
        <v>0</v>
      </c>
      <c r="P85" s="39" t="b">
        <f t="shared" si="45"/>
        <v>0</v>
      </c>
      <c r="Q85" s="41" t="b">
        <f t="shared" si="46"/>
        <v>0</v>
      </c>
      <c r="R85" s="46" t="b">
        <f t="shared" si="47"/>
        <v>1</v>
      </c>
      <c r="S85" s="42" t="b">
        <f t="shared" si="48"/>
        <v>0</v>
      </c>
      <c r="T85" s="44" t="b">
        <f t="shared" si="49"/>
        <v>1</v>
      </c>
      <c r="U85" s="148">
        <f>IF(T85,LOOKUP(A85,Discrete_NFET[PARTNUMBER],Discrete_NFET[RDSON10])*1000,IF(S85,LOOKUP(A85,Discrete_NFET[PARTNUMBER],Discrete_NFET[RDSON8])*1000,IF(R85,LOOKUP(A85,Discrete_NFET[PARTNUMBER],Discrete_NFET[RDSON6])*1000,IF(Q85,LOOKUP(A85,Discrete_NFET[PARTNUMBER],Discrete_NFET[RDSON45])*1000,IF(P85,LOOKUP(A85,Discrete_NFET[PARTNUMBER],Discrete_NFET[RDSON3])*1000,IF(O85,LOOKUP(A85,Discrete_NFET[PARTNUMBER],Discrete_NFET[RDSON25])*1000,""))))))</f>
        <v>9.1999999999999993</v>
      </c>
      <c r="V85" s="48">
        <f>IF(AND(A85&lt;&gt;0,A85&lt;&gt;""),U85*(1+(Tj-25)*(LOOKUP(A85,Discrete_NFET[PARTNUMBER],Discrete_NFET[RDSDELTA])/((LOOKUP(A85,Discrete_NFET[PARTNUMBER],Discrete_NFET[TJMAX])-25)))),"")</f>
        <v>10.380666666666666</v>
      </c>
      <c r="W85" s="35">
        <f>IF(AND($A85&lt;&gt;0,$A85&lt;&gt;""),LOOKUP($A85,Discrete_NFET[PARTNUMBER],Discrete_NFET[QGS]),"")</f>
        <v>9.8000000000000007</v>
      </c>
      <c r="X85" s="35">
        <f>IF(AND($A85&lt;&gt;0,$A85&lt;&gt;""),LOOKUP($A85,Discrete_NFET[PARTNUMBER],Discrete_NFET[QGD]),"")</f>
        <v>5.4</v>
      </c>
      <c r="Y85" s="35">
        <f>IF(AND($A85&lt;&gt;0,$A85&lt;&gt;""),LOOKUP($A85,Discrete_NFET[PARTNUMBER],Discrete_NFET[QGTH]),"")</f>
        <v>6.1</v>
      </c>
      <c r="Z85" s="35">
        <f t="shared" si="50"/>
        <v>9.1000000000000014</v>
      </c>
      <c r="AA85" s="35">
        <f>IF(AND($A85&lt;&gt;0,$A85&lt;&gt;""),LOOKUP($A85,Discrete_NFET[PARTNUMBER],Discrete_NFET[QOSSTYP]),"")</f>
        <v>71</v>
      </c>
      <c r="AB85" s="35">
        <f>IF(AND($A85&lt;&gt;0,$A85&lt;&gt;""),LOOKUP($A85,Discrete_NFET[PARTNUMBER],Discrete_NFET[QRR]),"")</f>
        <v>119</v>
      </c>
      <c r="AC85" s="35">
        <f>IF(AND(A85&lt;&gt;0,A85&lt;&gt;""),LOOKUP(A85,Discrete_NFET[PARTNUMBER],Discrete_NFET[VF_TYP]),"")</f>
        <v>0.9</v>
      </c>
      <c r="AD85" s="127">
        <f>IF(AND($A85&lt;&gt;0,$A85&lt;&gt;"",OR(RIGHT(Logic!B85,2)="C)",LEFT(Logic!B85,4)="CSD1")),(1+(1-DUTY))*IM_RMS_120^2*V85*m/3/Num_FETS2,"")</f>
        <v>0.43682110521185996</v>
      </c>
      <c r="AE85" s="127">
        <f>IF(AND($A85&lt;&gt;0,$A85&lt;&gt;"",OR(RIGHT(Logic!B85,2)="C)",LEFT(Logic!B85,4)="CSD1")),Num_FETS2*0.5*IM_RMS_120*VDC_AVG*Z85*n*MOT_ELEC_FREQ/GDR_SRC,"")</f>
        <v>2.9347265221878231E-5</v>
      </c>
      <c r="AF85" s="127">
        <f>IF(AND($A85&lt;&gt;0,$A85&lt;&gt;"",OR(RIGHT(Logic!B85,2)="C)",LEFT(Logic!B85,4)="CSD1")),Num_FETS2*0.5*IM_RMS_120*VDC_AVG*Z85*n*MOT_ELEC_FREQ/GDR_SINK,"")</f>
        <v>1.9956140350877198E-5</v>
      </c>
      <c r="AG85" s="127">
        <f>IF(AND($A85&lt;&gt;0,$A85&lt;&gt;"",OR(RIGHT(Logic!B85,2)="T)",LEFT(Logic!B85,4)="CSD1")),DUTY*IM_RMS_120^2*V85*m/3/Num_FETS2,"")</f>
        <v>0.3952190951916828</v>
      </c>
      <c r="AH85" s="127">
        <f>IF(AND($A85&lt;&gt;0,$A85&lt;&gt;"",OR(RIGHT(Logic!B85,2)="T)",LEFT(Logic!B85,4)="CSD1")),Num_FETS2*0.5*IM_RMS_120*VDC_AVG*Z85*n*FSW*k/GDR_SRC/3,"")</f>
        <v>5.8694530443756457E-3</v>
      </c>
      <c r="AI85" s="127">
        <f>IF(AND($A85&lt;&gt;0,$A85&lt;&gt;"",OR(RIGHT(Logic!B85,2)="T)",LEFT(Logic!B85,4)="CSD1")),Num_FETS2*0.5*IM_RMS_120*VDC_AVG*Z85*n*FSW*k/GDR_SINK/3,"")</f>
        <v>3.9912280701754387E-3</v>
      </c>
      <c r="AJ85" s="127">
        <f t="shared" si="34"/>
        <v>8.5199999999999998E-3</v>
      </c>
      <c r="AK85" s="127">
        <f t="shared" si="36"/>
        <v>1.3966388884290052E-2</v>
      </c>
      <c r="AL85" s="127">
        <f t="shared" si="35"/>
        <v>2.86076E-2</v>
      </c>
      <c r="AM85" s="127">
        <f t="shared" si="51"/>
        <v>0.41899166652870157</v>
      </c>
      <c r="AN85" s="127">
        <f>IF(AND($A85&lt;&gt;0,$A85&lt;&gt;"",OR(RIGHT(Logic!B85,2)="C)",LEFT(Logic!B85,4)="CSD1")),SUM(AD85:AF85)+(AJ85/3)+AK85+AL85/6+AM85/6,AN86)</f>
        <v>0.52827667525650635</v>
      </c>
      <c r="AO85" s="127">
        <f>IF(AND($A85&lt;&gt;0,$A85&lt;&gt;"",OR(RIGHT(Logic!B85,2)="T)",LEFT(Logic!B85,4)="CSD1")),SUM(AG85:AI85)+(AJ85/3)+AL85/6+AM85/6,AO84)</f>
        <v>0.48251965406101743</v>
      </c>
      <c r="AP85" s="48">
        <f t="shared" si="52"/>
        <v>1.01</v>
      </c>
      <c r="AQ85" s="35" t="str">
        <f>IF(AND(A85&lt;&gt;0,A85&lt;&gt;""),LOOKUP(A85,Discrete_NFET[PARTNUMBER],Discrete_NFET[TI_EQ_PACKAGE]),"")</f>
        <v>TO-220</v>
      </c>
      <c r="AR85" s="49">
        <f>IF(AND(A85&lt;&gt;0,A85&lt;&gt;""),LOOKUP(A85,Discrete_NFET[PARTNUMBER],Discrete_NFET[1KPRICE]),"")</f>
        <v>0.56000000000000005</v>
      </c>
      <c r="AS85" s="35" t="str">
        <f>IF(AND($A85&lt;&gt;0,$A85&lt;&gt;""),CONCATENATE(TEXT(AP85,"0.00"),"W, ",IF('User Input'!G$11="Single Discrete",A85,IF('User Input'!G$11="Dual/Power Block",LEFT(A85,FIND(")",A85)-7),A85)),", ",AQ85,", ",TEXT(AR85,"$0.00")),"Invalid Part")</f>
        <v>1.01W, CSD19503KCS, TO-220, $0.56</v>
      </c>
      <c r="AT85" t="s">
        <v>867</v>
      </c>
      <c r="AW85"/>
    </row>
    <row r="86" spans="1:49" ht="15" customHeight="1" x14ac:dyDescent="0.25">
      <c r="A86" s="35" t="str">
        <f>IF(OR(AND(FET_config2="Dual/Power Block",LEFT(Logic!B86,4)="CSD8"),AND(FET_config2="Single Discrete",LEFT(Logic!B86,4)="CSD1")),Logic!B86,"")</f>
        <v>CSD19505KCS</v>
      </c>
      <c r="B86" s="37" t="str">
        <f>IF(OR($A86=0,$A86=""),"0",IF(LOOKUP($A86,Discrete_NFET[PARTNUMBER],Discrete_NFET[RDSON25])="(NULL)","0","1"))</f>
        <v>0</v>
      </c>
      <c r="C86" s="38" t="str">
        <f>IF(OR($A86=0,$A86=""),"0",IF(LOOKUP($A86,Discrete_NFET[PARTNUMBER],Discrete_NFET[RDSON3])="(NULL)","0","1"))</f>
        <v>0</v>
      </c>
      <c r="D86" s="40" t="str">
        <f>IF(OR($A86=0,$A86=""),"0",IF(LOOKUP($A86,Discrete_NFET[PARTNUMBER],Discrete_NFET[RDSON45])="(NULL)","0","1"))</f>
        <v>0</v>
      </c>
      <c r="E86" s="45" t="str">
        <f>IF(OR($A86=0,$A86=""),"0",IF(LOOKUP($A86,Discrete_NFET[PARTNUMBER],Discrete_NFET[RDSON6])="(NULL)","0","1"))</f>
        <v>1</v>
      </c>
      <c r="F86" s="34" t="str">
        <f>IF(OR($A86=0,$A86=""),"0",IF(LOOKUP($A86,Discrete_NFET[PARTNUMBER],Discrete_NFET[RDSON8])="(NULL)","0","1"))</f>
        <v>0</v>
      </c>
      <c r="G86" s="43" t="str">
        <f>IF(OR($A86=0,$A86=""),"0",IF(LOOKUP($A86,Discrete_NFET[PARTNUMBER],Discrete_NFET[RDSON10])="(NULL)","0","1"))</f>
        <v>1</v>
      </c>
      <c r="H86" s="36" t="b">
        <f t="shared" si="37"/>
        <v>0</v>
      </c>
      <c r="I86" s="39" t="b">
        <f t="shared" si="38"/>
        <v>0</v>
      </c>
      <c r="J86" s="41" t="b">
        <f t="shared" si="39"/>
        <v>0</v>
      </c>
      <c r="K86" s="46" t="b">
        <f t="shared" si="40"/>
        <v>1</v>
      </c>
      <c r="L86" s="42" t="b">
        <f t="shared" si="41"/>
        <v>0</v>
      </c>
      <c r="M86" s="44" t="b">
        <f t="shared" si="42"/>
        <v>1</v>
      </c>
      <c r="N86" s="47" t="b">
        <f t="shared" si="43"/>
        <v>1</v>
      </c>
      <c r="O86" s="36" t="b">
        <f t="shared" si="44"/>
        <v>0</v>
      </c>
      <c r="P86" s="39" t="b">
        <f t="shared" si="45"/>
        <v>0</v>
      </c>
      <c r="Q86" s="41" t="b">
        <f t="shared" si="46"/>
        <v>0</v>
      </c>
      <c r="R86" s="46" t="b">
        <f t="shared" si="47"/>
        <v>1</v>
      </c>
      <c r="S86" s="42" t="b">
        <f t="shared" si="48"/>
        <v>0</v>
      </c>
      <c r="T86" s="44" t="b">
        <f t="shared" si="49"/>
        <v>1</v>
      </c>
      <c r="U86" s="148">
        <f>IF(T86,LOOKUP(A86,Discrete_NFET[PARTNUMBER],Discrete_NFET[RDSON10])*1000,IF(S86,LOOKUP(A86,Discrete_NFET[PARTNUMBER],Discrete_NFET[RDSON8])*1000,IF(R86,LOOKUP(A86,Discrete_NFET[PARTNUMBER],Discrete_NFET[RDSON6])*1000,IF(Q86,LOOKUP(A86,Discrete_NFET[PARTNUMBER],Discrete_NFET[RDSON45])*1000,IF(P86,LOOKUP(A86,Discrete_NFET[PARTNUMBER],Discrete_NFET[RDSON3])*1000,IF(O86,LOOKUP(A86,Discrete_NFET[PARTNUMBER],Discrete_NFET[RDSON25])*1000,""))))))</f>
        <v>3.1</v>
      </c>
      <c r="V86" s="48">
        <f>IF(AND(A86&lt;&gt;0,A86&lt;&gt;""),U86*(1+(Tj-25)*(LOOKUP(A86,Discrete_NFET[PARTNUMBER],Discrete_NFET[RDSDELTA])/((LOOKUP(A86,Discrete_NFET[PARTNUMBER],Discrete_NFET[TJMAX])-25)))),"")</f>
        <v>3.5753333333333335</v>
      </c>
      <c r="W86" s="35">
        <f>IF(AND($A86&lt;&gt;0,$A86&lt;&gt;""),LOOKUP($A86,Discrete_NFET[PARTNUMBER],Discrete_NFET[QGS]),"")</f>
        <v>25</v>
      </c>
      <c r="X86" s="35">
        <f>IF(AND($A86&lt;&gt;0,$A86&lt;&gt;""),LOOKUP($A86,Discrete_NFET[PARTNUMBER],Discrete_NFET[QGD]),"")</f>
        <v>11</v>
      </c>
      <c r="Y86" s="35">
        <f>IF(AND($A86&lt;&gt;0,$A86&lt;&gt;""),LOOKUP($A86,Discrete_NFET[PARTNUMBER],Discrete_NFET[QGTH]),"")</f>
        <v>15</v>
      </c>
      <c r="Z86" s="35">
        <f t="shared" si="50"/>
        <v>21</v>
      </c>
      <c r="AA86" s="35">
        <f>IF(AND($A86&lt;&gt;0,$A86&lt;&gt;""),LOOKUP($A86,Discrete_NFET[PARTNUMBER],Discrete_NFET[QOSSTYP]),"")</f>
        <v>214</v>
      </c>
      <c r="AB86" s="35">
        <f>IF(AND($A86&lt;&gt;0,$A86&lt;&gt;""),LOOKUP($A86,Discrete_NFET[PARTNUMBER],Discrete_NFET[QRR]),"")</f>
        <v>400</v>
      </c>
      <c r="AC86" s="35">
        <f>IF(AND(A86&lt;&gt;0,A86&lt;&gt;""),LOOKUP(A86,Discrete_NFET[PARTNUMBER],Discrete_NFET[VF_TYP]),"")</f>
        <v>0.9</v>
      </c>
      <c r="AD86" s="127">
        <f>IF(AND($A86&lt;&gt;0,$A86&lt;&gt;"",OR(RIGHT(Logic!B86,2)="C)",LEFT(Logic!B86,4)="CSD1")),(1+(1-DUTY))*IM_RMS_120^2*V86*m/3/Num_FETS2,"")</f>
        <v>0.1504509400328306</v>
      </c>
      <c r="AE86" s="127">
        <f>IF(AND($A86&lt;&gt;0,$A86&lt;&gt;"",OR(RIGHT(Logic!B86,2)="C)",LEFT(Logic!B86,4)="CSD1")),Num_FETS2*0.5*IM_RMS_120*VDC_AVG*Z86*n*MOT_ELEC_FREQ/GDR_SRC,"")</f>
        <v>6.7724458204334356E-5</v>
      </c>
      <c r="AF86" s="127">
        <f>IF(AND($A86&lt;&gt;0,$A86&lt;&gt;"",OR(RIGHT(Logic!B86,2)="C)",LEFT(Logic!B86,4)="CSD1")),Num_FETS2*0.5*IM_RMS_120*VDC_AVG*Z86*n*MOT_ELEC_FREQ/GDR_SINK,"")</f>
        <v>4.6052631578947363E-5</v>
      </c>
      <c r="AG86" s="127">
        <f>IF(AND($A86&lt;&gt;0,$A86&lt;&gt;"",OR(RIGHT(Logic!B86,2)="T)",LEFT(Logic!B86,4)="CSD1")),DUTY*IM_RMS_120^2*V86*m/3/Num_FETS2,"")</f>
        <v>0.13612227907732291</v>
      </c>
      <c r="AH86" s="127">
        <f>IF(AND($A86&lt;&gt;0,$A86&lt;&gt;"",OR(RIGHT(Logic!B86,2)="T)",LEFT(Logic!B86,4)="CSD1")),Num_FETS2*0.5*IM_RMS_120*VDC_AVG*Z86*n*FSW*k/GDR_SRC/3,"")</f>
        <v>1.354489164086687E-2</v>
      </c>
      <c r="AI86" s="127">
        <f>IF(AND($A86&lt;&gt;0,$A86&lt;&gt;"",OR(RIGHT(Logic!B86,2)="T)",LEFT(Logic!B86,4)="CSD1")),Num_FETS2*0.5*IM_RMS_120*VDC_AVG*Z86*n*FSW*k/GDR_SINK/3,"")</f>
        <v>9.2105263157894728E-3</v>
      </c>
      <c r="AJ86" s="127">
        <f t="shared" si="34"/>
        <v>2.5680000000000001E-2</v>
      </c>
      <c r="AK86" s="127">
        <f t="shared" si="36"/>
        <v>1.3966388884290052E-2</v>
      </c>
      <c r="AL86" s="127">
        <f t="shared" si="35"/>
        <v>9.6160000000000009E-2</v>
      </c>
      <c r="AM86" s="127">
        <f t="shared" si="51"/>
        <v>0.41899166652870157</v>
      </c>
      <c r="AN86" s="127">
        <f>IF(AND($A86&lt;&gt;0,$A86&lt;&gt;"",OR(RIGHT(Logic!B86,2)="C)",LEFT(Logic!B86,4)="CSD1")),SUM(AD86:AF86)+(AJ86/3)+AK86+AL86/6+AM86/6,AN87)</f>
        <v>0.25894971709502085</v>
      </c>
      <c r="AO86" s="127">
        <f>IF(AND($A86&lt;&gt;0,$A86&lt;&gt;"",OR(RIGHT(Logic!B86,2)="T)",LEFT(Logic!B86,4)="CSD1")),SUM(AG86:AI86)+(AJ86/3)+AL86/6+AM86/6,AO85)</f>
        <v>0.25329630812209619</v>
      </c>
      <c r="AP86" s="48">
        <f t="shared" si="52"/>
        <v>0.51</v>
      </c>
      <c r="AQ86" s="35" t="str">
        <f>IF(AND(A86&lt;&gt;0,A86&lt;&gt;""),LOOKUP(A86,Discrete_NFET[PARTNUMBER],Discrete_NFET[TI_EQ_PACKAGE]),"")</f>
        <v>TO-220</v>
      </c>
      <c r="AR86" s="49">
        <f>IF(AND(A86&lt;&gt;0,A86&lt;&gt;""),LOOKUP(A86,Discrete_NFET[PARTNUMBER],Discrete_NFET[1KPRICE]),"")</f>
        <v>1.21</v>
      </c>
      <c r="AS86" s="35" t="str">
        <f>IF(AND($A86&lt;&gt;0,$A86&lt;&gt;""),CONCATENATE(TEXT(AP86,"0.00"),"W, ",IF('User Input'!G$11="Single Discrete",A86,IF('User Input'!G$11="Dual/Power Block",LEFT(A86,FIND(")",A86)-7),A86)),", ",AQ86,", ",TEXT(AR86,"$0.00")),"Invalid Part")</f>
        <v>0.51W, CSD19505KCS, TO-220, $1.21</v>
      </c>
      <c r="AT86" t="s">
        <v>866</v>
      </c>
      <c r="AW86"/>
    </row>
    <row r="87" spans="1:49" ht="15" customHeight="1" x14ac:dyDescent="0.25">
      <c r="A87" s="35" t="str">
        <f>IF(OR(AND(FET_config2="Dual/Power Block",LEFT(Logic!B87,4)="CSD8"),AND(FET_config2="Single Discrete",LEFT(Logic!B87,4)="CSD1")),Logic!B87,"")</f>
        <v>CSD19505KTT</v>
      </c>
      <c r="B87" s="37" t="str">
        <f>IF(OR($A87=0,$A87=""),"0",IF(LOOKUP($A87,Discrete_NFET[PARTNUMBER],Discrete_NFET[RDSON25])="(NULL)","0","1"))</f>
        <v>0</v>
      </c>
      <c r="C87" s="38" t="str">
        <f>IF(OR($A87=0,$A87=""),"0",IF(LOOKUP($A87,Discrete_NFET[PARTNUMBER],Discrete_NFET[RDSON3])="(NULL)","0","1"))</f>
        <v>0</v>
      </c>
      <c r="D87" s="40" t="str">
        <f>IF(OR($A87=0,$A87=""),"0",IF(LOOKUP($A87,Discrete_NFET[PARTNUMBER],Discrete_NFET[RDSON45])="(NULL)","0","1"))</f>
        <v>0</v>
      </c>
      <c r="E87" s="45" t="str">
        <f>IF(OR($A87=0,$A87=""),"0",IF(LOOKUP($A87,Discrete_NFET[PARTNUMBER],Discrete_NFET[RDSON6])="(NULL)","0","1"))</f>
        <v>1</v>
      </c>
      <c r="F87" s="34" t="str">
        <f>IF(OR($A87=0,$A87=""),"0",IF(LOOKUP($A87,Discrete_NFET[PARTNUMBER],Discrete_NFET[RDSON8])="(NULL)","0","1"))</f>
        <v>0</v>
      </c>
      <c r="G87" s="43" t="str">
        <f>IF(OR($A87=0,$A87=""),"0",IF(LOOKUP($A87,Discrete_NFET[PARTNUMBER],Discrete_NFET[RDSON10])="(NULL)","0","1"))</f>
        <v>1</v>
      </c>
      <c r="H87" s="36" t="b">
        <f t="shared" si="37"/>
        <v>0</v>
      </c>
      <c r="I87" s="39" t="b">
        <f t="shared" si="38"/>
        <v>0</v>
      </c>
      <c r="J87" s="41" t="b">
        <f t="shared" si="39"/>
        <v>0</v>
      </c>
      <c r="K87" s="46" t="b">
        <f t="shared" si="40"/>
        <v>1</v>
      </c>
      <c r="L87" s="42" t="b">
        <f t="shared" si="41"/>
        <v>0</v>
      </c>
      <c r="M87" s="44" t="b">
        <f t="shared" si="42"/>
        <v>1</v>
      </c>
      <c r="N87" s="47" t="b">
        <f t="shared" si="43"/>
        <v>1</v>
      </c>
      <c r="O87" s="36" t="b">
        <f t="shared" si="44"/>
        <v>0</v>
      </c>
      <c r="P87" s="39" t="b">
        <f t="shared" si="45"/>
        <v>0</v>
      </c>
      <c r="Q87" s="41" t="b">
        <f t="shared" si="46"/>
        <v>0</v>
      </c>
      <c r="R87" s="46" t="b">
        <f t="shared" si="47"/>
        <v>1</v>
      </c>
      <c r="S87" s="42" t="b">
        <f t="shared" si="48"/>
        <v>0</v>
      </c>
      <c r="T87" s="44" t="b">
        <f t="shared" si="49"/>
        <v>1</v>
      </c>
      <c r="U87" s="148">
        <f>IF(T87,LOOKUP(A87,Discrete_NFET[PARTNUMBER],Discrete_NFET[RDSON10])*1000,IF(S87,LOOKUP(A87,Discrete_NFET[PARTNUMBER],Discrete_NFET[RDSON8])*1000,IF(R87,LOOKUP(A87,Discrete_NFET[PARTNUMBER],Discrete_NFET[RDSON6])*1000,IF(Q87,LOOKUP(A87,Discrete_NFET[PARTNUMBER],Discrete_NFET[RDSON45])*1000,IF(P87,LOOKUP(A87,Discrete_NFET[PARTNUMBER],Discrete_NFET[RDSON3])*1000,IF(O87,LOOKUP(A87,Discrete_NFET[PARTNUMBER],Discrete_NFET[RDSON25])*1000,""))))))</f>
        <v>3.1</v>
      </c>
      <c r="V87" s="48">
        <f>IF(AND(A87&lt;&gt;0,A87&lt;&gt;""),U87*(1+(Tj-25)*(LOOKUP(A87,Discrete_NFET[PARTNUMBER],Discrete_NFET[RDSDELTA])/((LOOKUP(A87,Discrete_NFET[PARTNUMBER],Discrete_NFET[TJMAX])-25)))),"")</f>
        <v>3.5753333333333335</v>
      </c>
      <c r="W87" s="35">
        <f>IF(AND($A87&lt;&gt;0,$A87&lt;&gt;""),LOOKUP($A87,Discrete_NFET[PARTNUMBER],Discrete_NFET[QGS]),"")</f>
        <v>25</v>
      </c>
      <c r="X87" s="35">
        <f>IF(AND($A87&lt;&gt;0,$A87&lt;&gt;""),LOOKUP($A87,Discrete_NFET[PARTNUMBER],Discrete_NFET[QGD]),"")</f>
        <v>11</v>
      </c>
      <c r="Y87" s="35">
        <f>IF(AND($A87&lt;&gt;0,$A87&lt;&gt;""),LOOKUP($A87,Discrete_NFET[PARTNUMBER],Discrete_NFET[QGTH]),"")</f>
        <v>15</v>
      </c>
      <c r="Z87" s="35">
        <f t="shared" si="50"/>
        <v>21</v>
      </c>
      <c r="AA87" s="35">
        <f>IF(AND($A87&lt;&gt;0,$A87&lt;&gt;""),LOOKUP($A87,Discrete_NFET[PARTNUMBER],Discrete_NFET[QOSSTYP]),"")</f>
        <v>214</v>
      </c>
      <c r="AB87" s="35">
        <f>IF(AND($A87&lt;&gt;0,$A87&lt;&gt;""),LOOKUP($A87,Discrete_NFET[PARTNUMBER],Discrete_NFET[QRR]),"")</f>
        <v>400</v>
      </c>
      <c r="AC87" s="35">
        <f>IF(AND(A87&lt;&gt;0,A87&lt;&gt;""),LOOKUP(A87,Discrete_NFET[PARTNUMBER],Discrete_NFET[VF_TYP]),"")</f>
        <v>0.9</v>
      </c>
      <c r="AD87" s="127">
        <f>IF(AND($A87&lt;&gt;0,$A87&lt;&gt;"",OR(RIGHT(Logic!B87,2)="C)",LEFT(Logic!B87,4)="CSD1")),(1+(1-DUTY))*IM_RMS_120^2*V87*m/3/Num_FETS2,"")</f>
        <v>0.1504509400328306</v>
      </c>
      <c r="AE87" s="127">
        <f>IF(AND($A87&lt;&gt;0,$A87&lt;&gt;"",OR(RIGHT(Logic!B87,2)="C)",LEFT(Logic!B87,4)="CSD1")),Num_FETS2*0.5*IM_RMS_120*VDC_AVG*Z87*n*MOT_ELEC_FREQ/GDR_SRC,"")</f>
        <v>6.7724458204334356E-5</v>
      </c>
      <c r="AF87" s="127">
        <f>IF(AND($A87&lt;&gt;0,$A87&lt;&gt;"",OR(RIGHT(Logic!B87,2)="C)",LEFT(Logic!B87,4)="CSD1")),Num_FETS2*0.5*IM_RMS_120*VDC_AVG*Z87*n*MOT_ELEC_FREQ/GDR_SINK,"")</f>
        <v>4.6052631578947363E-5</v>
      </c>
      <c r="AG87" s="127">
        <f>IF(AND($A87&lt;&gt;0,$A87&lt;&gt;"",OR(RIGHT(Logic!B87,2)="T)",LEFT(Logic!B87,4)="CSD1")),DUTY*IM_RMS_120^2*V87*m/3/Num_FETS2,"")</f>
        <v>0.13612227907732291</v>
      </c>
      <c r="AH87" s="127">
        <f>IF(AND($A87&lt;&gt;0,$A87&lt;&gt;"",OR(RIGHT(Logic!B87,2)="T)",LEFT(Logic!B87,4)="CSD1")),Num_FETS2*0.5*IM_RMS_120*VDC_AVG*Z87*n*FSW*k/GDR_SRC/3,"")</f>
        <v>1.354489164086687E-2</v>
      </c>
      <c r="AI87" s="127">
        <f>IF(AND($A87&lt;&gt;0,$A87&lt;&gt;"",OR(RIGHT(Logic!B87,2)="T)",LEFT(Logic!B87,4)="CSD1")),Num_FETS2*0.5*IM_RMS_120*VDC_AVG*Z87*n*FSW*k/GDR_SINK/3,"")</f>
        <v>9.2105263157894728E-3</v>
      </c>
      <c r="AJ87" s="127">
        <f t="shared" si="34"/>
        <v>2.5680000000000001E-2</v>
      </c>
      <c r="AK87" s="127">
        <f t="shared" si="36"/>
        <v>1.3966388884290052E-2</v>
      </c>
      <c r="AL87" s="127">
        <f t="shared" si="35"/>
        <v>9.6160000000000009E-2</v>
      </c>
      <c r="AM87" s="127">
        <f t="shared" si="51"/>
        <v>0.41899166652870157</v>
      </c>
      <c r="AN87" s="127">
        <f>IF(AND($A87&lt;&gt;0,$A87&lt;&gt;"",OR(RIGHT(Logic!B87,2)="C)",LEFT(Logic!B87,4)="CSD1")),SUM(AD87:AF87)+(AJ87/3)+AK87+AL87/6+AM87/6,AN88)</f>
        <v>0.25894971709502085</v>
      </c>
      <c r="AO87" s="127">
        <f>IF(AND($A87&lt;&gt;0,$A87&lt;&gt;"",OR(RIGHT(Logic!B87,2)="T)",LEFT(Logic!B87,4)="CSD1")),SUM(AG87:AI87)+(AJ87/3)+AL87/6+AM87/6,AO86)</f>
        <v>0.25329630812209619</v>
      </c>
      <c r="AP87" s="48">
        <f t="shared" si="52"/>
        <v>0.51</v>
      </c>
      <c r="AQ87" s="35" t="str">
        <f>IF(AND(A87&lt;&gt;0,A87&lt;&gt;""),LOOKUP(A87,Discrete_NFET[PARTNUMBER],Discrete_NFET[TI_EQ_PACKAGE]),"")</f>
        <v>DDPAK</v>
      </c>
      <c r="AR87" s="49">
        <f>IF(AND(A87&lt;&gt;0,A87&lt;&gt;""),LOOKUP(A87,Discrete_NFET[PARTNUMBER],Discrete_NFET[1KPRICE]),"")</f>
        <v>1.25</v>
      </c>
      <c r="AS87" s="35" t="str">
        <f>IF(AND($A87&lt;&gt;0,$A87&lt;&gt;""),CONCATENATE(TEXT(AP87,"0.00"),"W, ",IF('User Input'!G$11="Single Discrete",A87,IF('User Input'!G$11="Dual/Power Block",LEFT(A87,FIND(")",A87)-7),A87)),", ",AQ87,", ",TEXT(AR87,"$0.00")),"Invalid Part")</f>
        <v>0.51W, CSD19505KTT, DDPAK, $1.25</v>
      </c>
      <c r="AT87" t="s">
        <v>807</v>
      </c>
      <c r="AW87"/>
    </row>
    <row r="88" spans="1:49" ht="15" customHeight="1" x14ac:dyDescent="0.25">
      <c r="A88" s="35" t="str">
        <f>IF(OR(AND(FET_config2="Dual/Power Block",LEFT(Logic!B88,4)="CSD8"),AND(FET_config2="Single Discrete",LEFT(Logic!B88,4)="CSD1")),Logic!B88,"")</f>
        <v>CSD19506KCS</v>
      </c>
      <c r="B88" s="37" t="str">
        <f>IF(OR($A88=0,$A88=""),"0",IF(LOOKUP($A88,Discrete_NFET[PARTNUMBER],Discrete_NFET[RDSON25])="(NULL)","0","1"))</f>
        <v>0</v>
      </c>
      <c r="C88" s="38" t="str">
        <f>IF(OR($A88=0,$A88=""),"0",IF(LOOKUP($A88,Discrete_NFET[PARTNUMBER],Discrete_NFET[RDSON3])="(NULL)","0","1"))</f>
        <v>0</v>
      </c>
      <c r="D88" s="40" t="str">
        <f>IF(OR($A88=0,$A88=""),"0",IF(LOOKUP($A88,Discrete_NFET[PARTNUMBER],Discrete_NFET[RDSON45])="(NULL)","0","1"))</f>
        <v>0</v>
      </c>
      <c r="E88" s="45" t="str">
        <f>IF(OR($A88=0,$A88=""),"0",IF(LOOKUP($A88,Discrete_NFET[PARTNUMBER],Discrete_NFET[RDSON6])="(NULL)","0","1"))</f>
        <v>1</v>
      </c>
      <c r="F88" s="34" t="str">
        <f>IF(OR($A88=0,$A88=""),"0",IF(LOOKUP($A88,Discrete_NFET[PARTNUMBER],Discrete_NFET[RDSON8])="(NULL)","0","1"))</f>
        <v>0</v>
      </c>
      <c r="G88" s="43" t="str">
        <f>IF(OR($A88=0,$A88=""),"0",IF(LOOKUP($A88,Discrete_NFET[PARTNUMBER],Discrete_NFET[RDSON10])="(NULL)","0","1"))</f>
        <v>1</v>
      </c>
      <c r="H88" s="36" t="b">
        <f t="shared" si="37"/>
        <v>0</v>
      </c>
      <c r="I88" s="39" t="b">
        <f t="shared" si="38"/>
        <v>0</v>
      </c>
      <c r="J88" s="41" t="b">
        <f t="shared" si="39"/>
        <v>0</v>
      </c>
      <c r="K88" s="46" t="b">
        <f t="shared" si="40"/>
        <v>1</v>
      </c>
      <c r="L88" s="42" t="b">
        <f t="shared" si="41"/>
        <v>0</v>
      </c>
      <c r="M88" s="44" t="b">
        <f t="shared" si="42"/>
        <v>1</v>
      </c>
      <c r="N88" s="47" t="b">
        <f t="shared" si="43"/>
        <v>1</v>
      </c>
      <c r="O88" s="36" t="b">
        <f t="shared" si="44"/>
        <v>0</v>
      </c>
      <c r="P88" s="39" t="b">
        <f t="shared" si="45"/>
        <v>0</v>
      </c>
      <c r="Q88" s="41" t="b">
        <f t="shared" si="46"/>
        <v>0</v>
      </c>
      <c r="R88" s="46" t="b">
        <f t="shared" si="47"/>
        <v>1</v>
      </c>
      <c r="S88" s="42" t="b">
        <f t="shared" si="48"/>
        <v>0</v>
      </c>
      <c r="T88" s="44" t="b">
        <f t="shared" si="49"/>
        <v>1</v>
      </c>
      <c r="U88" s="148">
        <f>IF(T88,LOOKUP(A88,Discrete_NFET[PARTNUMBER],Discrete_NFET[RDSON10])*1000,IF(S88,LOOKUP(A88,Discrete_NFET[PARTNUMBER],Discrete_NFET[RDSON8])*1000,IF(R88,LOOKUP(A88,Discrete_NFET[PARTNUMBER],Discrete_NFET[RDSON6])*1000,IF(Q88,LOOKUP(A88,Discrete_NFET[PARTNUMBER],Discrete_NFET[RDSON45])*1000,IF(P88,LOOKUP(A88,Discrete_NFET[PARTNUMBER],Discrete_NFET[RDSON3])*1000,IF(O88,LOOKUP(A88,Discrete_NFET[PARTNUMBER],Discrete_NFET[RDSON25])*1000,""))))))</f>
        <v>2.2999999999999998</v>
      </c>
      <c r="V88" s="48">
        <f>IF(AND(A88&lt;&gt;0,A88&lt;&gt;""),U88*(1+(Tj-25)*(LOOKUP(A88,Discrete_NFET[PARTNUMBER],Discrete_NFET[RDSDELTA])/((LOOKUP(A88,Discrete_NFET[PARTNUMBER],Discrete_NFET[TJMAX])-25)))),"")</f>
        <v>2.6143333333333332</v>
      </c>
      <c r="W88" s="35">
        <f>IF(AND($A88&lt;&gt;0,$A88&lt;&gt;""),LOOKUP($A88,Discrete_NFET[PARTNUMBER],Discrete_NFET[QGS]),"")</f>
        <v>37</v>
      </c>
      <c r="X88" s="35">
        <f>IF(AND($A88&lt;&gt;0,$A88&lt;&gt;""),LOOKUP($A88,Discrete_NFET[PARTNUMBER],Discrete_NFET[QGD]),"")</f>
        <v>20</v>
      </c>
      <c r="Y88" s="35">
        <f>IF(AND($A88&lt;&gt;0,$A88&lt;&gt;""),LOOKUP($A88,Discrete_NFET[PARTNUMBER],Discrete_NFET[QGTH]),"")</f>
        <v>25</v>
      </c>
      <c r="Z88" s="35">
        <f t="shared" si="50"/>
        <v>32</v>
      </c>
      <c r="AA88" s="35">
        <f>IF(AND($A88&lt;&gt;0,$A88&lt;&gt;""),LOOKUP($A88,Discrete_NFET[PARTNUMBER],Discrete_NFET[QOSSTYP]),"")</f>
        <v>345</v>
      </c>
      <c r="AB88" s="35">
        <f>IF(AND($A88&lt;&gt;0,$A88&lt;&gt;""),LOOKUP($A88,Discrete_NFET[PARTNUMBER],Discrete_NFET[QRR]),"")</f>
        <v>525</v>
      </c>
      <c r="AC88" s="35">
        <f>IF(AND(A88&lt;&gt;0,A88&lt;&gt;""),LOOKUP(A88,Discrete_NFET[PARTNUMBER],Discrete_NFET[VF_TYP]),"")</f>
        <v>0.9</v>
      </c>
      <c r="AD88" s="127">
        <f>IF(AND($A88&lt;&gt;0,$A88&lt;&gt;"",OR(RIGHT(Logic!B88,2)="C)",LEFT(Logic!B88,4)="CSD1")),(1+(1-DUTY))*IM_RMS_120^2*V88*m/3/Num_FETS2,"")</f>
        <v>0.11001181453267671</v>
      </c>
      <c r="AE88" s="127">
        <f>IF(AND($A88&lt;&gt;0,$A88&lt;&gt;"",OR(RIGHT(Logic!B88,2)="C)",LEFT(Logic!B88,4)="CSD1")),Num_FETS2*0.5*IM_RMS_120*VDC_AVG*Z88*n*MOT_ELEC_FREQ/GDR_SRC,"")</f>
        <v>1.0319917440660473E-4</v>
      </c>
      <c r="AF88" s="127">
        <f>IF(AND($A88&lt;&gt;0,$A88&lt;&gt;"",OR(RIGHT(Logic!B88,2)="C)",LEFT(Logic!B88,4)="CSD1")),Num_FETS2*0.5*IM_RMS_120*VDC_AVG*Z88*n*MOT_ELEC_FREQ/GDR_SINK,"")</f>
        <v>7.0175438596491223E-5</v>
      </c>
      <c r="AG88" s="127">
        <f>IF(AND($A88&lt;&gt;0,$A88&lt;&gt;"",OR(RIGHT(Logic!B88,2)="T)",LEFT(Logic!B88,4)="CSD1")),DUTY*IM_RMS_120^2*V88*m/3/Num_FETS2,"")</f>
        <v>9.953449886289796E-2</v>
      </c>
      <c r="AH88" s="127">
        <f>IF(AND($A88&lt;&gt;0,$A88&lt;&gt;"",OR(RIGHT(Logic!B88,2)="T)",LEFT(Logic!B88,4)="CSD1")),Num_FETS2*0.5*IM_RMS_120*VDC_AVG*Z88*n*FSW*k/GDR_SRC/3,"")</f>
        <v>2.0639834881320946E-2</v>
      </c>
      <c r="AI88" s="127">
        <f>IF(AND($A88&lt;&gt;0,$A88&lt;&gt;"",OR(RIGHT(Logic!B88,2)="T)",LEFT(Logic!B88,4)="CSD1")),Num_FETS2*0.5*IM_RMS_120*VDC_AVG*Z88*n*FSW*k/GDR_SINK/3,"")</f>
        <v>1.4035087719298242E-2</v>
      </c>
      <c r="AJ88" s="127">
        <f t="shared" si="34"/>
        <v>4.1399999999999999E-2</v>
      </c>
      <c r="AK88" s="127">
        <f t="shared" si="36"/>
        <v>1.3966388884290052E-2</v>
      </c>
      <c r="AL88" s="127">
        <f t="shared" si="35"/>
        <v>0.12620999999999999</v>
      </c>
      <c r="AM88" s="127">
        <f t="shared" si="51"/>
        <v>0.41899166652870157</v>
      </c>
      <c r="AN88" s="127">
        <f>IF(AND($A88&lt;&gt;0,$A88&lt;&gt;"",OR(RIGHT(Logic!B88,2)="C)",LEFT(Logic!B88,4)="CSD1")),SUM(AD88:AF88)+(AJ88/3)+AK88+AL88/6+AM88/6,AN89)</f>
        <v>0.22881852245142009</v>
      </c>
      <c r="AO88" s="127">
        <f>IF(AND($A88&lt;&gt;0,$A88&lt;&gt;"",OR(RIGHT(Logic!B88,2)="T)",LEFT(Logic!B88,4)="CSD1")),SUM(AG88:AI88)+(AJ88/3)+AL88/6+AM88/6,AO87)</f>
        <v>0.23887636588496741</v>
      </c>
      <c r="AP88" s="48">
        <f t="shared" si="52"/>
        <v>0.47</v>
      </c>
      <c r="AQ88" s="35" t="str">
        <f>IF(AND(A88&lt;&gt;0,A88&lt;&gt;""),LOOKUP(A88,Discrete_NFET[PARTNUMBER],Discrete_NFET[TI_EQ_PACKAGE]),"")</f>
        <v>TO-220</v>
      </c>
      <c r="AR88" s="49">
        <f>IF(AND(A88&lt;&gt;0,A88&lt;&gt;""),LOOKUP(A88,Discrete_NFET[PARTNUMBER],Discrete_NFET[1KPRICE]),"")</f>
        <v>1.83</v>
      </c>
      <c r="AS88" s="35" t="str">
        <f>IF(AND($A88&lt;&gt;0,$A88&lt;&gt;""),CONCATENATE(TEXT(AP88,"0.00"),"W, ",IF('User Input'!G$11="Single Discrete",A88,IF('User Input'!G$11="Dual/Power Block",LEFT(A88,FIND(")",A88)-7),A88)),", ",AQ88,", ",TEXT(AR88,"$0.00")),"Invalid Part")</f>
        <v>0.47W, CSD19506KCS, TO-220, $1.83</v>
      </c>
      <c r="AT88" t="s">
        <v>825</v>
      </c>
      <c r="AW88"/>
    </row>
    <row r="89" spans="1:49" ht="15" customHeight="1" x14ac:dyDescent="0.25">
      <c r="A89" s="35" t="str">
        <f>IF(OR(AND(FET_config2="Dual/Power Block",LEFT(Logic!B89,4)="CSD8"),AND(FET_config2="Single Discrete",LEFT(Logic!B89,4)="CSD1")),Logic!B89,"")</f>
        <v>CSD19506KTT</v>
      </c>
      <c r="B89" s="37" t="str">
        <f>IF(OR($A89=0,$A89=""),"0",IF(LOOKUP($A89,Discrete_NFET[PARTNUMBER],Discrete_NFET[RDSON25])="(NULL)","0","1"))</f>
        <v>0</v>
      </c>
      <c r="C89" s="38" t="str">
        <f>IF(OR($A89=0,$A89=""),"0",IF(LOOKUP($A89,Discrete_NFET[PARTNUMBER],Discrete_NFET[RDSON3])="(NULL)","0","1"))</f>
        <v>0</v>
      </c>
      <c r="D89" s="40" t="str">
        <f>IF(OR($A89=0,$A89=""),"0",IF(LOOKUP($A89,Discrete_NFET[PARTNUMBER],Discrete_NFET[RDSON45])="(NULL)","0","1"))</f>
        <v>0</v>
      </c>
      <c r="E89" s="45" t="str">
        <f>IF(OR($A89=0,$A89=""),"0",IF(LOOKUP($A89,Discrete_NFET[PARTNUMBER],Discrete_NFET[RDSON6])="(NULL)","0","1"))</f>
        <v>1</v>
      </c>
      <c r="F89" s="34" t="str">
        <f>IF(OR($A89=0,$A89=""),"0",IF(LOOKUP($A89,Discrete_NFET[PARTNUMBER],Discrete_NFET[RDSON8])="(NULL)","0","1"))</f>
        <v>0</v>
      </c>
      <c r="G89" s="43" t="str">
        <f>IF(OR($A89=0,$A89=""),"0",IF(LOOKUP($A89,Discrete_NFET[PARTNUMBER],Discrete_NFET[RDSON10])="(NULL)","0","1"))</f>
        <v>1</v>
      </c>
      <c r="H89" s="36" t="b">
        <f t="shared" si="37"/>
        <v>0</v>
      </c>
      <c r="I89" s="39" t="b">
        <f t="shared" si="38"/>
        <v>0</v>
      </c>
      <c r="J89" s="41" t="b">
        <f t="shared" si="39"/>
        <v>0</v>
      </c>
      <c r="K89" s="46" t="b">
        <f t="shared" si="40"/>
        <v>1</v>
      </c>
      <c r="L89" s="42" t="b">
        <f t="shared" si="41"/>
        <v>0</v>
      </c>
      <c r="M89" s="44" t="b">
        <f t="shared" si="42"/>
        <v>1</v>
      </c>
      <c r="N89" s="47" t="b">
        <f t="shared" si="43"/>
        <v>1</v>
      </c>
      <c r="O89" s="36" t="b">
        <f t="shared" si="44"/>
        <v>0</v>
      </c>
      <c r="P89" s="39" t="b">
        <f t="shared" si="45"/>
        <v>0</v>
      </c>
      <c r="Q89" s="41" t="b">
        <f t="shared" si="46"/>
        <v>0</v>
      </c>
      <c r="R89" s="46" t="b">
        <f t="shared" si="47"/>
        <v>1</v>
      </c>
      <c r="S89" s="42" t="b">
        <f t="shared" si="48"/>
        <v>0</v>
      </c>
      <c r="T89" s="44" t="b">
        <f t="shared" si="49"/>
        <v>1</v>
      </c>
      <c r="U89" s="148">
        <f>IF(T89,LOOKUP(A89,Discrete_NFET[PARTNUMBER],Discrete_NFET[RDSON10])*1000,IF(S89,LOOKUP(A89,Discrete_NFET[PARTNUMBER],Discrete_NFET[RDSON8])*1000,IF(R89,LOOKUP(A89,Discrete_NFET[PARTNUMBER],Discrete_NFET[RDSON6])*1000,IF(Q89,LOOKUP(A89,Discrete_NFET[PARTNUMBER],Discrete_NFET[RDSON45])*1000,IF(P89,LOOKUP(A89,Discrete_NFET[PARTNUMBER],Discrete_NFET[RDSON3])*1000,IF(O89,LOOKUP(A89,Discrete_NFET[PARTNUMBER],Discrete_NFET[RDSON25])*1000,""))))))</f>
        <v>2.2999999999999998</v>
      </c>
      <c r="V89" s="48">
        <f>IF(AND(A89&lt;&gt;0,A89&lt;&gt;""),U89*(1+(Tj-25)*(LOOKUP(A89,Discrete_NFET[PARTNUMBER],Discrete_NFET[RDSDELTA])/((LOOKUP(A89,Discrete_NFET[PARTNUMBER],Discrete_NFET[TJMAX])-25)))),"")</f>
        <v>2.6143333333333332</v>
      </c>
      <c r="W89" s="35">
        <f>IF(AND($A89&lt;&gt;0,$A89&lt;&gt;""),LOOKUP($A89,Discrete_NFET[PARTNUMBER],Discrete_NFET[QGS]),"")</f>
        <v>37</v>
      </c>
      <c r="X89" s="35">
        <f>IF(AND($A89&lt;&gt;0,$A89&lt;&gt;""),LOOKUP($A89,Discrete_NFET[PARTNUMBER],Discrete_NFET[QGD]),"")</f>
        <v>20</v>
      </c>
      <c r="Y89" s="35">
        <f>IF(AND($A89&lt;&gt;0,$A89&lt;&gt;""),LOOKUP($A89,Discrete_NFET[PARTNUMBER],Discrete_NFET[QGTH]),"")</f>
        <v>25</v>
      </c>
      <c r="Z89" s="35">
        <f t="shared" si="50"/>
        <v>32</v>
      </c>
      <c r="AA89" s="35">
        <f>IF(AND($A89&lt;&gt;0,$A89&lt;&gt;""),LOOKUP($A89,Discrete_NFET[PARTNUMBER],Discrete_NFET[QOSSTYP]),"")</f>
        <v>345</v>
      </c>
      <c r="AB89" s="35">
        <f>IF(AND($A89&lt;&gt;0,$A89&lt;&gt;""),LOOKUP($A89,Discrete_NFET[PARTNUMBER],Discrete_NFET[QRR]),"")</f>
        <v>525</v>
      </c>
      <c r="AC89" s="35">
        <f>IF(AND(A89&lt;&gt;0,A89&lt;&gt;""),LOOKUP(A89,Discrete_NFET[PARTNUMBER],Discrete_NFET[VF_TYP]),"")</f>
        <v>0.9</v>
      </c>
      <c r="AD89" s="127">
        <f>IF(AND($A89&lt;&gt;0,$A89&lt;&gt;"",OR(RIGHT(Logic!B89,2)="C)",LEFT(Logic!B89,4)="CSD1")),(1+(1-DUTY))*IM_RMS_120^2*V89*m/3/Num_FETS2,"")</f>
        <v>0.11001181453267671</v>
      </c>
      <c r="AE89" s="127">
        <f>IF(AND($A89&lt;&gt;0,$A89&lt;&gt;"",OR(RIGHT(Logic!B89,2)="C)",LEFT(Logic!B89,4)="CSD1")),Num_FETS2*0.5*IM_RMS_120*VDC_AVG*Z89*n*MOT_ELEC_FREQ/GDR_SRC,"")</f>
        <v>1.0319917440660473E-4</v>
      </c>
      <c r="AF89" s="127">
        <f>IF(AND($A89&lt;&gt;0,$A89&lt;&gt;"",OR(RIGHT(Logic!B89,2)="C)",LEFT(Logic!B89,4)="CSD1")),Num_FETS2*0.5*IM_RMS_120*VDC_AVG*Z89*n*MOT_ELEC_FREQ/GDR_SINK,"")</f>
        <v>7.0175438596491223E-5</v>
      </c>
      <c r="AG89" s="127">
        <f>IF(AND($A89&lt;&gt;0,$A89&lt;&gt;"",OR(RIGHT(Logic!B89,2)="T)",LEFT(Logic!B89,4)="CSD1")),DUTY*IM_RMS_120^2*V89*m/3/Num_FETS2,"")</f>
        <v>9.953449886289796E-2</v>
      </c>
      <c r="AH89" s="127">
        <f>IF(AND($A89&lt;&gt;0,$A89&lt;&gt;"",OR(RIGHT(Logic!B89,2)="T)",LEFT(Logic!B89,4)="CSD1")),Num_FETS2*0.5*IM_RMS_120*VDC_AVG*Z89*n*FSW*k/GDR_SRC/3,"")</f>
        <v>2.0639834881320946E-2</v>
      </c>
      <c r="AI89" s="127">
        <f>IF(AND($A89&lt;&gt;0,$A89&lt;&gt;"",OR(RIGHT(Logic!B89,2)="T)",LEFT(Logic!B89,4)="CSD1")),Num_FETS2*0.5*IM_RMS_120*VDC_AVG*Z89*n*FSW*k/GDR_SINK/3,"")</f>
        <v>1.4035087719298242E-2</v>
      </c>
      <c r="AJ89" s="127">
        <f t="shared" si="34"/>
        <v>4.1399999999999999E-2</v>
      </c>
      <c r="AK89" s="127">
        <f t="shared" si="36"/>
        <v>1.3966388884290052E-2</v>
      </c>
      <c r="AL89" s="127">
        <f t="shared" si="35"/>
        <v>0.12620999999999999</v>
      </c>
      <c r="AM89" s="127">
        <f t="shared" si="51"/>
        <v>0.41899166652870157</v>
      </c>
      <c r="AN89" s="127">
        <f>IF(AND($A89&lt;&gt;0,$A89&lt;&gt;"",OR(RIGHT(Logic!B89,2)="C)",LEFT(Logic!B89,4)="CSD1")),SUM(AD89:AF89)+(AJ89/3)+AK89+AL89/6+AM89/6,AN90)</f>
        <v>0.22881852245142009</v>
      </c>
      <c r="AO89" s="127">
        <f>IF(AND($A89&lt;&gt;0,$A89&lt;&gt;"",OR(RIGHT(Logic!B89,2)="T)",LEFT(Logic!B89,4)="CSD1")),SUM(AG89:AI89)+(AJ89/3)+AL89/6+AM89/6,AO88)</f>
        <v>0.23887636588496741</v>
      </c>
      <c r="AP89" s="48">
        <f t="shared" si="52"/>
        <v>0.47</v>
      </c>
      <c r="AQ89" s="35" t="str">
        <f>IF(AND(A89&lt;&gt;0,A89&lt;&gt;""),LOOKUP(A89,Discrete_NFET[PARTNUMBER],Discrete_NFET[TI_EQ_PACKAGE]),"")</f>
        <v>DDPAK</v>
      </c>
      <c r="AR89" s="49">
        <f>IF(AND(A89&lt;&gt;0,A89&lt;&gt;""),LOOKUP(A89,Discrete_NFET[PARTNUMBER],Discrete_NFET[1KPRICE]),"")</f>
        <v>1.88</v>
      </c>
      <c r="AS89" s="35" t="str">
        <f>IF(AND($A89&lt;&gt;0,$A89&lt;&gt;""),CONCATENATE(TEXT(AP89,"0.00"),"W, ",IF('User Input'!G$11="Single Discrete",A89,IF('User Input'!G$11="Dual/Power Block",LEFT(A89,FIND(")",A89)-7),A89)),", ",AQ89,", ",TEXT(AR89,"$0.00")),"Invalid Part")</f>
        <v>0.47W, CSD19506KTT, DDPAK, $1.88</v>
      </c>
      <c r="AT89" t="s">
        <v>806</v>
      </c>
      <c r="AW89"/>
    </row>
    <row r="90" spans="1:49" ht="15" customHeight="1" x14ac:dyDescent="0.25">
      <c r="A90" s="35" t="str">
        <f>IF(OR(AND(FET_config2="Dual/Power Block",LEFT(Logic!B90,4)="CSD8"),AND(FET_config2="Single Discrete",LEFT(Logic!B90,4)="CSD1")),Logic!B90,"")</f>
        <v/>
      </c>
      <c r="B90" s="37" t="str">
        <f>IF(OR($A90=0,$A90=""),"0",IF(LOOKUP($A90,Discrete_NFET[PARTNUMBER],Discrete_NFET[RDSON25])="(NULL)","0","1"))</f>
        <v>0</v>
      </c>
      <c r="C90" s="38" t="str">
        <f>IF(OR($A90=0,$A90=""),"0",IF(LOOKUP($A90,Discrete_NFET[PARTNUMBER],Discrete_NFET[RDSON3])="(NULL)","0","1"))</f>
        <v>0</v>
      </c>
      <c r="D90" s="40" t="str">
        <f>IF(OR($A90=0,$A90=""),"0",IF(LOOKUP($A90,Discrete_NFET[PARTNUMBER],Discrete_NFET[RDSON45])="(NULL)","0","1"))</f>
        <v>0</v>
      </c>
      <c r="E90" s="45" t="str">
        <f>IF(OR($A90=0,$A90=""),"0",IF(LOOKUP($A90,Discrete_NFET[PARTNUMBER],Discrete_NFET[RDSON6])="(NULL)","0","1"))</f>
        <v>0</v>
      </c>
      <c r="F90" s="34" t="str">
        <f>IF(OR($A90=0,$A90=""),"0",IF(LOOKUP($A90,Discrete_NFET[PARTNUMBER],Discrete_NFET[RDSON8])="(NULL)","0","1"))</f>
        <v>0</v>
      </c>
      <c r="G90" s="43" t="str">
        <f>IF(OR($A90=0,$A90=""),"0",IF(LOOKUP($A90,Discrete_NFET[PARTNUMBER],Discrete_NFET[RDSON10])="(NULL)","0","1"))</f>
        <v>0</v>
      </c>
      <c r="H90" s="36" t="b">
        <f t="shared" si="37"/>
        <v>0</v>
      </c>
      <c r="I90" s="39" t="b">
        <f t="shared" si="38"/>
        <v>0</v>
      </c>
      <c r="J90" s="41" t="b">
        <f t="shared" si="39"/>
        <v>0</v>
      </c>
      <c r="K90" s="46" t="b">
        <f t="shared" si="40"/>
        <v>0</v>
      </c>
      <c r="L90" s="42" t="b">
        <f t="shared" si="41"/>
        <v>0</v>
      </c>
      <c r="M90" s="44" t="b">
        <f t="shared" si="42"/>
        <v>0</v>
      </c>
      <c r="N90" s="47" t="b">
        <f t="shared" si="43"/>
        <v>0</v>
      </c>
      <c r="O90" s="36" t="b">
        <f t="shared" si="44"/>
        <v>0</v>
      </c>
      <c r="P90" s="39" t="b">
        <f t="shared" si="45"/>
        <v>0</v>
      </c>
      <c r="Q90" s="41" t="b">
        <f t="shared" si="46"/>
        <v>0</v>
      </c>
      <c r="R90" s="46" t="b">
        <f t="shared" si="47"/>
        <v>0</v>
      </c>
      <c r="S90" s="42" t="b">
        <f t="shared" si="48"/>
        <v>0</v>
      </c>
      <c r="T90" s="44" t="b">
        <f t="shared" si="49"/>
        <v>0</v>
      </c>
      <c r="U90" s="148" t="str">
        <f>IF(T90,LOOKUP(A90,Discrete_NFET[PARTNUMBER],Discrete_NFET[RDSON10])*1000,IF(S90,LOOKUP(A90,Discrete_NFET[PARTNUMBER],Discrete_NFET[RDSON8])*1000,IF(R90,LOOKUP(A90,Discrete_NFET[PARTNUMBER],Discrete_NFET[RDSON6])*1000,IF(Q90,LOOKUP(A90,Discrete_NFET[PARTNUMBER],Discrete_NFET[RDSON45])*1000,IF(P90,LOOKUP(A90,Discrete_NFET[PARTNUMBER],Discrete_NFET[RDSON3])*1000,IF(O90,LOOKUP(A90,Discrete_NFET[PARTNUMBER],Discrete_NFET[RDSON25])*1000,""))))))</f>
        <v/>
      </c>
      <c r="V90" s="48" t="str">
        <f>IF(AND(A90&lt;&gt;0,A90&lt;&gt;""),U90*(1+(Tj-25)*(LOOKUP(A90,Discrete_NFET[PARTNUMBER],Discrete_NFET[RDSDELTA])/((LOOKUP(A90,Discrete_NFET[PARTNUMBER],Discrete_NFET[TJMAX])-25)))),"")</f>
        <v/>
      </c>
      <c r="W90" s="35" t="str">
        <f>IF(AND($A90&lt;&gt;0,$A90&lt;&gt;""),LOOKUP($A90,Discrete_NFET[PARTNUMBER],Discrete_NFET[QGS]),"")</f>
        <v/>
      </c>
      <c r="X90" s="35" t="str">
        <f>IF(AND($A90&lt;&gt;0,$A90&lt;&gt;""),LOOKUP($A90,Discrete_NFET[PARTNUMBER],Discrete_NFET[QGD]),"")</f>
        <v/>
      </c>
      <c r="Y90" s="35" t="str">
        <f>IF(AND($A90&lt;&gt;0,$A90&lt;&gt;""),LOOKUP($A90,Discrete_NFET[PARTNUMBER],Discrete_NFET[QGTH]),"")</f>
        <v/>
      </c>
      <c r="Z90" s="35" t="str">
        <f t="shared" si="50"/>
        <v/>
      </c>
      <c r="AA90" s="35" t="str">
        <f>IF(AND($A90&lt;&gt;0,$A90&lt;&gt;""),LOOKUP($A90,Discrete_NFET[PARTNUMBER],Discrete_NFET[QOSSTYP]),"")</f>
        <v/>
      </c>
      <c r="AB90" s="35" t="str">
        <f>IF(AND($A90&lt;&gt;0,$A90&lt;&gt;""),LOOKUP($A90,Discrete_NFET[PARTNUMBER],Discrete_NFET[QRR]),"")</f>
        <v/>
      </c>
      <c r="AC90" s="35" t="str">
        <f>IF(AND(A90&lt;&gt;0,A90&lt;&gt;""),LOOKUP(A90,Discrete_NFET[PARTNUMBER],Discrete_NFET[VF_TYP]),"")</f>
        <v/>
      </c>
      <c r="AD90" s="127" t="str">
        <f>IF(AND($A90&lt;&gt;0,$A90&lt;&gt;"",OR(RIGHT(Logic!B90,2)="C)",LEFT(Logic!B90,4)="CSD1")),(1+(1-DUTY))*IM_RMS_120^2*V90*m/3/Num_FETS2,"")</f>
        <v/>
      </c>
      <c r="AE90" s="127" t="str">
        <f>IF(AND($A90&lt;&gt;0,$A90&lt;&gt;"",OR(RIGHT(Logic!B90,2)="C)",LEFT(Logic!B90,4)="CSD1")),Num_FETS2*0.5*IM_RMS_120*VDC_AVG*Z90*n*MOT_ELEC_FREQ/GDR_SRC,"")</f>
        <v/>
      </c>
      <c r="AF90" s="127" t="str">
        <f>IF(AND($A90&lt;&gt;0,$A90&lt;&gt;"",OR(RIGHT(Logic!B90,2)="C)",LEFT(Logic!B90,4)="CSD1")),Num_FETS2*0.5*IM_RMS_120*VDC_AVG*Z90*n*MOT_ELEC_FREQ/GDR_SINK,"")</f>
        <v/>
      </c>
      <c r="AG90" s="127" t="str">
        <f>IF(AND($A90&lt;&gt;0,$A90&lt;&gt;"",OR(RIGHT(Logic!B90,2)="T)",LEFT(Logic!B90,4)="CSD1")),DUTY*IM_RMS_120^2*V90*m/3/Num_FETS2,"")</f>
        <v/>
      </c>
      <c r="AH90" s="127" t="str">
        <f>IF(AND($A90&lt;&gt;0,$A90&lt;&gt;"",OR(RIGHT(Logic!B90,2)="T)",LEFT(Logic!B90,4)="CSD1")),Num_FETS2*0.5*IM_RMS_120*VDC_AVG*Z90*n*FSW*k/GDR_SRC/3,"")</f>
        <v/>
      </c>
      <c r="AI90" s="127" t="str">
        <f>IF(AND($A90&lt;&gt;0,$A90&lt;&gt;"",OR(RIGHT(Logic!B90,2)="T)",LEFT(Logic!B90,4)="CSD1")),Num_FETS2*0.5*IM_RMS_120*VDC_AVG*Z90*n*FSW*k/GDR_SINK/3,"")</f>
        <v/>
      </c>
      <c r="AJ90" s="127" t="str">
        <f t="shared" si="34"/>
        <v/>
      </c>
      <c r="AK90" s="127" t="str">
        <f t="shared" si="36"/>
        <v/>
      </c>
      <c r="AL90" s="127" t="str">
        <f t="shared" si="35"/>
        <v/>
      </c>
      <c r="AM90" s="127" t="str">
        <f t="shared" si="51"/>
        <v/>
      </c>
      <c r="AN90" s="127">
        <f>IF(AND($A90&lt;&gt;0,$A90&lt;&gt;"",OR(RIGHT(Logic!B90,2)="C)",LEFT(Logic!B90,4)="CSD1")),SUM(AD90:AF90)+(AJ90/3)+AK90+AL90/6+AM90/6,AN91)</f>
        <v>0</v>
      </c>
      <c r="AO90" s="127">
        <f>IF(AND($A90&lt;&gt;0,$A90&lt;&gt;"",OR(RIGHT(Logic!B90,2)="T)",LEFT(Logic!B90,4)="CSD1")),SUM(AG90:AI90)+(AJ90/3)+AL90/6+AM90/6,AO89)</f>
        <v>0.23887636588496741</v>
      </c>
      <c r="AP90" s="48" t="str">
        <f t="shared" si="52"/>
        <v/>
      </c>
      <c r="AQ90" s="35" t="str">
        <f>IF(AND(A90&lt;&gt;0,A90&lt;&gt;""),LOOKUP(A90,Discrete_NFET[PARTNUMBER],Discrete_NFET[TI_EQ_PACKAGE]),"")</f>
        <v/>
      </c>
      <c r="AR90" s="49" t="str">
        <f>IF(AND(A90&lt;&gt;0,A90&lt;&gt;""),LOOKUP(A90,Discrete_NFET[PARTNUMBER],Discrete_NFET[1KPRICE]),"")</f>
        <v/>
      </c>
      <c r="AS90" s="35" t="str">
        <f>IF(AND($A90&lt;&gt;0,$A90&lt;&gt;""),CONCATENATE(TEXT(AP90,"0.00"),"W, ",IF('User Input'!G$11="Single Discrete",A90,IF('User Input'!G$11="Dual/Power Block",LEFT(A90,FIND(")",A90)-7),A90)),", ",AQ90,", ",TEXT(AR90,"$0.00")),"Invalid Part")</f>
        <v>Invalid Part</v>
      </c>
      <c r="AT90"/>
      <c r="AW90"/>
    </row>
    <row r="91" spans="1:49" ht="15" customHeight="1" x14ac:dyDescent="0.25">
      <c r="A91" s="35" t="str">
        <f>IF(OR(AND(FET_config2="Dual/Power Block",LEFT(Logic!B91,4)="CSD8"),AND(FET_config2="Single Discrete",LEFT(Logic!B91,4)="CSD1")),Logic!B91,"")</f>
        <v/>
      </c>
      <c r="B91" s="37" t="str">
        <f>IF(OR($A91=0,$A91=""),"0",IF(LOOKUP($A91,Discrete_NFET[PARTNUMBER],Discrete_NFET[RDSON25])="(NULL)","0","1"))</f>
        <v>0</v>
      </c>
      <c r="C91" s="38" t="str">
        <f>IF(OR($A91=0,$A91=""),"0",IF(LOOKUP($A91,Discrete_NFET[PARTNUMBER],Discrete_NFET[RDSON3])="(NULL)","0","1"))</f>
        <v>0</v>
      </c>
      <c r="D91" s="40" t="str">
        <f>IF(OR($A91=0,$A91=""),"0",IF(LOOKUP($A91,Discrete_NFET[PARTNUMBER],Discrete_NFET[RDSON45])="(NULL)","0","1"))</f>
        <v>0</v>
      </c>
      <c r="E91" s="45" t="str">
        <f>IF(OR($A91=0,$A91=""),"0",IF(LOOKUP($A91,Discrete_NFET[PARTNUMBER],Discrete_NFET[RDSON6])="(NULL)","0","1"))</f>
        <v>0</v>
      </c>
      <c r="F91" s="34" t="str">
        <f>IF(OR($A91=0,$A91=""),"0",IF(LOOKUP($A91,Discrete_NFET[PARTNUMBER],Discrete_NFET[RDSON8])="(NULL)","0","1"))</f>
        <v>0</v>
      </c>
      <c r="G91" s="43" t="str">
        <f>IF(OR($A91=0,$A91=""),"0",IF(LOOKUP($A91,Discrete_NFET[PARTNUMBER],Discrete_NFET[RDSON10])="(NULL)","0","1"))</f>
        <v>0</v>
      </c>
      <c r="H91" s="36" t="b">
        <f t="shared" si="37"/>
        <v>0</v>
      </c>
      <c r="I91" s="39" t="b">
        <f t="shared" si="38"/>
        <v>0</v>
      </c>
      <c r="J91" s="41" t="b">
        <f t="shared" si="39"/>
        <v>0</v>
      </c>
      <c r="K91" s="46" t="b">
        <f t="shared" si="40"/>
        <v>0</v>
      </c>
      <c r="L91" s="42" t="b">
        <f t="shared" si="41"/>
        <v>0</v>
      </c>
      <c r="M91" s="44" t="b">
        <f t="shared" si="42"/>
        <v>0</v>
      </c>
      <c r="N91" s="47" t="b">
        <f t="shared" si="43"/>
        <v>0</v>
      </c>
      <c r="O91" s="36" t="b">
        <f t="shared" si="44"/>
        <v>0</v>
      </c>
      <c r="P91" s="39" t="b">
        <f t="shared" si="45"/>
        <v>0</v>
      </c>
      <c r="Q91" s="41" t="b">
        <f t="shared" si="46"/>
        <v>0</v>
      </c>
      <c r="R91" s="46" t="b">
        <f t="shared" si="47"/>
        <v>0</v>
      </c>
      <c r="S91" s="42" t="b">
        <f t="shared" si="48"/>
        <v>0</v>
      </c>
      <c r="T91" s="44" t="b">
        <f t="shared" si="49"/>
        <v>0</v>
      </c>
      <c r="U91" s="148" t="str">
        <f>IF(T91,LOOKUP(A91,Discrete_NFET[PARTNUMBER],Discrete_NFET[RDSON10])*1000,IF(S91,LOOKUP(A91,Discrete_NFET[PARTNUMBER],Discrete_NFET[RDSON8])*1000,IF(R91,LOOKUP(A91,Discrete_NFET[PARTNUMBER],Discrete_NFET[RDSON6])*1000,IF(Q91,LOOKUP(A91,Discrete_NFET[PARTNUMBER],Discrete_NFET[RDSON45])*1000,IF(P91,LOOKUP(A91,Discrete_NFET[PARTNUMBER],Discrete_NFET[RDSON3])*1000,IF(O91,LOOKUP(A91,Discrete_NFET[PARTNUMBER],Discrete_NFET[RDSON25])*1000,""))))))</f>
        <v/>
      </c>
      <c r="V91" s="48" t="str">
        <f>IF(AND(A91&lt;&gt;0,A91&lt;&gt;""),U91*(1+(Tj-25)*(LOOKUP(A91,Discrete_NFET[PARTNUMBER],Discrete_NFET[RDSDELTA])/((LOOKUP(A91,Discrete_NFET[PARTNUMBER],Discrete_NFET[TJMAX])-25)))),"")</f>
        <v/>
      </c>
      <c r="W91" s="35" t="str">
        <f>IF(AND($A91&lt;&gt;0,$A91&lt;&gt;""),LOOKUP($A91,Discrete_NFET[PARTNUMBER],Discrete_NFET[QGS]),"")</f>
        <v/>
      </c>
      <c r="X91" s="35" t="str">
        <f>IF(AND($A91&lt;&gt;0,$A91&lt;&gt;""),LOOKUP($A91,Discrete_NFET[PARTNUMBER],Discrete_NFET[QGD]),"")</f>
        <v/>
      </c>
      <c r="Y91" s="35" t="str">
        <f>IF(AND($A91&lt;&gt;0,$A91&lt;&gt;""),LOOKUP($A91,Discrete_NFET[PARTNUMBER],Discrete_NFET[QGTH]),"")</f>
        <v/>
      </c>
      <c r="Z91" s="35" t="str">
        <f t="shared" si="50"/>
        <v/>
      </c>
      <c r="AA91" s="35" t="str">
        <f>IF(AND($A91&lt;&gt;0,$A91&lt;&gt;""),LOOKUP($A91,Discrete_NFET[PARTNUMBER],Discrete_NFET[QOSSTYP]),"")</f>
        <v/>
      </c>
      <c r="AB91" s="35" t="str">
        <f>IF(AND($A91&lt;&gt;0,$A91&lt;&gt;""),LOOKUP($A91,Discrete_NFET[PARTNUMBER],Discrete_NFET[QRR]),"")</f>
        <v/>
      </c>
      <c r="AC91" s="35" t="str">
        <f>IF(AND(A91&lt;&gt;0,A91&lt;&gt;""),LOOKUP(A91,Discrete_NFET[PARTNUMBER],Discrete_NFET[VF_TYP]),"")</f>
        <v/>
      </c>
      <c r="AD91" s="127" t="str">
        <f>IF(AND($A91&lt;&gt;0,$A91&lt;&gt;"",OR(RIGHT(Logic!B91,2)="C)",LEFT(Logic!B91,4)="CSD1")),(1+(1-DUTY))*IM_RMS_120^2*V91*m/3/Num_FETS2,"")</f>
        <v/>
      </c>
      <c r="AE91" s="127" t="str">
        <f>IF(AND($A91&lt;&gt;0,$A91&lt;&gt;"",OR(RIGHT(Logic!B91,2)="C)",LEFT(Logic!B91,4)="CSD1")),Num_FETS2*0.5*IM_RMS_120*VDC_AVG*Z91*n*MOT_ELEC_FREQ/GDR_SRC,"")</f>
        <v/>
      </c>
      <c r="AF91" s="127" t="str">
        <f>IF(AND($A91&lt;&gt;0,$A91&lt;&gt;"",OR(RIGHT(Logic!B91,2)="C)",LEFT(Logic!B91,4)="CSD1")),Num_FETS2*0.5*IM_RMS_120*VDC_AVG*Z91*n*MOT_ELEC_FREQ/GDR_SINK,"")</f>
        <v/>
      </c>
      <c r="AG91" s="127" t="str">
        <f>IF(AND($A91&lt;&gt;0,$A91&lt;&gt;"",OR(RIGHT(Logic!B91,2)="T)",LEFT(Logic!B91,4)="CSD1")),DUTY*IM_RMS_120^2*V91*m/3/Num_FETS2,"")</f>
        <v/>
      </c>
      <c r="AH91" s="127" t="str">
        <f>IF(AND($A91&lt;&gt;0,$A91&lt;&gt;"",OR(RIGHT(Logic!B91,2)="T)",LEFT(Logic!B91,4)="CSD1")),Num_FETS2*0.5*IM_RMS_120*VDC_AVG*Z91*n*FSW*k/GDR_SRC/3,"")</f>
        <v/>
      </c>
      <c r="AI91" s="127" t="str">
        <f>IF(AND($A91&lt;&gt;0,$A91&lt;&gt;"",OR(RIGHT(Logic!B91,2)="T)",LEFT(Logic!B91,4)="CSD1")),Num_FETS2*0.5*IM_RMS_120*VDC_AVG*Z91*n*FSW*k/GDR_SINK/3,"")</f>
        <v/>
      </c>
      <c r="AJ91" s="127" t="str">
        <f t="shared" si="34"/>
        <v/>
      </c>
      <c r="AK91" s="127" t="str">
        <f t="shared" si="36"/>
        <v/>
      </c>
      <c r="AL91" s="127" t="str">
        <f t="shared" si="35"/>
        <v/>
      </c>
      <c r="AM91" s="127" t="str">
        <f t="shared" si="51"/>
        <v/>
      </c>
      <c r="AN91" s="127">
        <f>IF(AND($A91&lt;&gt;0,$A91&lt;&gt;"",OR(RIGHT(Logic!B91,2)="C)",LEFT(Logic!B91,4)="CSD1")),SUM(AD91:AF91)+(AJ91/3)+AK91+AL91/6+AM91/6,AN92)</f>
        <v>0</v>
      </c>
      <c r="AO91" s="127">
        <f>IF(AND($A91&lt;&gt;0,$A91&lt;&gt;"",OR(RIGHT(Logic!B91,2)="T)",LEFT(Logic!B91,4)="CSD1")),SUM(AG91:AI91)+(AJ91/3)+AL91/6+AM91/6,AO90)</f>
        <v>0.23887636588496741</v>
      </c>
      <c r="AP91" s="48" t="str">
        <f t="shared" si="52"/>
        <v/>
      </c>
      <c r="AQ91" s="35" t="str">
        <f>IF(AND(A91&lt;&gt;0,A91&lt;&gt;""),LOOKUP(A91,Discrete_NFET[PARTNUMBER],Discrete_NFET[TI_EQ_PACKAGE]),"")</f>
        <v/>
      </c>
      <c r="AR91" s="49" t="str">
        <f>IF(AND(A91&lt;&gt;0,A91&lt;&gt;""),LOOKUP(A91,Discrete_NFET[PARTNUMBER],Discrete_NFET[1KPRICE]),"")</f>
        <v/>
      </c>
      <c r="AS91" s="35" t="str">
        <f>IF(AND($A91&lt;&gt;0,$A91&lt;&gt;""),CONCATENATE(TEXT(AP91,"0.00"),"W, ",IF('User Input'!G$11="Single Discrete",A91,IF('User Input'!G$11="Dual/Power Block",LEFT(A91,FIND(")",A91)-7),A91)),", ",AQ91,", ",TEXT(AR91,"$0.00")),"Invalid Part")</f>
        <v>Invalid Part</v>
      </c>
      <c r="AT91"/>
      <c r="AW91"/>
    </row>
    <row r="92" spans="1:49" ht="15" customHeight="1" x14ac:dyDescent="0.25">
      <c r="A92" s="35" t="str">
        <f>IF(OR(AND(FET_config2="Dual/Power Block",LEFT(Logic!B92,4)="CSD8"),AND(FET_config2="Single Discrete",LEFT(Logic!B92,4)="CSD1")),Logic!B92,"")</f>
        <v/>
      </c>
      <c r="B92" s="37" t="str">
        <f>IF(OR($A92=0,$A92=""),"0",IF(LOOKUP($A92,Discrete_NFET[PARTNUMBER],Discrete_NFET[RDSON25])="(NULL)","0","1"))</f>
        <v>0</v>
      </c>
      <c r="C92" s="38" t="str">
        <f>IF(OR($A92=0,$A92=""),"0",IF(LOOKUP($A92,Discrete_NFET[PARTNUMBER],Discrete_NFET[RDSON3])="(NULL)","0","1"))</f>
        <v>0</v>
      </c>
      <c r="D92" s="40" t="str">
        <f>IF(OR($A92=0,$A92=""),"0",IF(LOOKUP($A92,Discrete_NFET[PARTNUMBER],Discrete_NFET[RDSON45])="(NULL)","0","1"))</f>
        <v>0</v>
      </c>
      <c r="E92" s="45" t="str">
        <f>IF(OR($A92=0,$A92=""),"0",IF(LOOKUP($A92,Discrete_NFET[PARTNUMBER],Discrete_NFET[RDSON6])="(NULL)","0","1"))</f>
        <v>0</v>
      </c>
      <c r="F92" s="34" t="str">
        <f>IF(OR($A92=0,$A92=""),"0",IF(LOOKUP($A92,Discrete_NFET[PARTNUMBER],Discrete_NFET[RDSON8])="(NULL)","0","1"))</f>
        <v>0</v>
      </c>
      <c r="G92" s="43" t="str">
        <f>IF(OR($A92=0,$A92=""),"0",IF(LOOKUP($A92,Discrete_NFET[PARTNUMBER],Discrete_NFET[RDSON10])="(NULL)","0","1"))</f>
        <v>0</v>
      </c>
      <c r="H92" s="36" t="b">
        <f t="shared" si="37"/>
        <v>0</v>
      </c>
      <c r="I92" s="39" t="b">
        <f t="shared" si="38"/>
        <v>0</v>
      </c>
      <c r="J92" s="41" t="b">
        <f t="shared" si="39"/>
        <v>0</v>
      </c>
      <c r="K92" s="46" t="b">
        <f t="shared" si="40"/>
        <v>0</v>
      </c>
      <c r="L92" s="42" t="b">
        <f t="shared" si="41"/>
        <v>0</v>
      </c>
      <c r="M92" s="44" t="b">
        <f t="shared" si="42"/>
        <v>0</v>
      </c>
      <c r="N92" s="47" t="b">
        <f t="shared" si="43"/>
        <v>0</v>
      </c>
      <c r="O92" s="36" t="b">
        <f t="shared" si="44"/>
        <v>0</v>
      </c>
      <c r="P92" s="39" t="b">
        <f t="shared" si="45"/>
        <v>0</v>
      </c>
      <c r="Q92" s="41" t="b">
        <f t="shared" si="46"/>
        <v>0</v>
      </c>
      <c r="R92" s="46" t="b">
        <f t="shared" si="47"/>
        <v>0</v>
      </c>
      <c r="S92" s="42" t="b">
        <f t="shared" si="48"/>
        <v>0</v>
      </c>
      <c r="T92" s="44" t="b">
        <f t="shared" si="49"/>
        <v>0</v>
      </c>
      <c r="U92" s="148" t="str">
        <f>IF(T92,LOOKUP(A92,Discrete_NFET[PARTNUMBER],Discrete_NFET[RDSON10])*1000,IF(S92,LOOKUP(A92,Discrete_NFET[PARTNUMBER],Discrete_NFET[RDSON8])*1000,IF(R92,LOOKUP(A92,Discrete_NFET[PARTNUMBER],Discrete_NFET[RDSON6])*1000,IF(Q92,LOOKUP(A92,Discrete_NFET[PARTNUMBER],Discrete_NFET[RDSON45])*1000,IF(P92,LOOKUP(A92,Discrete_NFET[PARTNUMBER],Discrete_NFET[RDSON3])*1000,IF(O92,LOOKUP(A92,Discrete_NFET[PARTNUMBER],Discrete_NFET[RDSON25])*1000,""))))))</f>
        <v/>
      </c>
      <c r="V92" s="48" t="str">
        <f>IF(AND(A92&lt;&gt;0,A92&lt;&gt;""),U92*(1+(Tj-25)*(LOOKUP(A92,Discrete_NFET[PARTNUMBER],Discrete_NFET[RDSDELTA])/((LOOKUP(A92,Discrete_NFET[PARTNUMBER],Discrete_NFET[TJMAX])-25)))),"")</f>
        <v/>
      </c>
      <c r="W92" s="35" t="str">
        <f>IF(AND($A92&lt;&gt;0,$A92&lt;&gt;""),LOOKUP($A92,Discrete_NFET[PARTNUMBER],Discrete_NFET[QGS]),"")</f>
        <v/>
      </c>
      <c r="X92" s="35" t="str">
        <f>IF(AND($A92&lt;&gt;0,$A92&lt;&gt;""),LOOKUP($A92,Discrete_NFET[PARTNUMBER],Discrete_NFET[QGD]),"")</f>
        <v/>
      </c>
      <c r="Y92" s="35" t="str">
        <f>IF(AND($A92&lt;&gt;0,$A92&lt;&gt;""),LOOKUP($A92,Discrete_NFET[PARTNUMBER],Discrete_NFET[QGTH]),"")</f>
        <v/>
      </c>
      <c r="Z92" s="35" t="str">
        <f t="shared" si="50"/>
        <v/>
      </c>
      <c r="AA92" s="35" t="str">
        <f>IF(AND($A92&lt;&gt;0,$A92&lt;&gt;""),LOOKUP($A92,Discrete_NFET[PARTNUMBER],Discrete_NFET[QOSSTYP]),"")</f>
        <v/>
      </c>
      <c r="AB92" s="35" t="str">
        <f>IF(AND($A92&lt;&gt;0,$A92&lt;&gt;""),LOOKUP($A92,Discrete_NFET[PARTNUMBER],Discrete_NFET[QRR]),"")</f>
        <v/>
      </c>
      <c r="AC92" s="35" t="str">
        <f>IF(AND(A92&lt;&gt;0,A92&lt;&gt;""),LOOKUP(A92,Discrete_NFET[PARTNUMBER],Discrete_NFET[VF_TYP]),"")</f>
        <v/>
      </c>
      <c r="AD92" s="127" t="str">
        <f>IF(AND($A92&lt;&gt;0,$A92&lt;&gt;"",OR(RIGHT(Logic!B92,2)="C)",LEFT(Logic!B92,4)="CSD1")),(1+(1-DUTY))*IM_RMS_120^2*V92*m/3/Num_FETS2,"")</f>
        <v/>
      </c>
      <c r="AE92" s="127" t="str">
        <f>IF(AND($A92&lt;&gt;0,$A92&lt;&gt;"",OR(RIGHT(Logic!B92,2)="C)",LEFT(Logic!B92,4)="CSD1")),Num_FETS2*0.5*IM_RMS_120*VDC_AVG*Z92*n*MOT_ELEC_FREQ/GDR_SRC,"")</f>
        <v/>
      </c>
      <c r="AF92" s="127" t="str">
        <f>IF(AND($A92&lt;&gt;0,$A92&lt;&gt;"",OR(RIGHT(Logic!B92,2)="C)",LEFT(Logic!B92,4)="CSD1")),Num_FETS2*0.5*IM_RMS_120*VDC_AVG*Z92*n*MOT_ELEC_FREQ/GDR_SINK,"")</f>
        <v/>
      </c>
      <c r="AG92" s="127" t="str">
        <f>IF(AND($A92&lt;&gt;0,$A92&lt;&gt;"",OR(RIGHT(Logic!B92,2)="T)",LEFT(Logic!B92,4)="CSD1")),DUTY*IM_RMS_120^2*V92*m/3/Num_FETS2,"")</f>
        <v/>
      </c>
      <c r="AH92" s="127" t="str">
        <f>IF(AND($A92&lt;&gt;0,$A92&lt;&gt;"",OR(RIGHT(Logic!B92,2)="T)",LEFT(Logic!B92,4)="CSD1")),Num_FETS2*0.5*IM_RMS_120*VDC_AVG*Z92*n*FSW*k/GDR_SRC/3,"")</f>
        <v/>
      </c>
      <c r="AI92" s="127" t="str">
        <f>IF(AND($A92&lt;&gt;0,$A92&lt;&gt;"",OR(RIGHT(Logic!B92,2)="T)",LEFT(Logic!B92,4)="CSD1")),Num_FETS2*0.5*IM_RMS_120*VDC_AVG*Z92*n*FSW*k/GDR_SINK/3,"")</f>
        <v/>
      </c>
      <c r="AJ92" s="127" t="str">
        <f t="shared" si="34"/>
        <v/>
      </c>
      <c r="AK92" s="127" t="str">
        <f t="shared" si="36"/>
        <v/>
      </c>
      <c r="AL92" s="127" t="str">
        <f t="shared" si="35"/>
        <v/>
      </c>
      <c r="AM92" s="127" t="str">
        <f t="shared" si="51"/>
        <v/>
      </c>
      <c r="AN92" s="127">
        <f>IF(AND($A92&lt;&gt;0,$A92&lt;&gt;"",OR(RIGHT(Logic!B92,2)="C)",LEFT(Logic!B92,4)="CSD1")),SUM(AD92:AF92)+(AJ92/3)+AK92+AL92/6+AM92/6,AN93)</f>
        <v>0</v>
      </c>
      <c r="AO92" s="127">
        <f>IF(AND($A92&lt;&gt;0,$A92&lt;&gt;"",OR(RIGHT(Logic!B92,2)="T)",LEFT(Logic!B92,4)="CSD1")),SUM(AG92:AI92)+(AJ92/3)+AL92/6+AM92/6,AO91)</f>
        <v>0.23887636588496741</v>
      </c>
      <c r="AP92" s="48" t="str">
        <f t="shared" si="52"/>
        <v/>
      </c>
      <c r="AQ92" s="35" t="str">
        <f>IF(AND(A92&lt;&gt;0,A92&lt;&gt;""),LOOKUP(A92,Discrete_NFET[PARTNUMBER],Discrete_NFET[TI_EQ_PACKAGE]),"")</f>
        <v/>
      </c>
      <c r="AR92" s="49" t="str">
        <f>IF(AND(A92&lt;&gt;0,A92&lt;&gt;""),LOOKUP(A92,Discrete_NFET[PARTNUMBER],Discrete_NFET[1KPRICE]),"")</f>
        <v/>
      </c>
      <c r="AS92" s="35" t="str">
        <f>IF(AND($A92&lt;&gt;0,$A92&lt;&gt;""),CONCATENATE(TEXT(AP92,"0.00"),"W, ",IF('User Input'!G$11="Single Discrete",A92,IF('User Input'!G$11="Dual/Power Block",LEFT(A92,FIND(")",A92)-7),A92)),", ",AQ92,", ",TEXT(AR92,"$0.00")),"Invalid Part")</f>
        <v>Invalid Part</v>
      </c>
      <c r="AT92"/>
      <c r="AW92"/>
    </row>
    <row r="93" spans="1:49" ht="15" customHeight="1" x14ac:dyDescent="0.25">
      <c r="A93" s="35" t="str">
        <f>IF(OR(AND(FET_config2="Dual/Power Block",LEFT(Logic!B93,4)="CSD8"),AND(FET_config2="Single Discrete",LEFT(Logic!B93,4)="CSD1")),Logic!B93,"")</f>
        <v/>
      </c>
      <c r="B93" s="37" t="str">
        <f>IF(OR($A93=0,$A93=""),"0",IF(LOOKUP($A93,Discrete_NFET[PARTNUMBER],Discrete_NFET[RDSON25])="(NULL)","0","1"))</f>
        <v>0</v>
      </c>
      <c r="C93" s="38" t="str">
        <f>IF(OR($A93=0,$A93=""),"0",IF(LOOKUP($A93,Discrete_NFET[PARTNUMBER],Discrete_NFET[RDSON3])="(NULL)","0","1"))</f>
        <v>0</v>
      </c>
      <c r="D93" s="40" t="str">
        <f>IF(OR($A93=0,$A93=""),"0",IF(LOOKUP($A93,Discrete_NFET[PARTNUMBER],Discrete_NFET[RDSON45])="(NULL)","0","1"))</f>
        <v>0</v>
      </c>
      <c r="E93" s="45" t="str">
        <f>IF(OR($A93=0,$A93=""),"0",IF(LOOKUP($A93,Discrete_NFET[PARTNUMBER],Discrete_NFET[RDSON6])="(NULL)","0","1"))</f>
        <v>0</v>
      </c>
      <c r="F93" s="34" t="str">
        <f>IF(OR($A93=0,$A93=""),"0",IF(LOOKUP($A93,Discrete_NFET[PARTNUMBER],Discrete_NFET[RDSON8])="(NULL)","0","1"))</f>
        <v>0</v>
      </c>
      <c r="G93" s="43" t="str">
        <f>IF(OR($A93=0,$A93=""),"0",IF(LOOKUP($A93,Discrete_NFET[PARTNUMBER],Discrete_NFET[RDSON10])="(NULL)","0","1"))</f>
        <v>0</v>
      </c>
      <c r="H93" s="36" t="b">
        <f t="shared" si="37"/>
        <v>0</v>
      </c>
      <c r="I93" s="39" t="b">
        <f t="shared" si="38"/>
        <v>0</v>
      </c>
      <c r="J93" s="41" t="b">
        <f t="shared" si="39"/>
        <v>0</v>
      </c>
      <c r="K93" s="46" t="b">
        <f t="shared" si="40"/>
        <v>0</v>
      </c>
      <c r="L93" s="42" t="b">
        <f t="shared" si="41"/>
        <v>0</v>
      </c>
      <c r="M93" s="44" t="b">
        <f t="shared" si="42"/>
        <v>0</v>
      </c>
      <c r="N93" s="47" t="b">
        <f t="shared" si="43"/>
        <v>0</v>
      </c>
      <c r="O93" s="36" t="b">
        <f t="shared" si="44"/>
        <v>0</v>
      </c>
      <c r="P93" s="39" t="b">
        <f t="shared" si="45"/>
        <v>0</v>
      </c>
      <c r="Q93" s="41" t="b">
        <f t="shared" si="46"/>
        <v>0</v>
      </c>
      <c r="R93" s="46" t="b">
        <f t="shared" si="47"/>
        <v>0</v>
      </c>
      <c r="S93" s="42" t="b">
        <f t="shared" si="48"/>
        <v>0</v>
      </c>
      <c r="T93" s="44" t="b">
        <f t="shared" si="49"/>
        <v>0</v>
      </c>
      <c r="U93" s="148" t="str">
        <f>IF(T93,LOOKUP(A93,Discrete_NFET[PARTNUMBER],Discrete_NFET[RDSON10])*1000,IF(S93,LOOKUP(A93,Discrete_NFET[PARTNUMBER],Discrete_NFET[RDSON8])*1000,IF(R93,LOOKUP(A93,Discrete_NFET[PARTNUMBER],Discrete_NFET[RDSON6])*1000,IF(Q93,LOOKUP(A93,Discrete_NFET[PARTNUMBER],Discrete_NFET[RDSON45])*1000,IF(P93,LOOKUP(A93,Discrete_NFET[PARTNUMBER],Discrete_NFET[RDSON3])*1000,IF(O93,LOOKUP(A93,Discrete_NFET[PARTNUMBER],Discrete_NFET[RDSON25])*1000,""))))))</f>
        <v/>
      </c>
      <c r="V93" s="48" t="str">
        <f>IF(AND(A93&lt;&gt;0,A93&lt;&gt;""),U93*(1+(Tj-25)*(LOOKUP(A93,Discrete_NFET[PARTNUMBER],Discrete_NFET[RDSDELTA])/((LOOKUP(A93,Discrete_NFET[PARTNUMBER],Discrete_NFET[TJMAX])-25)))),"")</f>
        <v/>
      </c>
      <c r="W93" s="35" t="str">
        <f>IF(AND($A93&lt;&gt;0,$A93&lt;&gt;""),LOOKUP($A93,Discrete_NFET[PARTNUMBER],Discrete_NFET[QGS]),"")</f>
        <v/>
      </c>
      <c r="X93" s="35" t="str">
        <f>IF(AND($A93&lt;&gt;0,$A93&lt;&gt;""),LOOKUP($A93,Discrete_NFET[PARTNUMBER],Discrete_NFET[QGD]),"")</f>
        <v/>
      </c>
      <c r="Y93" s="35" t="str">
        <f>IF(AND($A93&lt;&gt;0,$A93&lt;&gt;""),LOOKUP($A93,Discrete_NFET[PARTNUMBER],Discrete_NFET[QGTH]),"")</f>
        <v/>
      </c>
      <c r="Z93" s="35" t="str">
        <f t="shared" si="50"/>
        <v/>
      </c>
      <c r="AA93" s="35" t="str">
        <f>IF(AND($A93&lt;&gt;0,$A93&lt;&gt;""),LOOKUP($A93,Discrete_NFET[PARTNUMBER],Discrete_NFET[QOSSTYP]),"")</f>
        <v/>
      </c>
      <c r="AB93" s="35" t="str">
        <f>IF(AND($A93&lt;&gt;0,$A93&lt;&gt;""),LOOKUP($A93,Discrete_NFET[PARTNUMBER],Discrete_NFET[QRR]),"")</f>
        <v/>
      </c>
      <c r="AC93" s="35" t="str">
        <f>IF(AND(A93&lt;&gt;0,A93&lt;&gt;""),LOOKUP(A93,Discrete_NFET[PARTNUMBER],Discrete_NFET[VF_TYP]),"")</f>
        <v/>
      </c>
      <c r="AD93" s="127" t="str">
        <f>IF(AND($A93&lt;&gt;0,$A93&lt;&gt;"",OR(RIGHT(Logic!B93,2)="C)",LEFT(Logic!B93,4)="CSD1")),(1+(1-DUTY))*IM_RMS_120^2*V93*m/3/Num_FETS2,"")</f>
        <v/>
      </c>
      <c r="AE93" s="127" t="str">
        <f>IF(AND($A93&lt;&gt;0,$A93&lt;&gt;"",OR(RIGHT(Logic!B93,2)="C)",LEFT(Logic!B93,4)="CSD1")),Num_FETS2*0.5*IM_RMS_120*VDC_AVG*Z93*n*MOT_ELEC_FREQ/GDR_SRC,"")</f>
        <v/>
      </c>
      <c r="AF93" s="127" t="str">
        <f>IF(AND($A93&lt;&gt;0,$A93&lt;&gt;"",OR(RIGHT(Logic!B93,2)="C)",LEFT(Logic!B93,4)="CSD1")),Num_FETS2*0.5*IM_RMS_120*VDC_AVG*Z93*n*MOT_ELEC_FREQ/GDR_SINK,"")</f>
        <v/>
      </c>
      <c r="AG93" s="127" t="str">
        <f>IF(AND($A93&lt;&gt;0,$A93&lt;&gt;"",OR(RIGHT(Logic!B93,2)="T)",LEFT(Logic!B93,4)="CSD1")),DUTY*IM_RMS_120^2*V93*m/3/Num_FETS2,"")</f>
        <v/>
      </c>
      <c r="AH93" s="127" t="str">
        <f>IF(AND($A93&lt;&gt;0,$A93&lt;&gt;"",OR(RIGHT(Logic!B93,2)="T)",LEFT(Logic!B93,4)="CSD1")),Num_FETS2*0.5*IM_RMS_120*VDC_AVG*Z93*n*FSW*k/GDR_SRC/3,"")</f>
        <v/>
      </c>
      <c r="AI93" s="127" t="str">
        <f>IF(AND($A93&lt;&gt;0,$A93&lt;&gt;"",OR(RIGHT(Logic!B93,2)="T)",LEFT(Logic!B93,4)="CSD1")),Num_FETS2*0.5*IM_RMS_120*VDC_AVG*Z93*n*FSW*k/GDR_SINK/3,"")</f>
        <v/>
      </c>
      <c r="AJ93" s="127" t="str">
        <f t="shared" si="34"/>
        <v/>
      </c>
      <c r="AK93" s="127" t="str">
        <f t="shared" si="36"/>
        <v/>
      </c>
      <c r="AL93" s="127" t="str">
        <f t="shared" si="35"/>
        <v/>
      </c>
      <c r="AM93" s="127" t="str">
        <f t="shared" si="51"/>
        <v/>
      </c>
      <c r="AN93" s="127">
        <f>IF(AND($A93&lt;&gt;0,$A93&lt;&gt;"",OR(RIGHT(Logic!B93,2)="C)",LEFT(Logic!B93,4)="CSD1")),SUM(AD93:AF93)+(AJ93/3)+AK93+AL93/6+AM93/6,AN94)</f>
        <v>0</v>
      </c>
      <c r="AO93" s="127">
        <f>IF(AND($A93&lt;&gt;0,$A93&lt;&gt;"",OR(RIGHT(Logic!B93,2)="T)",LEFT(Logic!B93,4)="CSD1")),SUM(AG93:AI93)+(AJ93/3)+AL93/6+AM93/6,AO92)</f>
        <v>0.23887636588496741</v>
      </c>
      <c r="AP93" s="48" t="str">
        <f t="shared" si="52"/>
        <v/>
      </c>
      <c r="AQ93" s="35" t="str">
        <f>IF(AND(A93&lt;&gt;0,A93&lt;&gt;""),LOOKUP(A93,Discrete_NFET[PARTNUMBER],Discrete_NFET[TI_EQ_PACKAGE]),"")</f>
        <v/>
      </c>
      <c r="AR93" s="49" t="str">
        <f>IF(AND(A93&lt;&gt;0,A93&lt;&gt;""),LOOKUP(A93,Discrete_NFET[PARTNUMBER],Discrete_NFET[1KPRICE]),"")</f>
        <v/>
      </c>
      <c r="AS93" s="35" t="str">
        <f>IF(AND($A93&lt;&gt;0,$A93&lt;&gt;""),CONCATENATE(TEXT(AP93,"0.00"),"W, ",IF('User Input'!G$11="Single Discrete",A93,IF('User Input'!G$11="Dual/Power Block",LEFT(A93,FIND(")",A93)-7),A93)),", ",AQ93,", ",TEXT(AR93,"$0.00")),"Invalid Part")</f>
        <v>Invalid Part</v>
      </c>
      <c r="AT93"/>
      <c r="AW93"/>
    </row>
    <row r="94" spans="1:49" ht="15" customHeight="1" x14ac:dyDescent="0.25">
      <c r="A94" s="35" t="str">
        <f>IF(OR(AND(FET_config2="Dual/Power Block",LEFT(Logic!B94,4)="CSD8"),AND(FET_config2="Single Discrete",LEFT(Logic!B94,4)="CSD1")),Logic!B94,"")</f>
        <v/>
      </c>
      <c r="B94" s="37" t="str">
        <f>IF(OR($A94=0,$A94=""),"0",IF(LOOKUP($A94,Discrete_NFET[PARTNUMBER],Discrete_NFET[RDSON25])="(NULL)","0","1"))</f>
        <v>0</v>
      </c>
      <c r="C94" s="38" t="str">
        <f>IF(OR($A94=0,$A94=""),"0",IF(LOOKUP($A94,Discrete_NFET[PARTNUMBER],Discrete_NFET[RDSON3])="(NULL)","0","1"))</f>
        <v>0</v>
      </c>
      <c r="D94" s="40" t="str">
        <f>IF(OR($A94=0,$A94=""),"0",IF(LOOKUP($A94,Discrete_NFET[PARTNUMBER],Discrete_NFET[RDSON45])="(NULL)","0","1"))</f>
        <v>0</v>
      </c>
      <c r="E94" s="45" t="str">
        <f>IF(OR($A94=0,$A94=""),"0",IF(LOOKUP($A94,Discrete_NFET[PARTNUMBER],Discrete_NFET[RDSON6])="(NULL)","0","1"))</f>
        <v>0</v>
      </c>
      <c r="F94" s="34" t="str">
        <f>IF(OR($A94=0,$A94=""),"0",IF(LOOKUP($A94,Discrete_NFET[PARTNUMBER],Discrete_NFET[RDSON8])="(NULL)","0","1"))</f>
        <v>0</v>
      </c>
      <c r="G94" s="43" t="str">
        <f>IF(OR($A94=0,$A94=""),"0",IF(LOOKUP($A94,Discrete_NFET[PARTNUMBER],Discrete_NFET[RDSON10])="(NULL)","0","1"))</f>
        <v>0</v>
      </c>
      <c r="H94" s="36" t="b">
        <f t="shared" si="37"/>
        <v>0</v>
      </c>
      <c r="I94" s="39" t="b">
        <f t="shared" si="38"/>
        <v>0</v>
      </c>
      <c r="J94" s="41" t="b">
        <f t="shared" si="39"/>
        <v>0</v>
      </c>
      <c r="K94" s="46" t="b">
        <f t="shared" si="40"/>
        <v>0</v>
      </c>
      <c r="L94" s="42" t="b">
        <f t="shared" si="41"/>
        <v>0</v>
      </c>
      <c r="M94" s="44" t="b">
        <f t="shared" si="42"/>
        <v>0</v>
      </c>
      <c r="N94" s="47" t="b">
        <f t="shared" si="43"/>
        <v>0</v>
      </c>
      <c r="O94" s="36" t="b">
        <f t="shared" si="44"/>
        <v>0</v>
      </c>
      <c r="P94" s="39" t="b">
        <f t="shared" si="45"/>
        <v>0</v>
      </c>
      <c r="Q94" s="41" t="b">
        <f t="shared" si="46"/>
        <v>0</v>
      </c>
      <c r="R94" s="46" t="b">
        <f t="shared" si="47"/>
        <v>0</v>
      </c>
      <c r="S94" s="42" t="b">
        <f t="shared" si="48"/>
        <v>0</v>
      </c>
      <c r="T94" s="44" t="b">
        <f t="shared" si="49"/>
        <v>0</v>
      </c>
      <c r="U94" s="148" t="str">
        <f>IF(T94,LOOKUP(A94,Discrete_NFET[PARTNUMBER],Discrete_NFET[RDSON10])*1000,IF(S94,LOOKUP(A94,Discrete_NFET[PARTNUMBER],Discrete_NFET[RDSON8])*1000,IF(R94,LOOKUP(A94,Discrete_NFET[PARTNUMBER],Discrete_NFET[RDSON6])*1000,IF(Q94,LOOKUP(A94,Discrete_NFET[PARTNUMBER],Discrete_NFET[RDSON45])*1000,IF(P94,LOOKUP(A94,Discrete_NFET[PARTNUMBER],Discrete_NFET[RDSON3])*1000,IF(O94,LOOKUP(A94,Discrete_NFET[PARTNUMBER],Discrete_NFET[RDSON25])*1000,""))))))</f>
        <v/>
      </c>
      <c r="V94" s="48" t="str">
        <f>IF(AND(A94&lt;&gt;0,A94&lt;&gt;""),U94*(1+(Tj-25)*(LOOKUP(A94,Discrete_NFET[PARTNUMBER],Discrete_NFET[RDSDELTA])/((LOOKUP(A94,Discrete_NFET[PARTNUMBER],Discrete_NFET[TJMAX])-25)))),"")</f>
        <v/>
      </c>
      <c r="W94" s="35" t="str">
        <f>IF(AND($A94&lt;&gt;0,$A94&lt;&gt;""),LOOKUP($A94,Discrete_NFET[PARTNUMBER],Discrete_NFET[QGS]),"")</f>
        <v/>
      </c>
      <c r="X94" s="35" t="str">
        <f>IF(AND($A94&lt;&gt;0,$A94&lt;&gt;""),LOOKUP($A94,Discrete_NFET[PARTNUMBER],Discrete_NFET[QGD]),"")</f>
        <v/>
      </c>
      <c r="Y94" s="35" t="str">
        <f>IF(AND($A94&lt;&gt;0,$A94&lt;&gt;""),LOOKUP($A94,Discrete_NFET[PARTNUMBER],Discrete_NFET[QGTH]),"")</f>
        <v/>
      </c>
      <c r="Z94" s="35" t="str">
        <f t="shared" si="50"/>
        <v/>
      </c>
      <c r="AA94" s="35" t="str">
        <f>IF(AND($A94&lt;&gt;0,$A94&lt;&gt;""),LOOKUP($A94,Discrete_NFET[PARTNUMBER],Discrete_NFET[QOSSTYP]),"")</f>
        <v/>
      </c>
      <c r="AB94" s="35" t="str">
        <f>IF(AND($A94&lt;&gt;0,$A94&lt;&gt;""),LOOKUP($A94,Discrete_NFET[PARTNUMBER],Discrete_NFET[QRR]),"")</f>
        <v/>
      </c>
      <c r="AC94" s="35" t="str">
        <f>IF(AND(A94&lt;&gt;0,A94&lt;&gt;""),LOOKUP(A94,Discrete_NFET[PARTNUMBER],Discrete_NFET[VF_TYP]),"")</f>
        <v/>
      </c>
      <c r="AD94" s="127" t="str">
        <f>IF(AND($A94&lt;&gt;0,$A94&lt;&gt;"",OR(RIGHT(Logic!B94,2)="C)",LEFT(Logic!B94,4)="CSD1")),(1+(1-DUTY))*IM_RMS_120^2*V94*m/3/Num_FETS2,"")</f>
        <v/>
      </c>
      <c r="AE94" s="127" t="str">
        <f>IF(AND($A94&lt;&gt;0,$A94&lt;&gt;"",OR(RIGHT(Logic!B94,2)="C)",LEFT(Logic!B94,4)="CSD1")),Num_FETS2*0.5*IM_RMS_120*VDC_AVG*Z94*n*MOT_ELEC_FREQ/GDR_SRC,"")</f>
        <v/>
      </c>
      <c r="AF94" s="127" t="str">
        <f>IF(AND($A94&lt;&gt;0,$A94&lt;&gt;"",OR(RIGHT(Logic!B94,2)="C)",LEFT(Logic!B94,4)="CSD1")),Num_FETS2*0.5*IM_RMS_120*VDC_AVG*Z94*n*MOT_ELEC_FREQ/GDR_SINK,"")</f>
        <v/>
      </c>
      <c r="AG94" s="127" t="str">
        <f>IF(AND($A94&lt;&gt;0,$A94&lt;&gt;"",OR(RIGHT(Logic!B94,2)="T)",LEFT(Logic!B94,4)="CSD1")),DUTY*IM_RMS_120^2*V94*m/3/Num_FETS2,"")</f>
        <v/>
      </c>
      <c r="AH94" s="127" t="str">
        <f>IF(AND($A94&lt;&gt;0,$A94&lt;&gt;"",OR(RIGHT(Logic!B94,2)="T)",LEFT(Logic!B94,4)="CSD1")),Num_FETS2*0.5*IM_RMS_120*VDC_AVG*Z94*n*FSW*k/GDR_SRC/3,"")</f>
        <v/>
      </c>
      <c r="AI94" s="127" t="str">
        <f>IF(AND($A94&lt;&gt;0,$A94&lt;&gt;"",OR(RIGHT(Logic!B94,2)="T)",LEFT(Logic!B94,4)="CSD1")),Num_FETS2*0.5*IM_RMS_120*VDC_AVG*Z94*n*FSW*k/GDR_SINK/3,"")</f>
        <v/>
      </c>
      <c r="AJ94" s="127" t="str">
        <f t="shared" si="34"/>
        <v/>
      </c>
      <c r="AK94" s="127" t="str">
        <f t="shared" si="36"/>
        <v/>
      </c>
      <c r="AL94" s="127" t="str">
        <f t="shared" si="35"/>
        <v/>
      </c>
      <c r="AM94" s="127" t="str">
        <f t="shared" si="51"/>
        <v/>
      </c>
      <c r="AN94" s="127">
        <f>IF(AND($A94&lt;&gt;0,$A94&lt;&gt;"",OR(RIGHT(Logic!B94,2)="C)",LEFT(Logic!B94,4)="CSD1")),SUM(AD94:AF94)+(AJ94/3)+AK94+AL94/6+AM94/6,AN95)</f>
        <v>0</v>
      </c>
      <c r="AO94" s="127">
        <f>IF(AND($A94&lt;&gt;0,$A94&lt;&gt;"",OR(RIGHT(Logic!B94,2)="T)",LEFT(Logic!B94,4)="CSD1")),SUM(AG94:AI94)+(AJ94/3)+AL94/6+AM94/6,AO93)</f>
        <v>0.23887636588496741</v>
      </c>
      <c r="AP94" s="48" t="str">
        <f t="shared" si="52"/>
        <v/>
      </c>
      <c r="AQ94" s="35" t="str">
        <f>IF(AND(A94&lt;&gt;0,A94&lt;&gt;""),LOOKUP(A94,Discrete_NFET[PARTNUMBER],Discrete_NFET[TI_EQ_PACKAGE]),"")</f>
        <v/>
      </c>
      <c r="AR94" s="49" t="str">
        <f>IF(AND(A94&lt;&gt;0,A94&lt;&gt;""),LOOKUP(A94,Discrete_NFET[PARTNUMBER],Discrete_NFET[1KPRICE]),"")</f>
        <v/>
      </c>
      <c r="AS94" s="35" t="str">
        <f>IF(AND($A94&lt;&gt;0,$A94&lt;&gt;""),CONCATENATE(TEXT(AP94,"0.00"),"W, ",IF('User Input'!G$11="Single Discrete",A94,IF('User Input'!G$11="Dual/Power Block",LEFT(A94,FIND(")",A94)-7),A94)),", ",AQ94,", ",TEXT(AR94,"$0.00")),"Invalid Part")</f>
        <v>Invalid Part</v>
      </c>
      <c r="AT94"/>
      <c r="AW94"/>
    </row>
    <row r="95" spans="1:49" ht="15" customHeight="1" x14ac:dyDescent="0.25">
      <c r="A95" s="35" t="str">
        <f>IF(OR(AND(FET_config2="Dual/Power Block",LEFT(Logic!B95,4)="CSD8"),AND(FET_config2="Single Discrete",LEFT(Logic!B95,4)="CSD1")),Logic!B95,"")</f>
        <v/>
      </c>
      <c r="B95" s="37" t="str">
        <f>IF(OR($A95=0,$A95=""),"0",IF(LOOKUP($A95,Discrete_NFET[PARTNUMBER],Discrete_NFET[RDSON25])="(NULL)","0","1"))</f>
        <v>0</v>
      </c>
      <c r="C95" s="38" t="str">
        <f>IF(OR($A95=0,$A95=""),"0",IF(LOOKUP($A95,Discrete_NFET[PARTNUMBER],Discrete_NFET[RDSON3])="(NULL)","0","1"))</f>
        <v>0</v>
      </c>
      <c r="D95" s="40" t="str">
        <f>IF(OR($A95=0,$A95=""),"0",IF(LOOKUP($A95,Discrete_NFET[PARTNUMBER],Discrete_NFET[RDSON45])="(NULL)","0","1"))</f>
        <v>0</v>
      </c>
      <c r="E95" s="45" t="str">
        <f>IF(OR($A95=0,$A95=""),"0",IF(LOOKUP($A95,Discrete_NFET[PARTNUMBER],Discrete_NFET[RDSON6])="(NULL)","0","1"))</f>
        <v>0</v>
      </c>
      <c r="F95" s="34" t="str">
        <f>IF(OR($A95=0,$A95=""),"0",IF(LOOKUP($A95,Discrete_NFET[PARTNUMBER],Discrete_NFET[RDSON8])="(NULL)","0","1"))</f>
        <v>0</v>
      </c>
      <c r="G95" s="43" t="str">
        <f>IF(OR($A95=0,$A95=""),"0",IF(LOOKUP($A95,Discrete_NFET[PARTNUMBER],Discrete_NFET[RDSON10])="(NULL)","0","1"))</f>
        <v>0</v>
      </c>
      <c r="H95" s="36" t="b">
        <f t="shared" si="37"/>
        <v>0</v>
      </c>
      <c r="I95" s="39" t="b">
        <f t="shared" si="38"/>
        <v>0</v>
      </c>
      <c r="J95" s="41" t="b">
        <f t="shared" si="39"/>
        <v>0</v>
      </c>
      <c r="K95" s="46" t="b">
        <f t="shared" si="40"/>
        <v>0</v>
      </c>
      <c r="L95" s="42" t="b">
        <f t="shared" si="41"/>
        <v>0</v>
      </c>
      <c r="M95" s="44" t="b">
        <f t="shared" si="42"/>
        <v>0</v>
      </c>
      <c r="N95" s="47" t="b">
        <f t="shared" si="43"/>
        <v>0</v>
      </c>
      <c r="O95" s="36" t="b">
        <f t="shared" si="44"/>
        <v>0</v>
      </c>
      <c r="P95" s="39" t="b">
        <f t="shared" si="45"/>
        <v>0</v>
      </c>
      <c r="Q95" s="41" t="b">
        <f t="shared" si="46"/>
        <v>0</v>
      </c>
      <c r="R95" s="46" t="b">
        <f t="shared" si="47"/>
        <v>0</v>
      </c>
      <c r="S95" s="42" t="b">
        <f t="shared" si="48"/>
        <v>0</v>
      </c>
      <c r="T95" s="44" t="b">
        <f t="shared" si="49"/>
        <v>0</v>
      </c>
      <c r="U95" s="148" t="str">
        <f>IF(T95,LOOKUP(A95,Discrete_NFET[PARTNUMBER],Discrete_NFET[RDSON10])*1000,IF(S95,LOOKUP(A95,Discrete_NFET[PARTNUMBER],Discrete_NFET[RDSON8])*1000,IF(R95,LOOKUP(A95,Discrete_NFET[PARTNUMBER],Discrete_NFET[RDSON6])*1000,IF(Q95,LOOKUP(A95,Discrete_NFET[PARTNUMBER],Discrete_NFET[RDSON45])*1000,IF(P95,LOOKUP(A95,Discrete_NFET[PARTNUMBER],Discrete_NFET[RDSON3])*1000,IF(O95,LOOKUP(A95,Discrete_NFET[PARTNUMBER],Discrete_NFET[RDSON25])*1000,""))))))</f>
        <v/>
      </c>
      <c r="V95" s="48" t="str">
        <f>IF(AND(A95&lt;&gt;0,A95&lt;&gt;""),U95*(1+(Tj-25)*(LOOKUP(A95,Discrete_NFET[PARTNUMBER],Discrete_NFET[RDSDELTA])/((LOOKUP(A95,Discrete_NFET[PARTNUMBER],Discrete_NFET[TJMAX])-25)))),"")</f>
        <v/>
      </c>
      <c r="W95" s="35" t="str">
        <f>IF(AND($A95&lt;&gt;0,$A95&lt;&gt;""),LOOKUP($A95,Discrete_NFET[PARTNUMBER],Discrete_NFET[QGS]),"")</f>
        <v/>
      </c>
      <c r="X95" s="35" t="str">
        <f>IF(AND($A95&lt;&gt;0,$A95&lt;&gt;""),LOOKUP($A95,Discrete_NFET[PARTNUMBER],Discrete_NFET[QGD]),"")</f>
        <v/>
      </c>
      <c r="Y95" s="35" t="str">
        <f>IF(AND($A95&lt;&gt;0,$A95&lt;&gt;""),LOOKUP($A95,Discrete_NFET[PARTNUMBER],Discrete_NFET[QGTH]),"")</f>
        <v/>
      </c>
      <c r="Z95" s="35" t="str">
        <f t="shared" si="50"/>
        <v/>
      </c>
      <c r="AA95" s="35" t="str">
        <f>IF(AND($A95&lt;&gt;0,$A95&lt;&gt;""),LOOKUP($A95,Discrete_NFET[PARTNUMBER],Discrete_NFET[QOSSTYP]),"")</f>
        <v/>
      </c>
      <c r="AB95" s="35" t="str">
        <f>IF(AND($A95&lt;&gt;0,$A95&lt;&gt;""),LOOKUP($A95,Discrete_NFET[PARTNUMBER],Discrete_NFET[QRR]),"")</f>
        <v/>
      </c>
      <c r="AC95" s="35" t="str">
        <f>IF(AND(A95&lt;&gt;0,A95&lt;&gt;""),LOOKUP(A95,Discrete_NFET[PARTNUMBER],Discrete_NFET[VF_TYP]),"")</f>
        <v/>
      </c>
      <c r="AD95" s="127" t="str">
        <f>IF(AND($A95&lt;&gt;0,$A95&lt;&gt;"",OR(RIGHT(Logic!B95,2)="C)",LEFT(Logic!B95,4)="CSD1")),(1+(1-DUTY))*IM_RMS_120^2*V95*m/3/Num_FETS2,"")</f>
        <v/>
      </c>
      <c r="AE95" s="127" t="str">
        <f>IF(AND($A95&lt;&gt;0,$A95&lt;&gt;"",OR(RIGHT(Logic!B95,2)="C)",LEFT(Logic!B95,4)="CSD1")),Num_FETS2*0.5*IM_RMS_120*VDC_AVG*Z95*n*MOT_ELEC_FREQ/GDR_SRC,"")</f>
        <v/>
      </c>
      <c r="AF95" s="127" t="str">
        <f>IF(AND($A95&lt;&gt;0,$A95&lt;&gt;"",OR(RIGHT(Logic!B95,2)="C)",LEFT(Logic!B95,4)="CSD1")),Num_FETS2*0.5*IM_RMS_120*VDC_AVG*Z95*n*MOT_ELEC_FREQ/GDR_SINK,"")</f>
        <v/>
      </c>
      <c r="AG95" s="127" t="str">
        <f>IF(AND($A95&lt;&gt;0,$A95&lt;&gt;"",OR(RIGHT(Logic!B95,2)="T)",LEFT(Logic!B95,4)="CSD1")),DUTY*IM_RMS_120^2*V95*m/3/Num_FETS2,"")</f>
        <v/>
      </c>
      <c r="AH95" s="127" t="str">
        <f>IF(AND($A95&lt;&gt;0,$A95&lt;&gt;"",OR(RIGHT(Logic!B95,2)="T)",LEFT(Logic!B95,4)="CSD1")),Num_FETS2*0.5*IM_RMS_120*VDC_AVG*Z95*n*FSW*k/GDR_SRC/3,"")</f>
        <v/>
      </c>
      <c r="AI95" s="127" t="str">
        <f>IF(AND($A95&lt;&gt;0,$A95&lt;&gt;"",OR(RIGHT(Logic!B95,2)="T)",LEFT(Logic!B95,4)="CSD1")),Num_FETS2*0.5*IM_RMS_120*VDC_AVG*Z95*n*FSW*k/GDR_SINK/3,"")</f>
        <v/>
      </c>
      <c r="AJ95" s="127" t="str">
        <f t="shared" si="34"/>
        <v/>
      </c>
      <c r="AK95" s="127" t="str">
        <f t="shared" si="36"/>
        <v/>
      </c>
      <c r="AL95" s="127" t="str">
        <f t="shared" si="35"/>
        <v/>
      </c>
      <c r="AM95" s="127" t="str">
        <f t="shared" si="51"/>
        <v/>
      </c>
      <c r="AN95" s="127">
        <f>IF(AND($A95&lt;&gt;0,$A95&lt;&gt;"",OR(RIGHT(Logic!B95,2)="C)",LEFT(Logic!B95,4)="CSD1")),SUM(AD95:AF95)+(AJ95/3)+AK95+AL95/6+AM95/6,AN96)</f>
        <v>0</v>
      </c>
      <c r="AO95" s="127">
        <f>IF(AND($A95&lt;&gt;0,$A95&lt;&gt;"",OR(RIGHT(Logic!B95,2)="T)",LEFT(Logic!B95,4)="CSD1")),SUM(AG95:AI95)+(AJ95/3)+AL95/6+AM95/6,AO94)</f>
        <v>0.23887636588496741</v>
      </c>
      <c r="AP95" s="48" t="str">
        <f t="shared" si="52"/>
        <v/>
      </c>
      <c r="AQ95" s="35" t="str">
        <f>IF(AND(A95&lt;&gt;0,A95&lt;&gt;""),LOOKUP(A95,Discrete_NFET[PARTNUMBER],Discrete_NFET[TI_EQ_PACKAGE]),"")</f>
        <v/>
      </c>
      <c r="AR95" s="49" t="str">
        <f>IF(AND(A95&lt;&gt;0,A95&lt;&gt;""),LOOKUP(A95,Discrete_NFET[PARTNUMBER],Discrete_NFET[1KPRICE]),"")</f>
        <v/>
      </c>
      <c r="AS95" s="35" t="str">
        <f>IF(AND($A95&lt;&gt;0,$A95&lt;&gt;""),CONCATENATE(TEXT(AP95,"0.00"),"W, ",IF('User Input'!G$11="Single Discrete",A95,IF('User Input'!G$11="Dual/Power Block",LEFT(A95,FIND(")",A95)-7),A95)),", ",AQ95,", ",TEXT(AR95,"$0.00")),"Invalid Part")</f>
        <v>Invalid Part</v>
      </c>
      <c r="AT95"/>
      <c r="AW95"/>
    </row>
    <row r="96" spans="1:49" ht="15" customHeight="1" x14ac:dyDescent="0.25">
      <c r="A96" s="35" t="str">
        <f>IF(OR(AND(FET_config2="Dual/Power Block",LEFT(Logic!B96,4)="CSD8"),AND(FET_config2="Single Discrete",LEFT(Logic!B96,4)="CSD1")),Logic!B96,"")</f>
        <v/>
      </c>
      <c r="B96" s="37" t="str">
        <f>IF(OR($A96=0,$A96=""),"0",IF(LOOKUP($A96,Discrete_NFET[PARTNUMBER],Discrete_NFET[RDSON25])="(NULL)","0","1"))</f>
        <v>0</v>
      </c>
      <c r="C96" s="38" t="str">
        <f>IF(OR($A96=0,$A96=""),"0",IF(LOOKUP($A96,Discrete_NFET[PARTNUMBER],Discrete_NFET[RDSON3])="(NULL)","0","1"))</f>
        <v>0</v>
      </c>
      <c r="D96" s="40" t="str">
        <f>IF(OR($A96=0,$A96=""),"0",IF(LOOKUP($A96,Discrete_NFET[PARTNUMBER],Discrete_NFET[RDSON45])="(NULL)","0","1"))</f>
        <v>0</v>
      </c>
      <c r="E96" s="45" t="str">
        <f>IF(OR($A96=0,$A96=""),"0",IF(LOOKUP($A96,Discrete_NFET[PARTNUMBER],Discrete_NFET[RDSON6])="(NULL)","0","1"))</f>
        <v>0</v>
      </c>
      <c r="F96" s="34" t="str">
        <f>IF(OR($A96=0,$A96=""),"0",IF(LOOKUP($A96,Discrete_NFET[PARTNUMBER],Discrete_NFET[RDSON8])="(NULL)","0","1"))</f>
        <v>0</v>
      </c>
      <c r="G96" s="43" t="str">
        <f>IF(OR($A96=0,$A96=""),"0",IF(LOOKUP($A96,Discrete_NFET[PARTNUMBER],Discrete_NFET[RDSON10])="(NULL)","0","1"))</f>
        <v>0</v>
      </c>
      <c r="H96" s="36" t="b">
        <f t="shared" si="37"/>
        <v>0</v>
      </c>
      <c r="I96" s="39" t="b">
        <f t="shared" si="38"/>
        <v>0</v>
      </c>
      <c r="J96" s="41" t="b">
        <f t="shared" si="39"/>
        <v>0</v>
      </c>
      <c r="K96" s="46" t="b">
        <f t="shared" si="40"/>
        <v>0</v>
      </c>
      <c r="L96" s="42" t="b">
        <f t="shared" si="41"/>
        <v>0</v>
      </c>
      <c r="M96" s="44" t="b">
        <f t="shared" si="42"/>
        <v>0</v>
      </c>
      <c r="N96" s="47" t="b">
        <f t="shared" si="43"/>
        <v>0</v>
      </c>
      <c r="O96" s="36" t="b">
        <f t="shared" si="44"/>
        <v>0</v>
      </c>
      <c r="P96" s="39" t="b">
        <f t="shared" si="45"/>
        <v>0</v>
      </c>
      <c r="Q96" s="41" t="b">
        <f t="shared" si="46"/>
        <v>0</v>
      </c>
      <c r="R96" s="46" t="b">
        <f t="shared" si="47"/>
        <v>0</v>
      </c>
      <c r="S96" s="42" t="b">
        <f t="shared" si="48"/>
        <v>0</v>
      </c>
      <c r="T96" s="44" t="b">
        <f t="shared" si="49"/>
        <v>0</v>
      </c>
      <c r="U96" s="148" t="str">
        <f>IF(T96,LOOKUP(A96,Discrete_NFET[PARTNUMBER],Discrete_NFET[RDSON10])*1000,IF(S96,LOOKUP(A96,Discrete_NFET[PARTNUMBER],Discrete_NFET[RDSON8])*1000,IF(R96,LOOKUP(A96,Discrete_NFET[PARTNUMBER],Discrete_NFET[RDSON6])*1000,IF(Q96,LOOKUP(A96,Discrete_NFET[PARTNUMBER],Discrete_NFET[RDSON45])*1000,IF(P96,LOOKUP(A96,Discrete_NFET[PARTNUMBER],Discrete_NFET[RDSON3])*1000,IF(O96,LOOKUP(A96,Discrete_NFET[PARTNUMBER],Discrete_NFET[RDSON25])*1000,""))))))</f>
        <v/>
      </c>
      <c r="V96" s="48" t="str">
        <f>IF(AND(A96&lt;&gt;0,A96&lt;&gt;""),U96*(1+(Tj-25)*(LOOKUP(A96,Discrete_NFET[PARTNUMBER],Discrete_NFET[RDSDELTA])/((LOOKUP(A96,Discrete_NFET[PARTNUMBER],Discrete_NFET[TJMAX])-25)))),"")</f>
        <v/>
      </c>
      <c r="W96" s="35" t="str">
        <f>IF(AND($A96&lt;&gt;0,$A96&lt;&gt;""),LOOKUP($A96,Discrete_NFET[PARTNUMBER],Discrete_NFET[QGS]),"")</f>
        <v/>
      </c>
      <c r="X96" s="35" t="str">
        <f>IF(AND($A96&lt;&gt;0,$A96&lt;&gt;""),LOOKUP($A96,Discrete_NFET[PARTNUMBER],Discrete_NFET[QGD]),"")</f>
        <v/>
      </c>
      <c r="Y96" s="35" t="str">
        <f>IF(AND($A96&lt;&gt;0,$A96&lt;&gt;""),LOOKUP($A96,Discrete_NFET[PARTNUMBER],Discrete_NFET[QGTH]),"")</f>
        <v/>
      </c>
      <c r="Z96" s="35" t="str">
        <f t="shared" si="50"/>
        <v/>
      </c>
      <c r="AA96" s="35" t="str">
        <f>IF(AND($A96&lt;&gt;0,$A96&lt;&gt;""),LOOKUP($A96,Discrete_NFET[PARTNUMBER],Discrete_NFET[QOSSTYP]),"")</f>
        <v/>
      </c>
      <c r="AB96" s="35" t="str">
        <f>IF(AND($A96&lt;&gt;0,$A96&lt;&gt;""),LOOKUP($A96,Discrete_NFET[PARTNUMBER],Discrete_NFET[QRR]),"")</f>
        <v/>
      </c>
      <c r="AC96" s="35" t="str">
        <f>IF(AND(A96&lt;&gt;0,A96&lt;&gt;""),LOOKUP(A96,Discrete_NFET[PARTNUMBER],Discrete_NFET[VF_TYP]),"")</f>
        <v/>
      </c>
      <c r="AD96" s="127" t="str">
        <f>IF(AND($A96&lt;&gt;0,$A96&lt;&gt;"",OR(RIGHT(Logic!B96,2)="C)",LEFT(Logic!B96,4)="CSD1")),(1+(1-DUTY))*IM_RMS_120^2*V96*m/3/Num_FETS2,"")</f>
        <v/>
      </c>
      <c r="AE96" s="127" t="str">
        <f>IF(AND($A96&lt;&gt;0,$A96&lt;&gt;"",OR(RIGHT(Logic!B96,2)="C)",LEFT(Logic!B96,4)="CSD1")),Num_FETS2*0.5*IM_RMS_120*VDC_AVG*Z96*n*MOT_ELEC_FREQ/GDR_SRC,"")</f>
        <v/>
      </c>
      <c r="AF96" s="127" t="str">
        <f>IF(AND($A96&lt;&gt;0,$A96&lt;&gt;"",OR(RIGHT(Logic!B96,2)="C)",LEFT(Logic!B96,4)="CSD1")),Num_FETS2*0.5*IM_RMS_120*VDC_AVG*Z96*n*MOT_ELEC_FREQ/GDR_SINK,"")</f>
        <v/>
      </c>
      <c r="AG96" s="127" t="str">
        <f>IF(AND($A96&lt;&gt;0,$A96&lt;&gt;"",OR(RIGHT(Logic!B96,2)="T)",LEFT(Logic!B96,4)="CSD1")),DUTY*IM_RMS_120^2*V96*m/3/Num_FETS2,"")</f>
        <v/>
      </c>
      <c r="AH96" s="127" t="str">
        <f>IF(AND($A96&lt;&gt;0,$A96&lt;&gt;"",OR(RIGHT(Logic!B96,2)="T)",LEFT(Logic!B96,4)="CSD1")),Num_FETS2*0.5*IM_RMS_120*VDC_AVG*Z96*n*FSW*k/GDR_SRC/3,"")</f>
        <v/>
      </c>
      <c r="AI96" s="127" t="str">
        <f>IF(AND($A96&lt;&gt;0,$A96&lt;&gt;"",OR(RIGHT(Logic!B96,2)="T)",LEFT(Logic!B96,4)="CSD1")),Num_FETS2*0.5*IM_RMS_120*VDC_AVG*Z96*n*FSW*k/GDR_SINK/3,"")</f>
        <v/>
      </c>
      <c r="AJ96" s="127" t="str">
        <f t="shared" si="34"/>
        <v/>
      </c>
      <c r="AK96" s="127" t="str">
        <f t="shared" si="36"/>
        <v/>
      </c>
      <c r="AL96" s="127" t="str">
        <f t="shared" si="35"/>
        <v/>
      </c>
      <c r="AM96" s="127" t="str">
        <f t="shared" si="51"/>
        <v/>
      </c>
      <c r="AN96" s="127">
        <f>IF(AND($A96&lt;&gt;0,$A96&lt;&gt;"",OR(RIGHT(Logic!B96,2)="C)",LEFT(Logic!B96,4)="CSD1")),SUM(AD96:AF96)+(AJ96/3)+AK96+AL96/6+AM96/6,AN97)</f>
        <v>0</v>
      </c>
      <c r="AO96" s="127">
        <f>IF(AND($A96&lt;&gt;0,$A96&lt;&gt;"",OR(RIGHT(Logic!B96,2)="T)",LEFT(Logic!B96,4)="CSD1")),SUM(AG96:AI96)+(AJ96/3)+AL96/6+AM96/6,AO95)</f>
        <v>0.23887636588496741</v>
      </c>
      <c r="AP96" s="48" t="str">
        <f t="shared" si="52"/>
        <v/>
      </c>
      <c r="AQ96" s="35" t="str">
        <f>IF(AND(A96&lt;&gt;0,A96&lt;&gt;""),LOOKUP(A96,Discrete_NFET[PARTNUMBER],Discrete_NFET[TI_EQ_PACKAGE]),"")</f>
        <v/>
      </c>
      <c r="AR96" s="49" t="str">
        <f>IF(AND(A96&lt;&gt;0,A96&lt;&gt;""),LOOKUP(A96,Discrete_NFET[PARTNUMBER],Discrete_NFET[1KPRICE]),"")</f>
        <v/>
      </c>
      <c r="AS96" s="35" t="str">
        <f>IF(AND($A96&lt;&gt;0,$A96&lt;&gt;""),CONCATENATE(TEXT(AP96,"0.00"),"W, ",IF('User Input'!G$11="Single Discrete",A96,IF('User Input'!G$11="Dual/Power Block",LEFT(A96,FIND(")",A96)-7),A96)),", ",AQ96,", ",TEXT(AR96,"$0.00")),"Invalid Part")</f>
        <v>Invalid Part</v>
      </c>
      <c r="AT96"/>
      <c r="AW96"/>
    </row>
    <row r="97" spans="1:49" ht="15" customHeight="1" x14ac:dyDescent="0.25">
      <c r="A97" s="35" t="str">
        <f>IF(OR(AND(FET_config2="Dual/Power Block",LEFT(Logic!B97,4)="CSD8"),AND(FET_config2="Single Discrete",LEFT(Logic!B97,4)="CSD1")),Logic!B97,"")</f>
        <v/>
      </c>
      <c r="B97" s="37" t="str">
        <f>IF(OR($A97=0,$A97=""),"0",IF(LOOKUP($A97,Discrete_NFET[PARTNUMBER],Discrete_NFET[RDSON25])="(NULL)","0","1"))</f>
        <v>0</v>
      </c>
      <c r="C97" s="38" t="str">
        <f>IF(OR($A97=0,$A97=""),"0",IF(LOOKUP($A97,Discrete_NFET[PARTNUMBER],Discrete_NFET[RDSON3])="(NULL)","0","1"))</f>
        <v>0</v>
      </c>
      <c r="D97" s="40" t="str">
        <f>IF(OR($A97=0,$A97=""),"0",IF(LOOKUP($A97,Discrete_NFET[PARTNUMBER],Discrete_NFET[RDSON45])="(NULL)","0","1"))</f>
        <v>0</v>
      </c>
      <c r="E97" s="45" t="str">
        <f>IF(OR($A97=0,$A97=""),"0",IF(LOOKUP($A97,Discrete_NFET[PARTNUMBER],Discrete_NFET[RDSON6])="(NULL)","0","1"))</f>
        <v>0</v>
      </c>
      <c r="F97" s="34" t="str">
        <f>IF(OR($A97=0,$A97=""),"0",IF(LOOKUP($A97,Discrete_NFET[PARTNUMBER],Discrete_NFET[RDSON8])="(NULL)","0","1"))</f>
        <v>0</v>
      </c>
      <c r="G97" s="43" t="str">
        <f>IF(OR($A97=0,$A97=""),"0",IF(LOOKUP($A97,Discrete_NFET[PARTNUMBER],Discrete_NFET[RDSON10])="(NULL)","0","1"))</f>
        <v>0</v>
      </c>
      <c r="H97" s="36" t="b">
        <f t="shared" si="37"/>
        <v>0</v>
      </c>
      <c r="I97" s="39" t="b">
        <f t="shared" si="38"/>
        <v>0</v>
      </c>
      <c r="J97" s="41" t="b">
        <f t="shared" si="39"/>
        <v>0</v>
      </c>
      <c r="K97" s="46" t="b">
        <f t="shared" si="40"/>
        <v>0</v>
      </c>
      <c r="L97" s="42" t="b">
        <f t="shared" si="41"/>
        <v>0</v>
      </c>
      <c r="M97" s="44" t="b">
        <f t="shared" si="42"/>
        <v>0</v>
      </c>
      <c r="N97" s="47" t="b">
        <f t="shared" si="43"/>
        <v>0</v>
      </c>
      <c r="O97" s="36" t="b">
        <f t="shared" si="44"/>
        <v>0</v>
      </c>
      <c r="P97" s="39" t="b">
        <f t="shared" si="45"/>
        <v>0</v>
      </c>
      <c r="Q97" s="41" t="b">
        <f t="shared" si="46"/>
        <v>0</v>
      </c>
      <c r="R97" s="46" t="b">
        <f t="shared" si="47"/>
        <v>0</v>
      </c>
      <c r="S97" s="42" t="b">
        <f t="shared" si="48"/>
        <v>0</v>
      </c>
      <c r="T97" s="44" t="b">
        <f t="shared" si="49"/>
        <v>0</v>
      </c>
      <c r="U97" s="148" t="str">
        <f>IF(T97,LOOKUP(A97,Discrete_NFET[PARTNUMBER],Discrete_NFET[RDSON10])*1000,IF(S97,LOOKUP(A97,Discrete_NFET[PARTNUMBER],Discrete_NFET[RDSON8])*1000,IF(R97,LOOKUP(A97,Discrete_NFET[PARTNUMBER],Discrete_NFET[RDSON6])*1000,IF(Q97,LOOKUP(A97,Discrete_NFET[PARTNUMBER],Discrete_NFET[RDSON45])*1000,IF(P97,LOOKUP(A97,Discrete_NFET[PARTNUMBER],Discrete_NFET[RDSON3])*1000,IF(O97,LOOKUP(A97,Discrete_NFET[PARTNUMBER],Discrete_NFET[RDSON25])*1000,""))))))</f>
        <v/>
      </c>
      <c r="V97" s="48" t="str">
        <f>IF(AND(A97&lt;&gt;0,A97&lt;&gt;""),U97*(1+(Tj-25)*(LOOKUP(A97,Discrete_NFET[PARTNUMBER],Discrete_NFET[RDSDELTA])/((LOOKUP(A97,Discrete_NFET[PARTNUMBER],Discrete_NFET[TJMAX])-25)))),"")</f>
        <v/>
      </c>
      <c r="W97" s="35" t="str">
        <f>IF(AND($A97&lt;&gt;0,$A97&lt;&gt;""),LOOKUP($A97,Discrete_NFET[PARTNUMBER],Discrete_NFET[QGS]),"")</f>
        <v/>
      </c>
      <c r="X97" s="35" t="str">
        <f>IF(AND($A97&lt;&gt;0,$A97&lt;&gt;""),LOOKUP($A97,Discrete_NFET[PARTNUMBER],Discrete_NFET[QGD]),"")</f>
        <v/>
      </c>
      <c r="Y97" s="35" t="str">
        <f>IF(AND($A97&lt;&gt;0,$A97&lt;&gt;""),LOOKUP($A97,Discrete_NFET[PARTNUMBER],Discrete_NFET[QGTH]),"")</f>
        <v/>
      </c>
      <c r="Z97" s="35" t="str">
        <f t="shared" si="50"/>
        <v/>
      </c>
      <c r="AA97" s="35" t="str">
        <f>IF(AND($A97&lt;&gt;0,$A97&lt;&gt;""),LOOKUP($A97,Discrete_NFET[PARTNUMBER],Discrete_NFET[QOSSTYP]),"")</f>
        <v/>
      </c>
      <c r="AB97" s="35" t="str">
        <f>IF(AND($A97&lt;&gt;0,$A97&lt;&gt;""),LOOKUP($A97,Discrete_NFET[PARTNUMBER],Discrete_NFET[QRR]),"")</f>
        <v/>
      </c>
      <c r="AC97" s="35" t="str">
        <f>IF(AND(A97&lt;&gt;0,A97&lt;&gt;""),LOOKUP(A97,Discrete_NFET[PARTNUMBER],Discrete_NFET[VF_TYP]),"")</f>
        <v/>
      </c>
      <c r="AD97" s="127" t="str">
        <f>IF(AND($A97&lt;&gt;0,$A97&lt;&gt;"",OR(RIGHT(Logic!B97,2)="C)",LEFT(Logic!B97,4)="CSD1")),(1+(1-DUTY))*IM_RMS_120^2*V97*m/3/Num_FETS2,"")</f>
        <v/>
      </c>
      <c r="AE97" s="127" t="str">
        <f>IF(AND($A97&lt;&gt;0,$A97&lt;&gt;"",OR(RIGHT(Logic!B97,2)="C)",LEFT(Logic!B97,4)="CSD1")),Num_FETS2*0.5*IM_RMS_120*VDC_AVG*Z97*n*MOT_ELEC_FREQ/GDR_SRC,"")</f>
        <v/>
      </c>
      <c r="AF97" s="127" t="str">
        <f>IF(AND($A97&lt;&gt;0,$A97&lt;&gt;"",OR(RIGHT(Logic!B97,2)="C)",LEFT(Logic!B97,4)="CSD1")),Num_FETS2*0.5*IM_RMS_120*VDC_AVG*Z97*n*MOT_ELEC_FREQ/GDR_SINK,"")</f>
        <v/>
      </c>
      <c r="AG97" s="127" t="str">
        <f>IF(AND($A97&lt;&gt;0,$A97&lt;&gt;"",OR(RIGHT(Logic!B97,2)="T)",LEFT(Logic!B97,4)="CSD1")),DUTY*IM_RMS_120^2*V97*m/3/Num_FETS2,"")</f>
        <v/>
      </c>
      <c r="AH97" s="127" t="str">
        <f>IF(AND($A97&lt;&gt;0,$A97&lt;&gt;"",OR(RIGHT(Logic!B97,2)="T)",LEFT(Logic!B97,4)="CSD1")),Num_FETS2*0.5*IM_RMS_120*VDC_AVG*Z97*n*FSW*k/GDR_SRC/3,"")</f>
        <v/>
      </c>
      <c r="AI97" s="127" t="str">
        <f>IF(AND($A97&lt;&gt;0,$A97&lt;&gt;"",OR(RIGHT(Logic!B97,2)="T)",LEFT(Logic!B97,4)="CSD1")),Num_FETS2*0.5*IM_RMS_120*VDC_AVG*Z97*n*FSW*k/GDR_SINK/3,"")</f>
        <v/>
      </c>
      <c r="AJ97" s="127" t="str">
        <f t="shared" si="34"/>
        <v/>
      </c>
      <c r="AK97" s="127" t="str">
        <f t="shared" si="36"/>
        <v/>
      </c>
      <c r="AL97" s="127" t="str">
        <f t="shared" si="35"/>
        <v/>
      </c>
      <c r="AM97" s="127" t="str">
        <f t="shared" si="51"/>
        <v/>
      </c>
      <c r="AN97" s="127">
        <f>IF(AND($A97&lt;&gt;0,$A97&lt;&gt;"",OR(RIGHT(Logic!B97,2)="C)",LEFT(Logic!B97,4)="CSD1")),SUM(AD97:AF97)+(AJ97/3)+AK97+AL97/6+AM97/6,AN98)</f>
        <v>0</v>
      </c>
      <c r="AO97" s="127">
        <f>IF(AND($A97&lt;&gt;0,$A97&lt;&gt;"",OR(RIGHT(Logic!B97,2)="T)",LEFT(Logic!B97,4)="CSD1")),SUM(AG97:AI97)+(AJ97/3)+AL97/6+AM97/6,AO96)</f>
        <v>0.23887636588496741</v>
      </c>
      <c r="AP97" s="48" t="str">
        <f t="shared" si="52"/>
        <v/>
      </c>
      <c r="AQ97" s="35" t="str">
        <f>IF(AND(A97&lt;&gt;0,A97&lt;&gt;""),LOOKUP(A97,Discrete_NFET[PARTNUMBER],Discrete_NFET[TI_EQ_PACKAGE]),"")</f>
        <v/>
      </c>
      <c r="AR97" s="49" t="str">
        <f>IF(AND(A97&lt;&gt;0,A97&lt;&gt;""),LOOKUP(A97,Discrete_NFET[PARTNUMBER],Discrete_NFET[1KPRICE]),"")</f>
        <v/>
      </c>
      <c r="AS97" s="35" t="str">
        <f>IF(AND($A97&lt;&gt;0,$A97&lt;&gt;""),CONCATENATE(TEXT(AP97,"0.00"),"W, ",IF('User Input'!G$11="Single Discrete",A97,IF('User Input'!G$11="Dual/Power Block",LEFT(A97,FIND(")",A97)-7),A97)),", ",AQ97,", ",TEXT(AR97,"$0.00")),"Invalid Part")</f>
        <v>Invalid Part</v>
      </c>
      <c r="AT97"/>
      <c r="AW97"/>
    </row>
    <row r="98" spans="1:49" ht="15" customHeight="1" x14ac:dyDescent="0.25">
      <c r="A98" s="35" t="str">
        <f>IF(OR(AND(FET_config2="Dual/Power Block",LEFT(Logic!B98,4)="CSD8"),AND(FET_config2="Single Discrete",LEFT(Logic!B98,4)="CSD1")),Logic!B98,"")</f>
        <v/>
      </c>
      <c r="B98" s="37" t="str">
        <f>IF(OR($A98=0,$A98=""),"0",IF(LOOKUP($A98,Discrete_NFET[PARTNUMBER],Discrete_NFET[RDSON25])="(NULL)","0","1"))</f>
        <v>0</v>
      </c>
      <c r="C98" s="38" t="str">
        <f>IF(OR($A98=0,$A98=""),"0",IF(LOOKUP($A98,Discrete_NFET[PARTNUMBER],Discrete_NFET[RDSON3])="(NULL)","0","1"))</f>
        <v>0</v>
      </c>
      <c r="D98" s="40" t="str">
        <f>IF(OR($A98=0,$A98=""),"0",IF(LOOKUP($A98,Discrete_NFET[PARTNUMBER],Discrete_NFET[RDSON45])="(NULL)","0","1"))</f>
        <v>0</v>
      </c>
      <c r="E98" s="45" t="str">
        <f>IF(OR($A98=0,$A98=""),"0",IF(LOOKUP($A98,Discrete_NFET[PARTNUMBER],Discrete_NFET[RDSON6])="(NULL)","0","1"))</f>
        <v>0</v>
      </c>
      <c r="F98" s="34" t="str">
        <f>IF(OR($A98=0,$A98=""),"0",IF(LOOKUP($A98,Discrete_NFET[PARTNUMBER],Discrete_NFET[RDSON8])="(NULL)","0","1"))</f>
        <v>0</v>
      </c>
      <c r="G98" s="43" t="str">
        <f>IF(OR($A98=0,$A98=""),"0",IF(LOOKUP($A98,Discrete_NFET[PARTNUMBER],Discrete_NFET[RDSON10])="(NULL)","0","1"))</f>
        <v>0</v>
      </c>
      <c r="H98" s="36" t="b">
        <f t="shared" si="37"/>
        <v>0</v>
      </c>
      <c r="I98" s="39" t="b">
        <f t="shared" si="38"/>
        <v>0</v>
      </c>
      <c r="J98" s="41" t="b">
        <f t="shared" si="39"/>
        <v>0</v>
      </c>
      <c r="K98" s="46" t="b">
        <f t="shared" si="40"/>
        <v>0</v>
      </c>
      <c r="L98" s="42" t="b">
        <f t="shared" si="41"/>
        <v>0</v>
      </c>
      <c r="M98" s="44" t="b">
        <f t="shared" si="42"/>
        <v>0</v>
      </c>
      <c r="N98" s="47" t="b">
        <f t="shared" si="43"/>
        <v>0</v>
      </c>
      <c r="O98" s="36" t="b">
        <f t="shared" si="44"/>
        <v>0</v>
      </c>
      <c r="P98" s="39" t="b">
        <f t="shared" si="45"/>
        <v>0</v>
      </c>
      <c r="Q98" s="41" t="b">
        <f t="shared" si="46"/>
        <v>0</v>
      </c>
      <c r="R98" s="46" t="b">
        <f t="shared" si="47"/>
        <v>0</v>
      </c>
      <c r="S98" s="42" t="b">
        <f t="shared" si="48"/>
        <v>0</v>
      </c>
      <c r="T98" s="44" t="b">
        <f t="shared" si="49"/>
        <v>0</v>
      </c>
      <c r="U98" s="148" t="str">
        <f>IF(T98,LOOKUP(A98,Discrete_NFET[PARTNUMBER],Discrete_NFET[RDSON10])*1000,IF(S98,LOOKUP(A98,Discrete_NFET[PARTNUMBER],Discrete_NFET[RDSON8])*1000,IF(R98,LOOKUP(A98,Discrete_NFET[PARTNUMBER],Discrete_NFET[RDSON6])*1000,IF(Q98,LOOKUP(A98,Discrete_NFET[PARTNUMBER],Discrete_NFET[RDSON45])*1000,IF(P98,LOOKUP(A98,Discrete_NFET[PARTNUMBER],Discrete_NFET[RDSON3])*1000,IF(O98,LOOKUP(A98,Discrete_NFET[PARTNUMBER],Discrete_NFET[RDSON25])*1000,""))))))</f>
        <v/>
      </c>
      <c r="V98" s="48" t="str">
        <f>IF(AND(A98&lt;&gt;0,A98&lt;&gt;""),U98*(1+(Tj-25)*(LOOKUP(A98,Discrete_NFET[PARTNUMBER],Discrete_NFET[RDSDELTA])/((LOOKUP(A98,Discrete_NFET[PARTNUMBER],Discrete_NFET[TJMAX])-25)))),"")</f>
        <v/>
      </c>
      <c r="W98" s="35" t="str">
        <f>IF(AND($A98&lt;&gt;0,$A98&lt;&gt;""),LOOKUP($A98,Discrete_NFET[PARTNUMBER],Discrete_NFET[QGS]),"")</f>
        <v/>
      </c>
      <c r="X98" s="35" t="str">
        <f>IF(AND($A98&lt;&gt;0,$A98&lt;&gt;""),LOOKUP($A98,Discrete_NFET[PARTNUMBER],Discrete_NFET[QGD]),"")</f>
        <v/>
      </c>
      <c r="Y98" s="35" t="str">
        <f>IF(AND($A98&lt;&gt;0,$A98&lt;&gt;""),LOOKUP($A98,Discrete_NFET[PARTNUMBER],Discrete_NFET[QGTH]),"")</f>
        <v/>
      </c>
      <c r="Z98" s="35" t="str">
        <f t="shared" si="50"/>
        <v/>
      </c>
      <c r="AA98" s="35" t="str">
        <f>IF(AND($A98&lt;&gt;0,$A98&lt;&gt;""),LOOKUP($A98,Discrete_NFET[PARTNUMBER],Discrete_NFET[QOSSTYP]),"")</f>
        <v/>
      </c>
      <c r="AB98" s="35" t="str">
        <f>IF(AND($A98&lt;&gt;0,$A98&lt;&gt;""),LOOKUP($A98,Discrete_NFET[PARTNUMBER],Discrete_NFET[QRR]),"")</f>
        <v/>
      </c>
      <c r="AC98" s="35" t="str">
        <f>IF(AND(A98&lt;&gt;0,A98&lt;&gt;""),LOOKUP(A98,Discrete_NFET[PARTNUMBER],Discrete_NFET[VF_TYP]),"")</f>
        <v/>
      </c>
      <c r="AD98" s="127" t="str">
        <f>IF(AND($A98&lt;&gt;0,$A98&lt;&gt;"",OR(RIGHT(Logic!B98,2)="C)",LEFT(Logic!B98,4)="CSD1")),(1+(1-DUTY))*IM_RMS_120^2*V98*m/3/Num_FETS2,"")</f>
        <v/>
      </c>
      <c r="AE98" s="127" t="str">
        <f>IF(AND($A98&lt;&gt;0,$A98&lt;&gt;"",OR(RIGHT(Logic!B98,2)="C)",LEFT(Logic!B98,4)="CSD1")),Num_FETS2*0.5*IM_RMS_120*VDC_AVG*Z98*n*MOT_ELEC_FREQ/GDR_SRC,"")</f>
        <v/>
      </c>
      <c r="AF98" s="127" t="str">
        <f>IF(AND($A98&lt;&gt;0,$A98&lt;&gt;"",OR(RIGHT(Logic!B98,2)="C)",LEFT(Logic!B98,4)="CSD1")),Num_FETS2*0.5*IM_RMS_120*VDC_AVG*Z98*n*MOT_ELEC_FREQ/GDR_SINK,"")</f>
        <v/>
      </c>
      <c r="AG98" s="127" t="str">
        <f>IF(AND($A98&lt;&gt;0,$A98&lt;&gt;"",OR(RIGHT(Logic!B98,2)="T)",LEFT(Logic!B98,4)="CSD1")),DUTY*IM_RMS_120^2*V98*m/3/Num_FETS2,"")</f>
        <v/>
      </c>
      <c r="AH98" s="127" t="str">
        <f>IF(AND($A98&lt;&gt;0,$A98&lt;&gt;"",OR(RIGHT(Logic!B98,2)="T)",LEFT(Logic!B98,4)="CSD1")),Num_FETS2*0.5*IM_RMS_120*VDC_AVG*Z98*n*FSW*k/GDR_SRC/3,"")</f>
        <v/>
      </c>
      <c r="AI98" s="127" t="str">
        <f>IF(AND($A98&lt;&gt;0,$A98&lt;&gt;"",OR(RIGHT(Logic!B98,2)="T)",LEFT(Logic!B98,4)="CSD1")),Num_FETS2*0.5*IM_RMS_120*VDC_AVG*Z98*n*FSW*k/GDR_SINK/3,"")</f>
        <v/>
      </c>
      <c r="AJ98" s="127" t="str">
        <f t="shared" ref="AJ98:AJ129" si="53">IF(AND($A98&lt;&gt;0,$A98&lt;&gt;""),Num_FETS2*((AA98*VDC_AVG)*((FSW*k)))*n/2,"")</f>
        <v/>
      </c>
      <c r="AK98" s="127" t="str">
        <f t="shared" si="36"/>
        <v/>
      </c>
      <c r="AL98" s="127" t="str">
        <f t="shared" ref="AL98:AL129" si="54">IF(AND($A98&lt;&gt;0,$A98&lt;&gt;""),Num_FETS2*((AB98*VDC_AVG)*((MOT_ELEC_FREQ+FSW*k)))*n,"")</f>
        <v/>
      </c>
      <c r="AM98" s="127" t="str">
        <f t="shared" si="51"/>
        <v/>
      </c>
      <c r="AN98" s="127">
        <f>IF(AND($A98&lt;&gt;0,$A98&lt;&gt;"",OR(RIGHT(Logic!B98,2)="C)",LEFT(Logic!B98,4)="CSD1")),SUM(AD98:AF98)+(AJ98/3)+AK98+AL98/6+AM98/6,AN99)</f>
        <v>0</v>
      </c>
      <c r="AO98" s="127">
        <f>IF(AND($A98&lt;&gt;0,$A98&lt;&gt;"",OR(RIGHT(Logic!B98,2)="T)",LEFT(Logic!B98,4)="CSD1")),SUM(AG98:AI98)+(AJ98/3)+AL98/6+AM98/6,AO97)</f>
        <v>0.23887636588496741</v>
      </c>
      <c r="AP98" s="48" t="str">
        <f t="shared" si="52"/>
        <v/>
      </c>
      <c r="AQ98" s="35" t="str">
        <f>IF(AND(A98&lt;&gt;0,A98&lt;&gt;""),LOOKUP(A98,Discrete_NFET[PARTNUMBER],Discrete_NFET[TI_EQ_PACKAGE]),"")</f>
        <v/>
      </c>
      <c r="AR98" s="49" t="str">
        <f>IF(AND(A98&lt;&gt;0,A98&lt;&gt;""),LOOKUP(A98,Discrete_NFET[PARTNUMBER],Discrete_NFET[1KPRICE]),"")</f>
        <v/>
      </c>
      <c r="AS98" s="35" t="str">
        <f>IF(AND($A98&lt;&gt;0,$A98&lt;&gt;""),CONCATENATE(TEXT(AP98,"0.00"),"W, ",IF('User Input'!G$11="Single Discrete",A98,IF('User Input'!G$11="Dual/Power Block",LEFT(A98,FIND(")",A98)-7),A98)),", ",AQ98,", ",TEXT(AR98,"$0.00")),"Invalid Part")</f>
        <v>Invalid Part</v>
      </c>
      <c r="AT98"/>
      <c r="AW98"/>
    </row>
    <row r="99" spans="1:49" ht="15" customHeight="1" x14ac:dyDescent="0.25">
      <c r="A99" s="35" t="str">
        <f>IF(OR(AND(FET_config2="Dual/Power Block",LEFT(Logic!B99,4)="CSD8"),AND(FET_config2="Single Discrete",LEFT(Logic!B99,4)="CSD1")),Logic!B99,"")</f>
        <v/>
      </c>
      <c r="B99" s="37" t="str">
        <f>IF(OR($A99=0,$A99=""),"0",IF(LOOKUP($A99,Discrete_NFET[PARTNUMBER],Discrete_NFET[RDSON25])="(NULL)","0","1"))</f>
        <v>0</v>
      </c>
      <c r="C99" s="38" t="str">
        <f>IF(OR($A99=0,$A99=""),"0",IF(LOOKUP($A99,Discrete_NFET[PARTNUMBER],Discrete_NFET[RDSON3])="(NULL)","0","1"))</f>
        <v>0</v>
      </c>
      <c r="D99" s="40" t="str">
        <f>IF(OR($A99=0,$A99=""),"0",IF(LOOKUP($A99,Discrete_NFET[PARTNUMBER],Discrete_NFET[RDSON45])="(NULL)","0","1"))</f>
        <v>0</v>
      </c>
      <c r="E99" s="45" t="str">
        <f>IF(OR($A99=0,$A99=""),"0",IF(LOOKUP($A99,Discrete_NFET[PARTNUMBER],Discrete_NFET[RDSON6])="(NULL)","0","1"))</f>
        <v>0</v>
      </c>
      <c r="F99" s="34" t="str">
        <f>IF(OR($A99=0,$A99=""),"0",IF(LOOKUP($A99,Discrete_NFET[PARTNUMBER],Discrete_NFET[RDSON8])="(NULL)","0","1"))</f>
        <v>0</v>
      </c>
      <c r="G99" s="43" t="str">
        <f>IF(OR($A99=0,$A99=""),"0",IF(LOOKUP($A99,Discrete_NFET[PARTNUMBER],Discrete_NFET[RDSON10])="(NULL)","0","1"))</f>
        <v>0</v>
      </c>
      <c r="H99" s="36" t="b">
        <f t="shared" si="37"/>
        <v>0</v>
      </c>
      <c r="I99" s="39" t="b">
        <f t="shared" si="38"/>
        <v>0</v>
      </c>
      <c r="J99" s="41" t="b">
        <f t="shared" si="39"/>
        <v>0</v>
      </c>
      <c r="K99" s="46" t="b">
        <f t="shared" si="40"/>
        <v>0</v>
      </c>
      <c r="L99" s="42" t="b">
        <f t="shared" si="41"/>
        <v>0</v>
      </c>
      <c r="M99" s="44" t="b">
        <f t="shared" si="42"/>
        <v>0</v>
      </c>
      <c r="N99" s="47" t="b">
        <f t="shared" si="43"/>
        <v>0</v>
      </c>
      <c r="O99" s="36" t="b">
        <f t="shared" si="44"/>
        <v>0</v>
      </c>
      <c r="P99" s="39" t="b">
        <f t="shared" si="45"/>
        <v>0</v>
      </c>
      <c r="Q99" s="41" t="b">
        <f t="shared" si="46"/>
        <v>0</v>
      </c>
      <c r="R99" s="46" t="b">
        <f t="shared" si="47"/>
        <v>0</v>
      </c>
      <c r="S99" s="42" t="b">
        <f t="shared" si="48"/>
        <v>0</v>
      </c>
      <c r="T99" s="44" t="b">
        <f t="shared" si="49"/>
        <v>0</v>
      </c>
      <c r="U99" s="148" t="str">
        <f>IF(T99,LOOKUP(A99,Discrete_NFET[PARTNUMBER],Discrete_NFET[RDSON10])*1000,IF(S99,LOOKUP(A99,Discrete_NFET[PARTNUMBER],Discrete_NFET[RDSON8])*1000,IF(R99,LOOKUP(A99,Discrete_NFET[PARTNUMBER],Discrete_NFET[RDSON6])*1000,IF(Q99,LOOKUP(A99,Discrete_NFET[PARTNUMBER],Discrete_NFET[RDSON45])*1000,IF(P99,LOOKUP(A99,Discrete_NFET[PARTNUMBER],Discrete_NFET[RDSON3])*1000,IF(O99,LOOKUP(A99,Discrete_NFET[PARTNUMBER],Discrete_NFET[RDSON25])*1000,""))))))</f>
        <v/>
      </c>
      <c r="V99" s="48" t="str">
        <f>IF(AND(A99&lt;&gt;0,A99&lt;&gt;""),U99*(1+(Tj-25)*(LOOKUP(A99,Discrete_NFET[PARTNUMBER],Discrete_NFET[RDSDELTA])/((LOOKUP(A99,Discrete_NFET[PARTNUMBER],Discrete_NFET[TJMAX])-25)))),"")</f>
        <v/>
      </c>
      <c r="W99" s="35" t="str">
        <f>IF(AND($A99&lt;&gt;0,$A99&lt;&gt;""),LOOKUP($A99,Discrete_NFET[PARTNUMBER],Discrete_NFET[QGS]),"")</f>
        <v/>
      </c>
      <c r="X99" s="35" t="str">
        <f>IF(AND($A99&lt;&gt;0,$A99&lt;&gt;""),LOOKUP($A99,Discrete_NFET[PARTNUMBER],Discrete_NFET[QGD]),"")</f>
        <v/>
      </c>
      <c r="Y99" s="35" t="str">
        <f>IF(AND($A99&lt;&gt;0,$A99&lt;&gt;""),LOOKUP($A99,Discrete_NFET[PARTNUMBER],Discrete_NFET[QGTH]),"")</f>
        <v/>
      </c>
      <c r="Z99" s="35" t="str">
        <f t="shared" si="50"/>
        <v/>
      </c>
      <c r="AA99" s="35" t="str">
        <f>IF(AND($A99&lt;&gt;0,$A99&lt;&gt;""),LOOKUP($A99,Discrete_NFET[PARTNUMBER],Discrete_NFET[QOSSTYP]),"")</f>
        <v/>
      </c>
      <c r="AB99" s="35" t="str">
        <f>IF(AND($A99&lt;&gt;0,$A99&lt;&gt;""),LOOKUP($A99,Discrete_NFET[PARTNUMBER],Discrete_NFET[QRR]),"")</f>
        <v/>
      </c>
      <c r="AC99" s="35" t="str">
        <f>IF(AND(A99&lt;&gt;0,A99&lt;&gt;""),LOOKUP(A99,Discrete_NFET[PARTNUMBER],Discrete_NFET[VF_TYP]),"")</f>
        <v/>
      </c>
      <c r="AD99" s="127" t="str">
        <f>IF(AND($A99&lt;&gt;0,$A99&lt;&gt;"",OR(RIGHT(Logic!B99,2)="C)",LEFT(Logic!B99,4)="CSD1")),(1+(1-DUTY))*IM_RMS_120^2*V99*m/3/Num_FETS2,"")</f>
        <v/>
      </c>
      <c r="AE99" s="127" t="str">
        <f>IF(AND($A99&lt;&gt;0,$A99&lt;&gt;"",OR(RIGHT(Logic!B99,2)="C)",LEFT(Logic!B99,4)="CSD1")),Num_FETS2*0.5*IM_RMS_120*VDC_AVG*Z99*n*MOT_ELEC_FREQ/GDR_SRC,"")</f>
        <v/>
      </c>
      <c r="AF99" s="127" t="str">
        <f>IF(AND($A99&lt;&gt;0,$A99&lt;&gt;"",OR(RIGHT(Logic!B99,2)="C)",LEFT(Logic!B99,4)="CSD1")),Num_FETS2*0.5*IM_RMS_120*VDC_AVG*Z99*n*MOT_ELEC_FREQ/GDR_SINK,"")</f>
        <v/>
      </c>
      <c r="AG99" s="127" t="str">
        <f>IF(AND($A99&lt;&gt;0,$A99&lt;&gt;"",OR(RIGHT(Logic!B99,2)="T)",LEFT(Logic!B99,4)="CSD1")),DUTY*IM_RMS_120^2*V99*m/3/Num_FETS2,"")</f>
        <v/>
      </c>
      <c r="AH99" s="127" t="str">
        <f>IF(AND($A99&lt;&gt;0,$A99&lt;&gt;"",OR(RIGHT(Logic!B99,2)="T)",LEFT(Logic!B99,4)="CSD1")),Num_FETS2*0.5*IM_RMS_120*VDC_AVG*Z99*n*FSW*k/GDR_SRC/3,"")</f>
        <v/>
      </c>
      <c r="AI99" s="127" t="str">
        <f>IF(AND($A99&lt;&gt;0,$A99&lt;&gt;"",OR(RIGHT(Logic!B99,2)="T)",LEFT(Logic!B99,4)="CSD1")),Num_FETS2*0.5*IM_RMS_120*VDC_AVG*Z99*n*FSW*k/GDR_SINK/3,"")</f>
        <v/>
      </c>
      <c r="AJ99" s="127" t="str">
        <f t="shared" si="53"/>
        <v/>
      </c>
      <c r="AK99" s="127" t="str">
        <f t="shared" ref="AK99:AK130" si="55">IF(AND($A99&lt;&gt;0,$A99&lt;&gt;""),2*T_DEAD*n*AC99*IM_PEAK*(FSW*k)/3,"")</f>
        <v/>
      </c>
      <c r="AL99" s="127" t="str">
        <f t="shared" si="54"/>
        <v/>
      </c>
      <c r="AM99" s="127" t="str">
        <f t="shared" si="51"/>
        <v/>
      </c>
      <c r="AN99" s="127">
        <f>IF(AND($A99&lt;&gt;0,$A99&lt;&gt;"",OR(RIGHT(Logic!B99,2)="C)",LEFT(Logic!B99,4)="CSD1")),SUM(AD99:AF99)+(AJ99/3)+AK99+AL99/6+AM99/6,AN100)</f>
        <v>0</v>
      </c>
      <c r="AO99" s="127">
        <f>IF(AND($A99&lt;&gt;0,$A99&lt;&gt;"",OR(RIGHT(Logic!B99,2)="T)",LEFT(Logic!B99,4)="CSD1")),SUM(AG99:AI99)+(AJ99/3)+AL99/6+AM99/6,AO98)</f>
        <v>0.23887636588496741</v>
      </c>
      <c r="AP99" s="48" t="str">
        <f t="shared" si="52"/>
        <v/>
      </c>
      <c r="AQ99" s="35" t="str">
        <f>IF(AND(A99&lt;&gt;0,A99&lt;&gt;""),LOOKUP(A99,Discrete_NFET[PARTNUMBER],Discrete_NFET[TI_EQ_PACKAGE]),"")</f>
        <v/>
      </c>
      <c r="AR99" s="49" t="str">
        <f>IF(AND(A99&lt;&gt;0,A99&lt;&gt;""),LOOKUP(A99,Discrete_NFET[PARTNUMBER],Discrete_NFET[1KPRICE]),"")</f>
        <v/>
      </c>
      <c r="AS99" s="35" t="str">
        <f>IF(AND($A99&lt;&gt;0,$A99&lt;&gt;""),CONCATENATE(TEXT(AP99,"0.00"),"W, ",IF('User Input'!G$11="Single Discrete",A99,IF('User Input'!G$11="Dual/Power Block",LEFT(A99,FIND(")",A99)-7),A99)),", ",AQ99,", ",TEXT(AR99,"$0.00")),"Invalid Part")</f>
        <v>Invalid Part</v>
      </c>
      <c r="AT99"/>
      <c r="AW99"/>
    </row>
    <row r="100" spans="1:49" ht="15" customHeight="1" x14ac:dyDescent="0.25">
      <c r="A100" s="35" t="str">
        <f>IF(OR(AND(FET_config2="Dual/Power Block",LEFT(Logic!B100,4)="CSD8"),AND(FET_config2="Single Discrete",LEFT(Logic!B100,4)="CSD1")),Logic!B100,"")</f>
        <v/>
      </c>
      <c r="B100" s="37" t="str">
        <f>IF(OR($A100=0,$A100=""),"0",IF(LOOKUP($A100,Discrete_NFET[PARTNUMBER],Discrete_NFET[RDSON25])="(NULL)","0","1"))</f>
        <v>0</v>
      </c>
      <c r="C100" s="38" t="str">
        <f>IF(OR($A100=0,$A100=""),"0",IF(LOOKUP($A100,Discrete_NFET[PARTNUMBER],Discrete_NFET[RDSON3])="(NULL)","0","1"))</f>
        <v>0</v>
      </c>
      <c r="D100" s="40" t="str">
        <f>IF(OR($A100=0,$A100=""),"0",IF(LOOKUP($A100,Discrete_NFET[PARTNUMBER],Discrete_NFET[RDSON45])="(NULL)","0","1"))</f>
        <v>0</v>
      </c>
      <c r="E100" s="45" t="str">
        <f>IF(OR($A100=0,$A100=""),"0",IF(LOOKUP($A100,Discrete_NFET[PARTNUMBER],Discrete_NFET[RDSON6])="(NULL)","0","1"))</f>
        <v>0</v>
      </c>
      <c r="F100" s="34" t="str">
        <f>IF(OR($A100=0,$A100=""),"0",IF(LOOKUP($A100,Discrete_NFET[PARTNUMBER],Discrete_NFET[RDSON8])="(NULL)","0","1"))</f>
        <v>0</v>
      </c>
      <c r="G100" s="43" t="str">
        <f>IF(OR($A100=0,$A100=""),"0",IF(LOOKUP($A100,Discrete_NFET[PARTNUMBER],Discrete_NFET[RDSON10])="(NULL)","0","1"))</f>
        <v>0</v>
      </c>
      <c r="H100" s="36" t="b">
        <f t="shared" si="37"/>
        <v>0</v>
      </c>
      <c r="I100" s="39" t="b">
        <f t="shared" si="38"/>
        <v>0</v>
      </c>
      <c r="J100" s="41" t="b">
        <f t="shared" si="39"/>
        <v>0</v>
      </c>
      <c r="K100" s="46" t="b">
        <f t="shared" si="40"/>
        <v>0</v>
      </c>
      <c r="L100" s="42" t="b">
        <f t="shared" si="41"/>
        <v>0</v>
      </c>
      <c r="M100" s="44" t="b">
        <f t="shared" si="42"/>
        <v>0</v>
      </c>
      <c r="N100" s="47" t="b">
        <f t="shared" si="43"/>
        <v>0</v>
      </c>
      <c r="O100" s="36" t="b">
        <f t="shared" si="44"/>
        <v>0</v>
      </c>
      <c r="P100" s="39" t="b">
        <f t="shared" si="45"/>
        <v>0</v>
      </c>
      <c r="Q100" s="41" t="b">
        <f t="shared" si="46"/>
        <v>0</v>
      </c>
      <c r="R100" s="46" t="b">
        <f t="shared" si="47"/>
        <v>0</v>
      </c>
      <c r="S100" s="42" t="b">
        <f t="shared" si="48"/>
        <v>0</v>
      </c>
      <c r="T100" s="44" t="b">
        <f t="shared" si="49"/>
        <v>0</v>
      </c>
      <c r="U100" s="148" t="str">
        <f>IF(T100,LOOKUP(A100,Discrete_NFET[PARTNUMBER],Discrete_NFET[RDSON10])*1000,IF(S100,LOOKUP(A100,Discrete_NFET[PARTNUMBER],Discrete_NFET[RDSON8])*1000,IF(R100,LOOKUP(A100,Discrete_NFET[PARTNUMBER],Discrete_NFET[RDSON6])*1000,IF(Q100,LOOKUP(A100,Discrete_NFET[PARTNUMBER],Discrete_NFET[RDSON45])*1000,IF(P100,LOOKUP(A100,Discrete_NFET[PARTNUMBER],Discrete_NFET[RDSON3])*1000,IF(O100,LOOKUP(A100,Discrete_NFET[PARTNUMBER],Discrete_NFET[RDSON25])*1000,""))))))</f>
        <v/>
      </c>
      <c r="V100" s="48" t="str">
        <f>IF(AND(A100&lt;&gt;0,A100&lt;&gt;""),U100*(1+(Tj-25)*(LOOKUP(A100,Discrete_NFET[PARTNUMBER],Discrete_NFET[RDSDELTA])/((LOOKUP(A100,Discrete_NFET[PARTNUMBER],Discrete_NFET[TJMAX])-25)))),"")</f>
        <v/>
      </c>
      <c r="W100" s="35" t="str">
        <f>IF(AND($A100&lt;&gt;0,$A100&lt;&gt;""),LOOKUP($A100,Discrete_NFET[PARTNUMBER],Discrete_NFET[QGS]),"")</f>
        <v/>
      </c>
      <c r="X100" s="35" t="str">
        <f>IF(AND($A100&lt;&gt;0,$A100&lt;&gt;""),LOOKUP($A100,Discrete_NFET[PARTNUMBER],Discrete_NFET[QGD]),"")</f>
        <v/>
      </c>
      <c r="Y100" s="35" t="str">
        <f>IF(AND($A100&lt;&gt;0,$A100&lt;&gt;""),LOOKUP($A100,Discrete_NFET[PARTNUMBER],Discrete_NFET[QGTH]),"")</f>
        <v/>
      </c>
      <c r="Z100" s="35" t="str">
        <f t="shared" si="50"/>
        <v/>
      </c>
      <c r="AA100" s="35" t="str">
        <f>IF(AND($A100&lt;&gt;0,$A100&lt;&gt;""),LOOKUP($A100,Discrete_NFET[PARTNUMBER],Discrete_NFET[QOSSTYP]),"")</f>
        <v/>
      </c>
      <c r="AB100" s="35" t="str">
        <f>IF(AND($A100&lt;&gt;0,$A100&lt;&gt;""),LOOKUP($A100,Discrete_NFET[PARTNUMBER],Discrete_NFET[QRR]),"")</f>
        <v/>
      </c>
      <c r="AC100" s="35" t="str">
        <f>IF(AND(A100&lt;&gt;0,A100&lt;&gt;""),LOOKUP(A100,Discrete_NFET[PARTNUMBER],Discrete_NFET[VF_TYP]),"")</f>
        <v/>
      </c>
      <c r="AD100" s="127" t="str">
        <f>IF(AND($A100&lt;&gt;0,$A100&lt;&gt;"",OR(RIGHT(Logic!B100,2)="C)",LEFT(Logic!B100,4)="CSD1")),(1+(1-DUTY))*IM_RMS_120^2*V100*m/3/Num_FETS2,"")</f>
        <v/>
      </c>
      <c r="AE100" s="127" t="str">
        <f>IF(AND($A100&lt;&gt;0,$A100&lt;&gt;"",OR(RIGHT(Logic!B100,2)="C)",LEFT(Logic!B100,4)="CSD1")),Num_FETS2*0.5*IM_RMS_120*VDC_AVG*Z100*n*MOT_ELEC_FREQ/GDR_SRC,"")</f>
        <v/>
      </c>
      <c r="AF100" s="127" t="str">
        <f>IF(AND($A100&lt;&gt;0,$A100&lt;&gt;"",OR(RIGHT(Logic!B100,2)="C)",LEFT(Logic!B100,4)="CSD1")),Num_FETS2*0.5*IM_RMS_120*VDC_AVG*Z100*n*MOT_ELEC_FREQ/GDR_SINK,"")</f>
        <v/>
      </c>
      <c r="AG100" s="127" t="str">
        <f>IF(AND($A100&lt;&gt;0,$A100&lt;&gt;"",OR(RIGHT(Logic!B100,2)="T)",LEFT(Logic!B100,4)="CSD1")),DUTY*IM_RMS_120^2*V100*m/3/Num_FETS2,"")</f>
        <v/>
      </c>
      <c r="AH100" s="127" t="str">
        <f>IF(AND($A100&lt;&gt;0,$A100&lt;&gt;"",OR(RIGHT(Logic!B100,2)="T)",LEFT(Logic!B100,4)="CSD1")),Num_FETS2*0.5*IM_RMS_120*VDC_AVG*Z100*n*FSW*k/GDR_SRC/3,"")</f>
        <v/>
      </c>
      <c r="AI100" s="127" t="str">
        <f>IF(AND($A100&lt;&gt;0,$A100&lt;&gt;"",OR(RIGHT(Logic!B100,2)="T)",LEFT(Logic!B100,4)="CSD1")),Num_FETS2*0.5*IM_RMS_120*VDC_AVG*Z100*n*FSW*k/GDR_SINK/3,"")</f>
        <v/>
      </c>
      <c r="AJ100" s="127" t="str">
        <f t="shared" si="53"/>
        <v/>
      </c>
      <c r="AK100" s="127" t="str">
        <f t="shared" si="55"/>
        <v/>
      </c>
      <c r="AL100" s="127" t="str">
        <f t="shared" si="54"/>
        <v/>
      </c>
      <c r="AM100" s="127" t="str">
        <f t="shared" si="51"/>
        <v/>
      </c>
      <c r="AN100" s="127">
        <f>IF(AND($A100&lt;&gt;0,$A100&lt;&gt;"",OR(RIGHT(Logic!B100,2)="C)",LEFT(Logic!B100,4)="CSD1")),SUM(AD100:AF100)+(AJ100/3)+AK100+AL100/6+AM100/6,AN101)</f>
        <v>0</v>
      </c>
      <c r="AO100" s="127">
        <f>IF(AND($A100&lt;&gt;0,$A100&lt;&gt;"",OR(RIGHT(Logic!B100,2)="T)",LEFT(Logic!B100,4)="CSD1")),SUM(AG100:AI100)+(AJ100/3)+AL100/6+AM100/6,AO99)</f>
        <v>0.23887636588496741</v>
      </c>
      <c r="AP100" s="48" t="str">
        <f t="shared" si="52"/>
        <v/>
      </c>
      <c r="AQ100" s="35" t="str">
        <f>IF(AND(A100&lt;&gt;0,A100&lt;&gt;""),LOOKUP(A100,Discrete_NFET[PARTNUMBER],Discrete_NFET[TI_EQ_PACKAGE]),"")</f>
        <v/>
      </c>
      <c r="AR100" s="49" t="str">
        <f>IF(AND(A100&lt;&gt;0,A100&lt;&gt;""),LOOKUP(A100,Discrete_NFET[PARTNUMBER],Discrete_NFET[1KPRICE]),"")</f>
        <v/>
      </c>
      <c r="AS100" s="35" t="str">
        <f>IF(AND($A100&lt;&gt;0,$A100&lt;&gt;""),CONCATENATE(TEXT(AP100,"0.00"),"W, ",IF('User Input'!G$11="Single Discrete",A100,IF('User Input'!G$11="Dual/Power Block",LEFT(A100,FIND(")",A100)-7),A100)),", ",AQ100,", ",TEXT(AR100,"$0.00")),"Invalid Part")</f>
        <v>Invalid Part</v>
      </c>
      <c r="AT100"/>
      <c r="AW100"/>
    </row>
    <row r="101" spans="1:49" ht="15" customHeight="1" x14ac:dyDescent="0.25">
      <c r="A101" s="35" t="str">
        <f>IF(OR(AND(FET_config2="Dual/Power Block",LEFT(Logic!B101,4)="CSD8"),AND(FET_config2="Single Discrete",LEFT(Logic!B101,4)="CSD1")),Logic!B101,"")</f>
        <v/>
      </c>
      <c r="B101" s="37" t="str">
        <f>IF(OR($A101=0,$A101=""),"0",IF(LOOKUP($A101,Discrete_NFET[PARTNUMBER],Discrete_NFET[RDSON25])="(NULL)","0","1"))</f>
        <v>0</v>
      </c>
      <c r="C101" s="38" t="str">
        <f>IF(OR($A101=0,$A101=""),"0",IF(LOOKUP($A101,Discrete_NFET[PARTNUMBER],Discrete_NFET[RDSON3])="(NULL)","0","1"))</f>
        <v>0</v>
      </c>
      <c r="D101" s="40" t="str">
        <f>IF(OR($A101=0,$A101=""),"0",IF(LOOKUP($A101,Discrete_NFET[PARTNUMBER],Discrete_NFET[RDSON45])="(NULL)","0","1"))</f>
        <v>0</v>
      </c>
      <c r="E101" s="45" t="str">
        <f>IF(OR($A101=0,$A101=""),"0",IF(LOOKUP($A101,Discrete_NFET[PARTNUMBER],Discrete_NFET[RDSON6])="(NULL)","0","1"))</f>
        <v>0</v>
      </c>
      <c r="F101" s="34" t="str">
        <f>IF(OR($A101=0,$A101=""),"0",IF(LOOKUP($A101,Discrete_NFET[PARTNUMBER],Discrete_NFET[RDSON8])="(NULL)","0","1"))</f>
        <v>0</v>
      </c>
      <c r="G101" s="43" t="str">
        <f>IF(OR($A101=0,$A101=""),"0",IF(LOOKUP($A101,Discrete_NFET[PARTNUMBER],Discrete_NFET[RDSON10])="(NULL)","0","1"))</f>
        <v>0</v>
      </c>
      <c r="H101" s="36" t="b">
        <f t="shared" si="37"/>
        <v>0</v>
      </c>
      <c r="I101" s="39" t="b">
        <f t="shared" si="38"/>
        <v>0</v>
      </c>
      <c r="J101" s="41" t="b">
        <f t="shared" si="39"/>
        <v>0</v>
      </c>
      <c r="K101" s="46" t="b">
        <f t="shared" si="40"/>
        <v>0</v>
      </c>
      <c r="L101" s="42" t="b">
        <f t="shared" si="41"/>
        <v>0</v>
      </c>
      <c r="M101" s="44" t="b">
        <f t="shared" si="42"/>
        <v>0</v>
      </c>
      <c r="N101" s="47" t="b">
        <f t="shared" si="43"/>
        <v>0</v>
      </c>
      <c r="O101" s="36" t="b">
        <f t="shared" si="44"/>
        <v>0</v>
      </c>
      <c r="P101" s="39" t="b">
        <f t="shared" si="45"/>
        <v>0</v>
      </c>
      <c r="Q101" s="41" t="b">
        <f t="shared" si="46"/>
        <v>0</v>
      </c>
      <c r="R101" s="46" t="b">
        <f t="shared" si="47"/>
        <v>0</v>
      </c>
      <c r="S101" s="42" t="b">
        <f t="shared" si="48"/>
        <v>0</v>
      </c>
      <c r="T101" s="44" t="b">
        <f t="shared" si="49"/>
        <v>0</v>
      </c>
      <c r="U101" s="148" t="str">
        <f>IF(T101,LOOKUP(A101,Discrete_NFET[PARTNUMBER],Discrete_NFET[RDSON10])*1000,IF(S101,LOOKUP(A101,Discrete_NFET[PARTNUMBER],Discrete_NFET[RDSON8])*1000,IF(R101,LOOKUP(A101,Discrete_NFET[PARTNUMBER],Discrete_NFET[RDSON6])*1000,IF(Q101,LOOKUP(A101,Discrete_NFET[PARTNUMBER],Discrete_NFET[RDSON45])*1000,IF(P101,LOOKUP(A101,Discrete_NFET[PARTNUMBER],Discrete_NFET[RDSON3])*1000,IF(O101,LOOKUP(A101,Discrete_NFET[PARTNUMBER],Discrete_NFET[RDSON25])*1000,""))))))</f>
        <v/>
      </c>
      <c r="V101" s="48" t="str">
        <f>IF(AND(A101&lt;&gt;0,A101&lt;&gt;""),U101*(1+(Tj-25)*(LOOKUP(A101,Discrete_NFET[PARTNUMBER],Discrete_NFET[RDSDELTA])/((LOOKUP(A101,Discrete_NFET[PARTNUMBER],Discrete_NFET[TJMAX])-25)))),"")</f>
        <v/>
      </c>
      <c r="W101" s="35" t="str">
        <f>IF(AND($A101&lt;&gt;0,$A101&lt;&gt;""),LOOKUP($A101,Discrete_NFET[PARTNUMBER],Discrete_NFET[QGS]),"")</f>
        <v/>
      </c>
      <c r="X101" s="35" t="str">
        <f>IF(AND($A101&lt;&gt;0,$A101&lt;&gt;""),LOOKUP($A101,Discrete_NFET[PARTNUMBER],Discrete_NFET[QGD]),"")</f>
        <v/>
      </c>
      <c r="Y101" s="35" t="str">
        <f>IF(AND($A101&lt;&gt;0,$A101&lt;&gt;""),LOOKUP($A101,Discrete_NFET[PARTNUMBER],Discrete_NFET[QGTH]),"")</f>
        <v/>
      </c>
      <c r="Z101" s="35" t="str">
        <f t="shared" si="50"/>
        <v/>
      </c>
      <c r="AA101" s="35" t="str">
        <f>IF(AND($A101&lt;&gt;0,$A101&lt;&gt;""),LOOKUP($A101,Discrete_NFET[PARTNUMBER],Discrete_NFET[QOSSTYP]),"")</f>
        <v/>
      </c>
      <c r="AB101" s="35" t="str">
        <f>IF(AND($A101&lt;&gt;0,$A101&lt;&gt;""),LOOKUP($A101,Discrete_NFET[PARTNUMBER],Discrete_NFET[QRR]),"")</f>
        <v/>
      </c>
      <c r="AC101" s="35" t="str">
        <f>IF(AND(A101&lt;&gt;0,A101&lt;&gt;""),LOOKUP(A101,Discrete_NFET[PARTNUMBER],Discrete_NFET[VF_TYP]),"")</f>
        <v/>
      </c>
      <c r="AD101" s="127" t="str">
        <f>IF(AND($A101&lt;&gt;0,$A101&lt;&gt;"",OR(RIGHT(Logic!B101,2)="C)",LEFT(Logic!B101,4)="CSD1")),(1+(1-DUTY))*IM_RMS_120^2*V101*m/3/Num_FETS2,"")</f>
        <v/>
      </c>
      <c r="AE101" s="127" t="str">
        <f>IF(AND($A101&lt;&gt;0,$A101&lt;&gt;"",OR(RIGHT(Logic!B101,2)="C)",LEFT(Logic!B101,4)="CSD1")),Num_FETS2*0.5*IM_RMS_120*VDC_AVG*Z101*n*MOT_ELEC_FREQ/GDR_SRC,"")</f>
        <v/>
      </c>
      <c r="AF101" s="127" t="str">
        <f>IF(AND($A101&lt;&gt;0,$A101&lt;&gt;"",OR(RIGHT(Logic!B101,2)="C)",LEFT(Logic!B101,4)="CSD1")),Num_FETS2*0.5*IM_RMS_120*VDC_AVG*Z101*n*MOT_ELEC_FREQ/GDR_SINK,"")</f>
        <v/>
      </c>
      <c r="AG101" s="127" t="str">
        <f>IF(AND($A101&lt;&gt;0,$A101&lt;&gt;"",OR(RIGHT(Logic!B101,2)="T)",LEFT(Logic!B101,4)="CSD1")),DUTY*IM_RMS_120^2*V101*m/3/Num_FETS2,"")</f>
        <v/>
      </c>
      <c r="AH101" s="127" t="str">
        <f>IF(AND($A101&lt;&gt;0,$A101&lt;&gt;"",OR(RIGHT(Logic!B101,2)="T)",LEFT(Logic!B101,4)="CSD1")),Num_FETS2*0.5*IM_RMS_120*VDC_AVG*Z101*n*FSW*k/GDR_SRC/3,"")</f>
        <v/>
      </c>
      <c r="AI101" s="127" t="str">
        <f>IF(AND($A101&lt;&gt;0,$A101&lt;&gt;"",OR(RIGHT(Logic!B101,2)="T)",LEFT(Logic!B101,4)="CSD1")),Num_FETS2*0.5*IM_RMS_120*VDC_AVG*Z101*n*FSW*k/GDR_SINK/3,"")</f>
        <v/>
      </c>
      <c r="AJ101" s="127" t="str">
        <f t="shared" si="53"/>
        <v/>
      </c>
      <c r="AK101" s="127" t="str">
        <f t="shared" si="55"/>
        <v/>
      </c>
      <c r="AL101" s="127" t="str">
        <f t="shared" si="54"/>
        <v/>
      </c>
      <c r="AM101" s="127" t="str">
        <f t="shared" si="51"/>
        <v/>
      </c>
      <c r="AN101" s="127">
        <f>IF(AND($A101&lt;&gt;0,$A101&lt;&gt;"",OR(RIGHT(Logic!B101,2)="C)",LEFT(Logic!B101,4)="CSD1")),SUM(AD101:AF101)+(AJ101/3)+AK101+AL101/6+AM101/6,AN102)</f>
        <v>0</v>
      </c>
      <c r="AO101" s="127">
        <f>IF(AND($A101&lt;&gt;0,$A101&lt;&gt;"",OR(RIGHT(Logic!B101,2)="T)",LEFT(Logic!B101,4)="CSD1")),SUM(AG101:AI101)+(AJ101/3)+AL101/6+AM101/6,AO100)</f>
        <v>0.23887636588496741</v>
      </c>
      <c r="AP101" s="48" t="str">
        <f t="shared" si="52"/>
        <v/>
      </c>
      <c r="AQ101" s="35" t="str">
        <f>IF(AND(A101&lt;&gt;0,A101&lt;&gt;""),LOOKUP(A101,Discrete_NFET[PARTNUMBER],Discrete_NFET[TI_EQ_PACKAGE]),"")</f>
        <v/>
      </c>
      <c r="AR101" s="49" t="str">
        <f>IF(AND(A101&lt;&gt;0,A101&lt;&gt;""),LOOKUP(A101,Discrete_NFET[PARTNUMBER],Discrete_NFET[1KPRICE]),"")</f>
        <v/>
      </c>
      <c r="AS101" s="35" t="str">
        <f>IF(AND($A101&lt;&gt;0,$A101&lt;&gt;""),CONCATENATE(TEXT(AP101,"0.00"),"W, ",IF('User Input'!G$11="Single Discrete",A101,IF('User Input'!G$11="Dual/Power Block",LEFT(A101,FIND(")",A101)-7),A101)),", ",AQ101,", ",TEXT(AR101,"$0.00")),"Invalid Part")</f>
        <v>Invalid Part</v>
      </c>
      <c r="AT101"/>
      <c r="AW101"/>
    </row>
    <row r="102" spans="1:49" ht="15" customHeight="1" x14ac:dyDescent="0.25">
      <c r="A102" s="35" t="str">
        <f>IF(OR(AND(FET_config2="Dual/Power Block",LEFT(Logic!B102,4)="CSD8"),AND(FET_config2="Single Discrete",LEFT(Logic!B102,4)="CSD1")),Logic!B102,"")</f>
        <v/>
      </c>
      <c r="B102" s="37" t="str">
        <f>IF(OR($A102=0,$A102=""),"0",IF(LOOKUP($A102,Discrete_NFET[PARTNUMBER],Discrete_NFET[RDSON25])="(NULL)","0","1"))</f>
        <v>0</v>
      </c>
      <c r="C102" s="38" t="str">
        <f>IF(OR($A102=0,$A102=""),"0",IF(LOOKUP($A102,Discrete_NFET[PARTNUMBER],Discrete_NFET[RDSON3])="(NULL)","0","1"))</f>
        <v>0</v>
      </c>
      <c r="D102" s="40" t="str">
        <f>IF(OR($A102=0,$A102=""),"0",IF(LOOKUP($A102,Discrete_NFET[PARTNUMBER],Discrete_NFET[RDSON45])="(NULL)","0","1"))</f>
        <v>0</v>
      </c>
      <c r="E102" s="45" t="str">
        <f>IF(OR($A102=0,$A102=""),"0",IF(LOOKUP($A102,Discrete_NFET[PARTNUMBER],Discrete_NFET[RDSON6])="(NULL)","0","1"))</f>
        <v>0</v>
      </c>
      <c r="F102" s="34" t="str">
        <f>IF(OR($A102=0,$A102=""),"0",IF(LOOKUP($A102,Discrete_NFET[PARTNUMBER],Discrete_NFET[RDSON8])="(NULL)","0","1"))</f>
        <v>0</v>
      </c>
      <c r="G102" s="43" t="str">
        <f>IF(OR($A102=0,$A102=""),"0",IF(LOOKUP($A102,Discrete_NFET[PARTNUMBER],Discrete_NFET[RDSON10])="(NULL)","0","1"))</f>
        <v>0</v>
      </c>
      <c r="H102" s="36" t="b">
        <f t="shared" si="37"/>
        <v>0</v>
      </c>
      <c r="I102" s="39" t="b">
        <f t="shared" si="38"/>
        <v>0</v>
      </c>
      <c r="J102" s="41" t="b">
        <f t="shared" si="39"/>
        <v>0</v>
      </c>
      <c r="K102" s="46" t="b">
        <f t="shared" si="40"/>
        <v>0</v>
      </c>
      <c r="L102" s="42" t="b">
        <f t="shared" si="41"/>
        <v>0</v>
      </c>
      <c r="M102" s="44" t="b">
        <f t="shared" si="42"/>
        <v>0</v>
      </c>
      <c r="N102" s="47" t="b">
        <f t="shared" si="43"/>
        <v>0</v>
      </c>
      <c r="O102" s="36" t="b">
        <f t="shared" si="44"/>
        <v>0</v>
      </c>
      <c r="P102" s="39" t="b">
        <f t="shared" si="45"/>
        <v>0</v>
      </c>
      <c r="Q102" s="41" t="b">
        <f t="shared" si="46"/>
        <v>0</v>
      </c>
      <c r="R102" s="46" t="b">
        <f t="shared" si="47"/>
        <v>0</v>
      </c>
      <c r="S102" s="42" t="b">
        <f t="shared" si="48"/>
        <v>0</v>
      </c>
      <c r="T102" s="44" t="b">
        <f t="shared" si="49"/>
        <v>0</v>
      </c>
      <c r="U102" s="148" t="str">
        <f>IF(T102,LOOKUP(A102,Discrete_NFET[PARTNUMBER],Discrete_NFET[RDSON10])*1000,IF(S102,LOOKUP(A102,Discrete_NFET[PARTNUMBER],Discrete_NFET[RDSON8])*1000,IF(R102,LOOKUP(A102,Discrete_NFET[PARTNUMBER],Discrete_NFET[RDSON6])*1000,IF(Q102,LOOKUP(A102,Discrete_NFET[PARTNUMBER],Discrete_NFET[RDSON45])*1000,IF(P102,LOOKUP(A102,Discrete_NFET[PARTNUMBER],Discrete_NFET[RDSON3])*1000,IF(O102,LOOKUP(A102,Discrete_NFET[PARTNUMBER],Discrete_NFET[RDSON25])*1000,""))))))</f>
        <v/>
      </c>
      <c r="V102" s="48" t="str">
        <f>IF(AND(A102&lt;&gt;0,A102&lt;&gt;""),U102*(1+(Tj-25)*(LOOKUP(A102,Discrete_NFET[PARTNUMBER],Discrete_NFET[RDSDELTA])/((LOOKUP(A102,Discrete_NFET[PARTNUMBER],Discrete_NFET[TJMAX])-25)))),"")</f>
        <v/>
      </c>
      <c r="W102" s="35" t="str">
        <f>IF(AND($A102&lt;&gt;0,$A102&lt;&gt;""),LOOKUP($A102,Discrete_NFET[PARTNUMBER],Discrete_NFET[QGS]),"")</f>
        <v/>
      </c>
      <c r="X102" s="35" t="str">
        <f>IF(AND($A102&lt;&gt;0,$A102&lt;&gt;""),LOOKUP($A102,Discrete_NFET[PARTNUMBER],Discrete_NFET[QGD]),"")</f>
        <v/>
      </c>
      <c r="Y102" s="35" t="str">
        <f>IF(AND($A102&lt;&gt;0,$A102&lt;&gt;""),LOOKUP($A102,Discrete_NFET[PARTNUMBER],Discrete_NFET[QGTH]),"")</f>
        <v/>
      </c>
      <c r="Z102" s="35" t="str">
        <f t="shared" si="50"/>
        <v/>
      </c>
      <c r="AA102" s="35" t="str">
        <f>IF(AND($A102&lt;&gt;0,$A102&lt;&gt;""),LOOKUP($A102,Discrete_NFET[PARTNUMBER],Discrete_NFET[QOSSTYP]),"")</f>
        <v/>
      </c>
      <c r="AB102" s="35" t="str">
        <f>IF(AND($A102&lt;&gt;0,$A102&lt;&gt;""),LOOKUP($A102,Discrete_NFET[PARTNUMBER],Discrete_NFET[QRR]),"")</f>
        <v/>
      </c>
      <c r="AC102" s="35" t="str">
        <f>IF(AND(A102&lt;&gt;0,A102&lt;&gt;""),LOOKUP(A102,Discrete_NFET[PARTNUMBER],Discrete_NFET[VF_TYP]),"")</f>
        <v/>
      </c>
      <c r="AD102" s="127" t="str">
        <f>IF(AND($A102&lt;&gt;0,$A102&lt;&gt;"",OR(RIGHT(Logic!B102,2)="C)",LEFT(Logic!B102,4)="CSD1")),(1+(1-DUTY))*IM_RMS_120^2*V102*m/3/Num_FETS2,"")</f>
        <v/>
      </c>
      <c r="AE102" s="127" t="str">
        <f>IF(AND($A102&lt;&gt;0,$A102&lt;&gt;"",OR(RIGHT(Logic!B102,2)="C)",LEFT(Logic!B102,4)="CSD1")),Num_FETS2*0.5*IM_RMS_120*VDC_AVG*Z102*n*MOT_ELEC_FREQ/GDR_SRC,"")</f>
        <v/>
      </c>
      <c r="AF102" s="127" t="str">
        <f>IF(AND($A102&lt;&gt;0,$A102&lt;&gt;"",OR(RIGHT(Logic!B102,2)="C)",LEFT(Logic!B102,4)="CSD1")),Num_FETS2*0.5*IM_RMS_120*VDC_AVG*Z102*n*MOT_ELEC_FREQ/GDR_SINK,"")</f>
        <v/>
      </c>
      <c r="AG102" s="127" t="str">
        <f>IF(AND($A102&lt;&gt;0,$A102&lt;&gt;"",OR(RIGHT(Logic!B102,2)="T)",LEFT(Logic!B102,4)="CSD1")),DUTY*IM_RMS_120^2*V102*m/3/Num_FETS2,"")</f>
        <v/>
      </c>
      <c r="AH102" s="127" t="str">
        <f>IF(AND($A102&lt;&gt;0,$A102&lt;&gt;"",OR(RIGHT(Logic!B102,2)="T)",LEFT(Logic!B102,4)="CSD1")),Num_FETS2*0.5*IM_RMS_120*VDC_AVG*Z102*n*FSW*k/GDR_SRC/3,"")</f>
        <v/>
      </c>
      <c r="AI102" s="127" t="str">
        <f>IF(AND($A102&lt;&gt;0,$A102&lt;&gt;"",OR(RIGHT(Logic!B102,2)="T)",LEFT(Logic!B102,4)="CSD1")),Num_FETS2*0.5*IM_RMS_120*VDC_AVG*Z102*n*FSW*k/GDR_SINK/3,"")</f>
        <v/>
      </c>
      <c r="AJ102" s="127" t="str">
        <f t="shared" si="53"/>
        <v/>
      </c>
      <c r="AK102" s="127" t="str">
        <f t="shared" si="55"/>
        <v/>
      </c>
      <c r="AL102" s="127" t="str">
        <f t="shared" si="54"/>
        <v/>
      </c>
      <c r="AM102" s="127" t="str">
        <f t="shared" si="51"/>
        <v/>
      </c>
      <c r="AN102" s="127">
        <f>IF(AND($A102&lt;&gt;0,$A102&lt;&gt;"",OR(RIGHT(Logic!B102,2)="C)",LEFT(Logic!B102,4)="CSD1")),SUM(AD102:AF102)+(AJ102/3)+AK102+AL102/6+AM102/6,AN103)</f>
        <v>0</v>
      </c>
      <c r="AO102" s="127">
        <f>IF(AND($A102&lt;&gt;0,$A102&lt;&gt;"",OR(RIGHT(Logic!B102,2)="T)",LEFT(Logic!B102,4)="CSD1")),SUM(AG102:AI102)+(AJ102/3)+AL102/6+AM102/6,AO101)</f>
        <v>0.23887636588496741</v>
      </c>
      <c r="AP102" s="48" t="str">
        <f t="shared" si="52"/>
        <v/>
      </c>
      <c r="AQ102" s="35" t="str">
        <f>IF(AND(A102&lt;&gt;0,A102&lt;&gt;""),LOOKUP(A102,Discrete_NFET[PARTNUMBER],Discrete_NFET[TI_EQ_PACKAGE]),"")</f>
        <v/>
      </c>
      <c r="AR102" s="49" t="str">
        <f>IF(AND(A102&lt;&gt;0,A102&lt;&gt;""),LOOKUP(A102,Discrete_NFET[PARTNUMBER],Discrete_NFET[1KPRICE]),"")</f>
        <v/>
      </c>
      <c r="AS102" s="35" t="str">
        <f>IF(AND($A102&lt;&gt;0,$A102&lt;&gt;""),CONCATENATE(TEXT(AP102,"0.00"),"W, ",IF('User Input'!G$11="Single Discrete",A102,IF('User Input'!G$11="Dual/Power Block",LEFT(A102,FIND(")",A102)-7),A102)),", ",AQ102,", ",TEXT(AR102,"$0.00")),"Invalid Part")</f>
        <v>Invalid Part</v>
      </c>
      <c r="AT102"/>
      <c r="AW102"/>
    </row>
    <row r="103" spans="1:49" ht="15" customHeight="1" x14ac:dyDescent="0.25">
      <c r="A103" s="35" t="str">
        <f>IF(OR(AND(FET_config2="Dual/Power Block",LEFT(Logic!B103,4)="CSD8"),AND(FET_config2="Single Discrete",LEFT(Logic!B103,4)="CSD1")),Logic!B103,"")</f>
        <v/>
      </c>
      <c r="B103" s="37" t="str">
        <f>IF(OR($A103=0,$A103=""),"0",IF(LOOKUP($A103,Discrete_NFET[PARTNUMBER],Discrete_NFET[RDSON25])="(NULL)","0","1"))</f>
        <v>0</v>
      </c>
      <c r="C103" s="38" t="str">
        <f>IF(OR($A103=0,$A103=""),"0",IF(LOOKUP($A103,Discrete_NFET[PARTNUMBER],Discrete_NFET[RDSON3])="(NULL)","0","1"))</f>
        <v>0</v>
      </c>
      <c r="D103" s="40" t="str">
        <f>IF(OR($A103=0,$A103=""),"0",IF(LOOKUP($A103,Discrete_NFET[PARTNUMBER],Discrete_NFET[RDSON45])="(NULL)","0","1"))</f>
        <v>0</v>
      </c>
      <c r="E103" s="45" t="str">
        <f>IF(OR($A103=0,$A103=""),"0",IF(LOOKUP($A103,Discrete_NFET[PARTNUMBER],Discrete_NFET[RDSON6])="(NULL)","0","1"))</f>
        <v>0</v>
      </c>
      <c r="F103" s="34" t="str">
        <f>IF(OR($A103=0,$A103=""),"0",IF(LOOKUP($A103,Discrete_NFET[PARTNUMBER],Discrete_NFET[RDSON8])="(NULL)","0","1"))</f>
        <v>0</v>
      </c>
      <c r="G103" s="43" t="str">
        <f>IF(OR($A103=0,$A103=""),"0",IF(LOOKUP($A103,Discrete_NFET[PARTNUMBER],Discrete_NFET[RDSON10])="(NULL)","0","1"))</f>
        <v>0</v>
      </c>
      <c r="H103" s="36" t="b">
        <f t="shared" si="37"/>
        <v>0</v>
      </c>
      <c r="I103" s="39" t="b">
        <f t="shared" si="38"/>
        <v>0</v>
      </c>
      <c r="J103" s="41" t="b">
        <f t="shared" si="39"/>
        <v>0</v>
      </c>
      <c r="K103" s="46" t="b">
        <f t="shared" si="40"/>
        <v>0</v>
      </c>
      <c r="L103" s="42" t="b">
        <f t="shared" si="41"/>
        <v>0</v>
      </c>
      <c r="M103" s="44" t="b">
        <f t="shared" si="42"/>
        <v>0</v>
      </c>
      <c r="N103" s="47" t="b">
        <f t="shared" si="43"/>
        <v>0</v>
      </c>
      <c r="O103" s="36" t="b">
        <f t="shared" si="44"/>
        <v>0</v>
      </c>
      <c r="P103" s="39" t="b">
        <f t="shared" si="45"/>
        <v>0</v>
      </c>
      <c r="Q103" s="41" t="b">
        <f t="shared" si="46"/>
        <v>0</v>
      </c>
      <c r="R103" s="46" t="b">
        <f t="shared" si="47"/>
        <v>0</v>
      </c>
      <c r="S103" s="42" t="b">
        <f t="shared" si="48"/>
        <v>0</v>
      </c>
      <c r="T103" s="44" t="b">
        <f t="shared" si="49"/>
        <v>0</v>
      </c>
      <c r="U103" s="148" t="str">
        <f>IF(T103,LOOKUP(A103,Discrete_NFET[PARTNUMBER],Discrete_NFET[RDSON10])*1000,IF(S103,LOOKUP(A103,Discrete_NFET[PARTNUMBER],Discrete_NFET[RDSON8])*1000,IF(R103,LOOKUP(A103,Discrete_NFET[PARTNUMBER],Discrete_NFET[RDSON6])*1000,IF(Q103,LOOKUP(A103,Discrete_NFET[PARTNUMBER],Discrete_NFET[RDSON45])*1000,IF(P103,LOOKUP(A103,Discrete_NFET[PARTNUMBER],Discrete_NFET[RDSON3])*1000,IF(O103,LOOKUP(A103,Discrete_NFET[PARTNUMBER],Discrete_NFET[RDSON25])*1000,""))))))</f>
        <v/>
      </c>
      <c r="V103" s="48" t="str">
        <f>IF(AND(A103&lt;&gt;0,A103&lt;&gt;""),U103*(1+(Tj-25)*(LOOKUP(A103,Discrete_NFET[PARTNUMBER],Discrete_NFET[RDSDELTA])/((LOOKUP(A103,Discrete_NFET[PARTNUMBER],Discrete_NFET[TJMAX])-25)))),"")</f>
        <v/>
      </c>
      <c r="W103" s="35" t="str">
        <f>IF(AND($A103&lt;&gt;0,$A103&lt;&gt;""),LOOKUP($A103,Discrete_NFET[PARTNUMBER],Discrete_NFET[QGS]),"")</f>
        <v/>
      </c>
      <c r="X103" s="35" t="str">
        <f>IF(AND($A103&lt;&gt;0,$A103&lt;&gt;""),LOOKUP($A103,Discrete_NFET[PARTNUMBER],Discrete_NFET[QGD]),"")</f>
        <v/>
      </c>
      <c r="Y103" s="35" t="str">
        <f>IF(AND($A103&lt;&gt;0,$A103&lt;&gt;""),LOOKUP($A103,Discrete_NFET[PARTNUMBER],Discrete_NFET[QGTH]),"")</f>
        <v/>
      </c>
      <c r="Z103" s="35" t="str">
        <f t="shared" si="50"/>
        <v/>
      </c>
      <c r="AA103" s="35" t="str">
        <f>IF(AND($A103&lt;&gt;0,$A103&lt;&gt;""),LOOKUP($A103,Discrete_NFET[PARTNUMBER],Discrete_NFET[QOSSTYP]),"")</f>
        <v/>
      </c>
      <c r="AB103" s="35" t="str">
        <f>IF(AND($A103&lt;&gt;0,$A103&lt;&gt;""),LOOKUP($A103,Discrete_NFET[PARTNUMBER],Discrete_NFET[QRR]),"")</f>
        <v/>
      </c>
      <c r="AC103" s="35" t="str">
        <f>IF(AND(A103&lt;&gt;0,A103&lt;&gt;""),LOOKUP(A103,Discrete_NFET[PARTNUMBER],Discrete_NFET[VF_TYP]),"")</f>
        <v/>
      </c>
      <c r="AD103" s="127" t="str">
        <f>IF(AND($A103&lt;&gt;0,$A103&lt;&gt;"",OR(RIGHT(Logic!B103,2)="C)",LEFT(Logic!B103,4)="CSD1")),(1+(1-DUTY))*IM_RMS_120^2*V103*m/3/Num_FETS2,"")</f>
        <v/>
      </c>
      <c r="AE103" s="127" t="str">
        <f>IF(AND($A103&lt;&gt;0,$A103&lt;&gt;"",OR(RIGHT(Logic!B103,2)="C)",LEFT(Logic!B103,4)="CSD1")),Num_FETS2*0.5*IM_RMS_120*VDC_AVG*Z103*n*MOT_ELEC_FREQ/GDR_SRC,"")</f>
        <v/>
      </c>
      <c r="AF103" s="127" t="str">
        <f>IF(AND($A103&lt;&gt;0,$A103&lt;&gt;"",OR(RIGHT(Logic!B103,2)="C)",LEFT(Logic!B103,4)="CSD1")),Num_FETS2*0.5*IM_RMS_120*VDC_AVG*Z103*n*MOT_ELEC_FREQ/GDR_SINK,"")</f>
        <v/>
      </c>
      <c r="AG103" s="127" t="str">
        <f>IF(AND($A103&lt;&gt;0,$A103&lt;&gt;"",OR(RIGHT(Logic!B103,2)="T)",LEFT(Logic!B103,4)="CSD1")),DUTY*IM_RMS_120^2*V103*m/3/Num_FETS2,"")</f>
        <v/>
      </c>
      <c r="AH103" s="127" t="str">
        <f>IF(AND($A103&lt;&gt;0,$A103&lt;&gt;"",OR(RIGHT(Logic!B103,2)="T)",LEFT(Logic!B103,4)="CSD1")),Num_FETS2*0.5*IM_RMS_120*VDC_AVG*Z103*n*FSW*k/GDR_SRC/3,"")</f>
        <v/>
      </c>
      <c r="AI103" s="127" t="str">
        <f>IF(AND($A103&lt;&gt;0,$A103&lt;&gt;"",OR(RIGHT(Logic!B103,2)="T)",LEFT(Logic!B103,4)="CSD1")),Num_FETS2*0.5*IM_RMS_120*VDC_AVG*Z103*n*FSW*k/GDR_SINK/3,"")</f>
        <v/>
      </c>
      <c r="AJ103" s="127" t="str">
        <f t="shared" si="53"/>
        <v/>
      </c>
      <c r="AK103" s="127" t="str">
        <f t="shared" si="55"/>
        <v/>
      </c>
      <c r="AL103" s="127" t="str">
        <f t="shared" si="54"/>
        <v/>
      </c>
      <c r="AM103" s="127" t="str">
        <f t="shared" si="51"/>
        <v/>
      </c>
      <c r="AN103" s="127">
        <f>IF(AND($A103&lt;&gt;0,$A103&lt;&gt;"",OR(RIGHT(Logic!B103,2)="C)",LEFT(Logic!B103,4)="CSD1")),SUM(AD103:AF103)+(AJ103/3)+AK103+AL103/6+AM103/6,AN104)</f>
        <v>0</v>
      </c>
      <c r="AO103" s="127">
        <f>IF(AND($A103&lt;&gt;0,$A103&lt;&gt;"",OR(RIGHT(Logic!B103,2)="T)",LEFT(Logic!B103,4)="CSD1")),SUM(AG103:AI103)+(AJ103/3)+AL103/6+AM103/6,AO102)</f>
        <v>0.23887636588496741</v>
      </c>
      <c r="AP103" s="48" t="str">
        <f t="shared" si="52"/>
        <v/>
      </c>
      <c r="AQ103" s="35" t="str">
        <f>IF(AND(A103&lt;&gt;0,A103&lt;&gt;""),LOOKUP(A103,Discrete_NFET[PARTNUMBER],Discrete_NFET[TI_EQ_PACKAGE]),"")</f>
        <v/>
      </c>
      <c r="AR103" s="49" t="str">
        <f>IF(AND(A103&lt;&gt;0,A103&lt;&gt;""),LOOKUP(A103,Discrete_NFET[PARTNUMBER],Discrete_NFET[1KPRICE]),"")</f>
        <v/>
      </c>
      <c r="AS103" s="35" t="str">
        <f>IF(AND($A103&lt;&gt;0,$A103&lt;&gt;""),CONCATENATE(TEXT(AP103,"0.00"),"W, ",IF('User Input'!G$11="Single Discrete",A103,IF('User Input'!G$11="Dual/Power Block",LEFT(A103,FIND(")",A103)-7),A103)),", ",AQ103,", ",TEXT(AR103,"$0.00")),"Invalid Part")</f>
        <v>Invalid Part</v>
      </c>
      <c r="AT103"/>
      <c r="AW103"/>
    </row>
    <row r="104" spans="1:49" ht="15" customHeight="1" x14ac:dyDescent="0.25">
      <c r="A104" s="35" t="str">
        <f>IF(OR(AND(FET_config2="Dual/Power Block",LEFT(Logic!B104,4)="CSD8"),AND(FET_config2="Single Discrete",LEFT(Logic!B104,4)="CSD1")),Logic!B104,"")</f>
        <v/>
      </c>
      <c r="B104" s="37" t="str">
        <f>IF(OR($A104=0,$A104=""),"0",IF(LOOKUP($A104,Discrete_NFET[PARTNUMBER],Discrete_NFET[RDSON25])="(NULL)","0","1"))</f>
        <v>0</v>
      </c>
      <c r="C104" s="38" t="str">
        <f>IF(OR($A104=0,$A104=""),"0",IF(LOOKUP($A104,Discrete_NFET[PARTNUMBER],Discrete_NFET[RDSON3])="(NULL)","0","1"))</f>
        <v>0</v>
      </c>
      <c r="D104" s="40" t="str">
        <f>IF(OR($A104=0,$A104=""),"0",IF(LOOKUP($A104,Discrete_NFET[PARTNUMBER],Discrete_NFET[RDSON45])="(NULL)","0","1"))</f>
        <v>0</v>
      </c>
      <c r="E104" s="45" t="str">
        <f>IF(OR($A104=0,$A104=""),"0",IF(LOOKUP($A104,Discrete_NFET[PARTNUMBER],Discrete_NFET[RDSON6])="(NULL)","0","1"))</f>
        <v>0</v>
      </c>
      <c r="F104" s="34" t="str">
        <f>IF(OR($A104=0,$A104=""),"0",IF(LOOKUP($A104,Discrete_NFET[PARTNUMBER],Discrete_NFET[RDSON8])="(NULL)","0","1"))</f>
        <v>0</v>
      </c>
      <c r="G104" s="43" t="str">
        <f>IF(OR($A104=0,$A104=""),"0",IF(LOOKUP($A104,Discrete_NFET[PARTNUMBER],Discrete_NFET[RDSON10])="(NULL)","0","1"))</f>
        <v>0</v>
      </c>
      <c r="H104" s="36" t="b">
        <f t="shared" si="37"/>
        <v>0</v>
      </c>
      <c r="I104" s="39" t="b">
        <f t="shared" si="38"/>
        <v>0</v>
      </c>
      <c r="J104" s="41" t="b">
        <f t="shared" si="39"/>
        <v>0</v>
      </c>
      <c r="K104" s="46" t="b">
        <f t="shared" si="40"/>
        <v>0</v>
      </c>
      <c r="L104" s="42" t="b">
        <f t="shared" si="41"/>
        <v>0</v>
      </c>
      <c r="M104" s="44" t="b">
        <f t="shared" si="42"/>
        <v>0</v>
      </c>
      <c r="N104" s="47" t="b">
        <f t="shared" si="43"/>
        <v>0</v>
      </c>
      <c r="O104" s="36" t="b">
        <f t="shared" si="44"/>
        <v>0</v>
      </c>
      <c r="P104" s="39" t="b">
        <f t="shared" si="45"/>
        <v>0</v>
      </c>
      <c r="Q104" s="41" t="b">
        <f t="shared" si="46"/>
        <v>0</v>
      </c>
      <c r="R104" s="46" t="b">
        <f t="shared" si="47"/>
        <v>0</v>
      </c>
      <c r="S104" s="42" t="b">
        <f t="shared" si="48"/>
        <v>0</v>
      </c>
      <c r="T104" s="44" t="b">
        <f t="shared" si="49"/>
        <v>0</v>
      </c>
      <c r="U104" s="148" t="str">
        <f>IF(T104,LOOKUP(A104,Discrete_NFET[PARTNUMBER],Discrete_NFET[RDSON10])*1000,IF(S104,LOOKUP(A104,Discrete_NFET[PARTNUMBER],Discrete_NFET[RDSON8])*1000,IF(R104,LOOKUP(A104,Discrete_NFET[PARTNUMBER],Discrete_NFET[RDSON6])*1000,IF(Q104,LOOKUP(A104,Discrete_NFET[PARTNUMBER],Discrete_NFET[RDSON45])*1000,IF(P104,LOOKUP(A104,Discrete_NFET[PARTNUMBER],Discrete_NFET[RDSON3])*1000,IF(O104,LOOKUP(A104,Discrete_NFET[PARTNUMBER],Discrete_NFET[RDSON25])*1000,""))))))</f>
        <v/>
      </c>
      <c r="V104" s="48" t="str">
        <f>IF(AND(A104&lt;&gt;0,A104&lt;&gt;""),U104*(1+(Tj-25)*(LOOKUP(A104,Discrete_NFET[PARTNUMBER],Discrete_NFET[RDSDELTA])/((LOOKUP(A104,Discrete_NFET[PARTNUMBER],Discrete_NFET[TJMAX])-25)))),"")</f>
        <v/>
      </c>
      <c r="W104" s="35" t="str">
        <f>IF(AND($A104&lt;&gt;0,$A104&lt;&gt;""),LOOKUP($A104,Discrete_NFET[PARTNUMBER],Discrete_NFET[QGS]),"")</f>
        <v/>
      </c>
      <c r="X104" s="35" t="str">
        <f>IF(AND($A104&lt;&gt;0,$A104&lt;&gt;""),LOOKUP($A104,Discrete_NFET[PARTNUMBER],Discrete_NFET[QGD]),"")</f>
        <v/>
      </c>
      <c r="Y104" s="35" t="str">
        <f>IF(AND($A104&lt;&gt;0,$A104&lt;&gt;""),LOOKUP($A104,Discrete_NFET[PARTNUMBER],Discrete_NFET[QGTH]),"")</f>
        <v/>
      </c>
      <c r="Z104" s="35" t="str">
        <f t="shared" si="50"/>
        <v/>
      </c>
      <c r="AA104" s="35" t="str">
        <f>IF(AND($A104&lt;&gt;0,$A104&lt;&gt;""),LOOKUP($A104,Discrete_NFET[PARTNUMBER],Discrete_NFET[QOSSTYP]),"")</f>
        <v/>
      </c>
      <c r="AB104" s="35" t="str">
        <f>IF(AND($A104&lt;&gt;0,$A104&lt;&gt;""),LOOKUP($A104,Discrete_NFET[PARTNUMBER],Discrete_NFET[QRR]),"")</f>
        <v/>
      </c>
      <c r="AC104" s="35" t="str">
        <f>IF(AND(A104&lt;&gt;0,A104&lt;&gt;""),LOOKUP(A104,Discrete_NFET[PARTNUMBER],Discrete_NFET[VF_TYP]),"")</f>
        <v/>
      </c>
      <c r="AD104" s="127" t="str">
        <f>IF(AND($A104&lt;&gt;0,$A104&lt;&gt;"",OR(RIGHT(Logic!B104,2)="C)",LEFT(Logic!B104,4)="CSD1")),(1+(1-DUTY))*IM_RMS_120^2*V104*m/3/Num_FETS2,"")</f>
        <v/>
      </c>
      <c r="AE104" s="127" t="str">
        <f>IF(AND($A104&lt;&gt;0,$A104&lt;&gt;"",OR(RIGHT(Logic!B104,2)="C)",LEFT(Logic!B104,4)="CSD1")),Num_FETS2*0.5*IM_RMS_120*VDC_AVG*Z104*n*MOT_ELEC_FREQ/GDR_SRC,"")</f>
        <v/>
      </c>
      <c r="AF104" s="127" t="str">
        <f>IF(AND($A104&lt;&gt;0,$A104&lt;&gt;"",OR(RIGHT(Logic!B104,2)="C)",LEFT(Logic!B104,4)="CSD1")),Num_FETS2*0.5*IM_RMS_120*VDC_AVG*Z104*n*MOT_ELEC_FREQ/GDR_SINK,"")</f>
        <v/>
      </c>
      <c r="AG104" s="127" t="str">
        <f>IF(AND($A104&lt;&gt;0,$A104&lt;&gt;"",OR(RIGHT(Logic!B104,2)="T)",LEFT(Logic!B104,4)="CSD1")),DUTY*IM_RMS_120^2*V104*m/3/Num_FETS2,"")</f>
        <v/>
      </c>
      <c r="AH104" s="127" t="str">
        <f>IF(AND($A104&lt;&gt;0,$A104&lt;&gt;"",OR(RIGHT(Logic!B104,2)="T)",LEFT(Logic!B104,4)="CSD1")),Num_FETS2*0.5*IM_RMS_120*VDC_AVG*Z104*n*FSW*k/GDR_SRC/3,"")</f>
        <v/>
      </c>
      <c r="AI104" s="127" t="str">
        <f>IF(AND($A104&lt;&gt;0,$A104&lt;&gt;"",OR(RIGHT(Logic!B104,2)="T)",LEFT(Logic!B104,4)="CSD1")),Num_FETS2*0.5*IM_RMS_120*VDC_AVG*Z104*n*FSW*k/GDR_SINK/3,"")</f>
        <v/>
      </c>
      <c r="AJ104" s="127" t="str">
        <f t="shared" si="53"/>
        <v/>
      </c>
      <c r="AK104" s="127" t="str">
        <f t="shared" si="55"/>
        <v/>
      </c>
      <c r="AL104" s="127" t="str">
        <f t="shared" si="54"/>
        <v/>
      </c>
      <c r="AM104" s="127" t="str">
        <f t="shared" si="51"/>
        <v/>
      </c>
      <c r="AN104" s="127">
        <f>IF(AND($A104&lt;&gt;0,$A104&lt;&gt;"",OR(RIGHT(Logic!B104,2)="C)",LEFT(Logic!B104,4)="CSD1")),SUM(AD104:AF104)+(AJ104/3)+AK104+AL104/6+AM104/6,AN105)</f>
        <v>0</v>
      </c>
      <c r="AO104" s="127">
        <f>IF(AND($A104&lt;&gt;0,$A104&lt;&gt;"",OR(RIGHT(Logic!B104,2)="T)",LEFT(Logic!B104,4)="CSD1")),SUM(AG104:AI104)+(AJ104/3)+AL104/6+AM104/6,AO103)</f>
        <v>0.23887636588496741</v>
      </c>
      <c r="AP104" s="48" t="str">
        <f t="shared" si="52"/>
        <v/>
      </c>
      <c r="AQ104" s="35" t="str">
        <f>IF(AND(A104&lt;&gt;0,A104&lt;&gt;""),LOOKUP(A104,Discrete_NFET[PARTNUMBER],Discrete_NFET[TI_EQ_PACKAGE]),"")</f>
        <v/>
      </c>
      <c r="AR104" s="49" t="str">
        <f>IF(AND(A104&lt;&gt;0,A104&lt;&gt;""),LOOKUP(A104,Discrete_NFET[PARTNUMBER],Discrete_NFET[1KPRICE]),"")</f>
        <v/>
      </c>
      <c r="AS104" s="35" t="str">
        <f>IF(AND($A104&lt;&gt;0,$A104&lt;&gt;""),CONCATENATE(TEXT(AP104,"0.00"),"W, ",IF('User Input'!G$11="Single Discrete",A104,IF('User Input'!G$11="Dual/Power Block",LEFT(A104,FIND(")",A104)-7),A104)),", ",AQ104,", ",TEXT(AR104,"$0.00")),"Invalid Part")</f>
        <v>Invalid Part</v>
      </c>
      <c r="AT104"/>
      <c r="AW104"/>
    </row>
    <row r="105" spans="1:49" ht="15" customHeight="1" x14ac:dyDescent="0.25">
      <c r="A105" s="35" t="str">
        <f>IF(OR(AND(FET_config2="Dual/Power Block",LEFT(Logic!B105,4)="CSD8"),AND(FET_config2="Single Discrete",LEFT(Logic!B105,4)="CSD1")),Logic!B105,"")</f>
        <v/>
      </c>
      <c r="B105" s="37" t="str">
        <f>IF(OR($A105=0,$A105=""),"0",IF(LOOKUP($A105,Discrete_NFET[PARTNUMBER],Discrete_NFET[RDSON25])="(NULL)","0","1"))</f>
        <v>0</v>
      </c>
      <c r="C105" s="38" t="str">
        <f>IF(OR($A105=0,$A105=""),"0",IF(LOOKUP($A105,Discrete_NFET[PARTNUMBER],Discrete_NFET[RDSON3])="(NULL)","0","1"))</f>
        <v>0</v>
      </c>
      <c r="D105" s="40" t="str">
        <f>IF(OR($A105=0,$A105=""),"0",IF(LOOKUP($A105,Discrete_NFET[PARTNUMBER],Discrete_NFET[RDSON45])="(NULL)","0","1"))</f>
        <v>0</v>
      </c>
      <c r="E105" s="45" t="str">
        <f>IF(OR($A105=0,$A105=""),"0",IF(LOOKUP($A105,Discrete_NFET[PARTNUMBER],Discrete_NFET[RDSON6])="(NULL)","0","1"))</f>
        <v>0</v>
      </c>
      <c r="F105" s="34" t="str">
        <f>IF(OR($A105=0,$A105=""),"0",IF(LOOKUP($A105,Discrete_NFET[PARTNUMBER],Discrete_NFET[RDSON8])="(NULL)","0","1"))</f>
        <v>0</v>
      </c>
      <c r="G105" s="43" t="str">
        <f>IF(OR($A105=0,$A105=""),"0",IF(LOOKUP($A105,Discrete_NFET[PARTNUMBER],Discrete_NFET[RDSON10])="(NULL)","0","1"))</f>
        <v>0</v>
      </c>
      <c r="H105" s="36" t="b">
        <f t="shared" si="37"/>
        <v>0</v>
      </c>
      <c r="I105" s="39" t="b">
        <f t="shared" si="38"/>
        <v>0</v>
      </c>
      <c r="J105" s="41" t="b">
        <f t="shared" si="39"/>
        <v>0</v>
      </c>
      <c r="K105" s="46" t="b">
        <f t="shared" si="40"/>
        <v>0</v>
      </c>
      <c r="L105" s="42" t="b">
        <f t="shared" si="41"/>
        <v>0</v>
      </c>
      <c r="M105" s="44" t="b">
        <f t="shared" si="42"/>
        <v>0</v>
      </c>
      <c r="N105" s="47" t="b">
        <f t="shared" si="43"/>
        <v>0</v>
      </c>
      <c r="O105" s="36" t="b">
        <f t="shared" si="44"/>
        <v>0</v>
      </c>
      <c r="P105" s="39" t="b">
        <f t="shared" si="45"/>
        <v>0</v>
      </c>
      <c r="Q105" s="41" t="b">
        <f t="shared" si="46"/>
        <v>0</v>
      </c>
      <c r="R105" s="46" t="b">
        <f t="shared" si="47"/>
        <v>0</v>
      </c>
      <c r="S105" s="42" t="b">
        <f t="shared" si="48"/>
        <v>0</v>
      </c>
      <c r="T105" s="44" t="b">
        <f t="shared" si="49"/>
        <v>0</v>
      </c>
      <c r="U105" s="148" t="str">
        <f>IF(T105,LOOKUP(A105,Discrete_NFET[PARTNUMBER],Discrete_NFET[RDSON10])*1000,IF(S105,LOOKUP(A105,Discrete_NFET[PARTNUMBER],Discrete_NFET[RDSON8])*1000,IF(R105,LOOKUP(A105,Discrete_NFET[PARTNUMBER],Discrete_NFET[RDSON6])*1000,IF(Q105,LOOKUP(A105,Discrete_NFET[PARTNUMBER],Discrete_NFET[RDSON45])*1000,IF(P105,LOOKUP(A105,Discrete_NFET[PARTNUMBER],Discrete_NFET[RDSON3])*1000,IF(O105,LOOKUP(A105,Discrete_NFET[PARTNUMBER],Discrete_NFET[RDSON25])*1000,""))))))</f>
        <v/>
      </c>
      <c r="V105" s="48" t="str">
        <f>IF(AND(A105&lt;&gt;0,A105&lt;&gt;""),U105*(1+(Tj-25)*(LOOKUP(A105,Discrete_NFET[PARTNUMBER],Discrete_NFET[RDSDELTA])/((LOOKUP(A105,Discrete_NFET[PARTNUMBER],Discrete_NFET[TJMAX])-25)))),"")</f>
        <v/>
      </c>
      <c r="W105" s="35" t="str">
        <f>IF(AND($A105&lt;&gt;0,$A105&lt;&gt;""),LOOKUP($A105,Discrete_NFET[PARTNUMBER],Discrete_NFET[QGS]),"")</f>
        <v/>
      </c>
      <c r="X105" s="35" t="str">
        <f>IF(AND($A105&lt;&gt;0,$A105&lt;&gt;""),LOOKUP($A105,Discrete_NFET[PARTNUMBER],Discrete_NFET[QGD]),"")</f>
        <v/>
      </c>
      <c r="Y105" s="35" t="str">
        <f>IF(AND($A105&lt;&gt;0,$A105&lt;&gt;""),LOOKUP($A105,Discrete_NFET[PARTNUMBER],Discrete_NFET[QGTH]),"")</f>
        <v/>
      </c>
      <c r="Z105" s="35" t="str">
        <f t="shared" si="50"/>
        <v/>
      </c>
      <c r="AA105" s="35" t="str">
        <f>IF(AND($A105&lt;&gt;0,$A105&lt;&gt;""),LOOKUP($A105,Discrete_NFET[PARTNUMBER],Discrete_NFET[QOSSTYP]),"")</f>
        <v/>
      </c>
      <c r="AB105" s="35" t="str">
        <f>IF(AND($A105&lt;&gt;0,$A105&lt;&gt;""),LOOKUP($A105,Discrete_NFET[PARTNUMBER],Discrete_NFET[QRR]),"")</f>
        <v/>
      </c>
      <c r="AC105" s="35" t="str">
        <f>IF(AND(A105&lt;&gt;0,A105&lt;&gt;""),LOOKUP(A105,Discrete_NFET[PARTNUMBER],Discrete_NFET[VF_TYP]),"")</f>
        <v/>
      </c>
      <c r="AD105" s="127" t="str">
        <f>IF(AND($A105&lt;&gt;0,$A105&lt;&gt;"",OR(RIGHT(Logic!B105,2)="C)",LEFT(Logic!B105,4)="CSD1")),(1+(1-DUTY))*IM_RMS_120^2*V105*m/3/Num_FETS2,"")</f>
        <v/>
      </c>
      <c r="AE105" s="127" t="str">
        <f>IF(AND($A105&lt;&gt;0,$A105&lt;&gt;"",OR(RIGHT(Logic!B105,2)="C)",LEFT(Logic!B105,4)="CSD1")),Num_FETS2*0.5*IM_RMS_120*VDC_AVG*Z105*n*MOT_ELEC_FREQ/GDR_SRC,"")</f>
        <v/>
      </c>
      <c r="AF105" s="127" t="str">
        <f>IF(AND($A105&lt;&gt;0,$A105&lt;&gt;"",OR(RIGHT(Logic!B105,2)="C)",LEFT(Logic!B105,4)="CSD1")),Num_FETS2*0.5*IM_RMS_120*VDC_AVG*Z105*n*MOT_ELEC_FREQ/GDR_SINK,"")</f>
        <v/>
      </c>
      <c r="AG105" s="127" t="str">
        <f>IF(AND($A105&lt;&gt;0,$A105&lt;&gt;"",OR(RIGHT(Logic!B105,2)="T)",LEFT(Logic!B105,4)="CSD1")),DUTY*IM_RMS_120^2*V105*m/3/Num_FETS2,"")</f>
        <v/>
      </c>
      <c r="AH105" s="127" t="str">
        <f>IF(AND($A105&lt;&gt;0,$A105&lt;&gt;"",OR(RIGHT(Logic!B105,2)="T)",LEFT(Logic!B105,4)="CSD1")),Num_FETS2*0.5*IM_RMS_120*VDC_AVG*Z105*n*FSW*k/GDR_SRC/3,"")</f>
        <v/>
      </c>
      <c r="AI105" s="127" t="str">
        <f>IF(AND($A105&lt;&gt;0,$A105&lt;&gt;"",OR(RIGHT(Logic!B105,2)="T)",LEFT(Logic!B105,4)="CSD1")),Num_FETS2*0.5*IM_RMS_120*VDC_AVG*Z105*n*FSW*k/GDR_SINK/3,"")</f>
        <v/>
      </c>
      <c r="AJ105" s="127" t="str">
        <f t="shared" si="53"/>
        <v/>
      </c>
      <c r="AK105" s="127" t="str">
        <f t="shared" si="55"/>
        <v/>
      </c>
      <c r="AL105" s="127" t="str">
        <f t="shared" si="54"/>
        <v/>
      </c>
      <c r="AM105" s="127" t="str">
        <f t="shared" si="51"/>
        <v/>
      </c>
      <c r="AN105" s="127">
        <f>IF(AND($A105&lt;&gt;0,$A105&lt;&gt;"",OR(RIGHT(Logic!B105,2)="C)",LEFT(Logic!B105,4)="CSD1")),SUM(AD105:AF105)+(AJ105/3)+AK105+AL105/6+AM105/6,AN106)</f>
        <v>0</v>
      </c>
      <c r="AO105" s="127">
        <f>IF(AND($A105&lt;&gt;0,$A105&lt;&gt;"",OR(RIGHT(Logic!B105,2)="T)",LEFT(Logic!B105,4)="CSD1")),SUM(AG105:AI105)+(AJ105/3)+AL105/6+AM105/6,AO104)</f>
        <v>0.23887636588496741</v>
      </c>
      <c r="AP105" s="48" t="str">
        <f t="shared" si="52"/>
        <v/>
      </c>
      <c r="AQ105" s="35" t="str">
        <f>IF(AND(A105&lt;&gt;0,A105&lt;&gt;""),LOOKUP(A105,Discrete_NFET[PARTNUMBER],Discrete_NFET[TI_EQ_PACKAGE]),"")</f>
        <v/>
      </c>
      <c r="AR105" s="49" t="str">
        <f>IF(AND(A105&lt;&gt;0,A105&lt;&gt;""),LOOKUP(A105,Discrete_NFET[PARTNUMBER],Discrete_NFET[1KPRICE]),"")</f>
        <v/>
      </c>
      <c r="AS105" s="35" t="str">
        <f>IF(AND($A105&lt;&gt;0,$A105&lt;&gt;""),CONCATENATE(TEXT(AP105,"0.00"),"W, ",IF('User Input'!G$11="Single Discrete",A105,IF('User Input'!G$11="Dual/Power Block",LEFT(A105,FIND(")",A105)-7),A105)),", ",AQ105,", ",TEXT(AR105,"$0.00")),"Invalid Part")</f>
        <v>Invalid Part</v>
      </c>
      <c r="AT105"/>
      <c r="AW105"/>
    </row>
    <row r="106" spans="1:49" ht="15" customHeight="1" x14ac:dyDescent="0.25">
      <c r="A106" s="35" t="str">
        <f>IF(OR(AND(FET_config2="Dual/Power Block",LEFT(Logic!B106,4)="CSD8"),AND(FET_config2="Single Discrete",LEFT(Logic!B106,4)="CSD1")),Logic!B106,"")</f>
        <v/>
      </c>
      <c r="B106" s="37" t="str">
        <f>IF(OR($A106=0,$A106=""),"0",IF(LOOKUP($A106,Discrete_NFET[PARTNUMBER],Discrete_NFET[RDSON25])="(NULL)","0","1"))</f>
        <v>0</v>
      </c>
      <c r="C106" s="38" t="str">
        <f>IF(OR($A106=0,$A106=""),"0",IF(LOOKUP($A106,Discrete_NFET[PARTNUMBER],Discrete_NFET[RDSON3])="(NULL)","0","1"))</f>
        <v>0</v>
      </c>
      <c r="D106" s="40" t="str">
        <f>IF(OR($A106=0,$A106=""),"0",IF(LOOKUP($A106,Discrete_NFET[PARTNUMBER],Discrete_NFET[RDSON45])="(NULL)","0","1"))</f>
        <v>0</v>
      </c>
      <c r="E106" s="45" t="str">
        <f>IF(OR($A106=0,$A106=""),"0",IF(LOOKUP($A106,Discrete_NFET[PARTNUMBER],Discrete_NFET[RDSON6])="(NULL)","0","1"))</f>
        <v>0</v>
      </c>
      <c r="F106" s="34" t="str">
        <f>IF(OR($A106=0,$A106=""),"0",IF(LOOKUP($A106,Discrete_NFET[PARTNUMBER],Discrete_NFET[RDSON8])="(NULL)","0","1"))</f>
        <v>0</v>
      </c>
      <c r="G106" s="43" t="str">
        <f>IF(OR($A106=0,$A106=""),"0",IF(LOOKUP($A106,Discrete_NFET[PARTNUMBER],Discrete_NFET[RDSON10])="(NULL)","0","1"))</f>
        <v>0</v>
      </c>
      <c r="H106" s="36" t="b">
        <f t="shared" si="37"/>
        <v>0</v>
      </c>
      <c r="I106" s="39" t="b">
        <f t="shared" si="38"/>
        <v>0</v>
      </c>
      <c r="J106" s="41" t="b">
        <f t="shared" si="39"/>
        <v>0</v>
      </c>
      <c r="K106" s="46" t="b">
        <f t="shared" si="40"/>
        <v>0</v>
      </c>
      <c r="L106" s="42" t="b">
        <f t="shared" si="41"/>
        <v>0</v>
      </c>
      <c r="M106" s="44" t="b">
        <f t="shared" si="42"/>
        <v>0</v>
      </c>
      <c r="N106" s="47" t="b">
        <f t="shared" si="43"/>
        <v>0</v>
      </c>
      <c r="O106" s="36" t="b">
        <f t="shared" si="44"/>
        <v>0</v>
      </c>
      <c r="P106" s="39" t="b">
        <f t="shared" si="45"/>
        <v>0</v>
      </c>
      <c r="Q106" s="41" t="b">
        <f t="shared" si="46"/>
        <v>0</v>
      </c>
      <c r="R106" s="46" t="b">
        <f t="shared" si="47"/>
        <v>0</v>
      </c>
      <c r="S106" s="42" t="b">
        <f t="shared" si="48"/>
        <v>0</v>
      </c>
      <c r="T106" s="44" t="b">
        <f t="shared" si="49"/>
        <v>0</v>
      </c>
      <c r="U106" s="148" t="str">
        <f>IF(T106,LOOKUP(A106,Discrete_NFET[PARTNUMBER],Discrete_NFET[RDSON10])*1000,IF(S106,LOOKUP(A106,Discrete_NFET[PARTNUMBER],Discrete_NFET[RDSON8])*1000,IF(R106,LOOKUP(A106,Discrete_NFET[PARTNUMBER],Discrete_NFET[RDSON6])*1000,IF(Q106,LOOKUP(A106,Discrete_NFET[PARTNUMBER],Discrete_NFET[RDSON45])*1000,IF(P106,LOOKUP(A106,Discrete_NFET[PARTNUMBER],Discrete_NFET[RDSON3])*1000,IF(O106,LOOKUP(A106,Discrete_NFET[PARTNUMBER],Discrete_NFET[RDSON25])*1000,""))))))</f>
        <v/>
      </c>
      <c r="V106" s="48" t="str">
        <f>IF(AND(A106&lt;&gt;0,A106&lt;&gt;""),U106*(1+(Tj-25)*(LOOKUP(A106,Discrete_NFET[PARTNUMBER],Discrete_NFET[RDSDELTA])/((LOOKUP(A106,Discrete_NFET[PARTNUMBER],Discrete_NFET[TJMAX])-25)))),"")</f>
        <v/>
      </c>
      <c r="W106" s="35" t="str">
        <f>IF(AND($A106&lt;&gt;0,$A106&lt;&gt;""),LOOKUP($A106,Discrete_NFET[PARTNUMBER],Discrete_NFET[QGS]),"")</f>
        <v/>
      </c>
      <c r="X106" s="35" t="str">
        <f>IF(AND($A106&lt;&gt;0,$A106&lt;&gt;""),LOOKUP($A106,Discrete_NFET[PARTNUMBER],Discrete_NFET[QGD]),"")</f>
        <v/>
      </c>
      <c r="Y106" s="35" t="str">
        <f>IF(AND($A106&lt;&gt;0,$A106&lt;&gt;""),LOOKUP($A106,Discrete_NFET[PARTNUMBER],Discrete_NFET[QGTH]),"")</f>
        <v/>
      </c>
      <c r="Z106" s="35" t="str">
        <f t="shared" si="50"/>
        <v/>
      </c>
      <c r="AA106" s="35" t="str">
        <f>IF(AND($A106&lt;&gt;0,$A106&lt;&gt;""),LOOKUP($A106,Discrete_NFET[PARTNUMBER],Discrete_NFET[QOSSTYP]),"")</f>
        <v/>
      </c>
      <c r="AB106" s="35" t="str">
        <f>IF(AND($A106&lt;&gt;0,$A106&lt;&gt;""),LOOKUP($A106,Discrete_NFET[PARTNUMBER],Discrete_NFET[QRR]),"")</f>
        <v/>
      </c>
      <c r="AC106" s="35" t="str">
        <f>IF(AND(A106&lt;&gt;0,A106&lt;&gt;""),LOOKUP(A106,Discrete_NFET[PARTNUMBER],Discrete_NFET[VF_TYP]),"")</f>
        <v/>
      </c>
      <c r="AD106" s="127" t="str">
        <f>IF(AND($A106&lt;&gt;0,$A106&lt;&gt;"",OR(RIGHT(Logic!B106,2)="C)",LEFT(Logic!B106,4)="CSD1")),(1+(1-DUTY))*IM_RMS_120^2*V106*m/3/Num_FETS2,"")</f>
        <v/>
      </c>
      <c r="AE106" s="127" t="str">
        <f>IF(AND($A106&lt;&gt;0,$A106&lt;&gt;"",OR(RIGHT(Logic!B106,2)="C)",LEFT(Logic!B106,4)="CSD1")),Num_FETS2*0.5*IM_RMS_120*VDC_AVG*Z106*n*MOT_ELEC_FREQ/GDR_SRC,"")</f>
        <v/>
      </c>
      <c r="AF106" s="127" t="str">
        <f>IF(AND($A106&lt;&gt;0,$A106&lt;&gt;"",OR(RIGHT(Logic!B106,2)="C)",LEFT(Logic!B106,4)="CSD1")),Num_FETS2*0.5*IM_RMS_120*VDC_AVG*Z106*n*MOT_ELEC_FREQ/GDR_SINK,"")</f>
        <v/>
      </c>
      <c r="AG106" s="127" t="str">
        <f>IF(AND($A106&lt;&gt;0,$A106&lt;&gt;"",OR(RIGHT(Logic!B106,2)="T)",LEFT(Logic!B106,4)="CSD1")),DUTY*IM_RMS_120^2*V106*m/3/Num_FETS2,"")</f>
        <v/>
      </c>
      <c r="AH106" s="127" t="str">
        <f>IF(AND($A106&lt;&gt;0,$A106&lt;&gt;"",OR(RIGHT(Logic!B106,2)="T)",LEFT(Logic!B106,4)="CSD1")),Num_FETS2*0.5*IM_RMS_120*VDC_AVG*Z106*n*FSW*k/GDR_SRC/3,"")</f>
        <v/>
      </c>
      <c r="AI106" s="127" t="str">
        <f>IF(AND($A106&lt;&gt;0,$A106&lt;&gt;"",OR(RIGHT(Logic!B106,2)="T)",LEFT(Logic!B106,4)="CSD1")),Num_FETS2*0.5*IM_RMS_120*VDC_AVG*Z106*n*FSW*k/GDR_SINK/3,"")</f>
        <v/>
      </c>
      <c r="AJ106" s="127" t="str">
        <f t="shared" si="53"/>
        <v/>
      </c>
      <c r="AK106" s="127" t="str">
        <f t="shared" si="55"/>
        <v/>
      </c>
      <c r="AL106" s="127" t="str">
        <f t="shared" si="54"/>
        <v/>
      </c>
      <c r="AM106" s="127" t="str">
        <f t="shared" si="51"/>
        <v/>
      </c>
      <c r="AN106" s="127">
        <f>IF(AND($A106&lt;&gt;0,$A106&lt;&gt;"",OR(RIGHT(Logic!B106,2)="C)",LEFT(Logic!B106,4)="CSD1")),SUM(AD106:AF106)+(AJ106/3)+AK106+AL106/6+AM106/6,AN107)</f>
        <v>0</v>
      </c>
      <c r="AO106" s="127">
        <f>IF(AND($A106&lt;&gt;0,$A106&lt;&gt;"",OR(RIGHT(Logic!B106,2)="T)",LEFT(Logic!B106,4)="CSD1")),SUM(AG106:AI106)+(AJ106/3)+AL106/6+AM106/6,AO105)</f>
        <v>0.23887636588496741</v>
      </c>
      <c r="AP106" s="48" t="str">
        <f t="shared" si="52"/>
        <v/>
      </c>
      <c r="AQ106" s="35" t="str">
        <f>IF(AND(A106&lt;&gt;0,A106&lt;&gt;""),LOOKUP(A106,Discrete_NFET[PARTNUMBER],Discrete_NFET[TI_EQ_PACKAGE]),"")</f>
        <v/>
      </c>
      <c r="AR106" s="49" t="str">
        <f>IF(AND(A106&lt;&gt;0,A106&lt;&gt;""),LOOKUP(A106,Discrete_NFET[PARTNUMBER],Discrete_NFET[1KPRICE]),"")</f>
        <v/>
      </c>
      <c r="AS106" s="35" t="str">
        <f>IF(AND($A106&lt;&gt;0,$A106&lt;&gt;""),CONCATENATE(TEXT(AP106,"0.00"),"W, ",IF('User Input'!G$11="Single Discrete",A106,IF('User Input'!G$11="Dual/Power Block",LEFT(A106,FIND(")",A106)-7),A106)),", ",AQ106,", ",TEXT(AR106,"$0.00")),"Invalid Part")</f>
        <v>Invalid Part</v>
      </c>
      <c r="AT106"/>
      <c r="AW106"/>
    </row>
    <row r="107" spans="1:49" ht="15" customHeight="1" x14ac:dyDescent="0.25">
      <c r="A107" s="35" t="str">
        <f>IF(OR(AND(FET_config2="Dual/Power Block",LEFT(Logic!B107,4)="CSD8"),AND(FET_config2="Single Discrete",LEFT(Logic!B107,4)="CSD1")),Logic!B107,"")</f>
        <v/>
      </c>
      <c r="B107" s="37" t="str">
        <f>IF(OR($A107=0,$A107=""),"0",IF(LOOKUP($A107,Discrete_NFET[PARTNUMBER],Discrete_NFET[RDSON25])="(NULL)","0","1"))</f>
        <v>0</v>
      </c>
      <c r="C107" s="38" t="str">
        <f>IF(OR($A107=0,$A107=""),"0",IF(LOOKUP($A107,Discrete_NFET[PARTNUMBER],Discrete_NFET[RDSON3])="(NULL)","0","1"))</f>
        <v>0</v>
      </c>
      <c r="D107" s="40" t="str">
        <f>IF(OR($A107=0,$A107=""),"0",IF(LOOKUP($A107,Discrete_NFET[PARTNUMBER],Discrete_NFET[RDSON45])="(NULL)","0","1"))</f>
        <v>0</v>
      </c>
      <c r="E107" s="45" t="str">
        <f>IF(OR($A107=0,$A107=""),"0",IF(LOOKUP($A107,Discrete_NFET[PARTNUMBER],Discrete_NFET[RDSON6])="(NULL)","0","1"))</f>
        <v>0</v>
      </c>
      <c r="F107" s="34" t="str">
        <f>IF(OR($A107=0,$A107=""),"0",IF(LOOKUP($A107,Discrete_NFET[PARTNUMBER],Discrete_NFET[RDSON8])="(NULL)","0","1"))</f>
        <v>0</v>
      </c>
      <c r="G107" s="43" t="str">
        <f>IF(OR($A107=0,$A107=""),"0",IF(LOOKUP($A107,Discrete_NFET[PARTNUMBER],Discrete_NFET[RDSON10])="(NULL)","0","1"))</f>
        <v>0</v>
      </c>
      <c r="H107" s="36" t="b">
        <f t="shared" si="37"/>
        <v>0</v>
      </c>
      <c r="I107" s="39" t="b">
        <f t="shared" si="38"/>
        <v>0</v>
      </c>
      <c r="J107" s="41" t="b">
        <f t="shared" si="39"/>
        <v>0</v>
      </c>
      <c r="K107" s="46" t="b">
        <f t="shared" si="40"/>
        <v>0</v>
      </c>
      <c r="L107" s="42" t="b">
        <f t="shared" si="41"/>
        <v>0</v>
      </c>
      <c r="M107" s="44" t="b">
        <f t="shared" si="42"/>
        <v>0</v>
      </c>
      <c r="N107" s="47" t="b">
        <f t="shared" si="43"/>
        <v>0</v>
      </c>
      <c r="O107" s="36" t="b">
        <f t="shared" si="44"/>
        <v>0</v>
      </c>
      <c r="P107" s="39" t="b">
        <f t="shared" si="45"/>
        <v>0</v>
      </c>
      <c r="Q107" s="41" t="b">
        <f t="shared" si="46"/>
        <v>0</v>
      </c>
      <c r="R107" s="46" t="b">
        <f t="shared" si="47"/>
        <v>0</v>
      </c>
      <c r="S107" s="42" t="b">
        <f t="shared" si="48"/>
        <v>0</v>
      </c>
      <c r="T107" s="44" t="b">
        <f t="shared" si="49"/>
        <v>0</v>
      </c>
      <c r="U107" s="148" t="str">
        <f>IF(T107,LOOKUP(A107,Discrete_NFET[PARTNUMBER],Discrete_NFET[RDSON10])*1000,IF(S107,LOOKUP(A107,Discrete_NFET[PARTNUMBER],Discrete_NFET[RDSON8])*1000,IF(R107,LOOKUP(A107,Discrete_NFET[PARTNUMBER],Discrete_NFET[RDSON6])*1000,IF(Q107,LOOKUP(A107,Discrete_NFET[PARTNUMBER],Discrete_NFET[RDSON45])*1000,IF(P107,LOOKUP(A107,Discrete_NFET[PARTNUMBER],Discrete_NFET[RDSON3])*1000,IF(O107,LOOKUP(A107,Discrete_NFET[PARTNUMBER],Discrete_NFET[RDSON25])*1000,""))))))</f>
        <v/>
      </c>
      <c r="V107" s="48" t="str">
        <f>IF(AND(A107&lt;&gt;0,A107&lt;&gt;""),U107*(1+(Tj-25)*(LOOKUP(A107,Discrete_NFET[PARTNUMBER],Discrete_NFET[RDSDELTA])/((LOOKUP(A107,Discrete_NFET[PARTNUMBER],Discrete_NFET[TJMAX])-25)))),"")</f>
        <v/>
      </c>
      <c r="W107" s="35" t="str">
        <f>IF(AND($A107&lt;&gt;0,$A107&lt;&gt;""),LOOKUP($A107,Discrete_NFET[PARTNUMBER],Discrete_NFET[QGS]),"")</f>
        <v/>
      </c>
      <c r="X107" s="35" t="str">
        <f>IF(AND($A107&lt;&gt;0,$A107&lt;&gt;""),LOOKUP($A107,Discrete_NFET[PARTNUMBER],Discrete_NFET[QGD]),"")</f>
        <v/>
      </c>
      <c r="Y107" s="35" t="str">
        <f>IF(AND($A107&lt;&gt;0,$A107&lt;&gt;""),LOOKUP($A107,Discrete_NFET[PARTNUMBER],Discrete_NFET[QGTH]),"")</f>
        <v/>
      </c>
      <c r="Z107" s="35" t="str">
        <f t="shared" si="50"/>
        <v/>
      </c>
      <c r="AA107" s="35" t="str">
        <f>IF(AND($A107&lt;&gt;0,$A107&lt;&gt;""),LOOKUP($A107,Discrete_NFET[PARTNUMBER],Discrete_NFET[QOSSTYP]),"")</f>
        <v/>
      </c>
      <c r="AB107" s="35" t="str">
        <f>IF(AND($A107&lt;&gt;0,$A107&lt;&gt;""),LOOKUP($A107,Discrete_NFET[PARTNUMBER],Discrete_NFET[QRR]),"")</f>
        <v/>
      </c>
      <c r="AC107" s="35" t="str">
        <f>IF(AND(A107&lt;&gt;0,A107&lt;&gt;""),LOOKUP(A107,Discrete_NFET[PARTNUMBER],Discrete_NFET[VF_TYP]),"")</f>
        <v/>
      </c>
      <c r="AD107" s="127" t="str">
        <f>IF(AND($A107&lt;&gt;0,$A107&lt;&gt;"",OR(RIGHT(Logic!B107,2)="C)",LEFT(Logic!B107,4)="CSD1")),(1+(1-DUTY))*IM_RMS_120^2*V107*m/3/Num_FETS2,"")</f>
        <v/>
      </c>
      <c r="AE107" s="127" t="str">
        <f>IF(AND($A107&lt;&gt;0,$A107&lt;&gt;"",OR(RIGHT(Logic!B107,2)="C)",LEFT(Logic!B107,4)="CSD1")),Num_FETS2*0.5*IM_RMS_120*VDC_AVG*Z107*n*MOT_ELEC_FREQ/GDR_SRC,"")</f>
        <v/>
      </c>
      <c r="AF107" s="127" t="str">
        <f>IF(AND($A107&lt;&gt;0,$A107&lt;&gt;"",OR(RIGHT(Logic!B107,2)="C)",LEFT(Logic!B107,4)="CSD1")),Num_FETS2*0.5*IM_RMS_120*VDC_AVG*Z107*n*MOT_ELEC_FREQ/GDR_SINK,"")</f>
        <v/>
      </c>
      <c r="AG107" s="127" t="str">
        <f>IF(AND($A107&lt;&gt;0,$A107&lt;&gt;"",OR(RIGHT(Logic!B107,2)="T)",LEFT(Logic!B107,4)="CSD1")),DUTY*IM_RMS_120^2*V107*m/3/Num_FETS2,"")</f>
        <v/>
      </c>
      <c r="AH107" s="127" t="str">
        <f>IF(AND($A107&lt;&gt;0,$A107&lt;&gt;"",OR(RIGHT(Logic!B107,2)="T)",LEFT(Logic!B107,4)="CSD1")),Num_FETS2*0.5*IM_RMS_120*VDC_AVG*Z107*n*FSW*k/GDR_SRC/3,"")</f>
        <v/>
      </c>
      <c r="AI107" s="127" t="str">
        <f>IF(AND($A107&lt;&gt;0,$A107&lt;&gt;"",OR(RIGHT(Logic!B107,2)="T)",LEFT(Logic!B107,4)="CSD1")),Num_FETS2*0.5*IM_RMS_120*VDC_AVG*Z107*n*FSW*k/GDR_SINK/3,"")</f>
        <v/>
      </c>
      <c r="AJ107" s="127" t="str">
        <f t="shared" si="53"/>
        <v/>
      </c>
      <c r="AK107" s="127" t="str">
        <f t="shared" si="55"/>
        <v/>
      </c>
      <c r="AL107" s="127" t="str">
        <f t="shared" si="54"/>
        <v/>
      </c>
      <c r="AM107" s="127" t="str">
        <f t="shared" si="51"/>
        <v/>
      </c>
      <c r="AN107" s="127">
        <f>IF(AND($A107&lt;&gt;0,$A107&lt;&gt;"",OR(RIGHT(Logic!B107,2)="C)",LEFT(Logic!B107,4)="CSD1")),SUM(AD107:AF107)+(AJ107/3)+AK107+AL107/6+AM107/6,AN108)</f>
        <v>0</v>
      </c>
      <c r="AO107" s="127">
        <f>IF(AND($A107&lt;&gt;0,$A107&lt;&gt;"",OR(RIGHT(Logic!B107,2)="T)",LEFT(Logic!B107,4)="CSD1")),SUM(AG107:AI107)+(AJ107/3)+AL107/6+AM107/6,AO106)</f>
        <v>0.23887636588496741</v>
      </c>
      <c r="AP107" s="48" t="str">
        <f t="shared" si="52"/>
        <v/>
      </c>
      <c r="AQ107" s="35" t="str">
        <f>IF(AND(A107&lt;&gt;0,A107&lt;&gt;""),LOOKUP(A107,Discrete_NFET[PARTNUMBER],Discrete_NFET[TI_EQ_PACKAGE]),"")</f>
        <v/>
      </c>
      <c r="AR107" s="49" t="str">
        <f>IF(AND(A107&lt;&gt;0,A107&lt;&gt;""),LOOKUP(A107,Discrete_NFET[PARTNUMBER],Discrete_NFET[1KPRICE]),"")</f>
        <v/>
      </c>
      <c r="AS107" s="35" t="str">
        <f>IF(AND($A107&lt;&gt;0,$A107&lt;&gt;""),CONCATENATE(TEXT(AP107,"0.00"),"W, ",IF('User Input'!G$11="Single Discrete",A107,IF('User Input'!G$11="Dual/Power Block",LEFT(A107,FIND(")",A107)-7),A107)),", ",AQ107,", ",TEXT(AR107,"$0.00")),"Invalid Part")</f>
        <v>Invalid Part</v>
      </c>
      <c r="AT107"/>
      <c r="AW107"/>
    </row>
    <row r="108" spans="1:49" ht="15" customHeight="1" x14ac:dyDescent="0.25">
      <c r="A108" s="35" t="str">
        <f>IF(OR(AND(FET_config2="Dual/Power Block",LEFT(Logic!B108,4)="CSD8"),AND(FET_config2="Single Discrete",LEFT(Logic!B108,4)="CSD1")),Logic!B108,"")</f>
        <v/>
      </c>
      <c r="B108" s="37" t="str">
        <f>IF(OR($A108=0,$A108=""),"0",IF(LOOKUP($A108,Discrete_NFET[PARTNUMBER],Discrete_NFET[RDSON25])="(NULL)","0","1"))</f>
        <v>0</v>
      </c>
      <c r="C108" s="38" t="str">
        <f>IF(OR($A108=0,$A108=""),"0",IF(LOOKUP($A108,Discrete_NFET[PARTNUMBER],Discrete_NFET[RDSON3])="(NULL)","0","1"))</f>
        <v>0</v>
      </c>
      <c r="D108" s="40" t="str">
        <f>IF(OR($A108=0,$A108=""),"0",IF(LOOKUP($A108,Discrete_NFET[PARTNUMBER],Discrete_NFET[RDSON45])="(NULL)","0","1"))</f>
        <v>0</v>
      </c>
      <c r="E108" s="45" t="str">
        <f>IF(OR($A108=0,$A108=""),"0",IF(LOOKUP($A108,Discrete_NFET[PARTNUMBER],Discrete_NFET[RDSON6])="(NULL)","0","1"))</f>
        <v>0</v>
      </c>
      <c r="F108" s="34" t="str">
        <f>IF(OR($A108=0,$A108=""),"0",IF(LOOKUP($A108,Discrete_NFET[PARTNUMBER],Discrete_NFET[RDSON8])="(NULL)","0","1"))</f>
        <v>0</v>
      </c>
      <c r="G108" s="43" t="str">
        <f>IF(OR($A108=0,$A108=""),"0",IF(LOOKUP($A108,Discrete_NFET[PARTNUMBER],Discrete_NFET[RDSON10])="(NULL)","0","1"))</f>
        <v>0</v>
      </c>
      <c r="H108" s="36" t="b">
        <f t="shared" si="37"/>
        <v>0</v>
      </c>
      <c r="I108" s="39" t="b">
        <f t="shared" si="38"/>
        <v>0</v>
      </c>
      <c r="J108" s="41" t="b">
        <f t="shared" si="39"/>
        <v>0</v>
      </c>
      <c r="K108" s="46" t="b">
        <f t="shared" si="40"/>
        <v>0</v>
      </c>
      <c r="L108" s="42" t="b">
        <f t="shared" si="41"/>
        <v>0</v>
      </c>
      <c r="M108" s="44" t="b">
        <f t="shared" si="42"/>
        <v>0</v>
      </c>
      <c r="N108" s="47" t="b">
        <f t="shared" si="43"/>
        <v>0</v>
      </c>
      <c r="O108" s="36" t="b">
        <f t="shared" si="44"/>
        <v>0</v>
      </c>
      <c r="P108" s="39" t="b">
        <f t="shared" si="45"/>
        <v>0</v>
      </c>
      <c r="Q108" s="41" t="b">
        <f t="shared" si="46"/>
        <v>0</v>
      </c>
      <c r="R108" s="46" t="b">
        <f t="shared" si="47"/>
        <v>0</v>
      </c>
      <c r="S108" s="42" t="b">
        <f t="shared" si="48"/>
        <v>0</v>
      </c>
      <c r="T108" s="44" t="b">
        <f t="shared" si="49"/>
        <v>0</v>
      </c>
      <c r="U108" s="148" t="str">
        <f>IF(T108,LOOKUP(A108,Discrete_NFET[PARTNUMBER],Discrete_NFET[RDSON10])*1000,IF(S108,LOOKUP(A108,Discrete_NFET[PARTNUMBER],Discrete_NFET[RDSON8])*1000,IF(R108,LOOKUP(A108,Discrete_NFET[PARTNUMBER],Discrete_NFET[RDSON6])*1000,IF(Q108,LOOKUP(A108,Discrete_NFET[PARTNUMBER],Discrete_NFET[RDSON45])*1000,IF(P108,LOOKUP(A108,Discrete_NFET[PARTNUMBER],Discrete_NFET[RDSON3])*1000,IF(O108,LOOKUP(A108,Discrete_NFET[PARTNUMBER],Discrete_NFET[RDSON25])*1000,""))))))</f>
        <v/>
      </c>
      <c r="V108" s="48" t="str">
        <f>IF(AND(A108&lt;&gt;0,A108&lt;&gt;""),U108*(1+(Tj-25)*(LOOKUP(A108,Discrete_NFET[PARTNUMBER],Discrete_NFET[RDSDELTA])/((LOOKUP(A108,Discrete_NFET[PARTNUMBER],Discrete_NFET[TJMAX])-25)))),"")</f>
        <v/>
      </c>
      <c r="W108" s="35" t="str">
        <f>IF(AND($A108&lt;&gt;0,$A108&lt;&gt;""),LOOKUP($A108,Discrete_NFET[PARTNUMBER],Discrete_NFET[QGS]),"")</f>
        <v/>
      </c>
      <c r="X108" s="35" t="str">
        <f>IF(AND($A108&lt;&gt;0,$A108&lt;&gt;""),LOOKUP($A108,Discrete_NFET[PARTNUMBER],Discrete_NFET[QGD]),"")</f>
        <v/>
      </c>
      <c r="Y108" s="35" t="str">
        <f>IF(AND($A108&lt;&gt;0,$A108&lt;&gt;""),LOOKUP($A108,Discrete_NFET[PARTNUMBER],Discrete_NFET[QGTH]),"")</f>
        <v/>
      </c>
      <c r="Z108" s="35" t="str">
        <f t="shared" si="50"/>
        <v/>
      </c>
      <c r="AA108" s="35" t="str">
        <f>IF(AND($A108&lt;&gt;0,$A108&lt;&gt;""),LOOKUP($A108,Discrete_NFET[PARTNUMBER],Discrete_NFET[QOSSTYP]),"")</f>
        <v/>
      </c>
      <c r="AB108" s="35" t="str">
        <f>IF(AND($A108&lt;&gt;0,$A108&lt;&gt;""),LOOKUP($A108,Discrete_NFET[PARTNUMBER],Discrete_NFET[QRR]),"")</f>
        <v/>
      </c>
      <c r="AC108" s="35" t="str">
        <f>IF(AND(A108&lt;&gt;0,A108&lt;&gt;""),LOOKUP(A108,Discrete_NFET[PARTNUMBER],Discrete_NFET[VF_TYP]),"")</f>
        <v/>
      </c>
      <c r="AD108" s="127" t="str">
        <f>IF(AND($A108&lt;&gt;0,$A108&lt;&gt;"",OR(RIGHT(Logic!B108,2)="C)",LEFT(Logic!B108,4)="CSD1")),(1+(1-DUTY))*IM_RMS_120^2*V108*m/3/Num_FETS2,"")</f>
        <v/>
      </c>
      <c r="AE108" s="127" t="str">
        <f>IF(AND($A108&lt;&gt;0,$A108&lt;&gt;"",OR(RIGHT(Logic!B108,2)="C)",LEFT(Logic!B108,4)="CSD1")),Num_FETS2*0.5*IM_RMS_120*VDC_AVG*Z108*n*MOT_ELEC_FREQ/GDR_SRC,"")</f>
        <v/>
      </c>
      <c r="AF108" s="127" t="str">
        <f>IF(AND($A108&lt;&gt;0,$A108&lt;&gt;"",OR(RIGHT(Logic!B108,2)="C)",LEFT(Logic!B108,4)="CSD1")),Num_FETS2*0.5*IM_RMS_120*VDC_AVG*Z108*n*MOT_ELEC_FREQ/GDR_SINK,"")</f>
        <v/>
      </c>
      <c r="AG108" s="127" t="str">
        <f>IF(AND($A108&lt;&gt;0,$A108&lt;&gt;"",OR(RIGHT(Logic!B108,2)="T)",LEFT(Logic!B108,4)="CSD1")),DUTY*IM_RMS_120^2*V108*m/3/Num_FETS2,"")</f>
        <v/>
      </c>
      <c r="AH108" s="127" t="str">
        <f>IF(AND($A108&lt;&gt;0,$A108&lt;&gt;"",OR(RIGHT(Logic!B108,2)="T)",LEFT(Logic!B108,4)="CSD1")),Num_FETS2*0.5*IM_RMS_120*VDC_AVG*Z108*n*FSW*k/GDR_SRC/3,"")</f>
        <v/>
      </c>
      <c r="AI108" s="127" t="str">
        <f>IF(AND($A108&lt;&gt;0,$A108&lt;&gt;"",OR(RIGHT(Logic!B108,2)="T)",LEFT(Logic!B108,4)="CSD1")),Num_FETS2*0.5*IM_RMS_120*VDC_AVG*Z108*n*FSW*k/GDR_SINK/3,"")</f>
        <v/>
      </c>
      <c r="AJ108" s="127" t="str">
        <f t="shared" si="53"/>
        <v/>
      </c>
      <c r="AK108" s="127" t="str">
        <f t="shared" si="55"/>
        <v/>
      </c>
      <c r="AL108" s="127" t="str">
        <f t="shared" si="54"/>
        <v/>
      </c>
      <c r="AM108" s="127" t="str">
        <f t="shared" si="51"/>
        <v/>
      </c>
      <c r="AN108" s="127">
        <f>IF(AND($A108&lt;&gt;0,$A108&lt;&gt;"",OR(RIGHT(Logic!B108,2)="C)",LEFT(Logic!B108,4)="CSD1")),SUM(AD108:AF108)+(AJ108/3)+AK108+AL108/6+AM108/6,AN109)</f>
        <v>0</v>
      </c>
      <c r="AO108" s="127">
        <f>IF(AND($A108&lt;&gt;0,$A108&lt;&gt;"",OR(RIGHT(Logic!B108,2)="T)",LEFT(Logic!B108,4)="CSD1")),SUM(AG108:AI108)+(AJ108/3)+AL108/6+AM108/6,AO107)</f>
        <v>0.23887636588496741</v>
      </c>
      <c r="AP108" s="48" t="str">
        <f t="shared" si="52"/>
        <v/>
      </c>
      <c r="AQ108" s="35" t="str">
        <f>IF(AND(A108&lt;&gt;0,A108&lt;&gt;""),LOOKUP(A108,Discrete_NFET[PARTNUMBER],Discrete_NFET[TI_EQ_PACKAGE]),"")</f>
        <v/>
      </c>
      <c r="AR108" s="49" t="str">
        <f>IF(AND(A108&lt;&gt;0,A108&lt;&gt;""),LOOKUP(A108,Discrete_NFET[PARTNUMBER],Discrete_NFET[1KPRICE]),"")</f>
        <v/>
      </c>
      <c r="AS108" s="35" t="str">
        <f>IF(AND($A108&lt;&gt;0,$A108&lt;&gt;""),CONCATENATE(TEXT(AP108,"0.00"),"W, ",IF('User Input'!G$11="Single Discrete",A108,IF('User Input'!G$11="Dual/Power Block",LEFT(A108,FIND(")",A108)-7),A108)),", ",AQ108,", ",TEXT(AR108,"$0.00")),"Invalid Part")</f>
        <v>Invalid Part</v>
      </c>
      <c r="AT108"/>
      <c r="AW108"/>
    </row>
    <row r="109" spans="1:49" ht="15" customHeight="1" x14ac:dyDescent="0.25">
      <c r="A109" s="35" t="str">
        <f>IF(OR(AND(FET_config2="Dual/Power Block",LEFT(Logic!B109,4)="CSD8"),AND(FET_config2="Single Discrete",LEFT(Logic!B109,4)="CSD1")),Logic!B109,"")</f>
        <v/>
      </c>
      <c r="B109" s="37" t="str">
        <f>IF(OR($A109=0,$A109=""),"0",IF(LOOKUP($A109,Discrete_NFET[PARTNUMBER],Discrete_NFET[RDSON25])="(NULL)","0","1"))</f>
        <v>0</v>
      </c>
      <c r="C109" s="38" t="str">
        <f>IF(OR($A109=0,$A109=""),"0",IF(LOOKUP($A109,Discrete_NFET[PARTNUMBER],Discrete_NFET[RDSON3])="(NULL)","0","1"))</f>
        <v>0</v>
      </c>
      <c r="D109" s="40" t="str">
        <f>IF(OR($A109=0,$A109=""),"0",IF(LOOKUP($A109,Discrete_NFET[PARTNUMBER],Discrete_NFET[RDSON45])="(NULL)","0","1"))</f>
        <v>0</v>
      </c>
      <c r="E109" s="45" t="str">
        <f>IF(OR($A109=0,$A109=""),"0",IF(LOOKUP($A109,Discrete_NFET[PARTNUMBER],Discrete_NFET[RDSON6])="(NULL)","0","1"))</f>
        <v>0</v>
      </c>
      <c r="F109" s="34" t="str">
        <f>IF(OR($A109=0,$A109=""),"0",IF(LOOKUP($A109,Discrete_NFET[PARTNUMBER],Discrete_NFET[RDSON8])="(NULL)","0","1"))</f>
        <v>0</v>
      </c>
      <c r="G109" s="43" t="str">
        <f>IF(OR($A109=0,$A109=""),"0",IF(LOOKUP($A109,Discrete_NFET[PARTNUMBER],Discrete_NFET[RDSON10])="(NULL)","0","1"))</f>
        <v>0</v>
      </c>
      <c r="H109" s="36" t="b">
        <f t="shared" si="37"/>
        <v>0</v>
      </c>
      <c r="I109" s="39" t="b">
        <f t="shared" si="38"/>
        <v>0</v>
      </c>
      <c r="J109" s="41" t="b">
        <f t="shared" si="39"/>
        <v>0</v>
      </c>
      <c r="K109" s="46" t="b">
        <f t="shared" si="40"/>
        <v>0</v>
      </c>
      <c r="L109" s="42" t="b">
        <f t="shared" si="41"/>
        <v>0</v>
      </c>
      <c r="M109" s="44" t="b">
        <f t="shared" si="42"/>
        <v>0</v>
      </c>
      <c r="N109" s="47" t="b">
        <f t="shared" si="43"/>
        <v>0</v>
      </c>
      <c r="O109" s="36" t="b">
        <f t="shared" si="44"/>
        <v>0</v>
      </c>
      <c r="P109" s="39" t="b">
        <f t="shared" si="45"/>
        <v>0</v>
      </c>
      <c r="Q109" s="41" t="b">
        <f t="shared" si="46"/>
        <v>0</v>
      </c>
      <c r="R109" s="46" t="b">
        <f t="shared" si="47"/>
        <v>0</v>
      </c>
      <c r="S109" s="42" t="b">
        <f t="shared" si="48"/>
        <v>0</v>
      </c>
      <c r="T109" s="44" t="b">
        <f t="shared" si="49"/>
        <v>0</v>
      </c>
      <c r="U109" s="148" t="str">
        <f>IF(T109,LOOKUP(A109,Discrete_NFET[PARTNUMBER],Discrete_NFET[RDSON10])*1000,IF(S109,LOOKUP(A109,Discrete_NFET[PARTNUMBER],Discrete_NFET[RDSON8])*1000,IF(R109,LOOKUP(A109,Discrete_NFET[PARTNUMBER],Discrete_NFET[RDSON6])*1000,IF(Q109,LOOKUP(A109,Discrete_NFET[PARTNUMBER],Discrete_NFET[RDSON45])*1000,IF(P109,LOOKUP(A109,Discrete_NFET[PARTNUMBER],Discrete_NFET[RDSON3])*1000,IF(O109,LOOKUP(A109,Discrete_NFET[PARTNUMBER],Discrete_NFET[RDSON25])*1000,""))))))</f>
        <v/>
      </c>
      <c r="V109" s="48" t="str">
        <f>IF(AND(A109&lt;&gt;0,A109&lt;&gt;""),U109*(1+(Tj-25)*(LOOKUP(A109,Discrete_NFET[PARTNUMBER],Discrete_NFET[RDSDELTA])/((LOOKUP(A109,Discrete_NFET[PARTNUMBER],Discrete_NFET[TJMAX])-25)))),"")</f>
        <v/>
      </c>
      <c r="W109" s="35" t="str">
        <f>IF(AND($A109&lt;&gt;0,$A109&lt;&gt;""),LOOKUP($A109,Discrete_NFET[PARTNUMBER],Discrete_NFET[QGS]),"")</f>
        <v/>
      </c>
      <c r="X109" s="35" t="str">
        <f>IF(AND($A109&lt;&gt;0,$A109&lt;&gt;""),LOOKUP($A109,Discrete_NFET[PARTNUMBER],Discrete_NFET[QGD]),"")</f>
        <v/>
      </c>
      <c r="Y109" s="35" t="str">
        <f>IF(AND($A109&lt;&gt;0,$A109&lt;&gt;""),LOOKUP($A109,Discrete_NFET[PARTNUMBER],Discrete_NFET[QGTH]),"")</f>
        <v/>
      </c>
      <c r="Z109" s="35" t="str">
        <f t="shared" si="50"/>
        <v/>
      </c>
      <c r="AA109" s="35" t="str">
        <f>IF(AND($A109&lt;&gt;0,$A109&lt;&gt;""),LOOKUP($A109,Discrete_NFET[PARTNUMBER],Discrete_NFET[QOSSTYP]),"")</f>
        <v/>
      </c>
      <c r="AB109" s="35" t="str">
        <f>IF(AND($A109&lt;&gt;0,$A109&lt;&gt;""),LOOKUP($A109,Discrete_NFET[PARTNUMBER],Discrete_NFET[QRR]),"")</f>
        <v/>
      </c>
      <c r="AC109" s="35" t="str">
        <f>IF(AND(A109&lt;&gt;0,A109&lt;&gt;""),LOOKUP(A109,Discrete_NFET[PARTNUMBER],Discrete_NFET[VF_TYP]),"")</f>
        <v/>
      </c>
      <c r="AD109" s="127" t="str">
        <f>IF(AND($A109&lt;&gt;0,$A109&lt;&gt;"",OR(RIGHT(Logic!B109,2)="C)",LEFT(Logic!B109,4)="CSD1")),(1+(1-DUTY))*IM_RMS_120^2*V109*m/3/Num_FETS2,"")</f>
        <v/>
      </c>
      <c r="AE109" s="127" t="str">
        <f>IF(AND($A109&lt;&gt;0,$A109&lt;&gt;"",OR(RIGHT(Logic!B109,2)="C)",LEFT(Logic!B109,4)="CSD1")),Num_FETS2*0.5*IM_RMS_120*VDC_AVG*Z109*n*MOT_ELEC_FREQ/GDR_SRC,"")</f>
        <v/>
      </c>
      <c r="AF109" s="127" t="str">
        <f>IF(AND($A109&lt;&gt;0,$A109&lt;&gt;"",OR(RIGHT(Logic!B109,2)="C)",LEFT(Logic!B109,4)="CSD1")),Num_FETS2*0.5*IM_RMS_120*VDC_AVG*Z109*n*MOT_ELEC_FREQ/GDR_SINK,"")</f>
        <v/>
      </c>
      <c r="AG109" s="127" t="str">
        <f>IF(AND($A109&lt;&gt;0,$A109&lt;&gt;"",OR(RIGHT(Logic!B109,2)="T)",LEFT(Logic!B109,4)="CSD1")),DUTY*IM_RMS_120^2*V109*m/3/Num_FETS2,"")</f>
        <v/>
      </c>
      <c r="AH109" s="127" t="str">
        <f>IF(AND($A109&lt;&gt;0,$A109&lt;&gt;"",OR(RIGHT(Logic!B109,2)="T)",LEFT(Logic!B109,4)="CSD1")),Num_FETS2*0.5*IM_RMS_120*VDC_AVG*Z109*n*FSW*k/GDR_SRC/3,"")</f>
        <v/>
      </c>
      <c r="AI109" s="127" t="str">
        <f>IF(AND($A109&lt;&gt;0,$A109&lt;&gt;"",OR(RIGHT(Logic!B109,2)="T)",LEFT(Logic!B109,4)="CSD1")),Num_FETS2*0.5*IM_RMS_120*VDC_AVG*Z109*n*FSW*k/GDR_SINK/3,"")</f>
        <v/>
      </c>
      <c r="AJ109" s="127" t="str">
        <f t="shared" si="53"/>
        <v/>
      </c>
      <c r="AK109" s="127" t="str">
        <f t="shared" si="55"/>
        <v/>
      </c>
      <c r="AL109" s="127" t="str">
        <f t="shared" si="54"/>
        <v/>
      </c>
      <c r="AM109" s="127" t="str">
        <f t="shared" si="51"/>
        <v/>
      </c>
      <c r="AN109" s="127">
        <f>IF(AND($A109&lt;&gt;0,$A109&lt;&gt;"",OR(RIGHT(Logic!B109,2)="C)",LEFT(Logic!B109,4)="CSD1")),SUM(AD109:AF109)+(AJ109/3)+AK109+AL109/6+AM109/6,AN110)</f>
        <v>0</v>
      </c>
      <c r="AO109" s="127">
        <f>IF(AND($A109&lt;&gt;0,$A109&lt;&gt;"",OR(RIGHT(Logic!B109,2)="T)",LEFT(Logic!B109,4)="CSD1")),SUM(AG109:AI109)+(AJ109/3)+AL109/6+AM109/6,AO108)</f>
        <v>0.23887636588496741</v>
      </c>
      <c r="AP109" s="48" t="str">
        <f t="shared" si="52"/>
        <v/>
      </c>
      <c r="AQ109" s="35" t="str">
        <f>IF(AND(A109&lt;&gt;0,A109&lt;&gt;""),LOOKUP(A109,Discrete_NFET[PARTNUMBER],Discrete_NFET[TI_EQ_PACKAGE]),"")</f>
        <v/>
      </c>
      <c r="AR109" s="49" t="str">
        <f>IF(AND(A109&lt;&gt;0,A109&lt;&gt;""),LOOKUP(A109,Discrete_NFET[PARTNUMBER],Discrete_NFET[1KPRICE]),"")</f>
        <v/>
      </c>
      <c r="AS109" s="35" t="str">
        <f>IF(AND($A109&lt;&gt;0,$A109&lt;&gt;""),CONCATENATE(TEXT(AP109,"0.00"),"W, ",IF('User Input'!G$11="Single Discrete",A109,IF('User Input'!G$11="Dual/Power Block",LEFT(A109,FIND(")",A109)-7),A109)),", ",AQ109,", ",TEXT(AR109,"$0.00")),"Invalid Part")</f>
        <v>Invalid Part</v>
      </c>
      <c r="AT109"/>
      <c r="AW109"/>
    </row>
    <row r="110" spans="1:49" ht="15" customHeight="1" x14ac:dyDescent="0.25">
      <c r="A110" s="35" t="str">
        <f>IF(OR(AND(FET_config2="Dual/Power Block",LEFT(Logic!B110,4)="CSD8"),AND(FET_config2="Single Discrete",LEFT(Logic!B110,4)="CSD1")),Logic!B110,"")</f>
        <v/>
      </c>
      <c r="B110" s="37" t="str">
        <f>IF(OR($A110=0,$A110=""),"0",IF(LOOKUP($A110,Discrete_NFET[PARTNUMBER],Discrete_NFET[RDSON25])="(NULL)","0","1"))</f>
        <v>0</v>
      </c>
      <c r="C110" s="38" t="str">
        <f>IF(OR($A110=0,$A110=""),"0",IF(LOOKUP($A110,Discrete_NFET[PARTNUMBER],Discrete_NFET[RDSON3])="(NULL)","0","1"))</f>
        <v>0</v>
      </c>
      <c r="D110" s="40" t="str">
        <f>IF(OR($A110=0,$A110=""),"0",IF(LOOKUP($A110,Discrete_NFET[PARTNUMBER],Discrete_NFET[RDSON45])="(NULL)","0","1"))</f>
        <v>0</v>
      </c>
      <c r="E110" s="45" t="str">
        <f>IF(OR($A110=0,$A110=""),"0",IF(LOOKUP($A110,Discrete_NFET[PARTNUMBER],Discrete_NFET[RDSON6])="(NULL)","0","1"))</f>
        <v>0</v>
      </c>
      <c r="F110" s="34" t="str">
        <f>IF(OR($A110=0,$A110=""),"0",IF(LOOKUP($A110,Discrete_NFET[PARTNUMBER],Discrete_NFET[RDSON8])="(NULL)","0","1"))</f>
        <v>0</v>
      </c>
      <c r="G110" s="43" t="str">
        <f>IF(OR($A110=0,$A110=""),"0",IF(LOOKUP($A110,Discrete_NFET[PARTNUMBER],Discrete_NFET[RDSON10])="(NULL)","0","1"))</f>
        <v>0</v>
      </c>
      <c r="H110" s="36" t="b">
        <f t="shared" si="37"/>
        <v>0</v>
      </c>
      <c r="I110" s="39" t="b">
        <f t="shared" si="38"/>
        <v>0</v>
      </c>
      <c r="J110" s="41" t="b">
        <f t="shared" si="39"/>
        <v>0</v>
      </c>
      <c r="K110" s="46" t="b">
        <f t="shared" si="40"/>
        <v>0</v>
      </c>
      <c r="L110" s="42" t="b">
        <f t="shared" si="41"/>
        <v>0</v>
      </c>
      <c r="M110" s="44" t="b">
        <f t="shared" si="42"/>
        <v>0</v>
      </c>
      <c r="N110" s="47" t="b">
        <f t="shared" si="43"/>
        <v>0</v>
      </c>
      <c r="O110" s="36" t="b">
        <f t="shared" si="44"/>
        <v>0</v>
      </c>
      <c r="P110" s="39" t="b">
        <f t="shared" si="45"/>
        <v>0</v>
      </c>
      <c r="Q110" s="41" t="b">
        <f t="shared" si="46"/>
        <v>0</v>
      </c>
      <c r="R110" s="46" t="b">
        <f t="shared" si="47"/>
        <v>0</v>
      </c>
      <c r="S110" s="42" t="b">
        <f t="shared" si="48"/>
        <v>0</v>
      </c>
      <c r="T110" s="44" t="b">
        <f t="shared" si="49"/>
        <v>0</v>
      </c>
      <c r="U110" s="148" t="str">
        <f>IF(T110,LOOKUP(A110,Discrete_NFET[PARTNUMBER],Discrete_NFET[RDSON10])*1000,IF(S110,LOOKUP(A110,Discrete_NFET[PARTNUMBER],Discrete_NFET[RDSON8])*1000,IF(R110,LOOKUP(A110,Discrete_NFET[PARTNUMBER],Discrete_NFET[RDSON6])*1000,IF(Q110,LOOKUP(A110,Discrete_NFET[PARTNUMBER],Discrete_NFET[RDSON45])*1000,IF(P110,LOOKUP(A110,Discrete_NFET[PARTNUMBER],Discrete_NFET[RDSON3])*1000,IF(O110,LOOKUP(A110,Discrete_NFET[PARTNUMBER],Discrete_NFET[RDSON25])*1000,""))))))</f>
        <v/>
      </c>
      <c r="V110" s="48" t="str">
        <f>IF(AND(A110&lt;&gt;0,A110&lt;&gt;""),U110*(1+(Tj-25)*(LOOKUP(A110,Discrete_NFET[PARTNUMBER],Discrete_NFET[RDSDELTA])/((LOOKUP(A110,Discrete_NFET[PARTNUMBER],Discrete_NFET[TJMAX])-25)))),"")</f>
        <v/>
      </c>
      <c r="W110" s="35" t="str">
        <f>IF(AND($A110&lt;&gt;0,$A110&lt;&gt;""),LOOKUP($A110,Discrete_NFET[PARTNUMBER],Discrete_NFET[QGS]),"")</f>
        <v/>
      </c>
      <c r="X110" s="35" t="str">
        <f>IF(AND($A110&lt;&gt;0,$A110&lt;&gt;""),LOOKUP($A110,Discrete_NFET[PARTNUMBER],Discrete_NFET[QGD]),"")</f>
        <v/>
      </c>
      <c r="Y110" s="35" t="str">
        <f>IF(AND($A110&lt;&gt;0,$A110&lt;&gt;""),LOOKUP($A110,Discrete_NFET[PARTNUMBER],Discrete_NFET[QGTH]),"")</f>
        <v/>
      </c>
      <c r="Z110" s="35" t="str">
        <f t="shared" si="50"/>
        <v/>
      </c>
      <c r="AA110" s="35" t="str">
        <f>IF(AND($A110&lt;&gt;0,$A110&lt;&gt;""),LOOKUP($A110,Discrete_NFET[PARTNUMBER],Discrete_NFET[QOSSTYP]),"")</f>
        <v/>
      </c>
      <c r="AB110" s="35" t="str">
        <f>IF(AND($A110&lt;&gt;0,$A110&lt;&gt;""),LOOKUP($A110,Discrete_NFET[PARTNUMBER],Discrete_NFET[QRR]),"")</f>
        <v/>
      </c>
      <c r="AC110" s="35" t="str">
        <f>IF(AND(A110&lt;&gt;0,A110&lt;&gt;""),LOOKUP(A110,Discrete_NFET[PARTNUMBER],Discrete_NFET[VF_TYP]),"")</f>
        <v/>
      </c>
      <c r="AD110" s="127" t="str">
        <f>IF(AND($A110&lt;&gt;0,$A110&lt;&gt;"",OR(RIGHT(Logic!B110,2)="C)",LEFT(Logic!B110,4)="CSD1")),(1+(1-DUTY))*IM_RMS_120^2*V110*m/3/Num_FETS2,"")</f>
        <v/>
      </c>
      <c r="AE110" s="127" t="str">
        <f>IF(AND($A110&lt;&gt;0,$A110&lt;&gt;"",OR(RIGHT(Logic!B110,2)="C)",LEFT(Logic!B110,4)="CSD1")),Num_FETS2*0.5*IM_RMS_120*VDC_AVG*Z110*n*MOT_ELEC_FREQ/GDR_SRC,"")</f>
        <v/>
      </c>
      <c r="AF110" s="127" t="str">
        <f>IF(AND($A110&lt;&gt;0,$A110&lt;&gt;"",OR(RIGHT(Logic!B110,2)="C)",LEFT(Logic!B110,4)="CSD1")),Num_FETS2*0.5*IM_RMS_120*VDC_AVG*Z110*n*MOT_ELEC_FREQ/GDR_SINK,"")</f>
        <v/>
      </c>
      <c r="AG110" s="127" t="str">
        <f>IF(AND($A110&lt;&gt;0,$A110&lt;&gt;"",OR(RIGHT(Logic!B110,2)="T)",LEFT(Logic!B110,4)="CSD1")),DUTY*IM_RMS_120^2*V110*m/3/Num_FETS2,"")</f>
        <v/>
      </c>
      <c r="AH110" s="127" t="str">
        <f>IF(AND($A110&lt;&gt;0,$A110&lt;&gt;"",OR(RIGHT(Logic!B110,2)="T)",LEFT(Logic!B110,4)="CSD1")),Num_FETS2*0.5*IM_RMS_120*VDC_AVG*Z110*n*FSW*k/GDR_SRC/3,"")</f>
        <v/>
      </c>
      <c r="AI110" s="127" t="str">
        <f>IF(AND($A110&lt;&gt;0,$A110&lt;&gt;"",OR(RIGHT(Logic!B110,2)="T)",LEFT(Logic!B110,4)="CSD1")),Num_FETS2*0.5*IM_RMS_120*VDC_AVG*Z110*n*FSW*k/GDR_SINK/3,"")</f>
        <v/>
      </c>
      <c r="AJ110" s="127" t="str">
        <f t="shared" si="53"/>
        <v/>
      </c>
      <c r="AK110" s="127" t="str">
        <f t="shared" si="55"/>
        <v/>
      </c>
      <c r="AL110" s="127" t="str">
        <f t="shared" si="54"/>
        <v/>
      </c>
      <c r="AM110" s="127" t="str">
        <f t="shared" si="51"/>
        <v/>
      </c>
      <c r="AN110" s="127">
        <f>IF(AND($A110&lt;&gt;0,$A110&lt;&gt;"",OR(RIGHT(Logic!B110,2)="C)",LEFT(Logic!B110,4)="CSD1")),SUM(AD110:AF110)+(AJ110/3)+AK110+AL110/6+AM110/6,AN111)</f>
        <v>0</v>
      </c>
      <c r="AO110" s="127">
        <f>IF(AND($A110&lt;&gt;0,$A110&lt;&gt;"",OR(RIGHT(Logic!B110,2)="T)",LEFT(Logic!B110,4)="CSD1")),SUM(AG110:AI110)+(AJ110/3)+AL110/6+AM110/6,AO109)</f>
        <v>0.23887636588496741</v>
      </c>
      <c r="AP110" s="48" t="str">
        <f t="shared" si="52"/>
        <v/>
      </c>
      <c r="AQ110" s="35" t="str">
        <f>IF(AND(A110&lt;&gt;0,A110&lt;&gt;""),LOOKUP(A110,Discrete_NFET[PARTNUMBER],Discrete_NFET[TI_EQ_PACKAGE]),"")</f>
        <v/>
      </c>
      <c r="AR110" s="49" t="str">
        <f>IF(AND(A110&lt;&gt;0,A110&lt;&gt;""),LOOKUP(A110,Discrete_NFET[PARTNUMBER],Discrete_NFET[1KPRICE]),"")</f>
        <v/>
      </c>
      <c r="AS110" s="35" t="str">
        <f>IF(AND($A110&lt;&gt;0,$A110&lt;&gt;""),CONCATENATE(TEXT(AP110,"0.00"),"W, ",IF('User Input'!G$11="Single Discrete",A110,IF('User Input'!G$11="Dual/Power Block",LEFT(A110,FIND(")",A110)-7),A110)),", ",AQ110,", ",TEXT(AR110,"$0.00")),"Invalid Part")</f>
        <v>Invalid Part</v>
      </c>
      <c r="AT110"/>
      <c r="AW110"/>
    </row>
    <row r="111" spans="1:49" ht="15" customHeight="1" x14ac:dyDescent="0.25">
      <c r="A111" s="35" t="str">
        <f>IF(OR(AND(FET_config2="Dual/Power Block",LEFT(Logic!B111,4)="CSD8"),AND(FET_config2="Single Discrete",LEFT(Logic!B111,4)="CSD1")),Logic!B111,"")</f>
        <v/>
      </c>
      <c r="B111" s="37" t="str">
        <f>IF(OR($A111=0,$A111=""),"0",IF(LOOKUP($A111,Discrete_NFET[PARTNUMBER],Discrete_NFET[RDSON25])="(NULL)","0","1"))</f>
        <v>0</v>
      </c>
      <c r="C111" s="38" t="str">
        <f>IF(OR($A111=0,$A111=""),"0",IF(LOOKUP($A111,Discrete_NFET[PARTNUMBER],Discrete_NFET[RDSON3])="(NULL)","0","1"))</f>
        <v>0</v>
      </c>
      <c r="D111" s="40" t="str">
        <f>IF(OR($A111=0,$A111=""),"0",IF(LOOKUP($A111,Discrete_NFET[PARTNUMBER],Discrete_NFET[RDSON45])="(NULL)","0","1"))</f>
        <v>0</v>
      </c>
      <c r="E111" s="45" t="str">
        <f>IF(OR($A111=0,$A111=""),"0",IF(LOOKUP($A111,Discrete_NFET[PARTNUMBER],Discrete_NFET[RDSON6])="(NULL)","0","1"))</f>
        <v>0</v>
      </c>
      <c r="F111" s="34" t="str">
        <f>IF(OR($A111=0,$A111=""),"0",IF(LOOKUP($A111,Discrete_NFET[PARTNUMBER],Discrete_NFET[RDSON8])="(NULL)","0","1"))</f>
        <v>0</v>
      </c>
      <c r="G111" s="43" t="str">
        <f>IF(OR($A111=0,$A111=""),"0",IF(LOOKUP($A111,Discrete_NFET[PARTNUMBER],Discrete_NFET[RDSON10])="(NULL)","0","1"))</f>
        <v>0</v>
      </c>
      <c r="H111" s="36" t="b">
        <f t="shared" si="37"/>
        <v>0</v>
      </c>
      <c r="I111" s="39" t="b">
        <f t="shared" si="38"/>
        <v>0</v>
      </c>
      <c r="J111" s="41" t="b">
        <f t="shared" si="39"/>
        <v>0</v>
      </c>
      <c r="K111" s="46" t="b">
        <f t="shared" si="40"/>
        <v>0</v>
      </c>
      <c r="L111" s="42" t="b">
        <f t="shared" si="41"/>
        <v>0</v>
      </c>
      <c r="M111" s="44" t="b">
        <f t="shared" si="42"/>
        <v>0</v>
      </c>
      <c r="N111" s="47" t="b">
        <f t="shared" si="43"/>
        <v>0</v>
      </c>
      <c r="O111" s="36" t="b">
        <f t="shared" si="44"/>
        <v>0</v>
      </c>
      <c r="P111" s="39" t="b">
        <f t="shared" si="45"/>
        <v>0</v>
      </c>
      <c r="Q111" s="41" t="b">
        <f t="shared" si="46"/>
        <v>0</v>
      </c>
      <c r="R111" s="46" t="b">
        <f t="shared" si="47"/>
        <v>0</v>
      </c>
      <c r="S111" s="42" t="b">
        <f t="shared" si="48"/>
        <v>0</v>
      </c>
      <c r="T111" s="44" t="b">
        <f t="shared" si="49"/>
        <v>0</v>
      </c>
      <c r="U111" s="148" t="str">
        <f>IF(T111,LOOKUP(A111,Discrete_NFET[PARTNUMBER],Discrete_NFET[RDSON10])*1000,IF(S111,LOOKUP(A111,Discrete_NFET[PARTNUMBER],Discrete_NFET[RDSON8])*1000,IF(R111,LOOKUP(A111,Discrete_NFET[PARTNUMBER],Discrete_NFET[RDSON6])*1000,IF(Q111,LOOKUP(A111,Discrete_NFET[PARTNUMBER],Discrete_NFET[RDSON45])*1000,IF(P111,LOOKUP(A111,Discrete_NFET[PARTNUMBER],Discrete_NFET[RDSON3])*1000,IF(O111,LOOKUP(A111,Discrete_NFET[PARTNUMBER],Discrete_NFET[RDSON25])*1000,""))))))</f>
        <v/>
      </c>
      <c r="V111" s="48" t="str">
        <f>IF(AND(A111&lt;&gt;0,A111&lt;&gt;""),U111*(1+(Tj-25)*(LOOKUP(A111,Discrete_NFET[PARTNUMBER],Discrete_NFET[RDSDELTA])/((LOOKUP(A111,Discrete_NFET[PARTNUMBER],Discrete_NFET[TJMAX])-25)))),"")</f>
        <v/>
      </c>
      <c r="W111" s="35" t="str">
        <f>IF(AND($A111&lt;&gt;0,$A111&lt;&gt;""),LOOKUP($A111,Discrete_NFET[PARTNUMBER],Discrete_NFET[QGS]),"")</f>
        <v/>
      </c>
      <c r="X111" s="35" t="str">
        <f>IF(AND($A111&lt;&gt;0,$A111&lt;&gt;""),LOOKUP($A111,Discrete_NFET[PARTNUMBER],Discrete_NFET[QGD]),"")</f>
        <v/>
      </c>
      <c r="Y111" s="35" t="str">
        <f>IF(AND($A111&lt;&gt;0,$A111&lt;&gt;""),LOOKUP($A111,Discrete_NFET[PARTNUMBER],Discrete_NFET[QGTH]),"")</f>
        <v/>
      </c>
      <c r="Z111" s="35" t="str">
        <f t="shared" si="50"/>
        <v/>
      </c>
      <c r="AA111" s="35" t="str">
        <f>IF(AND($A111&lt;&gt;0,$A111&lt;&gt;""),LOOKUP($A111,Discrete_NFET[PARTNUMBER],Discrete_NFET[QOSSTYP]),"")</f>
        <v/>
      </c>
      <c r="AB111" s="35" t="str">
        <f>IF(AND($A111&lt;&gt;0,$A111&lt;&gt;""),LOOKUP($A111,Discrete_NFET[PARTNUMBER],Discrete_NFET[QRR]),"")</f>
        <v/>
      </c>
      <c r="AC111" s="35" t="str">
        <f>IF(AND(A111&lt;&gt;0,A111&lt;&gt;""),LOOKUP(A111,Discrete_NFET[PARTNUMBER],Discrete_NFET[VF_TYP]),"")</f>
        <v/>
      </c>
      <c r="AD111" s="127" t="str">
        <f>IF(AND($A111&lt;&gt;0,$A111&lt;&gt;"",OR(RIGHT(Logic!B111,2)="C)",LEFT(Logic!B111,4)="CSD1")),(1+(1-DUTY))*IM_RMS_120^2*V111*m/3/Num_FETS2,"")</f>
        <v/>
      </c>
      <c r="AE111" s="127" t="str">
        <f>IF(AND($A111&lt;&gt;0,$A111&lt;&gt;"",OR(RIGHT(Logic!B111,2)="C)",LEFT(Logic!B111,4)="CSD1")),Num_FETS2*0.5*IM_RMS_120*VDC_AVG*Z111*n*MOT_ELEC_FREQ/GDR_SRC,"")</f>
        <v/>
      </c>
      <c r="AF111" s="127" t="str">
        <f>IF(AND($A111&lt;&gt;0,$A111&lt;&gt;"",OR(RIGHT(Logic!B111,2)="C)",LEFT(Logic!B111,4)="CSD1")),Num_FETS2*0.5*IM_RMS_120*VDC_AVG*Z111*n*MOT_ELEC_FREQ/GDR_SINK,"")</f>
        <v/>
      </c>
      <c r="AG111" s="127" t="str">
        <f>IF(AND($A111&lt;&gt;0,$A111&lt;&gt;"",OR(RIGHT(Logic!B111,2)="T)",LEFT(Logic!B111,4)="CSD1")),DUTY*IM_RMS_120^2*V111*m/3/Num_FETS2,"")</f>
        <v/>
      </c>
      <c r="AH111" s="127" t="str">
        <f>IF(AND($A111&lt;&gt;0,$A111&lt;&gt;"",OR(RIGHT(Logic!B111,2)="T)",LEFT(Logic!B111,4)="CSD1")),Num_FETS2*0.5*IM_RMS_120*VDC_AVG*Z111*n*FSW*k/GDR_SRC/3,"")</f>
        <v/>
      </c>
      <c r="AI111" s="127" t="str">
        <f>IF(AND($A111&lt;&gt;0,$A111&lt;&gt;"",OR(RIGHT(Logic!B111,2)="T)",LEFT(Logic!B111,4)="CSD1")),Num_FETS2*0.5*IM_RMS_120*VDC_AVG*Z111*n*FSW*k/GDR_SINK/3,"")</f>
        <v/>
      </c>
      <c r="AJ111" s="127" t="str">
        <f t="shared" si="53"/>
        <v/>
      </c>
      <c r="AK111" s="127" t="str">
        <f t="shared" si="55"/>
        <v/>
      </c>
      <c r="AL111" s="127" t="str">
        <f t="shared" si="54"/>
        <v/>
      </c>
      <c r="AM111" s="127" t="str">
        <f t="shared" si="51"/>
        <v/>
      </c>
      <c r="AN111" s="127">
        <f>IF(AND($A111&lt;&gt;0,$A111&lt;&gt;"",OR(RIGHT(Logic!B111,2)="C)",LEFT(Logic!B111,4)="CSD1")),SUM(AD111:AF111)+(AJ111/3)+AK111+AL111/6+AM111/6,AN112)</f>
        <v>0</v>
      </c>
      <c r="AO111" s="127">
        <f>IF(AND($A111&lt;&gt;0,$A111&lt;&gt;"",OR(RIGHT(Logic!B111,2)="T)",LEFT(Logic!B111,4)="CSD1")),SUM(AG111:AI111)+(AJ111/3)+AL111/6+AM111/6,AO110)</f>
        <v>0.23887636588496741</v>
      </c>
      <c r="AP111" s="48" t="str">
        <f t="shared" si="52"/>
        <v/>
      </c>
      <c r="AQ111" s="35" t="str">
        <f>IF(AND(A111&lt;&gt;0,A111&lt;&gt;""),LOOKUP(A111,Discrete_NFET[PARTNUMBER],Discrete_NFET[TI_EQ_PACKAGE]),"")</f>
        <v/>
      </c>
      <c r="AR111" s="49" t="str">
        <f>IF(AND(A111&lt;&gt;0,A111&lt;&gt;""),LOOKUP(A111,Discrete_NFET[PARTNUMBER],Discrete_NFET[1KPRICE]),"")</f>
        <v/>
      </c>
      <c r="AS111" s="35" t="str">
        <f>IF(AND($A111&lt;&gt;0,$A111&lt;&gt;""),CONCATENATE(TEXT(AP111,"0.00"),"W, ",IF('User Input'!G$11="Single Discrete",A111,IF('User Input'!G$11="Dual/Power Block",LEFT(A111,FIND(")",A111)-7),A111)),", ",AQ111,", ",TEXT(AR111,"$0.00")),"Invalid Part")</f>
        <v>Invalid Part</v>
      </c>
      <c r="AT111"/>
      <c r="AW111"/>
    </row>
    <row r="112" spans="1:49" ht="15" customHeight="1" x14ac:dyDescent="0.25">
      <c r="A112" s="35" t="str">
        <f>IF(OR(AND(FET_config2="Dual/Power Block",LEFT(Logic!B112,4)="CSD8"),AND(FET_config2="Single Discrete",LEFT(Logic!B112,4)="CSD1")),Logic!B112,"")</f>
        <v/>
      </c>
      <c r="B112" s="37" t="str">
        <f>IF(OR($A112=0,$A112=""),"0",IF(LOOKUP($A112,Discrete_NFET[PARTNUMBER],Discrete_NFET[RDSON25])="(NULL)","0","1"))</f>
        <v>0</v>
      </c>
      <c r="C112" s="38" t="str">
        <f>IF(OR($A112=0,$A112=""),"0",IF(LOOKUP($A112,Discrete_NFET[PARTNUMBER],Discrete_NFET[RDSON3])="(NULL)","0","1"))</f>
        <v>0</v>
      </c>
      <c r="D112" s="40" t="str">
        <f>IF(OR($A112=0,$A112=""),"0",IF(LOOKUP($A112,Discrete_NFET[PARTNUMBER],Discrete_NFET[RDSON45])="(NULL)","0","1"))</f>
        <v>0</v>
      </c>
      <c r="E112" s="45" t="str">
        <f>IF(OR($A112=0,$A112=""),"0",IF(LOOKUP($A112,Discrete_NFET[PARTNUMBER],Discrete_NFET[RDSON6])="(NULL)","0","1"))</f>
        <v>0</v>
      </c>
      <c r="F112" s="34" t="str">
        <f>IF(OR($A112=0,$A112=""),"0",IF(LOOKUP($A112,Discrete_NFET[PARTNUMBER],Discrete_NFET[RDSON8])="(NULL)","0","1"))</f>
        <v>0</v>
      </c>
      <c r="G112" s="43" t="str">
        <f>IF(OR($A112=0,$A112=""),"0",IF(LOOKUP($A112,Discrete_NFET[PARTNUMBER],Discrete_NFET[RDSON10])="(NULL)","0","1"))</f>
        <v>0</v>
      </c>
      <c r="H112" s="36" t="b">
        <f t="shared" si="37"/>
        <v>0</v>
      </c>
      <c r="I112" s="39" t="b">
        <f t="shared" si="38"/>
        <v>0</v>
      </c>
      <c r="J112" s="41" t="b">
        <f t="shared" si="39"/>
        <v>0</v>
      </c>
      <c r="K112" s="46" t="b">
        <f t="shared" si="40"/>
        <v>0</v>
      </c>
      <c r="L112" s="42" t="b">
        <f t="shared" si="41"/>
        <v>0</v>
      </c>
      <c r="M112" s="44" t="b">
        <f t="shared" si="42"/>
        <v>0</v>
      </c>
      <c r="N112" s="47" t="b">
        <f t="shared" si="43"/>
        <v>0</v>
      </c>
      <c r="O112" s="36" t="b">
        <f t="shared" si="44"/>
        <v>0</v>
      </c>
      <c r="P112" s="39" t="b">
        <f t="shared" si="45"/>
        <v>0</v>
      </c>
      <c r="Q112" s="41" t="b">
        <f t="shared" si="46"/>
        <v>0</v>
      </c>
      <c r="R112" s="46" t="b">
        <f t="shared" si="47"/>
        <v>0</v>
      </c>
      <c r="S112" s="42" t="b">
        <f t="shared" si="48"/>
        <v>0</v>
      </c>
      <c r="T112" s="44" t="b">
        <f t="shared" si="49"/>
        <v>0</v>
      </c>
      <c r="U112" s="148" t="str">
        <f>IF(T112,LOOKUP(A112,Discrete_NFET[PARTNUMBER],Discrete_NFET[RDSON10])*1000,IF(S112,LOOKUP(A112,Discrete_NFET[PARTNUMBER],Discrete_NFET[RDSON8])*1000,IF(R112,LOOKUP(A112,Discrete_NFET[PARTNUMBER],Discrete_NFET[RDSON6])*1000,IF(Q112,LOOKUP(A112,Discrete_NFET[PARTNUMBER],Discrete_NFET[RDSON45])*1000,IF(P112,LOOKUP(A112,Discrete_NFET[PARTNUMBER],Discrete_NFET[RDSON3])*1000,IF(O112,LOOKUP(A112,Discrete_NFET[PARTNUMBER],Discrete_NFET[RDSON25])*1000,""))))))</f>
        <v/>
      </c>
      <c r="V112" s="48" t="str">
        <f>IF(AND(A112&lt;&gt;0,A112&lt;&gt;""),U112*(1+(Tj-25)*(LOOKUP(A112,Discrete_NFET[PARTNUMBER],Discrete_NFET[RDSDELTA])/((LOOKUP(A112,Discrete_NFET[PARTNUMBER],Discrete_NFET[TJMAX])-25)))),"")</f>
        <v/>
      </c>
      <c r="W112" s="35" t="str">
        <f>IF(AND($A112&lt;&gt;0,$A112&lt;&gt;""),LOOKUP($A112,Discrete_NFET[PARTNUMBER],Discrete_NFET[QGS]),"")</f>
        <v/>
      </c>
      <c r="X112" s="35" t="str">
        <f>IF(AND($A112&lt;&gt;0,$A112&lt;&gt;""),LOOKUP($A112,Discrete_NFET[PARTNUMBER],Discrete_NFET[QGD]),"")</f>
        <v/>
      </c>
      <c r="Y112" s="35" t="str">
        <f>IF(AND($A112&lt;&gt;0,$A112&lt;&gt;""),LOOKUP($A112,Discrete_NFET[PARTNUMBER],Discrete_NFET[QGTH]),"")</f>
        <v/>
      </c>
      <c r="Z112" s="35" t="str">
        <f t="shared" si="50"/>
        <v/>
      </c>
      <c r="AA112" s="35" t="str">
        <f>IF(AND($A112&lt;&gt;0,$A112&lt;&gt;""),LOOKUP($A112,Discrete_NFET[PARTNUMBER],Discrete_NFET[QOSSTYP]),"")</f>
        <v/>
      </c>
      <c r="AB112" s="35" t="str">
        <f>IF(AND($A112&lt;&gt;0,$A112&lt;&gt;""),LOOKUP($A112,Discrete_NFET[PARTNUMBER],Discrete_NFET[QRR]),"")</f>
        <v/>
      </c>
      <c r="AC112" s="35" t="str">
        <f>IF(AND(A112&lt;&gt;0,A112&lt;&gt;""),LOOKUP(A112,Discrete_NFET[PARTNUMBER],Discrete_NFET[VF_TYP]),"")</f>
        <v/>
      </c>
      <c r="AD112" s="127" t="str">
        <f>IF(AND($A112&lt;&gt;0,$A112&lt;&gt;"",OR(RIGHT(Logic!B112,2)="C)",LEFT(Logic!B112,4)="CSD1")),(1+(1-DUTY))*IM_RMS_120^2*V112*m/3/Num_FETS2,"")</f>
        <v/>
      </c>
      <c r="AE112" s="127" t="str">
        <f>IF(AND($A112&lt;&gt;0,$A112&lt;&gt;"",OR(RIGHT(Logic!B112,2)="C)",LEFT(Logic!B112,4)="CSD1")),Num_FETS2*0.5*IM_RMS_120*VDC_AVG*Z112*n*MOT_ELEC_FREQ/GDR_SRC,"")</f>
        <v/>
      </c>
      <c r="AF112" s="127" t="str">
        <f>IF(AND($A112&lt;&gt;0,$A112&lt;&gt;"",OR(RIGHT(Logic!B112,2)="C)",LEFT(Logic!B112,4)="CSD1")),Num_FETS2*0.5*IM_RMS_120*VDC_AVG*Z112*n*MOT_ELEC_FREQ/GDR_SINK,"")</f>
        <v/>
      </c>
      <c r="AG112" s="127" t="str">
        <f>IF(AND($A112&lt;&gt;0,$A112&lt;&gt;"",OR(RIGHT(Logic!B112,2)="T)",LEFT(Logic!B112,4)="CSD1")),DUTY*IM_RMS_120^2*V112*m/3/Num_FETS2,"")</f>
        <v/>
      </c>
      <c r="AH112" s="127" t="str">
        <f>IF(AND($A112&lt;&gt;0,$A112&lt;&gt;"",OR(RIGHT(Logic!B112,2)="T)",LEFT(Logic!B112,4)="CSD1")),Num_FETS2*0.5*IM_RMS_120*VDC_AVG*Z112*n*FSW*k/GDR_SRC/3,"")</f>
        <v/>
      </c>
      <c r="AI112" s="127" t="str">
        <f>IF(AND($A112&lt;&gt;0,$A112&lt;&gt;"",OR(RIGHT(Logic!B112,2)="T)",LEFT(Logic!B112,4)="CSD1")),Num_FETS2*0.5*IM_RMS_120*VDC_AVG*Z112*n*FSW*k/GDR_SINK/3,"")</f>
        <v/>
      </c>
      <c r="AJ112" s="127" t="str">
        <f t="shared" si="53"/>
        <v/>
      </c>
      <c r="AK112" s="127" t="str">
        <f t="shared" si="55"/>
        <v/>
      </c>
      <c r="AL112" s="127" t="str">
        <f t="shared" si="54"/>
        <v/>
      </c>
      <c r="AM112" s="127" t="str">
        <f t="shared" si="51"/>
        <v/>
      </c>
      <c r="AN112" s="127">
        <f>IF(AND($A112&lt;&gt;0,$A112&lt;&gt;"",OR(RIGHT(Logic!B112,2)="C)",LEFT(Logic!B112,4)="CSD1")),SUM(AD112:AF112)+(AJ112/3)+AK112+AL112/6+AM112/6,AN113)</f>
        <v>0</v>
      </c>
      <c r="AO112" s="127">
        <f>IF(AND($A112&lt;&gt;0,$A112&lt;&gt;"",OR(RIGHT(Logic!B112,2)="T)",LEFT(Logic!B112,4)="CSD1")),SUM(AG112:AI112)+(AJ112/3)+AL112/6+AM112/6,AO111)</f>
        <v>0.23887636588496741</v>
      </c>
      <c r="AP112" s="48" t="str">
        <f t="shared" si="52"/>
        <v/>
      </c>
      <c r="AQ112" s="35" t="str">
        <f>IF(AND(A112&lt;&gt;0,A112&lt;&gt;""),LOOKUP(A112,Discrete_NFET[PARTNUMBER],Discrete_NFET[TI_EQ_PACKAGE]),"")</f>
        <v/>
      </c>
      <c r="AR112" s="49" t="str">
        <f>IF(AND(A112&lt;&gt;0,A112&lt;&gt;""),LOOKUP(A112,Discrete_NFET[PARTNUMBER],Discrete_NFET[1KPRICE]),"")</f>
        <v/>
      </c>
      <c r="AS112" s="35" t="str">
        <f>IF(AND($A112&lt;&gt;0,$A112&lt;&gt;""),CONCATENATE(TEXT(AP112,"0.00"),"W, ",IF('User Input'!G$11="Single Discrete",A112,IF('User Input'!G$11="Dual/Power Block",LEFT(A112,FIND(")",A112)-7),A112)),", ",AQ112,", ",TEXT(AR112,"$0.00")),"Invalid Part")</f>
        <v>Invalid Part</v>
      </c>
      <c r="AT112"/>
      <c r="AW112"/>
    </row>
    <row r="113" spans="1:50" ht="15" customHeight="1" x14ac:dyDescent="0.25">
      <c r="A113" s="35" t="str">
        <f>IF(OR(AND(FET_config2="Dual/Power Block",LEFT(Logic!B113,4)="CSD8"),AND(FET_config2="Single Discrete",LEFT(Logic!B113,4)="CSD1")),Logic!B113,"")</f>
        <v/>
      </c>
      <c r="B113" s="37" t="str">
        <f>IF(OR($A113=0,$A113=""),"0",IF(LOOKUP($A113,Discrete_NFET[PARTNUMBER],Discrete_NFET[RDSON25])="(NULL)","0","1"))</f>
        <v>0</v>
      </c>
      <c r="C113" s="38" t="str">
        <f>IF(OR($A113=0,$A113=""),"0",IF(LOOKUP($A113,Discrete_NFET[PARTNUMBER],Discrete_NFET[RDSON3])="(NULL)","0","1"))</f>
        <v>0</v>
      </c>
      <c r="D113" s="40" t="str">
        <f>IF(OR($A113=0,$A113=""),"0",IF(LOOKUP($A113,Discrete_NFET[PARTNUMBER],Discrete_NFET[RDSON45])="(NULL)","0","1"))</f>
        <v>0</v>
      </c>
      <c r="E113" s="45" t="str">
        <f>IF(OR($A113=0,$A113=""),"0",IF(LOOKUP($A113,Discrete_NFET[PARTNUMBER],Discrete_NFET[RDSON6])="(NULL)","0","1"))</f>
        <v>0</v>
      </c>
      <c r="F113" s="34" t="str">
        <f>IF(OR($A113=0,$A113=""),"0",IF(LOOKUP($A113,Discrete_NFET[PARTNUMBER],Discrete_NFET[RDSON8])="(NULL)","0","1"))</f>
        <v>0</v>
      </c>
      <c r="G113" s="43" t="str">
        <f>IF(OR($A113=0,$A113=""),"0",IF(LOOKUP($A113,Discrete_NFET[PARTNUMBER],Discrete_NFET[RDSON10])="(NULL)","0","1"))</f>
        <v>0</v>
      </c>
      <c r="H113" s="36" t="b">
        <f t="shared" si="37"/>
        <v>0</v>
      </c>
      <c r="I113" s="39" t="b">
        <f t="shared" si="38"/>
        <v>0</v>
      </c>
      <c r="J113" s="41" t="b">
        <f t="shared" si="39"/>
        <v>0</v>
      </c>
      <c r="K113" s="46" t="b">
        <f t="shared" si="40"/>
        <v>0</v>
      </c>
      <c r="L113" s="42" t="b">
        <f t="shared" si="41"/>
        <v>0</v>
      </c>
      <c r="M113" s="44" t="b">
        <f t="shared" si="42"/>
        <v>0</v>
      </c>
      <c r="N113" s="47" t="b">
        <f t="shared" si="43"/>
        <v>0</v>
      </c>
      <c r="O113" s="36" t="b">
        <f t="shared" si="44"/>
        <v>0</v>
      </c>
      <c r="P113" s="39" t="b">
        <f t="shared" si="45"/>
        <v>0</v>
      </c>
      <c r="Q113" s="41" t="b">
        <f t="shared" si="46"/>
        <v>0</v>
      </c>
      <c r="R113" s="46" t="b">
        <f t="shared" si="47"/>
        <v>0</v>
      </c>
      <c r="S113" s="42" t="b">
        <f t="shared" si="48"/>
        <v>0</v>
      </c>
      <c r="T113" s="44" t="b">
        <f t="shared" si="49"/>
        <v>0</v>
      </c>
      <c r="U113" s="148" t="str">
        <f>IF(T113,LOOKUP(A113,Discrete_NFET[PARTNUMBER],Discrete_NFET[RDSON10])*1000,IF(S113,LOOKUP(A113,Discrete_NFET[PARTNUMBER],Discrete_NFET[RDSON8])*1000,IF(R113,LOOKUP(A113,Discrete_NFET[PARTNUMBER],Discrete_NFET[RDSON6])*1000,IF(Q113,LOOKUP(A113,Discrete_NFET[PARTNUMBER],Discrete_NFET[RDSON45])*1000,IF(P113,LOOKUP(A113,Discrete_NFET[PARTNUMBER],Discrete_NFET[RDSON3])*1000,IF(O113,LOOKUP(A113,Discrete_NFET[PARTNUMBER],Discrete_NFET[RDSON25])*1000,""))))))</f>
        <v/>
      </c>
      <c r="V113" s="48" t="str">
        <f>IF(AND(A113&lt;&gt;0,A113&lt;&gt;""),U113*(1+(Tj-25)*(LOOKUP(A113,Discrete_NFET[PARTNUMBER],Discrete_NFET[RDSDELTA])/((LOOKUP(A113,Discrete_NFET[PARTNUMBER],Discrete_NFET[TJMAX])-25)))),"")</f>
        <v/>
      </c>
      <c r="W113" s="35" t="str">
        <f>IF(AND($A113&lt;&gt;0,$A113&lt;&gt;""),LOOKUP($A113,Discrete_NFET[PARTNUMBER],Discrete_NFET[QGS]),"")</f>
        <v/>
      </c>
      <c r="X113" s="35" t="str">
        <f>IF(AND($A113&lt;&gt;0,$A113&lt;&gt;""),LOOKUP($A113,Discrete_NFET[PARTNUMBER],Discrete_NFET[QGD]),"")</f>
        <v/>
      </c>
      <c r="Y113" s="35" t="str">
        <f>IF(AND($A113&lt;&gt;0,$A113&lt;&gt;""),LOOKUP($A113,Discrete_NFET[PARTNUMBER],Discrete_NFET[QGTH]),"")</f>
        <v/>
      </c>
      <c r="Z113" s="35" t="str">
        <f t="shared" si="50"/>
        <v/>
      </c>
      <c r="AA113" s="35" t="str">
        <f>IF(AND($A113&lt;&gt;0,$A113&lt;&gt;""),LOOKUP($A113,Discrete_NFET[PARTNUMBER],Discrete_NFET[QOSSTYP]),"")</f>
        <v/>
      </c>
      <c r="AB113" s="35" t="str">
        <f>IF(AND($A113&lt;&gt;0,$A113&lt;&gt;""),LOOKUP($A113,Discrete_NFET[PARTNUMBER],Discrete_NFET[QRR]),"")</f>
        <v/>
      </c>
      <c r="AC113" s="35" t="str">
        <f>IF(AND(A113&lt;&gt;0,A113&lt;&gt;""),LOOKUP(A113,Discrete_NFET[PARTNUMBER],Discrete_NFET[VF_TYP]),"")</f>
        <v/>
      </c>
      <c r="AD113" s="127" t="str">
        <f>IF(AND($A113&lt;&gt;0,$A113&lt;&gt;"",OR(RIGHT(Logic!B113,2)="C)",LEFT(Logic!B113,4)="CSD1")),(1+(1-DUTY))*IM_RMS_120^2*V113*m/3/Num_FETS2,"")</f>
        <v/>
      </c>
      <c r="AE113" s="127" t="str">
        <f>IF(AND($A113&lt;&gt;0,$A113&lt;&gt;"",OR(RIGHT(Logic!B113,2)="C)",LEFT(Logic!B113,4)="CSD1")),Num_FETS2*0.5*IM_RMS_120*VDC_AVG*Z113*n*MOT_ELEC_FREQ/GDR_SRC,"")</f>
        <v/>
      </c>
      <c r="AF113" s="127" t="str">
        <f>IF(AND($A113&lt;&gt;0,$A113&lt;&gt;"",OR(RIGHT(Logic!B113,2)="C)",LEFT(Logic!B113,4)="CSD1")),Num_FETS2*0.5*IM_RMS_120*VDC_AVG*Z113*n*MOT_ELEC_FREQ/GDR_SINK,"")</f>
        <v/>
      </c>
      <c r="AG113" s="127" t="str">
        <f>IF(AND($A113&lt;&gt;0,$A113&lt;&gt;"",OR(RIGHT(Logic!B113,2)="T)",LEFT(Logic!B113,4)="CSD1")),DUTY*IM_RMS_120^2*V113*m/3/Num_FETS2,"")</f>
        <v/>
      </c>
      <c r="AH113" s="127" t="str">
        <f>IF(AND($A113&lt;&gt;0,$A113&lt;&gt;"",OR(RIGHT(Logic!B113,2)="T)",LEFT(Logic!B113,4)="CSD1")),Num_FETS2*0.5*IM_RMS_120*VDC_AVG*Z113*n*FSW*k/GDR_SRC/3,"")</f>
        <v/>
      </c>
      <c r="AI113" s="127" t="str">
        <f>IF(AND($A113&lt;&gt;0,$A113&lt;&gt;"",OR(RIGHT(Logic!B113,2)="T)",LEFT(Logic!B113,4)="CSD1")),Num_FETS2*0.5*IM_RMS_120*VDC_AVG*Z113*n*FSW*k/GDR_SINK/3,"")</f>
        <v/>
      </c>
      <c r="AJ113" s="127" t="str">
        <f t="shared" si="53"/>
        <v/>
      </c>
      <c r="AK113" s="127" t="str">
        <f t="shared" si="55"/>
        <v/>
      </c>
      <c r="AL113" s="127" t="str">
        <f t="shared" si="54"/>
        <v/>
      </c>
      <c r="AM113" s="127" t="str">
        <f t="shared" si="51"/>
        <v/>
      </c>
      <c r="AN113" s="127">
        <f>IF(AND($A113&lt;&gt;0,$A113&lt;&gt;"",OR(RIGHT(Logic!B113,2)="C)",LEFT(Logic!B113,4)="CSD1")),SUM(AD113:AF113)+(AJ113/3)+AK113+AL113/6+AM113/6,AN114)</f>
        <v>0</v>
      </c>
      <c r="AO113" s="127">
        <f>IF(AND($A113&lt;&gt;0,$A113&lt;&gt;"",OR(RIGHT(Logic!B113,2)="T)",LEFT(Logic!B113,4)="CSD1")),SUM(AG113:AI113)+(AJ113/3)+AL113/6+AM113/6,AO112)</f>
        <v>0.23887636588496741</v>
      </c>
      <c r="AP113" s="48" t="str">
        <f t="shared" si="52"/>
        <v/>
      </c>
      <c r="AQ113" s="35" t="str">
        <f>IF(AND(A113&lt;&gt;0,A113&lt;&gt;""),LOOKUP(A113,Discrete_NFET[PARTNUMBER],Discrete_NFET[TI_EQ_PACKAGE]),"")</f>
        <v/>
      </c>
      <c r="AR113" s="49" t="str">
        <f>IF(AND(A113&lt;&gt;0,A113&lt;&gt;""),LOOKUP(A113,Discrete_NFET[PARTNUMBER],Discrete_NFET[1KPRICE]),"")</f>
        <v/>
      </c>
      <c r="AS113" s="35" t="str">
        <f>IF(AND($A113&lt;&gt;0,$A113&lt;&gt;""),CONCATENATE(TEXT(AP113,"0.00"),"W, ",IF('User Input'!G$11="Single Discrete",A113,IF('User Input'!G$11="Dual/Power Block",LEFT(A113,FIND(")",A113)-7),A113)),", ",AQ113,", ",TEXT(AR113,"$0.00")),"Invalid Part")</f>
        <v>Invalid Part</v>
      </c>
      <c r="AT113"/>
      <c r="AW113"/>
    </row>
    <row r="114" spans="1:50" ht="15" customHeight="1" x14ac:dyDescent="0.25">
      <c r="A114" s="35" t="str">
        <f>IF(OR(AND(FET_config2="Dual/Power Block",LEFT(Logic!B114,4)="CSD8"),AND(FET_config2="Single Discrete",LEFT(Logic!B114,4)="CSD1")),Logic!B114,"")</f>
        <v/>
      </c>
      <c r="B114" s="37" t="str">
        <f>IF(OR($A114=0,$A114=""),"0",IF(LOOKUP($A114,Discrete_NFET[PARTNUMBER],Discrete_NFET[RDSON25])="(NULL)","0","1"))</f>
        <v>0</v>
      </c>
      <c r="C114" s="38" t="str">
        <f>IF(OR($A114=0,$A114=""),"0",IF(LOOKUP($A114,Discrete_NFET[PARTNUMBER],Discrete_NFET[RDSON3])="(NULL)","0","1"))</f>
        <v>0</v>
      </c>
      <c r="D114" s="40" t="str">
        <f>IF(OR($A114=0,$A114=""),"0",IF(LOOKUP($A114,Discrete_NFET[PARTNUMBER],Discrete_NFET[RDSON45])="(NULL)","0","1"))</f>
        <v>0</v>
      </c>
      <c r="E114" s="45" t="str">
        <f>IF(OR($A114=0,$A114=""),"0",IF(LOOKUP($A114,Discrete_NFET[PARTNUMBER],Discrete_NFET[RDSON6])="(NULL)","0","1"))</f>
        <v>0</v>
      </c>
      <c r="F114" s="34" t="str">
        <f>IF(OR($A114=0,$A114=""),"0",IF(LOOKUP($A114,Discrete_NFET[PARTNUMBER],Discrete_NFET[RDSON8])="(NULL)","0","1"))</f>
        <v>0</v>
      </c>
      <c r="G114" s="43" t="str">
        <f>IF(OR($A114=0,$A114=""),"0",IF(LOOKUP($A114,Discrete_NFET[PARTNUMBER],Discrete_NFET[RDSON10])="(NULL)","0","1"))</f>
        <v>0</v>
      </c>
      <c r="H114" s="36" t="b">
        <f t="shared" si="37"/>
        <v>0</v>
      </c>
      <c r="I114" s="39" t="b">
        <f t="shared" si="38"/>
        <v>0</v>
      </c>
      <c r="J114" s="41" t="b">
        <f t="shared" si="39"/>
        <v>0</v>
      </c>
      <c r="K114" s="46" t="b">
        <f t="shared" si="40"/>
        <v>0</v>
      </c>
      <c r="L114" s="42" t="b">
        <f t="shared" si="41"/>
        <v>0</v>
      </c>
      <c r="M114" s="44" t="b">
        <f t="shared" si="42"/>
        <v>0</v>
      </c>
      <c r="N114" s="47" t="b">
        <f t="shared" si="43"/>
        <v>0</v>
      </c>
      <c r="O114" s="36" t="b">
        <f t="shared" si="44"/>
        <v>0</v>
      </c>
      <c r="P114" s="39" t="b">
        <f t="shared" si="45"/>
        <v>0</v>
      </c>
      <c r="Q114" s="41" t="b">
        <f t="shared" si="46"/>
        <v>0</v>
      </c>
      <c r="R114" s="46" t="b">
        <f t="shared" si="47"/>
        <v>0</v>
      </c>
      <c r="S114" s="42" t="b">
        <f t="shared" si="48"/>
        <v>0</v>
      </c>
      <c r="T114" s="44" t="b">
        <f t="shared" si="49"/>
        <v>0</v>
      </c>
      <c r="U114" s="148" t="str">
        <f>IF(T114,LOOKUP(A114,Discrete_NFET[PARTNUMBER],Discrete_NFET[RDSON10])*1000,IF(S114,LOOKUP(A114,Discrete_NFET[PARTNUMBER],Discrete_NFET[RDSON8])*1000,IF(R114,LOOKUP(A114,Discrete_NFET[PARTNUMBER],Discrete_NFET[RDSON6])*1000,IF(Q114,LOOKUP(A114,Discrete_NFET[PARTNUMBER],Discrete_NFET[RDSON45])*1000,IF(P114,LOOKUP(A114,Discrete_NFET[PARTNUMBER],Discrete_NFET[RDSON3])*1000,IF(O114,LOOKUP(A114,Discrete_NFET[PARTNUMBER],Discrete_NFET[RDSON25])*1000,""))))))</f>
        <v/>
      </c>
      <c r="V114" s="48" t="str">
        <f>IF(AND(A114&lt;&gt;0,A114&lt;&gt;""),U114*(1+(Tj-25)*(LOOKUP(A114,Discrete_NFET[PARTNUMBER],Discrete_NFET[RDSDELTA])/((LOOKUP(A114,Discrete_NFET[PARTNUMBER],Discrete_NFET[TJMAX])-25)))),"")</f>
        <v/>
      </c>
      <c r="W114" s="35" t="str">
        <f>IF(AND($A114&lt;&gt;0,$A114&lt;&gt;""),LOOKUP($A114,Discrete_NFET[PARTNUMBER],Discrete_NFET[QGS]),"")</f>
        <v/>
      </c>
      <c r="X114" s="35" t="str">
        <f>IF(AND($A114&lt;&gt;0,$A114&lt;&gt;""),LOOKUP($A114,Discrete_NFET[PARTNUMBER],Discrete_NFET[QGD]),"")</f>
        <v/>
      </c>
      <c r="Y114" s="35" t="str">
        <f>IF(AND($A114&lt;&gt;0,$A114&lt;&gt;""),LOOKUP($A114,Discrete_NFET[PARTNUMBER],Discrete_NFET[QGTH]),"")</f>
        <v/>
      </c>
      <c r="Z114" s="35" t="str">
        <f t="shared" si="50"/>
        <v/>
      </c>
      <c r="AA114" s="35" t="str">
        <f>IF(AND($A114&lt;&gt;0,$A114&lt;&gt;""),LOOKUP($A114,Discrete_NFET[PARTNUMBER],Discrete_NFET[QOSSTYP]),"")</f>
        <v/>
      </c>
      <c r="AB114" s="35" t="str">
        <f>IF(AND($A114&lt;&gt;0,$A114&lt;&gt;""),LOOKUP($A114,Discrete_NFET[PARTNUMBER],Discrete_NFET[QRR]),"")</f>
        <v/>
      </c>
      <c r="AC114" s="35" t="str">
        <f>IF(AND(A114&lt;&gt;0,A114&lt;&gt;""),LOOKUP(A114,Discrete_NFET[PARTNUMBER],Discrete_NFET[VF_TYP]),"")</f>
        <v/>
      </c>
      <c r="AD114" s="127" t="str">
        <f>IF(AND($A114&lt;&gt;0,$A114&lt;&gt;"",OR(RIGHT(Logic!B114,2)="C)",LEFT(Logic!B114,4)="CSD1")),(1+(1-DUTY))*IM_RMS_120^2*V114*m/3/Num_FETS2,"")</f>
        <v/>
      </c>
      <c r="AE114" s="127" t="str">
        <f>IF(AND($A114&lt;&gt;0,$A114&lt;&gt;"",OR(RIGHT(Logic!B114,2)="C)",LEFT(Logic!B114,4)="CSD1")),Num_FETS2*0.5*IM_RMS_120*VDC_AVG*Z114*n*MOT_ELEC_FREQ/GDR_SRC,"")</f>
        <v/>
      </c>
      <c r="AF114" s="127" t="str">
        <f>IF(AND($A114&lt;&gt;0,$A114&lt;&gt;"",OR(RIGHT(Logic!B114,2)="C)",LEFT(Logic!B114,4)="CSD1")),Num_FETS2*0.5*IM_RMS_120*VDC_AVG*Z114*n*MOT_ELEC_FREQ/GDR_SINK,"")</f>
        <v/>
      </c>
      <c r="AG114" s="127" t="str">
        <f>IF(AND($A114&lt;&gt;0,$A114&lt;&gt;"",OR(RIGHT(Logic!B114,2)="T)",LEFT(Logic!B114,4)="CSD1")),DUTY*IM_RMS_120^2*V114*m/3/Num_FETS2,"")</f>
        <v/>
      </c>
      <c r="AH114" s="127" t="str">
        <f>IF(AND($A114&lt;&gt;0,$A114&lt;&gt;"",OR(RIGHT(Logic!B114,2)="T)",LEFT(Logic!B114,4)="CSD1")),Num_FETS2*0.5*IM_RMS_120*VDC_AVG*Z114*n*FSW*k/GDR_SRC/3,"")</f>
        <v/>
      </c>
      <c r="AI114" s="127" t="str">
        <f>IF(AND($A114&lt;&gt;0,$A114&lt;&gt;"",OR(RIGHT(Logic!B114,2)="T)",LEFT(Logic!B114,4)="CSD1")),Num_FETS2*0.5*IM_RMS_120*VDC_AVG*Z114*n*FSW*k/GDR_SINK/3,"")</f>
        <v/>
      </c>
      <c r="AJ114" s="127" t="str">
        <f t="shared" si="53"/>
        <v/>
      </c>
      <c r="AK114" s="127" t="str">
        <f t="shared" si="55"/>
        <v/>
      </c>
      <c r="AL114" s="127" t="str">
        <f t="shared" si="54"/>
        <v/>
      </c>
      <c r="AM114" s="127" t="str">
        <f t="shared" si="51"/>
        <v/>
      </c>
      <c r="AN114" s="127">
        <f>IF(AND($A114&lt;&gt;0,$A114&lt;&gt;"",OR(RIGHT(Logic!B114,2)="C)",LEFT(Logic!B114,4)="CSD1")),SUM(AD114:AF114)+(AJ114/3)+AK114+AL114/6+AM114/6,AN115)</f>
        <v>0</v>
      </c>
      <c r="AO114" s="127">
        <f>IF(AND($A114&lt;&gt;0,$A114&lt;&gt;"",OR(RIGHT(Logic!B114,2)="T)",LEFT(Logic!B114,4)="CSD1")),SUM(AG114:AI114)+(AJ114/3)+AL114/6+AM114/6,AO113)</f>
        <v>0.23887636588496741</v>
      </c>
      <c r="AP114" s="48" t="str">
        <f t="shared" si="52"/>
        <v/>
      </c>
      <c r="AQ114" s="35" t="str">
        <f>IF(AND(A114&lt;&gt;0,A114&lt;&gt;""),LOOKUP(A114,Discrete_NFET[PARTNUMBER],Discrete_NFET[TI_EQ_PACKAGE]),"")</f>
        <v/>
      </c>
      <c r="AR114" s="49" t="str">
        <f>IF(AND(A114&lt;&gt;0,A114&lt;&gt;""),LOOKUP(A114,Discrete_NFET[PARTNUMBER],Discrete_NFET[1KPRICE]),"")</f>
        <v/>
      </c>
      <c r="AS114" s="35" t="str">
        <f>IF(AND($A114&lt;&gt;0,$A114&lt;&gt;""),CONCATENATE(TEXT(AP114,"0.00"),"W, ",IF('User Input'!G$11="Single Discrete",A114,IF('User Input'!G$11="Dual/Power Block",LEFT(A114,FIND(")",A114)-7),A114)),", ",AQ114,", ",TEXT(AR114,"$0.00")),"Invalid Part")</f>
        <v>Invalid Part</v>
      </c>
      <c r="AT114"/>
      <c r="AW114"/>
    </row>
    <row r="115" spans="1:50" ht="15" customHeight="1" x14ac:dyDescent="0.25">
      <c r="A115" s="35" t="str">
        <f>IF(OR(AND(FET_config2="Dual/Power Block",LEFT(Logic!B115,4)="CSD8"),AND(FET_config2="Single Discrete",LEFT(Logic!B115,4)="CSD1")),Logic!B115,"")</f>
        <v/>
      </c>
      <c r="B115" s="37" t="str">
        <f>IF(OR($A115=0,$A115=""),"0",IF(LOOKUP($A115,Discrete_NFET[PARTNUMBER],Discrete_NFET[RDSON25])="(NULL)","0","1"))</f>
        <v>0</v>
      </c>
      <c r="C115" s="38" t="str">
        <f>IF(OR($A115=0,$A115=""),"0",IF(LOOKUP($A115,Discrete_NFET[PARTNUMBER],Discrete_NFET[RDSON3])="(NULL)","0","1"))</f>
        <v>0</v>
      </c>
      <c r="D115" s="40" t="str">
        <f>IF(OR($A115=0,$A115=""),"0",IF(LOOKUP($A115,Discrete_NFET[PARTNUMBER],Discrete_NFET[RDSON45])="(NULL)","0","1"))</f>
        <v>0</v>
      </c>
      <c r="E115" s="45" t="str">
        <f>IF(OR($A115=0,$A115=""),"0",IF(LOOKUP($A115,Discrete_NFET[PARTNUMBER],Discrete_NFET[RDSON6])="(NULL)","0","1"))</f>
        <v>0</v>
      </c>
      <c r="F115" s="34" t="str">
        <f>IF(OR($A115=0,$A115=""),"0",IF(LOOKUP($A115,Discrete_NFET[PARTNUMBER],Discrete_NFET[RDSON8])="(NULL)","0","1"))</f>
        <v>0</v>
      </c>
      <c r="G115" s="43" t="str">
        <f>IF(OR($A115=0,$A115=""),"0",IF(LOOKUP($A115,Discrete_NFET[PARTNUMBER],Discrete_NFET[RDSON10])="(NULL)","0","1"))</f>
        <v>0</v>
      </c>
      <c r="H115" s="36" t="b">
        <f t="shared" si="37"/>
        <v>0</v>
      </c>
      <c r="I115" s="39" t="b">
        <f t="shared" si="38"/>
        <v>0</v>
      </c>
      <c r="J115" s="41" t="b">
        <f t="shared" si="39"/>
        <v>0</v>
      </c>
      <c r="K115" s="46" t="b">
        <f t="shared" si="40"/>
        <v>0</v>
      </c>
      <c r="L115" s="42" t="b">
        <f t="shared" si="41"/>
        <v>0</v>
      </c>
      <c r="M115" s="44" t="b">
        <f t="shared" si="42"/>
        <v>0</v>
      </c>
      <c r="N115" s="47" t="b">
        <f t="shared" si="43"/>
        <v>0</v>
      </c>
      <c r="O115" s="36" t="b">
        <f t="shared" si="44"/>
        <v>0</v>
      </c>
      <c r="P115" s="39" t="b">
        <f t="shared" si="45"/>
        <v>0</v>
      </c>
      <c r="Q115" s="41" t="b">
        <f t="shared" si="46"/>
        <v>0</v>
      </c>
      <c r="R115" s="46" t="b">
        <f t="shared" si="47"/>
        <v>0</v>
      </c>
      <c r="S115" s="42" t="b">
        <f t="shared" si="48"/>
        <v>0</v>
      </c>
      <c r="T115" s="44" t="b">
        <f t="shared" si="49"/>
        <v>0</v>
      </c>
      <c r="U115" s="148" t="str">
        <f>IF(T115,LOOKUP(A115,Discrete_NFET[PARTNUMBER],Discrete_NFET[RDSON10])*1000,IF(S115,LOOKUP(A115,Discrete_NFET[PARTNUMBER],Discrete_NFET[RDSON8])*1000,IF(R115,LOOKUP(A115,Discrete_NFET[PARTNUMBER],Discrete_NFET[RDSON6])*1000,IF(Q115,LOOKUP(A115,Discrete_NFET[PARTNUMBER],Discrete_NFET[RDSON45])*1000,IF(P115,LOOKUP(A115,Discrete_NFET[PARTNUMBER],Discrete_NFET[RDSON3])*1000,IF(O115,LOOKUP(A115,Discrete_NFET[PARTNUMBER],Discrete_NFET[RDSON25])*1000,""))))))</f>
        <v/>
      </c>
      <c r="V115" s="48" t="str">
        <f>IF(AND(A115&lt;&gt;0,A115&lt;&gt;""),U115*(1+(Tj-25)*(LOOKUP(A115,Discrete_NFET[PARTNUMBER],Discrete_NFET[RDSDELTA])/((LOOKUP(A115,Discrete_NFET[PARTNUMBER],Discrete_NFET[TJMAX])-25)))),"")</f>
        <v/>
      </c>
      <c r="W115" s="35" t="str">
        <f>IF(AND($A115&lt;&gt;0,$A115&lt;&gt;""),LOOKUP($A115,Discrete_NFET[PARTNUMBER],Discrete_NFET[QGS]),"")</f>
        <v/>
      </c>
      <c r="X115" s="35" t="str">
        <f>IF(AND($A115&lt;&gt;0,$A115&lt;&gt;""),LOOKUP($A115,Discrete_NFET[PARTNUMBER],Discrete_NFET[QGD]),"")</f>
        <v/>
      </c>
      <c r="Y115" s="35" t="str">
        <f>IF(AND($A115&lt;&gt;0,$A115&lt;&gt;""),LOOKUP($A115,Discrete_NFET[PARTNUMBER],Discrete_NFET[QGTH]),"")</f>
        <v/>
      </c>
      <c r="Z115" s="35" t="str">
        <f t="shared" si="50"/>
        <v/>
      </c>
      <c r="AA115" s="35" t="str">
        <f>IF(AND($A115&lt;&gt;0,$A115&lt;&gt;""),LOOKUP($A115,Discrete_NFET[PARTNUMBER],Discrete_NFET[QOSSTYP]),"")</f>
        <v/>
      </c>
      <c r="AB115" s="35" t="str">
        <f>IF(AND($A115&lt;&gt;0,$A115&lt;&gt;""),LOOKUP($A115,Discrete_NFET[PARTNUMBER],Discrete_NFET[QRR]),"")</f>
        <v/>
      </c>
      <c r="AC115" s="35" t="str">
        <f>IF(AND(A115&lt;&gt;0,A115&lt;&gt;""),LOOKUP(A115,Discrete_NFET[PARTNUMBER],Discrete_NFET[VF_TYP]),"")</f>
        <v/>
      </c>
      <c r="AD115" s="127" t="str">
        <f>IF(AND($A115&lt;&gt;0,$A115&lt;&gt;"",OR(RIGHT(Logic!B115,2)="C)",LEFT(Logic!B115,4)="CSD1")),(1+(1-DUTY))*IM_RMS_120^2*V115*m/3/Num_FETS2,"")</f>
        <v/>
      </c>
      <c r="AE115" s="127" t="str">
        <f>IF(AND($A115&lt;&gt;0,$A115&lt;&gt;"",OR(RIGHT(Logic!B115,2)="C)",LEFT(Logic!B115,4)="CSD1")),Num_FETS2*0.5*IM_RMS_120*VDC_AVG*Z115*n*MOT_ELEC_FREQ/GDR_SRC,"")</f>
        <v/>
      </c>
      <c r="AF115" s="127" t="str">
        <f>IF(AND($A115&lt;&gt;0,$A115&lt;&gt;"",OR(RIGHT(Logic!B115,2)="C)",LEFT(Logic!B115,4)="CSD1")),Num_FETS2*0.5*IM_RMS_120*VDC_AVG*Z115*n*MOT_ELEC_FREQ/GDR_SINK,"")</f>
        <v/>
      </c>
      <c r="AG115" s="127" t="str">
        <f>IF(AND($A115&lt;&gt;0,$A115&lt;&gt;"",OR(RIGHT(Logic!B115,2)="T)",LEFT(Logic!B115,4)="CSD1")),DUTY*IM_RMS_120^2*V115*m/3/Num_FETS2,"")</f>
        <v/>
      </c>
      <c r="AH115" s="127" t="str">
        <f>IF(AND($A115&lt;&gt;0,$A115&lt;&gt;"",OR(RIGHT(Logic!B115,2)="T)",LEFT(Logic!B115,4)="CSD1")),Num_FETS2*0.5*IM_RMS_120*VDC_AVG*Z115*n*FSW*k/GDR_SRC/3,"")</f>
        <v/>
      </c>
      <c r="AI115" s="127" t="str">
        <f>IF(AND($A115&lt;&gt;0,$A115&lt;&gt;"",OR(RIGHT(Logic!B115,2)="T)",LEFT(Logic!B115,4)="CSD1")),Num_FETS2*0.5*IM_RMS_120*VDC_AVG*Z115*n*FSW*k/GDR_SINK/3,"")</f>
        <v/>
      </c>
      <c r="AJ115" s="127" t="str">
        <f t="shared" si="53"/>
        <v/>
      </c>
      <c r="AK115" s="127" t="str">
        <f t="shared" si="55"/>
        <v/>
      </c>
      <c r="AL115" s="127" t="str">
        <f t="shared" si="54"/>
        <v/>
      </c>
      <c r="AM115" s="127" t="str">
        <f t="shared" si="51"/>
        <v/>
      </c>
      <c r="AN115" s="127">
        <f>IF(AND($A115&lt;&gt;0,$A115&lt;&gt;"",OR(RIGHT(Logic!B115,2)="C)",LEFT(Logic!B115,4)="CSD1")),SUM(AD115:AF115)+(AJ115/3)+AK115+AL115/6+AM115/6,AN116)</f>
        <v>0</v>
      </c>
      <c r="AO115" s="127">
        <f>IF(AND($A115&lt;&gt;0,$A115&lt;&gt;"",OR(RIGHT(Logic!B115,2)="T)",LEFT(Logic!B115,4)="CSD1")),SUM(AG115:AI115)+(AJ115/3)+AL115/6+AM115/6,AO114)</f>
        <v>0.23887636588496741</v>
      </c>
      <c r="AP115" s="48" t="str">
        <f t="shared" si="52"/>
        <v/>
      </c>
      <c r="AQ115" s="35" t="str">
        <f>IF(AND(A115&lt;&gt;0,A115&lt;&gt;""),LOOKUP(A115,Discrete_NFET[PARTNUMBER],Discrete_NFET[TI_EQ_PACKAGE]),"")</f>
        <v/>
      </c>
      <c r="AR115" s="49" t="str">
        <f>IF(AND(A115&lt;&gt;0,A115&lt;&gt;""),LOOKUP(A115,Discrete_NFET[PARTNUMBER],Discrete_NFET[1KPRICE]),"")</f>
        <v/>
      </c>
      <c r="AS115" s="35" t="str">
        <f>IF(AND($A115&lt;&gt;0,$A115&lt;&gt;""),CONCATENATE(TEXT(AP115,"0.00"),"W, ",IF('User Input'!G$11="Single Discrete",A115,IF('User Input'!G$11="Dual/Power Block",LEFT(A115,FIND(")",A115)-7),A115)),", ",AQ115,", ",TEXT(AR115,"$0.00")),"Invalid Part")</f>
        <v>Invalid Part</v>
      </c>
      <c r="AT115"/>
      <c r="AW115"/>
    </row>
    <row r="116" spans="1:50" s="17" customFormat="1" ht="15" customHeight="1" x14ac:dyDescent="0.25">
      <c r="A116" s="35" t="str">
        <f>IF(OR(AND(FET_config2="Dual/Power Block",LEFT(Logic!B116,4)="CSD8"),AND(FET_config2="Single Discrete",LEFT(Logic!B116,4)="CSD1")),Logic!B116,"")</f>
        <v/>
      </c>
      <c r="B116" s="37" t="str">
        <f>IF(OR($A116=0,$A116=""),"0",IF(LOOKUP($A116,Discrete_NFET[PARTNUMBER],Discrete_NFET[RDSON25])="(NULL)","0","1"))</f>
        <v>0</v>
      </c>
      <c r="C116" s="38" t="str">
        <f>IF(OR($A116=0,$A116=""),"0",IF(LOOKUP($A116,Discrete_NFET[PARTNUMBER],Discrete_NFET[RDSON3])="(NULL)","0","1"))</f>
        <v>0</v>
      </c>
      <c r="D116" s="40" t="str">
        <f>IF(OR($A116=0,$A116=""),"0",IF(LOOKUP($A116,Discrete_NFET[PARTNUMBER],Discrete_NFET[RDSON45])="(NULL)","0","1"))</f>
        <v>0</v>
      </c>
      <c r="E116" s="45" t="str">
        <f>IF(OR($A116=0,$A116=""),"0",IF(LOOKUP($A116,Discrete_NFET[PARTNUMBER],Discrete_NFET[RDSON6])="(NULL)","0","1"))</f>
        <v>0</v>
      </c>
      <c r="F116" s="34" t="str">
        <f>IF(OR($A116=0,$A116=""),"0",IF(LOOKUP($A116,Discrete_NFET[PARTNUMBER],Discrete_NFET[RDSON8])="(NULL)","0","1"))</f>
        <v>0</v>
      </c>
      <c r="G116" s="43" t="str">
        <f>IF(OR($A116=0,$A116=""),"0",IF(LOOKUP($A116,Discrete_NFET[PARTNUMBER],Discrete_NFET[RDSON10])="(NULL)","0","1"))</f>
        <v>0</v>
      </c>
      <c r="H116" s="36" t="b">
        <f t="shared" si="37"/>
        <v>0</v>
      </c>
      <c r="I116" s="39" t="b">
        <f t="shared" si="38"/>
        <v>0</v>
      </c>
      <c r="J116" s="41" t="b">
        <f t="shared" si="39"/>
        <v>0</v>
      </c>
      <c r="K116" s="46" t="b">
        <f t="shared" si="40"/>
        <v>0</v>
      </c>
      <c r="L116" s="42" t="b">
        <f t="shared" si="41"/>
        <v>0</v>
      </c>
      <c r="M116" s="44" t="b">
        <f t="shared" si="42"/>
        <v>0</v>
      </c>
      <c r="N116" s="47" t="b">
        <f t="shared" si="43"/>
        <v>0</v>
      </c>
      <c r="O116" s="36" t="b">
        <f t="shared" si="44"/>
        <v>0</v>
      </c>
      <c r="P116" s="39" t="b">
        <f t="shared" si="45"/>
        <v>0</v>
      </c>
      <c r="Q116" s="41" t="b">
        <f t="shared" si="46"/>
        <v>0</v>
      </c>
      <c r="R116" s="46" t="b">
        <f t="shared" si="47"/>
        <v>0</v>
      </c>
      <c r="S116" s="42" t="b">
        <f t="shared" si="48"/>
        <v>0</v>
      </c>
      <c r="T116" s="44" t="b">
        <f t="shared" si="49"/>
        <v>0</v>
      </c>
      <c r="U116" s="148" t="str">
        <f>IF(T116,LOOKUP(A116,Discrete_NFET[PARTNUMBER],Discrete_NFET[RDSON10])*1000,IF(S116,LOOKUP(A116,Discrete_NFET[PARTNUMBER],Discrete_NFET[RDSON8])*1000,IF(R116,LOOKUP(A116,Discrete_NFET[PARTNUMBER],Discrete_NFET[RDSON6])*1000,IF(Q116,LOOKUP(A116,Discrete_NFET[PARTNUMBER],Discrete_NFET[RDSON45])*1000,IF(P116,LOOKUP(A116,Discrete_NFET[PARTNUMBER],Discrete_NFET[RDSON3])*1000,IF(O116,LOOKUP(A116,Discrete_NFET[PARTNUMBER],Discrete_NFET[RDSON25])*1000,""))))))</f>
        <v/>
      </c>
      <c r="V116" s="48" t="str">
        <f>IF(AND(A116&lt;&gt;0,A116&lt;&gt;""),U116*(1+(Tj-25)*(LOOKUP(A116,Discrete_NFET[PARTNUMBER],Discrete_NFET[RDSDELTA])/((LOOKUP(A116,Discrete_NFET[PARTNUMBER],Discrete_NFET[TJMAX])-25)))),"")</f>
        <v/>
      </c>
      <c r="W116" s="35" t="str">
        <f>IF(AND($A116&lt;&gt;0,$A116&lt;&gt;""),LOOKUP($A116,Discrete_NFET[PARTNUMBER],Discrete_NFET[QGS]),"")</f>
        <v/>
      </c>
      <c r="X116" s="35" t="str">
        <f>IF(AND($A116&lt;&gt;0,$A116&lt;&gt;""),LOOKUP($A116,Discrete_NFET[PARTNUMBER],Discrete_NFET[QGD]),"")</f>
        <v/>
      </c>
      <c r="Y116" s="35" t="str">
        <f>IF(AND($A116&lt;&gt;0,$A116&lt;&gt;""),LOOKUP($A116,Discrete_NFET[PARTNUMBER],Discrete_NFET[QGTH]),"")</f>
        <v/>
      </c>
      <c r="Z116" s="35" t="str">
        <f t="shared" si="50"/>
        <v/>
      </c>
      <c r="AA116" s="35" t="str">
        <f>IF(AND($A116&lt;&gt;0,$A116&lt;&gt;""),LOOKUP($A116,Discrete_NFET[PARTNUMBER],Discrete_NFET[QOSSTYP]),"")</f>
        <v/>
      </c>
      <c r="AB116" s="35" t="str">
        <f>IF(AND($A116&lt;&gt;0,$A116&lt;&gt;""),LOOKUP($A116,Discrete_NFET[PARTNUMBER],Discrete_NFET[QRR]),"")</f>
        <v/>
      </c>
      <c r="AC116" s="35" t="str">
        <f>IF(AND(A116&lt;&gt;0,A116&lt;&gt;""),LOOKUP(A116,Discrete_NFET[PARTNUMBER],Discrete_NFET[VF_TYP]),"")</f>
        <v/>
      </c>
      <c r="AD116" s="127" t="str">
        <f>IF(AND($A116&lt;&gt;0,$A116&lt;&gt;"",OR(RIGHT(Logic!B116,2)="C)",LEFT(Logic!B116,4)="CSD1")),(1+(1-DUTY))*IM_RMS_120^2*V116*m/3/Num_FETS2,"")</f>
        <v/>
      </c>
      <c r="AE116" s="127" t="str">
        <f>IF(AND($A116&lt;&gt;0,$A116&lt;&gt;"",OR(RIGHT(Logic!B116,2)="C)",LEFT(Logic!B116,4)="CSD1")),Num_FETS2*0.5*IM_RMS_120*VDC_AVG*Z116*n*MOT_ELEC_FREQ/GDR_SRC,"")</f>
        <v/>
      </c>
      <c r="AF116" s="127" t="str">
        <f>IF(AND($A116&lt;&gt;0,$A116&lt;&gt;"",OR(RIGHT(Logic!B116,2)="C)",LEFT(Logic!B116,4)="CSD1")),Num_FETS2*0.5*IM_RMS_120*VDC_AVG*Z116*n*MOT_ELEC_FREQ/GDR_SINK,"")</f>
        <v/>
      </c>
      <c r="AG116" s="127" t="str">
        <f>IF(AND($A116&lt;&gt;0,$A116&lt;&gt;"",OR(RIGHT(Logic!B116,2)="T)",LEFT(Logic!B116,4)="CSD1")),DUTY*IM_RMS_120^2*V116*m/3/Num_FETS2,"")</f>
        <v/>
      </c>
      <c r="AH116" s="127" t="str">
        <f>IF(AND($A116&lt;&gt;0,$A116&lt;&gt;"",OR(RIGHT(Logic!B116,2)="T)",LEFT(Logic!B116,4)="CSD1")),Num_FETS2*0.5*IM_RMS_120*VDC_AVG*Z116*n*FSW*k/GDR_SRC/3,"")</f>
        <v/>
      </c>
      <c r="AI116" s="127" t="str">
        <f>IF(AND($A116&lt;&gt;0,$A116&lt;&gt;"",OR(RIGHT(Logic!B116,2)="T)",LEFT(Logic!B116,4)="CSD1")),Num_FETS2*0.5*IM_RMS_120*VDC_AVG*Z116*n*FSW*k/GDR_SINK/3,"")</f>
        <v/>
      </c>
      <c r="AJ116" s="127" t="str">
        <f t="shared" si="53"/>
        <v/>
      </c>
      <c r="AK116" s="127" t="str">
        <f t="shared" si="55"/>
        <v/>
      </c>
      <c r="AL116" s="127" t="str">
        <f t="shared" si="54"/>
        <v/>
      </c>
      <c r="AM116" s="127" t="str">
        <f t="shared" si="51"/>
        <v/>
      </c>
      <c r="AN116" s="127">
        <f>IF(AND($A116&lt;&gt;0,$A116&lt;&gt;"",OR(RIGHT(Logic!B116,2)="C)",LEFT(Logic!B116,4)="CSD1")),SUM(AD116:AF116)+(AJ116/3)+AK116+AL116/6+AM116/6,AN117)</f>
        <v>0</v>
      </c>
      <c r="AO116" s="127">
        <f>IF(AND($A116&lt;&gt;0,$A116&lt;&gt;"",OR(RIGHT(Logic!B116,2)="T)",LEFT(Logic!B116,4)="CSD1")),SUM(AG116:AI116)+(AJ116/3)+AL116/6+AM116/6,AO115)</f>
        <v>0.23887636588496741</v>
      </c>
      <c r="AP116" s="48" t="str">
        <f t="shared" si="52"/>
        <v/>
      </c>
      <c r="AQ116" s="35" t="str">
        <f>IF(AND(A116&lt;&gt;0,A116&lt;&gt;""),LOOKUP(A116,Discrete_NFET[PARTNUMBER],Discrete_NFET[TI_EQ_PACKAGE]),"")</f>
        <v/>
      </c>
      <c r="AR116" s="49" t="str">
        <f>IF(AND(A116&lt;&gt;0,A116&lt;&gt;""),LOOKUP(A116,Discrete_NFET[PARTNUMBER],Discrete_NFET[1KPRICE]),"")</f>
        <v/>
      </c>
      <c r="AS116" s="35" t="str">
        <f>IF(AND($A116&lt;&gt;0,$A116&lt;&gt;""),CONCATENATE(TEXT(AP116,"0.00"),"W, ",IF('User Input'!G$11="Single Discrete",A116,IF('User Input'!G$11="Dual/Power Block",LEFT(A116,FIND(")",A116)-7),A116)),", ",AQ116,", ",TEXT(AR116,"$0.00")),"Invalid Part")</f>
        <v>Invalid Part</v>
      </c>
      <c r="AT116"/>
      <c r="AU116" s="16"/>
      <c r="AV116" s="16"/>
      <c r="AW116"/>
      <c r="AX116" s="16"/>
    </row>
    <row r="117" spans="1:50" ht="15" customHeight="1" x14ac:dyDescent="0.25">
      <c r="A117" s="35" t="str">
        <f>IF(OR(AND(FET_config2="Dual/Power Block",LEFT(Logic!B117,4)="CSD8"),AND(FET_config2="Single Discrete",LEFT(Logic!B117,4)="CSD1")),Logic!B117,"")</f>
        <v/>
      </c>
      <c r="B117" s="37" t="str">
        <f>IF(OR($A117=0,$A117=""),"0",IF(LOOKUP($A117,Discrete_NFET[PARTNUMBER],Discrete_NFET[RDSON25])="(NULL)","0","1"))</f>
        <v>0</v>
      </c>
      <c r="C117" s="38" t="str">
        <f>IF(OR($A117=0,$A117=""),"0",IF(LOOKUP($A117,Discrete_NFET[PARTNUMBER],Discrete_NFET[RDSON3])="(NULL)","0","1"))</f>
        <v>0</v>
      </c>
      <c r="D117" s="40" t="str">
        <f>IF(OR($A117=0,$A117=""),"0",IF(LOOKUP($A117,Discrete_NFET[PARTNUMBER],Discrete_NFET[RDSON45])="(NULL)","0","1"))</f>
        <v>0</v>
      </c>
      <c r="E117" s="45" t="str">
        <f>IF(OR($A117=0,$A117=""),"0",IF(LOOKUP($A117,Discrete_NFET[PARTNUMBER],Discrete_NFET[RDSON6])="(NULL)","0","1"))</f>
        <v>0</v>
      </c>
      <c r="F117" s="34" t="str">
        <f>IF(OR($A117=0,$A117=""),"0",IF(LOOKUP($A117,Discrete_NFET[PARTNUMBER],Discrete_NFET[RDSON8])="(NULL)","0","1"))</f>
        <v>0</v>
      </c>
      <c r="G117" s="43" t="str">
        <f>IF(OR($A117=0,$A117=""),"0",IF(LOOKUP($A117,Discrete_NFET[PARTNUMBER],Discrete_NFET[RDSON10])="(NULL)","0","1"))</f>
        <v>0</v>
      </c>
      <c r="H117" s="36" t="b">
        <f t="shared" si="37"/>
        <v>0</v>
      </c>
      <c r="I117" s="39" t="b">
        <f t="shared" si="38"/>
        <v>0</v>
      </c>
      <c r="J117" s="41" t="b">
        <f t="shared" si="39"/>
        <v>0</v>
      </c>
      <c r="K117" s="46" t="b">
        <f t="shared" si="40"/>
        <v>0</v>
      </c>
      <c r="L117" s="42" t="b">
        <f t="shared" si="41"/>
        <v>0</v>
      </c>
      <c r="M117" s="44" t="b">
        <f t="shared" si="42"/>
        <v>0</v>
      </c>
      <c r="N117" s="47" t="b">
        <f t="shared" si="43"/>
        <v>0</v>
      </c>
      <c r="O117" s="36" t="b">
        <f t="shared" si="44"/>
        <v>0</v>
      </c>
      <c r="P117" s="39" t="b">
        <f t="shared" si="45"/>
        <v>0</v>
      </c>
      <c r="Q117" s="41" t="b">
        <f t="shared" si="46"/>
        <v>0</v>
      </c>
      <c r="R117" s="46" t="b">
        <f t="shared" si="47"/>
        <v>0</v>
      </c>
      <c r="S117" s="42" t="b">
        <f t="shared" si="48"/>
        <v>0</v>
      </c>
      <c r="T117" s="44" t="b">
        <f t="shared" si="49"/>
        <v>0</v>
      </c>
      <c r="U117" s="148" t="str">
        <f>IF(T117,LOOKUP(A117,Discrete_NFET[PARTNUMBER],Discrete_NFET[RDSON10])*1000,IF(S117,LOOKUP(A117,Discrete_NFET[PARTNUMBER],Discrete_NFET[RDSON8])*1000,IF(R117,LOOKUP(A117,Discrete_NFET[PARTNUMBER],Discrete_NFET[RDSON6])*1000,IF(Q117,LOOKUP(A117,Discrete_NFET[PARTNUMBER],Discrete_NFET[RDSON45])*1000,IF(P117,LOOKUP(A117,Discrete_NFET[PARTNUMBER],Discrete_NFET[RDSON3])*1000,IF(O117,LOOKUP(A117,Discrete_NFET[PARTNUMBER],Discrete_NFET[RDSON25])*1000,""))))))</f>
        <v/>
      </c>
      <c r="V117" s="48" t="str">
        <f>IF(AND(A117&lt;&gt;0,A117&lt;&gt;""),U117*(1+(Tj-25)*(LOOKUP(A117,Discrete_NFET[PARTNUMBER],Discrete_NFET[RDSDELTA])/((LOOKUP(A117,Discrete_NFET[PARTNUMBER],Discrete_NFET[TJMAX])-25)))),"")</f>
        <v/>
      </c>
      <c r="W117" s="35" t="str">
        <f>IF(AND($A117&lt;&gt;0,$A117&lt;&gt;""),LOOKUP($A117,Discrete_NFET[PARTNUMBER],Discrete_NFET[QGS]),"")</f>
        <v/>
      </c>
      <c r="X117" s="35" t="str">
        <f>IF(AND($A117&lt;&gt;0,$A117&lt;&gt;""),LOOKUP($A117,Discrete_NFET[PARTNUMBER],Discrete_NFET[QGD]),"")</f>
        <v/>
      </c>
      <c r="Y117" s="35" t="str">
        <f>IF(AND($A117&lt;&gt;0,$A117&lt;&gt;""),LOOKUP($A117,Discrete_NFET[PARTNUMBER],Discrete_NFET[QGTH]),"")</f>
        <v/>
      </c>
      <c r="Z117" s="35" t="str">
        <f t="shared" si="50"/>
        <v/>
      </c>
      <c r="AA117" s="35" t="str">
        <f>IF(AND($A117&lt;&gt;0,$A117&lt;&gt;""),LOOKUP($A117,Discrete_NFET[PARTNUMBER],Discrete_NFET[QOSSTYP]),"")</f>
        <v/>
      </c>
      <c r="AB117" s="35" t="str">
        <f>IF(AND($A117&lt;&gt;0,$A117&lt;&gt;""),LOOKUP($A117,Discrete_NFET[PARTNUMBER],Discrete_NFET[QRR]),"")</f>
        <v/>
      </c>
      <c r="AC117" s="35" t="str">
        <f>IF(AND(A117&lt;&gt;0,A117&lt;&gt;""),LOOKUP(A117,Discrete_NFET[PARTNUMBER],Discrete_NFET[VF_TYP]),"")</f>
        <v/>
      </c>
      <c r="AD117" s="127" t="str">
        <f>IF(AND($A117&lt;&gt;0,$A117&lt;&gt;"",OR(RIGHT(Logic!B117,2)="C)",LEFT(Logic!B117,4)="CSD1")),(1+(1-DUTY))*IM_RMS_120^2*V117*m/3/Num_FETS2,"")</f>
        <v/>
      </c>
      <c r="AE117" s="127" t="str">
        <f>IF(AND($A117&lt;&gt;0,$A117&lt;&gt;"",OR(RIGHT(Logic!B117,2)="C)",LEFT(Logic!B117,4)="CSD1")),Num_FETS2*0.5*IM_RMS_120*VDC_AVG*Z117*n*MOT_ELEC_FREQ/GDR_SRC,"")</f>
        <v/>
      </c>
      <c r="AF117" s="127" t="str">
        <f>IF(AND($A117&lt;&gt;0,$A117&lt;&gt;"",OR(RIGHT(Logic!B117,2)="C)",LEFT(Logic!B117,4)="CSD1")),Num_FETS2*0.5*IM_RMS_120*VDC_AVG*Z117*n*MOT_ELEC_FREQ/GDR_SINK,"")</f>
        <v/>
      </c>
      <c r="AG117" s="127" t="str">
        <f>IF(AND($A117&lt;&gt;0,$A117&lt;&gt;"",OR(RIGHT(Logic!B117,2)="T)",LEFT(Logic!B117,4)="CSD1")),DUTY*IM_RMS_120^2*V117*m/3/Num_FETS2,"")</f>
        <v/>
      </c>
      <c r="AH117" s="127" t="str">
        <f>IF(AND($A117&lt;&gt;0,$A117&lt;&gt;"",OR(RIGHT(Logic!B117,2)="T)",LEFT(Logic!B117,4)="CSD1")),Num_FETS2*0.5*IM_RMS_120*VDC_AVG*Z117*n*FSW*k/GDR_SRC/3,"")</f>
        <v/>
      </c>
      <c r="AI117" s="127" t="str">
        <f>IF(AND($A117&lt;&gt;0,$A117&lt;&gt;"",OR(RIGHT(Logic!B117,2)="T)",LEFT(Logic!B117,4)="CSD1")),Num_FETS2*0.5*IM_RMS_120*VDC_AVG*Z117*n*FSW*k/GDR_SINK/3,"")</f>
        <v/>
      </c>
      <c r="AJ117" s="127" t="str">
        <f t="shared" si="53"/>
        <v/>
      </c>
      <c r="AK117" s="127" t="str">
        <f t="shared" si="55"/>
        <v/>
      </c>
      <c r="AL117" s="127" t="str">
        <f t="shared" si="54"/>
        <v/>
      </c>
      <c r="AM117" s="127" t="str">
        <f t="shared" si="51"/>
        <v/>
      </c>
      <c r="AN117" s="127">
        <f>IF(AND($A117&lt;&gt;0,$A117&lt;&gt;"",OR(RIGHT(Logic!B117,2)="C)",LEFT(Logic!B117,4)="CSD1")),SUM(AD117:AF117)+(AJ117/3)+AK117+AL117/6+AM117/6,AN118)</f>
        <v>0</v>
      </c>
      <c r="AO117" s="127">
        <f>IF(AND($A117&lt;&gt;0,$A117&lt;&gt;"",OR(RIGHT(Logic!B117,2)="T)",LEFT(Logic!B117,4)="CSD1")),SUM(AG117:AI117)+(AJ117/3)+AL117/6+AM117/6,AO116)</f>
        <v>0.23887636588496741</v>
      </c>
      <c r="AP117" s="48" t="str">
        <f t="shared" si="52"/>
        <v/>
      </c>
      <c r="AQ117" s="35" t="str">
        <f>IF(AND(A117&lt;&gt;0,A117&lt;&gt;""),LOOKUP(A117,Discrete_NFET[PARTNUMBER],Discrete_NFET[TI_EQ_PACKAGE]),"")</f>
        <v/>
      </c>
      <c r="AR117" s="49" t="str">
        <f>IF(AND(A117&lt;&gt;0,A117&lt;&gt;""),LOOKUP(A117,Discrete_NFET[PARTNUMBER],Discrete_NFET[1KPRICE]),"")</f>
        <v/>
      </c>
      <c r="AS117" s="35" t="str">
        <f>IF(AND($A117&lt;&gt;0,$A117&lt;&gt;""),CONCATENATE(TEXT(AP117,"0.00"),"W, ",IF('User Input'!G$11="Single Discrete",A117,IF('User Input'!G$11="Dual/Power Block",LEFT(A117,FIND(")",A117)-7),A117)),", ",AQ117,", ",TEXT(AR117,"$0.00")),"Invalid Part")</f>
        <v>Invalid Part</v>
      </c>
      <c r="AT117"/>
      <c r="AU117" s="142"/>
      <c r="AV117" s="142"/>
      <c r="AW117"/>
      <c r="AX117" s="142"/>
    </row>
    <row r="118" spans="1:50" ht="15" customHeight="1" x14ac:dyDescent="0.25">
      <c r="A118" s="35" t="str">
        <f>IF(OR(AND(FET_config2="Dual/Power Block",LEFT(Logic!B118,4)="CSD8"),AND(FET_config2="Single Discrete",LEFT(Logic!B118,4)="CSD1")),Logic!B118,"")</f>
        <v/>
      </c>
      <c r="B118" s="37" t="str">
        <f>IF(OR($A118=0,$A118=""),"0",IF(LOOKUP($A118,Discrete_NFET[PARTNUMBER],Discrete_NFET[RDSON25])="(NULL)","0","1"))</f>
        <v>0</v>
      </c>
      <c r="C118" s="38" t="str">
        <f>IF(OR($A118=0,$A118=""),"0",IF(LOOKUP($A118,Discrete_NFET[PARTNUMBER],Discrete_NFET[RDSON3])="(NULL)","0","1"))</f>
        <v>0</v>
      </c>
      <c r="D118" s="40" t="str">
        <f>IF(OR($A118=0,$A118=""),"0",IF(LOOKUP($A118,Discrete_NFET[PARTNUMBER],Discrete_NFET[RDSON45])="(NULL)","0","1"))</f>
        <v>0</v>
      </c>
      <c r="E118" s="45" t="str">
        <f>IF(OR($A118=0,$A118=""),"0",IF(LOOKUP($A118,Discrete_NFET[PARTNUMBER],Discrete_NFET[RDSON6])="(NULL)","0","1"))</f>
        <v>0</v>
      </c>
      <c r="F118" s="34" t="str">
        <f>IF(OR($A118=0,$A118=""),"0",IF(LOOKUP($A118,Discrete_NFET[PARTNUMBER],Discrete_NFET[RDSON8])="(NULL)","0","1"))</f>
        <v>0</v>
      </c>
      <c r="G118" s="43" t="str">
        <f>IF(OR($A118=0,$A118=""),"0",IF(LOOKUP($A118,Discrete_NFET[PARTNUMBER],Discrete_NFET[RDSON10])="(NULL)","0","1"))</f>
        <v>0</v>
      </c>
      <c r="H118" s="36" t="b">
        <f t="shared" si="37"/>
        <v>0</v>
      </c>
      <c r="I118" s="39" t="b">
        <f t="shared" si="38"/>
        <v>0</v>
      </c>
      <c r="J118" s="41" t="b">
        <f t="shared" si="39"/>
        <v>0</v>
      </c>
      <c r="K118" s="46" t="b">
        <f t="shared" si="40"/>
        <v>0</v>
      </c>
      <c r="L118" s="42" t="b">
        <f t="shared" si="41"/>
        <v>0</v>
      </c>
      <c r="M118" s="44" t="b">
        <f t="shared" si="42"/>
        <v>0</v>
      </c>
      <c r="N118" s="47" t="b">
        <f t="shared" si="43"/>
        <v>0</v>
      </c>
      <c r="O118" s="36" t="b">
        <f t="shared" si="44"/>
        <v>0</v>
      </c>
      <c r="P118" s="39" t="b">
        <f t="shared" si="45"/>
        <v>0</v>
      </c>
      <c r="Q118" s="41" t="b">
        <f t="shared" si="46"/>
        <v>0</v>
      </c>
      <c r="R118" s="46" t="b">
        <f t="shared" si="47"/>
        <v>0</v>
      </c>
      <c r="S118" s="42" t="b">
        <f t="shared" si="48"/>
        <v>0</v>
      </c>
      <c r="T118" s="44" t="b">
        <f t="shared" si="49"/>
        <v>0</v>
      </c>
      <c r="U118" s="148" t="str">
        <f>IF(T118,LOOKUP(A118,Discrete_NFET[PARTNUMBER],Discrete_NFET[RDSON10])*1000,IF(S118,LOOKUP(A118,Discrete_NFET[PARTNUMBER],Discrete_NFET[RDSON8])*1000,IF(R118,LOOKUP(A118,Discrete_NFET[PARTNUMBER],Discrete_NFET[RDSON6])*1000,IF(Q118,LOOKUP(A118,Discrete_NFET[PARTNUMBER],Discrete_NFET[RDSON45])*1000,IF(P118,LOOKUP(A118,Discrete_NFET[PARTNUMBER],Discrete_NFET[RDSON3])*1000,IF(O118,LOOKUP(A118,Discrete_NFET[PARTNUMBER],Discrete_NFET[RDSON25])*1000,""))))))</f>
        <v/>
      </c>
      <c r="V118" s="48" t="str">
        <f>IF(AND(A118&lt;&gt;0,A118&lt;&gt;""),U118*(1+(Tj-25)*(LOOKUP(A118,Discrete_NFET[PARTNUMBER],Discrete_NFET[RDSDELTA])/((LOOKUP(A118,Discrete_NFET[PARTNUMBER],Discrete_NFET[TJMAX])-25)))),"")</f>
        <v/>
      </c>
      <c r="W118" s="35" t="str">
        <f>IF(AND($A118&lt;&gt;0,$A118&lt;&gt;""),LOOKUP($A118,Discrete_NFET[PARTNUMBER],Discrete_NFET[QGS]),"")</f>
        <v/>
      </c>
      <c r="X118" s="35" t="str">
        <f>IF(AND($A118&lt;&gt;0,$A118&lt;&gt;""),LOOKUP($A118,Discrete_NFET[PARTNUMBER],Discrete_NFET[QGD]),"")</f>
        <v/>
      </c>
      <c r="Y118" s="35" t="str">
        <f>IF(AND($A118&lt;&gt;0,$A118&lt;&gt;""),LOOKUP($A118,Discrete_NFET[PARTNUMBER],Discrete_NFET[QGTH]),"")</f>
        <v/>
      </c>
      <c r="Z118" s="35" t="str">
        <f t="shared" si="50"/>
        <v/>
      </c>
      <c r="AA118" s="35" t="str">
        <f>IF(AND($A118&lt;&gt;0,$A118&lt;&gt;""),LOOKUP($A118,Discrete_NFET[PARTNUMBER],Discrete_NFET[QOSSTYP]),"")</f>
        <v/>
      </c>
      <c r="AB118" s="35" t="str">
        <f>IF(AND($A118&lt;&gt;0,$A118&lt;&gt;""),LOOKUP($A118,Discrete_NFET[PARTNUMBER],Discrete_NFET[QRR]),"")</f>
        <v/>
      </c>
      <c r="AC118" s="35" t="str">
        <f>IF(AND(A118&lt;&gt;0,A118&lt;&gt;""),LOOKUP(A118,Discrete_NFET[PARTNUMBER],Discrete_NFET[VF_TYP]),"")</f>
        <v/>
      </c>
      <c r="AD118" s="127" t="str">
        <f>IF(AND($A118&lt;&gt;0,$A118&lt;&gt;"",OR(RIGHT(Logic!B118,2)="C)",LEFT(Logic!B118,4)="CSD1")),(1+(1-DUTY))*IM_RMS_120^2*V118*m/3/Num_FETS2,"")</f>
        <v/>
      </c>
      <c r="AE118" s="127" t="str">
        <f>IF(AND($A118&lt;&gt;0,$A118&lt;&gt;"",OR(RIGHT(Logic!B118,2)="C)",LEFT(Logic!B118,4)="CSD1")),Num_FETS2*0.5*IM_RMS_120*VDC_AVG*Z118*n*MOT_ELEC_FREQ/GDR_SRC,"")</f>
        <v/>
      </c>
      <c r="AF118" s="127" t="str">
        <f>IF(AND($A118&lt;&gt;0,$A118&lt;&gt;"",OR(RIGHT(Logic!B118,2)="C)",LEFT(Logic!B118,4)="CSD1")),Num_FETS2*0.5*IM_RMS_120*VDC_AVG*Z118*n*MOT_ELEC_FREQ/GDR_SINK,"")</f>
        <v/>
      </c>
      <c r="AG118" s="127" t="str">
        <f>IF(AND($A118&lt;&gt;0,$A118&lt;&gt;"",OR(RIGHT(Logic!B118,2)="T)",LEFT(Logic!B118,4)="CSD1")),DUTY*IM_RMS_120^2*V118*m/3/Num_FETS2,"")</f>
        <v/>
      </c>
      <c r="AH118" s="127" t="str">
        <f>IF(AND($A118&lt;&gt;0,$A118&lt;&gt;"",OR(RIGHT(Logic!B118,2)="T)",LEFT(Logic!B118,4)="CSD1")),Num_FETS2*0.5*IM_RMS_120*VDC_AVG*Z118*n*FSW*k/GDR_SRC/3,"")</f>
        <v/>
      </c>
      <c r="AI118" s="127" t="str">
        <f>IF(AND($A118&lt;&gt;0,$A118&lt;&gt;"",OR(RIGHT(Logic!B118,2)="T)",LEFT(Logic!B118,4)="CSD1")),Num_FETS2*0.5*IM_RMS_120*VDC_AVG*Z118*n*FSW*k/GDR_SINK/3,"")</f>
        <v/>
      </c>
      <c r="AJ118" s="127" t="str">
        <f t="shared" si="53"/>
        <v/>
      </c>
      <c r="AK118" s="127" t="str">
        <f t="shared" si="55"/>
        <v/>
      </c>
      <c r="AL118" s="127" t="str">
        <f t="shared" si="54"/>
        <v/>
      </c>
      <c r="AM118" s="127" t="str">
        <f t="shared" si="51"/>
        <v/>
      </c>
      <c r="AN118" s="127">
        <f>IF(AND($A118&lt;&gt;0,$A118&lt;&gt;"",OR(RIGHT(Logic!B118,2)="C)",LEFT(Logic!B118,4)="CSD1")),SUM(AD118:AF118)+(AJ118/3)+AK118+AL118/6+AM118/6,AN119)</f>
        <v>0</v>
      </c>
      <c r="AO118" s="127">
        <f>IF(AND($A118&lt;&gt;0,$A118&lt;&gt;"",OR(RIGHT(Logic!B118,2)="T)",LEFT(Logic!B118,4)="CSD1")),SUM(AG118:AI118)+(AJ118/3)+AL118/6+AM118/6,AO117)</f>
        <v>0.23887636588496741</v>
      </c>
      <c r="AP118" s="48" t="str">
        <f t="shared" si="52"/>
        <v/>
      </c>
      <c r="AQ118" s="35" t="str">
        <f>IF(AND(A118&lt;&gt;0,A118&lt;&gt;""),LOOKUP(A118,Discrete_NFET[PARTNUMBER],Discrete_NFET[TI_EQ_PACKAGE]),"")</f>
        <v/>
      </c>
      <c r="AR118" s="49" t="str">
        <f>IF(AND(A118&lt;&gt;0,A118&lt;&gt;""),LOOKUP(A118,Discrete_NFET[PARTNUMBER],Discrete_NFET[1KPRICE]),"")</f>
        <v/>
      </c>
      <c r="AS118" s="35" t="str">
        <f>IF(AND($A118&lt;&gt;0,$A118&lt;&gt;""),CONCATENATE(TEXT(AP118,"0.00"),"W, ",IF('User Input'!G$11="Single Discrete",A118,IF('User Input'!G$11="Dual/Power Block",LEFT(A118,FIND(")",A118)-7),A118)),", ",AQ118,", ",TEXT(AR118,"$0.00")),"Invalid Part")</f>
        <v>Invalid Part</v>
      </c>
      <c r="AT118"/>
      <c r="AW118"/>
    </row>
    <row r="119" spans="1:50" ht="15" customHeight="1" x14ac:dyDescent="0.25">
      <c r="A119" s="35" t="str">
        <f>IF(OR(AND(FET_config2="Dual/Power Block",LEFT(Logic!B119,4)="CSD8"),AND(FET_config2="Single Discrete",LEFT(Logic!B119,4)="CSD1")),Logic!B119,"")</f>
        <v/>
      </c>
      <c r="B119" s="37" t="str">
        <f>IF(OR($A119=0,$A119=""),"0",IF(LOOKUP($A119,Discrete_NFET[PARTNUMBER],Discrete_NFET[RDSON25])="(NULL)","0","1"))</f>
        <v>0</v>
      </c>
      <c r="C119" s="38" t="str">
        <f>IF(OR($A119=0,$A119=""),"0",IF(LOOKUP($A119,Discrete_NFET[PARTNUMBER],Discrete_NFET[RDSON3])="(NULL)","0","1"))</f>
        <v>0</v>
      </c>
      <c r="D119" s="40" t="str">
        <f>IF(OR($A119=0,$A119=""),"0",IF(LOOKUP($A119,Discrete_NFET[PARTNUMBER],Discrete_NFET[RDSON45])="(NULL)","0","1"))</f>
        <v>0</v>
      </c>
      <c r="E119" s="45" t="str">
        <f>IF(OR($A119=0,$A119=""),"0",IF(LOOKUP($A119,Discrete_NFET[PARTNUMBER],Discrete_NFET[RDSON6])="(NULL)","0","1"))</f>
        <v>0</v>
      </c>
      <c r="F119" s="34" t="str">
        <f>IF(OR($A119=0,$A119=""),"0",IF(LOOKUP($A119,Discrete_NFET[PARTNUMBER],Discrete_NFET[RDSON8])="(NULL)","0","1"))</f>
        <v>0</v>
      </c>
      <c r="G119" s="43" t="str">
        <f>IF(OR($A119=0,$A119=""),"0",IF(LOOKUP($A119,Discrete_NFET[PARTNUMBER],Discrete_NFET[RDSON10])="(NULL)","0","1"))</f>
        <v>0</v>
      </c>
      <c r="H119" s="36" t="b">
        <f t="shared" si="37"/>
        <v>0</v>
      </c>
      <c r="I119" s="39" t="b">
        <f t="shared" si="38"/>
        <v>0</v>
      </c>
      <c r="J119" s="41" t="b">
        <f t="shared" si="39"/>
        <v>0</v>
      </c>
      <c r="K119" s="46" t="b">
        <f t="shared" si="40"/>
        <v>0</v>
      </c>
      <c r="L119" s="42" t="b">
        <f t="shared" si="41"/>
        <v>0</v>
      </c>
      <c r="M119" s="44" t="b">
        <f t="shared" si="42"/>
        <v>0</v>
      </c>
      <c r="N119" s="47" t="b">
        <f t="shared" si="43"/>
        <v>0</v>
      </c>
      <c r="O119" s="36" t="b">
        <f t="shared" si="44"/>
        <v>0</v>
      </c>
      <c r="P119" s="39" t="b">
        <f t="shared" si="45"/>
        <v>0</v>
      </c>
      <c r="Q119" s="41" t="b">
        <f t="shared" si="46"/>
        <v>0</v>
      </c>
      <c r="R119" s="46" t="b">
        <f t="shared" si="47"/>
        <v>0</v>
      </c>
      <c r="S119" s="42" t="b">
        <f t="shared" si="48"/>
        <v>0</v>
      </c>
      <c r="T119" s="44" t="b">
        <f t="shared" si="49"/>
        <v>0</v>
      </c>
      <c r="U119" s="148" t="str">
        <f>IF(T119,LOOKUP(A119,Discrete_NFET[PARTNUMBER],Discrete_NFET[RDSON10])*1000,IF(S119,LOOKUP(A119,Discrete_NFET[PARTNUMBER],Discrete_NFET[RDSON8])*1000,IF(R119,LOOKUP(A119,Discrete_NFET[PARTNUMBER],Discrete_NFET[RDSON6])*1000,IF(Q119,LOOKUP(A119,Discrete_NFET[PARTNUMBER],Discrete_NFET[RDSON45])*1000,IF(P119,LOOKUP(A119,Discrete_NFET[PARTNUMBER],Discrete_NFET[RDSON3])*1000,IF(O119,LOOKUP(A119,Discrete_NFET[PARTNUMBER],Discrete_NFET[RDSON25])*1000,""))))))</f>
        <v/>
      </c>
      <c r="V119" s="48" t="str">
        <f>IF(AND(A119&lt;&gt;0,A119&lt;&gt;""),U119*(1+(Tj-25)*(LOOKUP(A119,Discrete_NFET[PARTNUMBER],Discrete_NFET[RDSDELTA])/((LOOKUP(A119,Discrete_NFET[PARTNUMBER],Discrete_NFET[TJMAX])-25)))),"")</f>
        <v/>
      </c>
      <c r="W119" s="35" t="str">
        <f>IF(AND($A119&lt;&gt;0,$A119&lt;&gt;""),LOOKUP($A119,Discrete_NFET[PARTNUMBER],Discrete_NFET[QGS]),"")</f>
        <v/>
      </c>
      <c r="X119" s="35" t="str">
        <f>IF(AND($A119&lt;&gt;0,$A119&lt;&gt;""),LOOKUP($A119,Discrete_NFET[PARTNUMBER],Discrete_NFET[QGD]),"")</f>
        <v/>
      </c>
      <c r="Y119" s="35" t="str">
        <f>IF(AND($A119&lt;&gt;0,$A119&lt;&gt;""),LOOKUP($A119,Discrete_NFET[PARTNUMBER],Discrete_NFET[QGTH]),"")</f>
        <v/>
      </c>
      <c r="Z119" s="35" t="str">
        <f t="shared" si="50"/>
        <v/>
      </c>
      <c r="AA119" s="35" t="str">
        <f>IF(AND($A119&lt;&gt;0,$A119&lt;&gt;""),LOOKUP($A119,Discrete_NFET[PARTNUMBER],Discrete_NFET[QOSSTYP]),"")</f>
        <v/>
      </c>
      <c r="AB119" s="35" t="str">
        <f>IF(AND($A119&lt;&gt;0,$A119&lt;&gt;""),LOOKUP($A119,Discrete_NFET[PARTNUMBER],Discrete_NFET[QRR]),"")</f>
        <v/>
      </c>
      <c r="AC119" s="35" t="str">
        <f>IF(AND(A119&lt;&gt;0,A119&lt;&gt;""),LOOKUP(A119,Discrete_NFET[PARTNUMBER],Discrete_NFET[VF_TYP]),"")</f>
        <v/>
      </c>
      <c r="AD119" s="127" t="str">
        <f>IF(AND($A119&lt;&gt;0,$A119&lt;&gt;"",OR(RIGHT(Logic!B119,2)="C)",LEFT(Logic!B119,4)="CSD1")),(1+(1-DUTY))*IM_RMS_120^2*V119*m/3/Num_FETS2,"")</f>
        <v/>
      </c>
      <c r="AE119" s="127" t="str">
        <f>IF(AND($A119&lt;&gt;0,$A119&lt;&gt;"",OR(RIGHT(Logic!B119,2)="C)",LEFT(Logic!B119,4)="CSD1")),Num_FETS2*0.5*IM_RMS_120*VDC_AVG*Z119*n*MOT_ELEC_FREQ/GDR_SRC,"")</f>
        <v/>
      </c>
      <c r="AF119" s="127" t="str">
        <f>IF(AND($A119&lt;&gt;0,$A119&lt;&gt;"",OR(RIGHT(Logic!B119,2)="C)",LEFT(Logic!B119,4)="CSD1")),Num_FETS2*0.5*IM_RMS_120*VDC_AVG*Z119*n*MOT_ELEC_FREQ/GDR_SINK,"")</f>
        <v/>
      </c>
      <c r="AG119" s="127" t="str">
        <f>IF(AND($A119&lt;&gt;0,$A119&lt;&gt;"",OR(RIGHT(Logic!B119,2)="T)",LEFT(Logic!B119,4)="CSD1")),DUTY*IM_RMS_120^2*V119*m/3/Num_FETS2,"")</f>
        <v/>
      </c>
      <c r="AH119" s="127" t="str">
        <f>IF(AND($A119&lt;&gt;0,$A119&lt;&gt;"",OR(RIGHT(Logic!B119,2)="T)",LEFT(Logic!B119,4)="CSD1")),Num_FETS2*0.5*IM_RMS_120*VDC_AVG*Z119*n*FSW*k/GDR_SRC/3,"")</f>
        <v/>
      </c>
      <c r="AI119" s="127" t="str">
        <f>IF(AND($A119&lt;&gt;0,$A119&lt;&gt;"",OR(RIGHT(Logic!B119,2)="T)",LEFT(Logic!B119,4)="CSD1")),Num_FETS2*0.5*IM_RMS_120*VDC_AVG*Z119*n*FSW*k/GDR_SINK/3,"")</f>
        <v/>
      </c>
      <c r="AJ119" s="127" t="str">
        <f t="shared" si="53"/>
        <v/>
      </c>
      <c r="AK119" s="127" t="str">
        <f t="shared" si="55"/>
        <v/>
      </c>
      <c r="AL119" s="127" t="str">
        <f t="shared" si="54"/>
        <v/>
      </c>
      <c r="AM119" s="127" t="str">
        <f t="shared" si="51"/>
        <v/>
      </c>
      <c r="AN119" s="127">
        <f>IF(AND($A119&lt;&gt;0,$A119&lt;&gt;"",OR(RIGHT(Logic!B119,2)="C)",LEFT(Logic!B119,4)="CSD1")),SUM(AD119:AF119)+(AJ119/3)+AK119+AL119/6+AM119/6,AN120)</f>
        <v>0</v>
      </c>
      <c r="AO119" s="127">
        <f>IF(AND($A119&lt;&gt;0,$A119&lt;&gt;"",OR(RIGHT(Logic!B119,2)="T)",LEFT(Logic!B119,4)="CSD1")),SUM(AG119:AI119)+(AJ119/3)+AL119/6+AM119/6,AO118)</f>
        <v>0.23887636588496741</v>
      </c>
      <c r="AP119" s="48" t="str">
        <f t="shared" si="52"/>
        <v/>
      </c>
      <c r="AQ119" s="35" t="str">
        <f>IF(AND(A119&lt;&gt;0,A119&lt;&gt;""),LOOKUP(A119,Discrete_NFET[PARTNUMBER],Discrete_NFET[TI_EQ_PACKAGE]),"")</f>
        <v/>
      </c>
      <c r="AR119" s="49" t="str">
        <f>IF(AND(A119&lt;&gt;0,A119&lt;&gt;""),LOOKUP(A119,Discrete_NFET[PARTNUMBER],Discrete_NFET[1KPRICE]),"")</f>
        <v/>
      </c>
      <c r="AS119" s="35" t="str">
        <f>IF(AND($A119&lt;&gt;0,$A119&lt;&gt;""),CONCATENATE(TEXT(AP119,"0.00"),"W, ",IF('User Input'!G$11="Single Discrete",A119,IF('User Input'!G$11="Dual/Power Block",LEFT(A119,FIND(")",A119)-7),A119)),", ",AQ119,", ",TEXT(AR119,"$0.00")),"Invalid Part")</f>
        <v>Invalid Part</v>
      </c>
      <c r="AT119"/>
      <c r="AW119"/>
    </row>
    <row r="120" spans="1:50" ht="15" customHeight="1" x14ac:dyDescent="0.25">
      <c r="A120" s="35" t="str">
        <f>IF(OR(AND(FET_config2="Dual/Power Block",LEFT(Logic!B120,4)="CSD8"),AND(FET_config2="Single Discrete",LEFT(Logic!B120,4)="CSD1")),Logic!B120,"")</f>
        <v/>
      </c>
      <c r="B120" s="37" t="str">
        <f>IF(OR($A120=0,$A120=""),"0",IF(LOOKUP($A120,Discrete_NFET[PARTNUMBER],Discrete_NFET[RDSON25])="(NULL)","0","1"))</f>
        <v>0</v>
      </c>
      <c r="C120" s="38" t="str">
        <f>IF(OR($A120=0,$A120=""),"0",IF(LOOKUP($A120,Discrete_NFET[PARTNUMBER],Discrete_NFET[RDSON3])="(NULL)","0","1"))</f>
        <v>0</v>
      </c>
      <c r="D120" s="40" t="str">
        <f>IF(OR($A120=0,$A120=""),"0",IF(LOOKUP($A120,Discrete_NFET[PARTNUMBER],Discrete_NFET[RDSON45])="(NULL)","0","1"))</f>
        <v>0</v>
      </c>
      <c r="E120" s="45" t="str">
        <f>IF(OR($A120=0,$A120=""),"0",IF(LOOKUP($A120,Discrete_NFET[PARTNUMBER],Discrete_NFET[RDSON6])="(NULL)","0","1"))</f>
        <v>0</v>
      </c>
      <c r="F120" s="34" t="str">
        <f>IF(OR($A120=0,$A120=""),"0",IF(LOOKUP($A120,Discrete_NFET[PARTNUMBER],Discrete_NFET[RDSON8])="(NULL)","0","1"))</f>
        <v>0</v>
      </c>
      <c r="G120" s="43" t="str">
        <f>IF(OR($A120=0,$A120=""),"0",IF(LOOKUP($A120,Discrete_NFET[PARTNUMBER],Discrete_NFET[RDSON10])="(NULL)","0","1"))</f>
        <v>0</v>
      </c>
      <c r="H120" s="36" t="b">
        <f t="shared" si="37"/>
        <v>0</v>
      </c>
      <c r="I120" s="39" t="b">
        <f t="shared" si="38"/>
        <v>0</v>
      </c>
      <c r="J120" s="41" t="b">
        <f t="shared" si="39"/>
        <v>0</v>
      </c>
      <c r="K120" s="46" t="b">
        <f t="shared" si="40"/>
        <v>0</v>
      </c>
      <c r="L120" s="42" t="b">
        <f t="shared" si="41"/>
        <v>0</v>
      </c>
      <c r="M120" s="44" t="b">
        <f t="shared" si="42"/>
        <v>0</v>
      </c>
      <c r="N120" s="47" t="b">
        <f t="shared" si="43"/>
        <v>0</v>
      </c>
      <c r="O120" s="36" t="b">
        <f t="shared" si="44"/>
        <v>0</v>
      </c>
      <c r="P120" s="39" t="b">
        <f t="shared" si="45"/>
        <v>0</v>
      </c>
      <c r="Q120" s="41" t="b">
        <f t="shared" si="46"/>
        <v>0</v>
      </c>
      <c r="R120" s="46" t="b">
        <f t="shared" si="47"/>
        <v>0</v>
      </c>
      <c r="S120" s="42" t="b">
        <f t="shared" si="48"/>
        <v>0</v>
      </c>
      <c r="T120" s="44" t="b">
        <f t="shared" si="49"/>
        <v>0</v>
      </c>
      <c r="U120" s="148" t="str">
        <f>IF(T120,LOOKUP(A120,Discrete_NFET[PARTNUMBER],Discrete_NFET[RDSON10])*1000,IF(S120,LOOKUP(A120,Discrete_NFET[PARTNUMBER],Discrete_NFET[RDSON8])*1000,IF(R120,LOOKUP(A120,Discrete_NFET[PARTNUMBER],Discrete_NFET[RDSON6])*1000,IF(Q120,LOOKUP(A120,Discrete_NFET[PARTNUMBER],Discrete_NFET[RDSON45])*1000,IF(P120,LOOKUP(A120,Discrete_NFET[PARTNUMBER],Discrete_NFET[RDSON3])*1000,IF(O120,LOOKUP(A120,Discrete_NFET[PARTNUMBER],Discrete_NFET[RDSON25])*1000,""))))))</f>
        <v/>
      </c>
      <c r="V120" s="48" t="str">
        <f>IF(AND(A120&lt;&gt;0,A120&lt;&gt;""),U120*(1+(Tj-25)*(LOOKUP(A120,Discrete_NFET[PARTNUMBER],Discrete_NFET[RDSDELTA])/((LOOKUP(A120,Discrete_NFET[PARTNUMBER],Discrete_NFET[TJMAX])-25)))),"")</f>
        <v/>
      </c>
      <c r="W120" s="35" t="str">
        <f>IF(AND($A120&lt;&gt;0,$A120&lt;&gt;""),LOOKUP($A120,Discrete_NFET[PARTNUMBER],Discrete_NFET[QGS]),"")</f>
        <v/>
      </c>
      <c r="X120" s="35" t="str">
        <f>IF(AND($A120&lt;&gt;0,$A120&lt;&gt;""),LOOKUP($A120,Discrete_NFET[PARTNUMBER],Discrete_NFET[QGD]),"")</f>
        <v/>
      </c>
      <c r="Y120" s="35" t="str">
        <f>IF(AND($A120&lt;&gt;0,$A120&lt;&gt;""),LOOKUP($A120,Discrete_NFET[PARTNUMBER],Discrete_NFET[QGTH]),"")</f>
        <v/>
      </c>
      <c r="Z120" s="35" t="str">
        <f t="shared" si="50"/>
        <v/>
      </c>
      <c r="AA120" s="35" t="str">
        <f>IF(AND($A120&lt;&gt;0,$A120&lt;&gt;""),LOOKUP($A120,Discrete_NFET[PARTNUMBER],Discrete_NFET[QOSSTYP]),"")</f>
        <v/>
      </c>
      <c r="AB120" s="35" t="str">
        <f>IF(AND($A120&lt;&gt;0,$A120&lt;&gt;""),LOOKUP($A120,Discrete_NFET[PARTNUMBER],Discrete_NFET[QRR]),"")</f>
        <v/>
      </c>
      <c r="AC120" s="35" t="str">
        <f>IF(AND(A120&lt;&gt;0,A120&lt;&gt;""),LOOKUP(A120,Discrete_NFET[PARTNUMBER],Discrete_NFET[VF_TYP]),"")</f>
        <v/>
      </c>
      <c r="AD120" s="127" t="str">
        <f>IF(AND($A120&lt;&gt;0,$A120&lt;&gt;"",OR(RIGHT(Logic!B120,2)="C)",LEFT(Logic!B120,4)="CSD1")),(1+(1-DUTY))*IM_RMS_120^2*V120*m/3/Num_FETS2,"")</f>
        <v/>
      </c>
      <c r="AE120" s="127" t="str">
        <f>IF(AND($A120&lt;&gt;0,$A120&lt;&gt;"",OR(RIGHT(Logic!B120,2)="C)",LEFT(Logic!B120,4)="CSD1")),Num_FETS2*0.5*IM_RMS_120*VDC_AVG*Z120*n*MOT_ELEC_FREQ/GDR_SRC,"")</f>
        <v/>
      </c>
      <c r="AF120" s="127" t="str">
        <f>IF(AND($A120&lt;&gt;0,$A120&lt;&gt;"",OR(RIGHT(Logic!B120,2)="C)",LEFT(Logic!B120,4)="CSD1")),Num_FETS2*0.5*IM_RMS_120*VDC_AVG*Z120*n*MOT_ELEC_FREQ/GDR_SINK,"")</f>
        <v/>
      </c>
      <c r="AG120" s="127" t="str">
        <f>IF(AND($A120&lt;&gt;0,$A120&lt;&gt;"",OR(RIGHT(Logic!B120,2)="T)",LEFT(Logic!B120,4)="CSD1")),DUTY*IM_RMS_120^2*V120*m/3/Num_FETS2,"")</f>
        <v/>
      </c>
      <c r="AH120" s="127" t="str">
        <f>IF(AND($A120&lt;&gt;0,$A120&lt;&gt;"",OR(RIGHT(Logic!B120,2)="T)",LEFT(Logic!B120,4)="CSD1")),Num_FETS2*0.5*IM_RMS_120*VDC_AVG*Z120*n*FSW*k/GDR_SRC/3,"")</f>
        <v/>
      </c>
      <c r="AI120" s="127" t="str">
        <f>IF(AND($A120&lt;&gt;0,$A120&lt;&gt;"",OR(RIGHT(Logic!B120,2)="T)",LEFT(Logic!B120,4)="CSD1")),Num_FETS2*0.5*IM_RMS_120*VDC_AVG*Z120*n*FSW*k/GDR_SINK/3,"")</f>
        <v/>
      </c>
      <c r="AJ120" s="127" t="str">
        <f t="shared" si="53"/>
        <v/>
      </c>
      <c r="AK120" s="127" t="str">
        <f t="shared" si="55"/>
        <v/>
      </c>
      <c r="AL120" s="127" t="str">
        <f t="shared" si="54"/>
        <v/>
      </c>
      <c r="AM120" s="127" t="str">
        <f t="shared" si="51"/>
        <v/>
      </c>
      <c r="AN120" s="127">
        <f>IF(AND($A120&lt;&gt;0,$A120&lt;&gt;"",OR(RIGHT(Logic!B120,2)="C)",LEFT(Logic!B120,4)="CSD1")),SUM(AD120:AF120)+(AJ120/3)+AK120+AL120/6+AM120/6,AN121)</f>
        <v>0</v>
      </c>
      <c r="AO120" s="127">
        <f>IF(AND($A120&lt;&gt;0,$A120&lt;&gt;"",OR(RIGHT(Logic!B120,2)="T)",LEFT(Logic!B120,4)="CSD1")),SUM(AG120:AI120)+(AJ120/3)+AL120/6+AM120/6,AO119)</f>
        <v>0.23887636588496741</v>
      </c>
      <c r="AP120" s="48" t="str">
        <f t="shared" si="52"/>
        <v/>
      </c>
      <c r="AQ120" s="35" t="str">
        <f>IF(AND(A120&lt;&gt;0,A120&lt;&gt;""),LOOKUP(A120,Discrete_NFET[PARTNUMBER],Discrete_NFET[TI_EQ_PACKAGE]),"")</f>
        <v/>
      </c>
      <c r="AR120" s="49" t="str">
        <f>IF(AND(A120&lt;&gt;0,A120&lt;&gt;""),LOOKUP(A120,Discrete_NFET[PARTNUMBER],Discrete_NFET[1KPRICE]),"")</f>
        <v/>
      </c>
      <c r="AS120" s="35" t="str">
        <f>IF(AND($A120&lt;&gt;0,$A120&lt;&gt;""),CONCATENATE(TEXT(AP120,"0.00"),"W, ",IF('User Input'!G$11="Single Discrete",A120,IF('User Input'!G$11="Dual/Power Block",LEFT(A120,FIND(")",A120)-7),A120)),", ",AQ120,", ",TEXT(AR120,"$0.00")),"Invalid Part")</f>
        <v>Invalid Part</v>
      </c>
      <c r="AT120"/>
      <c r="AW120"/>
    </row>
    <row r="121" spans="1:50" ht="15" customHeight="1" x14ac:dyDescent="0.25">
      <c r="A121" s="35" t="str">
        <f>IF(OR(AND(FET_config2="Dual/Power Block",LEFT(Logic!B121,4)="CSD8"),AND(FET_config2="Single Discrete",LEFT(Logic!B121,4)="CSD1")),Logic!B121,"")</f>
        <v/>
      </c>
      <c r="B121" s="37" t="str">
        <f>IF(OR($A121=0,$A121=""),"0",IF(LOOKUP($A121,Discrete_NFET[PARTNUMBER],Discrete_NFET[RDSON25])="(NULL)","0","1"))</f>
        <v>0</v>
      </c>
      <c r="C121" s="38" t="str">
        <f>IF(OR($A121=0,$A121=""),"0",IF(LOOKUP($A121,Discrete_NFET[PARTNUMBER],Discrete_NFET[RDSON3])="(NULL)","0","1"))</f>
        <v>0</v>
      </c>
      <c r="D121" s="40" t="str">
        <f>IF(OR($A121=0,$A121=""),"0",IF(LOOKUP($A121,Discrete_NFET[PARTNUMBER],Discrete_NFET[RDSON45])="(NULL)","0","1"))</f>
        <v>0</v>
      </c>
      <c r="E121" s="45" t="str">
        <f>IF(OR($A121=0,$A121=""),"0",IF(LOOKUP($A121,Discrete_NFET[PARTNUMBER],Discrete_NFET[RDSON6])="(NULL)","0","1"))</f>
        <v>0</v>
      </c>
      <c r="F121" s="34" t="str">
        <f>IF(OR($A121=0,$A121=""),"0",IF(LOOKUP($A121,Discrete_NFET[PARTNUMBER],Discrete_NFET[RDSON8])="(NULL)","0","1"))</f>
        <v>0</v>
      </c>
      <c r="G121" s="43" t="str">
        <f>IF(OR($A121=0,$A121=""),"0",IF(LOOKUP($A121,Discrete_NFET[PARTNUMBER],Discrete_NFET[RDSON10])="(NULL)","0","1"))</f>
        <v>0</v>
      </c>
      <c r="H121" s="36" t="b">
        <f t="shared" si="37"/>
        <v>0</v>
      </c>
      <c r="I121" s="39" t="b">
        <f t="shared" si="38"/>
        <v>0</v>
      </c>
      <c r="J121" s="41" t="b">
        <f t="shared" si="39"/>
        <v>0</v>
      </c>
      <c r="K121" s="46" t="b">
        <f t="shared" si="40"/>
        <v>0</v>
      </c>
      <c r="L121" s="42" t="b">
        <f t="shared" si="41"/>
        <v>0</v>
      </c>
      <c r="M121" s="44" t="b">
        <f t="shared" si="42"/>
        <v>0</v>
      </c>
      <c r="N121" s="47" t="b">
        <f t="shared" si="43"/>
        <v>0</v>
      </c>
      <c r="O121" s="36" t="b">
        <f t="shared" si="44"/>
        <v>0</v>
      </c>
      <c r="P121" s="39" t="b">
        <f t="shared" si="45"/>
        <v>0</v>
      </c>
      <c r="Q121" s="41" t="b">
        <f t="shared" si="46"/>
        <v>0</v>
      </c>
      <c r="R121" s="46" t="b">
        <f t="shared" si="47"/>
        <v>0</v>
      </c>
      <c r="S121" s="42" t="b">
        <f t="shared" si="48"/>
        <v>0</v>
      </c>
      <c r="T121" s="44" t="b">
        <f t="shared" si="49"/>
        <v>0</v>
      </c>
      <c r="U121" s="148" t="str">
        <f>IF(T121,LOOKUP(A121,Discrete_NFET[PARTNUMBER],Discrete_NFET[RDSON10])*1000,IF(S121,LOOKUP(A121,Discrete_NFET[PARTNUMBER],Discrete_NFET[RDSON8])*1000,IF(R121,LOOKUP(A121,Discrete_NFET[PARTNUMBER],Discrete_NFET[RDSON6])*1000,IF(Q121,LOOKUP(A121,Discrete_NFET[PARTNUMBER],Discrete_NFET[RDSON45])*1000,IF(P121,LOOKUP(A121,Discrete_NFET[PARTNUMBER],Discrete_NFET[RDSON3])*1000,IF(O121,LOOKUP(A121,Discrete_NFET[PARTNUMBER],Discrete_NFET[RDSON25])*1000,""))))))</f>
        <v/>
      </c>
      <c r="V121" s="48" t="str">
        <f>IF(AND(A121&lt;&gt;0,A121&lt;&gt;""),U121*(1+(Tj-25)*(LOOKUP(A121,Discrete_NFET[PARTNUMBER],Discrete_NFET[RDSDELTA])/((LOOKUP(A121,Discrete_NFET[PARTNUMBER],Discrete_NFET[TJMAX])-25)))),"")</f>
        <v/>
      </c>
      <c r="W121" s="35" t="str">
        <f>IF(AND($A121&lt;&gt;0,$A121&lt;&gt;""),LOOKUP($A121,Discrete_NFET[PARTNUMBER],Discrete_NFET[QGS]),"")</f>
        <v/>
      </c>
      <c r="X121" s="35" t="str">
        <f>IF(AND($A121&lt;&gt;0,$A121&lt;&gt;""),LOOKUP($A121,Discrete_NFET[PARTNUMBER],Discrete_NFET[QGD]),"")</f>
        <v/>
      </c>
      <c r="Y121" s="35" t="str">
        <f>IF(AND($A121&lt;&gt;0,$A121&lt;&gt;""),LOOKUP($A121,Discrete_NFET[PARTNUMBER],Discrete_NFET[QGTH]),"")</f>
        <v/>
      </c>
      <c r="Z121" s="35" t="str">
        <f t="shared" si="50"/>
        <v/>
      </c>
      <c r="AA121" s="35" t="str">
        <f>IF(AND($A121&lt;&gt;0,$A121&lt;&gt;""),LOOKUP($A121,Discrete_NFET[PARTNUMBER],Discrete_NFET[QOSSTYP]),"")</f>
        <v/>
      </c>
      <c r="AB121" s="35" t="str">
        <f>IF(AND($A121&lt;&gt;0,$A121&lt;&gt;""),LOOKUP($A121,Discrete_NFET[PARTNUMBER],Discrete_NFET[QRR]),"")</f>
        <v/>
      </c>
      <c r="AC121" s="35" t="str">
        <f>IF(AND(A121&lt;&gt;0,A121&lt;&gt;""),LOOKUP(A121,Discrete_NFET[PARTNUMBER],Discrete_NFET[VF_TYP]),"")</f>
        <v/>
      </c>
      <c r="AD121" s="127" t="str">
        <f>IF(AND($A121&lt;&gt;0,$A121&lt;&gt;"",OR(RIGHT(Logic!B121,2)="C)",LEFT(Logic!B121,4)="CSD1")),(1+(1-DUTY))*IM_RMS_120^2*V121*m/3/Num_FETS2,"")</f>
        <v/>
      </c>
      <c r="AE121" s="127" t="str">
        <f>IF(AND($A121&lt;&gt;0,$A121&lt;&gt;"",OR(RIGHT(Logic!B121,2)="C)",LEFT(Logic!B121,4)="CSD1")),Num_FETS2*0.5*IM_RMS_120*VDC_AVG*Z121*n*MOT_ELEC_FREQ/GDR_SRC,"")</f>
        <v/>
      </c>
      <c r="AF121" s="127" t="str">
        <f>IF(AND($A121&lt;&gt;0,$A121&lt;&gt;"",OR(RIGHT(Logic!B121,2)="C)",LEFT(Logic!B121,4)="CSD1")),Num_FETS2*0.5*IM_RMS_120*VDC_AVG*Z121*n*MOT_ELEC_FREQ/GDR_SINK,"")</f>
        <v/>
      </c>
      <c r="AG121" s="127" t="str">
        <f>IF(AND($A121&lt;&gt;0,$A121&lt;&gt;"",OR(RIGHT(Logic!B121,2)="T)",LEFT(Logic!B121,4)="CSD1")),DUTY*IM_RMS_120^2*V121*m/3/Num_FETS2,"")</f>
        <v/>
      </c>
      <c r="AH121" s="127" t="str">
        <f>IF(AND($A121&lt;&gt;0,$A121&lt;&gt;"",OR(RIGHT(Logic!B121,2)="T)",LEFT(Logic!B121,4)="CSD1")),Num_FETS2*0.5*IM_RMS_120*VDC_AVG*Z121*n*FSW*k/GDR_SRC/3,"")</f>
        <v/>
      </c>
      <c r="AI121" s="127" t="str">
        <f>IF(AND($A121&lt;&gt;0,$A121&lt;&gt;"",OR(RIGHT(Logic!B121,2)="T)",LEFT(Logic!B121,4)="CSD1")),Num_FETS2*0.5*IM_RMS_120*VDC_AVG*Z121*n*FSW*k/GDR_SINK/3,"")</f>
        <v/>
      </c>
      <c r="AJ121" s="127" t="str">
        <f t="shared" si="53"/>
        <v/>
      </c>
      <c r="AK121" s="127" t="str">
        <f t="shared" si="55"/>
        <v/>
      </c>
      <c r="AL121" s="127" t="str">
        <f t="shared" si="54"/>
        <v/>
      </c>
      <c r="AM121" s="127" t="str">
        <f t="shared" si="51"/>
        <v/>
      </c>
      <c r="AN121" s="127">
        <f>IF(AND($A121&lt;&gt;0,$A121&lt;&gt;"",OR(RIGHT(Logic!B121,2)="C)",LEFT(Logic!B121,4)="CSD1")),SUM(AD121:AF121)+(AJ121/3)+AK121+AL121/6+AM121/6,AN122)</f>
        <v>0</v>
      </c>
      <c r="AO121" s="127">
        <f>IF(AND($A121&lt;&gt;0,$A121&lt;&gt;"",OR(RIGHT(Logic!B121,2)="T)",LEFT(Logic!B121,4)="CSD1")),SUM(AG121:AI121)+(AJ121/3)+AL121/6+AM121/6,AO120)</f>
        <v>0.23887636588496741</v>
      </c>
      <c r="AP121" s="48" t="str">
        <f t="shared" si="52"/>
        <v/>
      </c>
      <c r="AQ121" s="35" t="str">
        <f>IF(AND(A121&lt;&gt;0,A121&lt;&gt;""),LOOKUP(A121,Discrete_NFET[PARTNUMBER],Discrete_NFET[TI_EQ_PACKAGE]),"")</f>
        <v/>
      </c>
      <c r="AR121" s="49" t="str">
        <f>IF(AND(A121&lt;&gt;0,A121&lt;&gt;""),LOOKUP(A121,Discrete_NFET[PARTNUMBER],Discrete_NFET[1KPRICE]),"")</f>
        <v/>
      </c>
      <c r="AS121" s="35" t="str">
        <f>IF(AND($A121&lt;&gt;0,$A121&lt;&gt;""),CONCATENATE(TEXT(AP121,"0.00"),"W, ",IF('User Input'!G$11="Single Discrete",A121,IF('User Input'!G$11="Dual/Power Block",LEFT(A121,FIND(")",A121)-7),A121)),", ",AQ121,", ",TEXT(AR121,"$0.00")),"Invalid Part")</f>
        <v>Invalid Part</v>
      </c>
      <c r="AT121"/>
      <c r="AW121"/>
    </row>
    <row r="122" spans="1:50" ht="15" customHeight="1" x14ac:dyDescent="0.25">
      <c r="A122" s="35" t="str">
        <f>IF(OR(AND(FET_config2="Dual/Power Block",LEFT(Logic!B122,4)="CSD8"),AND(FET_config2="Single Discrete",LEFT(Logic!B122,4)="CSD1")),Logic!B122,"")</f>
        <v/>
      </c>
      <c r="B122" s="37" t="str">
        <f>IF(OR($A122=0,$A122=""),"0",IF(LOOKUP($A122,Discrete_NFET[PARTNUMBER],Discrete_NFET[RDSON25])="(NULL)","0","1"))</f>
        <v>0</v>
      </c>
      <c r="C122" s="38" t="str">
        <f>IF(OR($A122=0,$A122=""),"0",IF(LOOKUP($A122,Discrete_NFET[PARTNUMBER],Discrete_NFET[RDSON3])="(NULL)","0","1"))</f>
        <v>0</v>
      </c>
      <c r="D122" s="40" t="str">
        <f>IF(OR($A122=0,$A122=""),"0",IF(LOOKUP($A122,Discrete_NFET[PARTNUMBER],Discrete_NFET[RDSON45])="(NULL)","0","1"))</f>
        <v>0</v>
      </c>
      <c r="E122" s="45" t="str">
        <f>IF(OR($A122=0,$A122=""),"0",IF(LOOKUP($A122,Discrete_NFET[PARTNUMBER],Discrete_NFET[RDSON6])="(NULL)","0","1"))</f>
        <v>0</v>
      </c>
      <c r="F122" s="34" t="str">
        <f>IF(OR($A122=0,$A122=""),"0",IF(LOOKUP($A122,Discrete_NFET[PARTNUMBER],Discrete_NFET[RDSON8])="(NULL)","0","1"))</f>
        <v>0</v>
      </c>
      <c r="G122" s="43" t="str">
        <f>IF(OR($A122=0,$A122=""),"0",IF(LOOKUP($A122,Discrete_NFET[PARTNUMBER],Discrete_NFET[RDSON10])="(NULL)","0","1"))</f>
        <v>0</v>
      </c>
      <c r="H122" s="36" t="b">
        <f t="shared" si="37"/>
        <v>0</v>
      </c>
      <c r="I122" s="39" t="b">
        <f t="shared" si="38"/>
        <v>0</v>
      </c>
      <c r="J122" s="41" t="b">
        <f t="shared" si="39"/>
        <v>0</v>
      </c>
      <c r="K122" s="46" t="b">
        <f t="shared" si="40"/>
        <v>0</v>
      </c>
      <c r="L122" s="42" t="b">
        <f t="shared" si="41"/>
        <v>0</v>
      </c>
      <c r="M122" s="44" t="b">
        <f t="shared" si="42"/>
        <v>0</v>
      </c>
      <c r="N122" s="47" t="b">
        <f t="shared" si="43"/>
        <v>0</v>
      </c>
      <c r="O122" s="36" t="b">
        <f t="shared" si="44"/>
        <v>0</v>
      </c>
      <c r="P122" s="39" t="b">
        <f t="shared" si="45"/>
        <v>0</v>
      </c>
      <c r="Q122" s="41" t="b">
        <f t="shared" si="46"/>
        <v>0</v>
      </c>
      <c r="R122" s="46" t="b">
        <f t="shared" si="47"/>
        <v>0</v>
      </c>
      <c r="S122" s="42" t="b">
        <f t="shared" si="48"/>
        <v>0</v>
      </c>
      <c r="T122" s="44" t="b">
        <f t="shared" si="49"/>
        <v>0</v>
      </c>
      <c r="U122" s="148" t="str">
        <f>IF(T122,LOOKUP(A122,Discrete_NFET[PARTNUMBER],Discrete_NFET[RDSON10])*1000,IF(S122,LOOKUP(A122,Discrete_NFET[PARTNUMBER],Discrete_NFET[RDSON8])*1000,IF(R122,LOOKUP(A122,Discrete_NFET[PARTNUMBER],Discrete_NFET[RDSON6])*1000,IF(Q122,LOOKUP(A122,Discrete_NFET[PARTNUMBER],Discrete_NFET[RDSON45])*1000,IF(P122,LOOKUP(A122,Discrete_NFET[PARTNUMBER],Discrete_NFET[RDSON3])*1000,IF(O122,LOOKUP(A122,Discrete_NFET[PARTNUMBER],Discrete_NFET[RDSON25])*1000,""))))))</f>
        <v/>
      </c>
      <c r="V122" s="48" t="str">
        <f>IF(AND(A122&lt;&gt;0,A122&lt;&gt;""),U122*(1+(Tj-25)*(LOOKUP(A122,Discrete_NFET[PARTNUMBER],Discrete_NFET[RDSDELTA])/((LOOKUP(A122,Discrete_NFET[PARTNUMBER],Discrete_NFET[TJMAX])-25)))),"")</f>
        <v/>
      </c>
      <c r="W122" s="35" t="str">
        <f>IF(AND($A122&lt;&gt;0,$A122&lt;&gt;""),LOOKUP($A122,Discrete_NFET[PARTNUMBER],Discrete_NFET[QGS]),"")</f>
        <v/>
      </c>
      <c r="X122" s="35" t="str">
        <f>IF(AND($A122&lt;&gt;0,$A122&lt;&gt;""),LOOKUP($A122,Discrete_NFET[PARTNUMBER],Discrete_NFET[QGD]),"")</f>
        <v/>
      </c>
      <c r="Y122" s="35" t="str">
        <f>IF(AND($A122&lt;&gt;0,$A122&lt;&gt;""),LOOKUP($A122,Discrete_NFET[PARTNUMBER],Discrete_NFET[QGTH]),"")</f>
        <v/>
      </c>
      <c r="Z122" s="35" t="str">
        <f t="shared" si="50"/>
        <v/>
      </c>
      <c r="AA122" s="35" t="str">
        <f>IF(AND($A122&lt;&gt;0,$A122&lt;&gt;""),LOOKUP($A122,Discrete_NFET[PARTNUMBER],Discrete_NFET[QOSSTYP]),"")</f>
        <v/>
      </c>
      <c r="AB122" s="35" t="str">
        <f>IF(AND($A122&lt;&gt;0,$A122&lt;&gt;""),LOOKUP($A122,Discrete_NFET[PARTNUMBER],Discrete_NFET[QRR]),"")</f>
        <v/>
      </c>
      <c r="AC122" s="35" t="str">
        <f>IF(AND(A122&lt;&gt;0,A122&lt;&gt;""),LOOKUP(A122,Discrete_NFET[PARTNUMBER],Discrete_NFET[VF_TYP]),"")</f>
        <v/>
      </c>
      <c r="AD122" s="127" t="str">
        <f>IF(AND($A122&lt;&gt;0,$A122&lt;&gt;"",OR(RIGHT(Logic!B122,2)="C)",LEFT(Logic!B122,4)="CSD1")),(1+(1-DUTY))*IM_RMS_120^2*V122*m/3/Num_FETS2,"")</f>
        <v/>
      </c>
      <c r="AE122" s="127" t="str">
        <f>IF(AND($A122&lt;&gt;0,$A122&lt;&gt;"",OR(RIGHT(Logic!B122,2)="C)",LEFT(Logic!B122,4)="CSD1")),Num_FETS2*0.5*IM_RMS_120*VDC_AVG*Z122*n*MOT_ELEC_FREQ/GDR_SRC,"")</f>
        <v/>
      </c>
      <c r="AF122" s="127" t="str">
        <f>IF(AND($A122&lt;&gt;0,$A122&lt;&gt;"",OR(RIGHT(Logic!B122,2)="C)",LEFT(Logic!B122,4)="CSD1")),Num_FETS2*0.5*IM_RMS_120*VDC_AVG*Z122*n*MOT_ELEC_FREQ/GDR_SINK,"")</f>
        <v/>
      </c>
      <c r="AG122" s="127" t="str">
        <f>IF(AND($A122&lt;&gt;0,$A122&lt;&gt;"",OR(RIGHT(Logic!B122,2)="T)",LEFT(Logic!B122,4)="CSD1")),DUTY*IM_RMS_120^2*V122*m/3/Num_FETS2,"")</f>
        <v/>
      </c>
      <c r="AH122" s="127" t="str">
        <f>IF(AND($A122&lt;&gt;0,$A122&lt;&gt;"",OR(RIGHT(Logic!B122,2)="T)",LEFT(Logic!B122,4)="CSD1")),Num_FETS2*0.5*IM_RMS_120*VDC_AVG*Z122*n*FSW*k/GDR_SRC/3,"")</f>
        <v/>
      </c>
      <c r="AI122" s="127" t="str">
        <f>IF(AND($A122&lt;&gt;0,$A122&lt;&gt;"",OR(RIGHT(Logic!B122,2)="T)",LEFT(Logic!B122,4)="CSD1")),Num_FETS2*0.5*IM_RMS_120*VDC_AVG*Z122*n*FSW*k/GDR_SINK/3,"")</f>
        <v/>
      </c>
      <c r="AJ122" s="127" t="str">
        <f t="shared" si="53"/>
        <v/>
      </c>
      <c r="AK122" s="127" t="str">
        <f t="shared" si="55"/>
        <v/>
      </c>
      <c r="AL122" s="127" t="str">
        <f t="shared" si="54"/>
        <v/>
      </c>
      <c r="AM122" s="127" t="str">
        <f t="shared" si="51"/>
        <v/>
      </c>
      <c r="AN122" s="127">
        <f>IF(AND($A122&lt;&gt;0,$A122&lt;&gt;"",OR(RIGHT(Logic!B122,2)="C)",LEFT(Logic!B122,4)="CSD1")),SUM(AD122:AF122)+(AJ122/3)+AK122+AL122/6+AM122/6,AN123)</f>
        <v>0</v>
      </c>
      <c r="AO122" s="127">
        <f>IF(AND($A122&lt;&gt;0,$A122&lt;&gt;"",OR(RIGHT(Logic!B122,2)="T)",LEFT(Logic!B122,4)="CSD1")),SUM(AG122:AI122)+(AJ122/3)+AL122/6+AM122/6,AO121)</f>
        <v>0.23887636588496741</v>
      </c>
      <c r="AP122" s="48" t="str">
        <f t="shared" si="52"/>
        <v/>
      </c>
      <c r="AQ122" s="35" t="str">
        <f>IF(AND(A122&lt;&gt;0,A122&lt;&gt;""),LOOKUP(A122,Discrete_NFET[PARTNUMBER],Discrete_NFET[TI_EQ_PACKAGE]),"")</f>
        <v/>
      </c>
      <c r="AR122" s="49" t="str">
        <f>IF(AND(A122&lt;&gt;0,A122&lt;&gt;""),LOOKUP(A122,Discrete_NFET[PARTNUMBER],Discrete_NFET[1KPRICE]),"")</f>
        <v/>
      </c>
      <c r="AS122" s="35" t="str">
        <f>IF(AND($A122&lt;&gt;0,$A122&lt;&gt;""),CONCATENATE(TEXT(AP122,"0.00"),"W, ",IF('User Input'!G$11="Single Discrete",A122,IF('User Input'!G$11="Dual/Power Block",LEFT(A122,FIND(")",A122)-7),A122)),", ",AQ122,", ",TEXT(AR122,"$0.00")),"Invalid Part")</f>
        <v>Invalid Part</v>
      </c>
      <c r="AT122"/>
      <c r="AW122"/>
    </row>
    <row r="123" spans="1:50" ht="15" customHeight="1" x14ac:dyDescent="0.25">
      <c r="A123" s="35" t="str">
        <f>IF(OR(AND(FET_config2="Dual/Power Block",LEFT(Logic!B123,4)="CSD8"),AND(FET_config2="Single Discrete",LEFT(Logic!B123,4)="CSD1")),Logic!B123,"")</f>
        <v/>
      </c>
      <c r="B123" s="37" t="str">
        <f>IF(OR($A123=0,$A123=""),"0",IF(LOOKUP($A123,Discrete_NFET[PARTNUMBER],Discrete_NFET[RDSON25])="(NULL)","0","1"))</f>
        <v>0</v>
      </c>
      <c r="C123" s="38" t="str">
        <f>IF(OR($A123=0,$A123=""),"0",IF(LOOKUP($A123,Discrete_NFET[PARTNUMBER],Discrete_NFET[RDSON3])="(NULL)","0","1"))</f>
        <v>0</v>
      </c>
      <c r="D123" s="40" t="str">
        <f>IF(OR($A123=0,$A123=""),"0",IF(LOOKUP($A123,Discrete_NFET[PARTNUMBER],Discrete_NFET[RDSON45])="(NULL)","0","1"))</f>
        <v>0</v>
      </c>
      <c r="E123" s="45" t="str">
        <f>IF(OR($A123=0,$A123=""),"0",IF(LOOKUP($A123,Discrete_NFET[PARTNUMBER],Discrete_NFET[RDSON6])="(NULL)","0","1"))</f>
        <v>0</v>
      </c>
      <c r="F123" s="34" t="str">
        <f>IF(OR($A123=0,$A123=""),"0",IF(LOOKUP($A123,Discrete_NFET[PARTNUMBER],Discrete_NFET[RDSON8])="(NULL)","0","1"))</f>
        <v>0</v>
      </c>
      <c r="G123" s="43" t="str">
        <f>IF(OR($A123=0,$A123=""),"0",IF(LOOKUP($A123,Discrete_NFET[PARTNUMBER],Discrete_NFET[RDSON10])="(NULL)","0","1"))</f>
        <v>0</v>
      </c>
      <c r="H123" s="36" t="b">
        <f t="shared" si="37"/>
        <v>0</v>
      </c>
      <c r="I123" s="39" t="b">
        <f t="shared" si="38"/>
        <v>0</v>
      </c>
      <c r="J123" s="41" t="b">
        <f t="shared" si="39"/>
        <v>0</v>
      </c>
      <c r="K123" s="46" t="b">
        <f t="shared" si="40"/>
        <v>0</v>
      </c>
      <c r="L123" s="42" t="b">
        <f t="shared" si="41"/>
        <v>0</v>
      </c>
      <c r="M123" s="44" t="b">
        <f t="shared" si="42"/>
        <v>0</v>
      </c>
      <c r="N123" s="47" t="b">
        <f t="shared" si="43"/>
        <v>0</v>
      </c>
      <c r="O123" s="36" t="b">
        <f t="shared" si="44"/>
        <v>0</v>
      </c>
      <c r="P123" s="39" t="b">
        <f t="shared" si="45"/>
        <v>0</v>
      </c>
      <c r="Q123" s="41" t="b">
        <f t="shared" si="46"/>
        <v>0</v>
      </c>
      <c r="R123" s="46" t="b">
        <f t="shared" si="47"/>
        <v>0</v>
      </c>
      <c r="S123" s="42" t="b">
        <f t="shared" si="48"/>
        <v>0</v>
      </c>
      <c r="T123" s="44" t="b">
        <f t="shared" si="49"/>
        <v>0</v>
      </c>
      <c r="U123" s="148" t="str">
        <f>IF(T123,LOOKUP(A123,Discrete_NFET[PARTNUMBER],Discrete_NFET[RDSON10])*1000,IF(S123,LOOKUP(A123,Discrete_NFET[PARTNUMBER],Discrete_NFET[RDSON8])*1000,IF(R123,LOOKUP(A123,Discrete_NFET[PARTNUMBER],Discrete_NFET[RDSON6])*1000,IF(Q123,LOOKUP(A123,Discrete_NFET[PARTNUMBER],Discrete_NFET[RDSON45])*1000,IF(P123,LOOKUP(A123,Discrete_NFET[PARTNUMBER],Discrete_NFET[RDSON3])*1000,IF(O123,LOOKUP(A123,Discrete_NFET[PARTNUMBER],Discrete_NFET[RDSON25])*1000,""))))))</f>
        <v/>
      </c>
      <c r="V123" s="48" t="str">
        <f>IF(AND(A123&lt;&gt;0,A123&lt;&gt;""),U123*(1+(Tj-25)*(LOOKUP(A123,Discrete_NFET[PARTNUMBER],Discrete_NFET[RDSDELTA])/((LOOKUP(A123,Discrete_NFET[PARTNUMBER],Discrete_NFET[TJMAX])-25)))),"")</f>
        <v/>
      </c>
      <c r="W123" s="35" t="str">
        <f>IF(AND($A123&lt;&gt;0,$A123&lt;&gt;""),LOOKUP($A123,Discrete_NFET[PARTNUMBER],Discrete_NFET[QGS]),"")</f>
        <v/>
      </c>
      <c r="X123" s="35" t="str">
        <f>IF(AND($A123&lt;&gt;0,$A123&lt;&gt;""),LOOKUP($A123,Discrete_NFET[PARTNUMBER],Discrete_NFET[QGD]),"")</f>
        <v/>
      </c>
      <c r="Y123" s="35" t="str">
        <f>IF(AND($A123&lt;&gt;0,$A123&lt;&gt;""),LOOKUP($A123,Discrete_NFET[PARTNUMBER],Discrete_NFET[QGTH]),"")</f>
        <v/>
      </c>
      <c r="Z123" s="35" t="str">
        <f t="shared" si="50"/>
        <v/>
      </c>
      <c r="AA123" s="35" t="str">
        <f>IF(AND($A123&lt;&gt;0,$A123&lt;&gt;""),LOOKUP($A123,Discrete_NFET[PARTNUMBER],Discrete_NFET[QOSSTYP]),"")</f>
        <v/>
      </c>
      <c r="AB123" s="35" t="str">
        <f>IF(AND($A123&lt;&gt;0,$A123&lt;&gt;""),LOOKUP($A123,Discrete_NFET[PARTNUMBER],Discrete_NFET[QRR]),"")</f>
        <v/>
      </c>
      <c r="AC123" s="35" t="str">
        <f>IF(AND(A123&lt;&gt;0,A123&lt;&gt;""),LOOKUP(A123,Discrete_NFET[PARTNUMBER],Discrete_NFET[VF_TYP]),"")</f>
        <v/>
      </c>
      <c r="AD123" s="127" t="str">
        <f>IF(AND($A123&lt;&gt;0,$A123&lt;&gt;"",OR(RIGHT(Logic!B123,2)="C)",LEFT(Logic!B123,4)="CSD1")),(1+(1-DUTY))*IM_RMS_120^2*V123*m/3/Num_FETS2,"")</f>
        <v/>
      </c>
      <c r="AE123" s="127" t="str">
        <f>IF(AND($A123&lt;&gt;0,$A123&lt;&gt;"",OR(RIGHT(Logic!B123,2)="C)",LEFT(Logic!B123,4)="CSD1")),Num_FETS2*0.5*IM_RMS_120*VDC_AVG*Z123*n*MOT_ELEC_FREQ/GDR_SRC,"")</f>
        <v/>
      </c>
      <c r="AF123" s="127" t="str">
        <f>IF(AND($A123&lt;&gt;0,$A123&lt;&gt;"",OR(RIGHT(Logic!B123,2)="C)",LEFT(Logic!B123,4)="CSD1")),Num_FETS2*0.5*IM_RMS_120*VDC_AVG*Z123*n*MOT_ELEC_FREQ/GDR_SINK,"")</f>
        <v/>
      </c>
      <c r="AG123" s="127" t="str">
        <f>IF(AND($A123&lt;&gt;0,$A123&lt;&gt;"",OR(RIGHT(Logic!B123,2)="T)",LEFT(Logic!B123,4)="CSD1")),DUTY*IM_RMS_120^2*V123*m/3/Num_FETS2,"")</f>
        <v/>
      </c>
      <c r="AH123" s="127" t="str">
        <f>IF(AND($A123&lt;&gt;0,$A123&lt;&gt;"",OR(RIGHT(Logic!B123,2)="T)",LEFT(Logic!B123,4)="CSD1")),Num_FETS2*0.5*IM_RMS_120*VDC_AVG*Z123*n*FSW*k/GDR_SRC/3,"")</f>
        <v/>
      </c>
      <c r="AI123" s="127" t="str">
        <f>IF(AND($A123&lt;&gt;0,$A123&lt;&gt;"",OR(RIGHT(Logic!B123,2)="T)",LEFT(Logic!B123,4)="CSD1")),Num_FETS2*0.5*IM_RMS_120*VDC_AVG*Z123*n*FSW*k/GDR_SINK/3,"")</f>
        <v/>
      </c>
      <c r="AJ123" s="127" t="str">
        <f t="shared" si="53"/>
        <v/>
      </c>
      <c r="AK123" s="127" t="str">
        <f t="shared" si="55"/>
        <v/>
      </c>
      <c r="AL123" s="127" t="str">
        <f t="shared" si="54"/>
        <v/>
      </c>
      <c r="AM123" s="127" t="str">
        <f t="shared" si="51"/>
        <v/>
      </c>
      <c r="AN123" s="127">
        <f>IF(AND($A123&lt;&gt;0,$A123&lt;&gt;"",OR(RIGHT(Logic!B123,2)="C)",LEFT(Logic!B123,4)="CSD1")),SUM(AD123:AF123)+(AJ123/3)+AK123+AL123/6+AM123/6,AN124)</f>
        <v>0</v>
      </c>
      <c r="AO123" s="127">
        <f>IF(AND($A123&lt;&gt;0,$A123&lt;&gt;"",OR(RIGHT(Logic!B123,2)="T)",LEFT(Logic!B123,4)="CSD1")),SUM(AG123:AI123)+(AJ123/3)+AL123/6+AM123/6,AO122)</f>
        <v>0.23887636588496741</v>
      </c>
      <c r="AP123" s="48" t="str">
        <f t="shared" si="52"/>
        <v/>
      </c>
      <c r="AQ123" s="35" t="str">
        <f>IF(AND(A123&lt;&gt;0,A123&lt;&gt;""),LOOKUP(A123,Discrete_NFET[PARTNUMBER],Discrete_NFET[TI_EQ_PACKAGE]),"")</f>
        <v/>
      </c>
      <c r="AR123" s="49" t="str">
        <f>IF(AND(A123&lt;&gt;0,A123&lt;&gt;""),LOOKUP(A123,Discrete_NFET[PARTNUMBER],Discrete_NFET[1KPRICE]),"")</f>
        <v/>
      </c>
      <c r="AS123" s="35" t="str">
        <f>IF(AND($A123&lt;&gt;0,$A123&lt;&gt;""),CONCATENATE(TEXT(AP123,"0.00"),"W, ",IF('User Input'!G$11="Single Discrete",A123,IF('User Input'!G$11="Dual/Power Block",LEFT(A123,FIND(")",A123)-7),A123)),", ",AQ123,", ",TEXT(AR123,"$0.00")),"Invalid Part")</f>
        <v>Invalid Part</v>
      </c>
      <c r="AT123"/>
      <c r="AW123"/>
    </row>
    <row r="124" spans="1:50" ht="15" customHeight="1" x14ac:dyDescent="0.25">
      <c r="A124" s="35" t="str">
        <f>IF(OR(AND(FET_config2="Dual/Power Block",LEFT(Logic!B124,4)="CSD8"),AND(FET_config2="Single Discrete",LEFT(Logic!B124,4)="CSD1")),Logic!B124,"")</f>
        <v/>
      </c>
      <c r="B124" s="37" t="str">
        <f>IF(OR($A124=0,$A124=""),"0",IF(LOOKUP($A124,Discrete_NFET[PARTNUMBER],Discrete_NFET[RDSON25])="(NULL)","0","1"))</f>
        <v>0</v>
      </c>
      <c r="C124" s="38" t="str">
        <f>IF(OR($A124=0,$A124=""),"0",IF(LOOKUP($A124,Discrete_NFET[PARTNUMBER],Discrete_NFET[RDSON3])="(NULL)","0","1"))</f>
        <v>0</v>
      </c>
      <c r="D124" s="40" t="str">
        <f>IF(OR($A124=0,$A124=""),"0",IF(LOOKUP($A124,Discrete_NFET[PARTNUMBER],Discrete_NFET[RDSON45])="(NULL)","0","1"))</f>
        <v>0</v>
      </c>
      <c r="E124" s="45" t="str">
        <f>IF(OR($A124=0,$A124=""),"0",IF(LOOKUP($A124,Discrete_NFET[PARTNUMBER],Discrete_NFET[RDSON6])="(NULL)","0","1"))</f>
        <v>0</v>
      </c>
      <c r="F124" s="34" t="str">
        <f>IF(OR($A124=0,$A124=""),"0",IF(LOOKUP($A124,Discrete_NFET[PARTNUMBER],Discrete_NFET[RDSON8])="(NULL)","0","1"))</f>
        <v>0</v>
      </c>
      <c r="G124" s="43" t="str">
        <f>IF(OR($A124=0,$A124=""),"0",IF(LOOKUP($A124,Discrete_NFET[PARTNUMBER],Discrete_NFET[RDSON10])="(NULL)","0","1"))</f>
        <v>0</v>
      </c>
      <c r="H124" s="36" t="b">
        <f t="shared" si="37"/>
        <v>0</v>
      </c>
      <c r="I124" s="39" t="b">
        <f t="shared" si="38"/>
        <v>0</v>
      </c>
      <c r="J124" s="41" t="b">
        <f t="shared" si="39"/>
        <v>0</v>
      </c>
      <c r="K124" s="46" t="b">
        <f t="shared" si="40"/>
        <v>0</v>
      </c>
      <c r="L124" s="42" t="b">
        <f t="shared" si="41"/>
        <v>0</v>
      </c>
      <c r="M124" s="44" t="b">
        <f t="shared" si="42"/>
        <v>0</v>
      </c>
      <c r="N124" s="47" t="b">
        <f t="shared" si="43"/>
        <v>0</v>
      </c>
      <c r="O124" s="36" t="b">
        <f t="shared" si="44"/>
        <v>0</v>
      </c>
      <c r="P124" s="39" t="b">
        <f t="shared" si="45"/>
        <v>0</v>
      </c>
      <c r="Q124" s="41" t="b">
        <f t="shared" si="46"/>
        <v>0</v>
      </c>
      <c r="R124" s="46" t="b">
        <f t="shared" si="47"/>
        <v>0</v>
      </c>
      <c r="S124" s="42" t="b">
        <f t="shared" si="48"/>
        <v>0</v>
      </c>
      <c r="T124" s="44" t="b">
        <f t="shared" si="49"/>
        <v>0</v>
      </c>
      <c r="U124" s="148" t="str">
        <f>IF(T124,LOOKUP(A124,Discrete_NFET[PARTNUMBER],Discrete_NFET[RDSON10])*1000,IF(S124,LOOKUP(A124,Discrete_NFET[PARTNUMBER],Discrete_NFET[RDSON8])*1000,IF(R124,LOOKUP(A124,Discrete_NFET[PARTNUMBER],Discrete_NFET[RDSON6])*1000,IF(Q124,LOOKUP(A124,Discrete_NFET[PARTNUMBER],Discrete_NFET[RDSON45])*1000,IF(P124,LOOKUP(A124,Discrete_NFET[PARTNUMBER],Discrete_NFET[RDSON3])*1000,IF(O124,LOOKUP(A124,Discrete_NFET[PARTNUMBER],Discrete_NFET[RDSON25])*1000,""))))))</f>
        <v/>
      </c>
      <c r="V124" s="48" t="str">
        <f>IF(AND(A124&lt;&gt;0,A124&lt;&gt;""),U124*(1+(Tj-25)*(LOOKUP(A124,Discrete_NFET[PARTNUMBER],Discrete_NFET[RDSDELTA])/((LOOKUP(A124,Discrete_NFET[PARTNUMBER],Discrete_NFET[TJMAX])-25)))),"")</f>
        <v/>
      </c>
      <c r="W124" s="35" t="str">
        <f>IF(AND($A124&lt;&gt;0,$A124&lt;&gt;""),LOOKUP($A124,Discrete_NFET[PARTNUMBER],Discrete_NFET[QGS]),"")</f>
        <v/>
      </c>
      <c r="X124" s="35" t="str">
        <f>IF(AND($A124&lt;&gt;0,$A124&lt;&gt;""),LOOKUP($A124,Discrete_NFET[PARTNUMBER],Discrete_NFET[QGD]),"")</f>
        <v/>
      </c>
      <c r="Y124" s="35" t="str">
        <f>IF(AND($A124&lt;&gt;0,$A124&lt;&gt;""),LOOKUP($A124,Discrete_NFET[PARTNUMBER],Discrete_NFET[QGTH]),"")</f>
        <v/>
      </c>
      <c r="Z124" s="35" t="str">
        <f t="shared" si="50"/>
        <v/>
      </c>
      <c r="AA124" s="35" t="str">
        <f>IF(AND($A124&lt;&gt;0,$A124&lt;&gt;""),LOOKUP($A124,Discrete_NFET[PARTNUMBER],Discrete_NFET[QOSSTYP]),"")</f>
        <v/>
      </c>
      <c r="AB124" s="35" t="str">
        <f>IF(AND($A124&lt;&gt;0,$A124&lt;&gt;""),LOOKUP($A124,Discrete_NFET[PARTNUMBER],Discrete_NFET[QRR]),"")</f>
        <v/>
      </c>
      <c r="AC124" s="35" t="str">
        <f>IF(AND(A124&lt;&gt;0,A124&lt;&gt;""),LOOKUP(A124,Discrete_NFET[PARTNUMBER],Discrete_NFET[VF_TYP]),"")</f>
        <v/>
      </c>
      <c r="AD124" s="127" t="str">
        <f>IF(AND($A124&lt;&gt;0,$A124&lt;&gt;"",OR(RIGHT(Logic!B124,2)="C)",LEFT(Logic!B124,4)="CSD1")),(1+(1-DUTY))*IM_RMS_120^2*V124*m/3/Num_FETS2,"")</f>
        <v/>
      </c>
      <c r="AE124" s="127" t="str">
        <f>IF(AND($A124&lt;&gt;0,$A124&lt;&gt;"",OR(RIGHT(Logic!B124,2)="C)",LEFT(Logic!B124,4)="CSD1")),Num_FETS2*0.5*IM_RMS_120*VDC_AVG*Z124*n*MOT_ELEC_FREQ/GDR_SRC,"")</f>
        <v/>
      </c>
      <c r="AF124" s="127" t="str">
        <f>IF(AND($A124&lt;&gt;0,$A124&lt;&gt;"",OR(RIGHT(Logic!B124,2)="C)",LEFT(Logic!B124,4)="CSD1")),Num_FETS2*0.5*IM_RMS_120*VDC_AVG*Z124*n*MOT_ELEC_FREQ/GDR_SINK,"")</f>
        <v/>
      </c>
      <c r="AG124" s="127" t="str">
        <f>IF(AND($A124&lt;&gt;0,$A124&lt;&gt;"",OR(RIGHT(Logic!B124,2)="T)",LEFT(Logic!B124,4)="CSD1")),DUTY*IM_RMS_120^2*V124*m/3/Num_FETS2,"")</f>
        <v/>
      </c>
      <c r="AH124" s="127" t="str">
        <f>IF(AND($A124&lt;&gt;0,$A124&lt;&gt;"",OR(RIGHT(Logic!B124,2)="T)",LEFT(Logic!B124,4)="CSD1")),Num_FETS2*0.5*IM_RMS_120*VDC_AVG*Z124*n*FSW*k/GDR_SRC/3,"")</f>
        <v/>
      </c>
      <c r="AI124" s="127" t="str">
        <f>IF(AND($A124&lt;&gt;0,$A124&lt;&gt;"",OR(RIGHT(Logic!B124,2)="T)",LEFT(Logic!B124,4)="CSD1")),Num_FETS2*0.5*IM_RMS_120*VDC_AVG*Z124*n*FSW*k/GDR_SINK/3,"")</f>
        <v/>
      </c>
      <c r="AJ124" s="127" t="str">
        <f t="shared" si="53"/>
        <v/>
      </c>
      <c r="AK124" s="127" t="str">
        <f t="shared" si="55"/>
        <v/>
      </c>
      <c r="AL124" s="127" t="str">
        <f t="shared" si="54"/>
        <v/>
      </c>
      <c r="AM124" s="127" t="str">
        <f t="shared" si="51"/>
        <v/>
      </c>
      <c r="AN124" s="127">
        <f>IF(AND($A124&lt;&gt;0,$A124&lt;&gt;"",OR(RIGHT(Logic!B124,2)="C)",LEFT(Logic!B124,4)="CSD1")),SUM(AD124:AF124)+(AJ124/3)+AK124+AL124/6+AM124/6,AN125)</f>
        <v>0</v>
      </c>
      <c r="AO124" s="127">
        <f>IF(AND($A124&lt;&gt;0,$A124&lt;&gt;"",OR(RIGHT(Logic!B124,2)="T)",LEFT(Logic!B124,4)="CSD1")),SUM(AG124:AI124)+(AJ124/3)+AL124/6+AM124/6,AO123)</f>
        <v>0.23887636588496741</v>
      </c>
      <c r="AP124" s="48" t="str">
        <f t="shared" si="52"/>
        <v/>
      </c>
      <c r="AQ124" s="35" t="str">
        <f>IF(AND(A124&lt;&gt;0,A124&lt;&gt;""),LOOKUP(A124,Discrete_NFET[PARTNUMBER],Discrete_NFET[TI_EQ_PACKAGE]),"")</f>
        <v/>
      </c>
      <c r="AR124" s="49" t="str">
        <f>IF(AND(A124&lt;&gt;0,A124&lt;&gt;""),LOOKUP(A124,Discrete_NFET[PARTNUMBER],Discrete_NFET[1KPRICE]),"")</f>
        <v/>
      </c>
      <c r="AS124" s="35" t="str">
        <f>IF(AND($A124&lt;&gt;0,$A124&lt;&gt;""),CONCATENATE(TEXT(AP124,"0.00"),"W, ",IF('User Input'!G$11="Single Discrete",A124,IF('User Input'!G$11="Dual/Power Block",LEFT(A124,FIND(")",A124)-7),A124)),", ",AQ124,", ",TEXT(AR124,"$0.00")),"Invalid Part")</f>
        <v>Invalid Part</v>
      </c>
      <c r="AT124"/>
      <c r="AW124"/>
    </row>
    <row r="125" spans="1:50" ht="15" customHeight="1" x14ac:dyDescent="0.25">
      <c r="A125" s="35" t="str">
        <f>IF(OR(AND(FET_config2="Dual/Power Block",LEFT(Logic!B125,4)="CSD8"),AND(FET_config2="Single Discrete",LEFT(Logic!B125,4)="CSD1")),Logic!B125,"")</f>
        <v/>
      </c>
      <c r="B125" s="37" t="str">
        <f>IF(OR($A125=0,$A125=""),"0",IF(LOOKUP($A125,Discrete_NFET[PARTNUMBER],Discrete_NFET[RDSON25])="(NULL)","0","1"))</f>
        <v>0</v>
      </c>
      <c r="C125" s="38" t="str">
        <f>IF(OR($A125=0,$A125=""),"0",IF(LOOKUP($A125,Discrete_NFET[PARTNUMBER],Discrete_NFET[RDSON3])="(NULL)","0","1"))</f>
        <v>0</v>
      </c>
      <c r="D125" s="40" t="str">
        <f>IF(OR($A125=0,$A125=""),"0",IF(LOOKUP($A125,Discrete_NFET[PARTNUMBER],Discrete_NFET[RDSON45])="(NULL)","0","1"))</f>
        <v>0</v>
      </c>
      <c r="E125" s="45" t="str">
        <f>IF(OR($A125=0,$A125=""),"0",IF(LOOKUP($A125,Discrete_NFET[PARTNUMBER],Discrete_NFET[RDSON6])="(NULL)","0","1"))</f>
        <v>0</v>
      </c>
      <c r="F125" s="34" t="str">
        <f>IF(OR($A125=0,$A125=""),"0",IF(LOOKUP($A125,Discrete_NFET[PARTNUMBER],Discrete_NFET[RDSON8])="(NULL)","0","1"))</f>
        <v>0</v>
      </c>
      <c r="G125" s="43" t="str">
        <f>IF(OR($A125=0,$A125=""),"0",IF(LOOKUP($A125,Discrete_NFET[PARTNUMBER],Discrete_NFET[RDSON10])="(NULL)","0","1"))</f>
        <v>0</v>
      </c>
      <c r="H125" s="36" t="b">
        <f t="shared" si="37"/>
        <v>0</v>
      </c>
      <c r="I125" s="39" t="b">
        <f t="shared" si="38"/>
        <v>0</v>
      </c>
      <c r="J125" s="41" t="b">
        <f t="shared" si="39"/>
        <v>0</v>
      </c>
      <c r="K125" s="46" t="b">
        <f t="shared" si="40"/>
        <v>0</v>
      </c>
      <c r="L125" s="42" t="b">
        <f t="shared" si="41"/>
        <v>0</v>
      </c>
      <c r="M125" s="44" t="b">
        <f t="shared" si="42"/>
        <v>0</v>
      </c>
      <c r="N125" s="47" t="b">
        <f t="shared" si="43"/>
        <v>0</v>
      </c>
      <c r="O125" s="36" t="b">
        <f t="shared" si="44"/>
        <v>0</v>
      </c>
      <c r="P125" s="39" t="b">
        <f t="shared" si="45"/>
        <v>0</v>
      </c>
      <c r="Q125" s="41" t="b">
        <f t="shared" si="46"/>
        <v>0</v>
      </c>
      <c r="R125" s="46" t="b">
        <f t="shared" si="47"/>
        <v>0</v>
      </c>
      <c r="S125" s="42" t="b">
        <f t="shared" si="48"/>
        <v>0</v>
      </c>
      <c r="T125" s="44" t="b">
        <f t="shared" si="49"/>
        <v>0</v>
      </c>
      <c r="U125" s="148" t="str">
        <f>IF(T125,LOOKUP(A125,Discrete_NFET[PARTNUMBER],Discrete_NFET[RDSON10])*1000,IF(S125,LOOKUP(A125,Discrete_NFET[PARTNUMBER],Discrete_NFET[RDSON8])*1000,IF(R125,LOOKUP(A125,Discrete_NFET[PARTNUMBER],Discrete_NFET[RDSON6])*1000,IF(Q125,LOOKUP(A125,Discrete_NFET[PARTNUMBER],Discrete_NFET[RDSON45])*1000,IF(P125,LOOKUP(A125,Discrete_NFET[PARTNUMBER],Discrete_NFET[RDSON3])*1000,IF(O125,LOOKUP(A125,Discrete_NFET[PARTNUMBER],Discrete_NFET[RDSON25])*1000,""))))))</f>
        <v/>
      </c>
      <c r="V125" s="48" t="str">
        <f>IF(AND(A125&lt;&gt;0,A125&lt;&gt;""),U125*(1+(Tj-25)*(LOOKUP(A125,Discrete_NFET[PARTNUMBER],Discrete_NFET[RDSDELTA])/((LOOKUP(A125,Discrete_NFET[PARTNUMBER],Discrete_NFET[TJMAX])-25)))),"")</f>
        <v/>
      </c>
      <c r="W125" s="35" t="str">
        <f>IF(AND($A125&lt;&gt;0,$A125&lt;&gt;""),LOOKUP($A125,Discrete_NFET[PARTNUMBER],Discrete_NFET[QGS]),"")</f>
        <v/>
      </c>
      <c r="X125" s="35" t="str">
        <f>IF(AND($A125&lt;&gt;0,$A125&lt;&gt;""),LOOKUP($A125,Discrete_NFET[PARTNUMBER],Discrete_NFET[QGD]),"")</f>
        <v/>
      </c>
      <c r="Y125" s="35" t="str">
        <f>IF(AND($A125&lt;&gt;0,$A125&lt;&gt;""),LOOKUP($A125,Discrete_NFET[PARTNUMBER],Discrete_NFET[QGTH]),"")</f>
        <v/>
      </c>
      <c r="Z125" s="35" t="str">
        <f t="shared" si="50"/>
        <v/>
      </c>
      <c r="AA125" s="35" t="str">
        <f>IF(AND($A125&lt;&gt;0,$A125&lt;&gt;""),LOOKUP($A125,Discrete_NFET[PARTNUMBER],Discrete_NFET[QOSSTYP]),"")</f>
        <v/>
      </c>
      <c r="AB125" s="35" t="str">
        <f>IF(AND($A125&lt;&gt;0,$A125&lt;&gt;""),LOOKUP($A125,Discrete_NFET[PARTNUMBER],Discrete_NFET[QRR]),"")</f>
        <v/>
      </c>
      <c r="AC125" s="35" t="str">
        <f>IF(AND(A125&lt;&gt;0,A125&lt;&gt;""),LOOKUP(A125,Discrete_NFET[PARTNUMBER],Discrete_NFET[VF_TYP]),"")</f>
        <v/>
      </c>
      <c r="AD125" s="127" t="str">
        <f>IF(AND($A125&lt;&gt;0,$A125&lt;&gt;"",OR(RIGHT(Logic!B125,2)="C)",LEFT(Logic!B125,4)="CSD1")),(1+(1-DUTY))*IM_RMS_120^2*V125*m/3/Num_FETS2,"")</f>
        <v/>
      </c>
      <c r="AE125" s="127" t="str">
        <f>IF(AND($A125&lt;&gt;0,$A125&lt;&gt;"",OR(RIGHT(Logic!B125,2)="C)",LEFT(Logic!B125,4)="CSD1")),Num_FETS2*0.5*IM_RMS_120*VDC_AVG*Z125*n*MOT_ELEC_FREQ/GDR_SRC,"")</f>
        <v/>
      </c>
      <c r="AF125" s="127" t="str">
        <f>IF(AND($A125&lt;&gt;0,$A125&lt;&gt;"",OR(RIGHT(Logic!B125,2)="C)",LEFT(Logic!B125,4)="CSD1")),Num_FETS2*0.5*IM_RMS_120*VDC_AVG*Z125*n*MOT_ELEC_FREQ/GDR_SINK,"")</f>
        <v/>
      </c>
      <c r="AG125" s="127" t="str">
        <f>IF(AND($A125&lt;&gt;0,$A125&lt;&gt;"",OR(RIGHT(Logic!B125,2)="T)",LEFT(Logic!B125,4)="CSD1")),DUTY*IM_RMS_120^2*V125*m/3/Num_FETS2,"")</f>
        <v/>
      </c>
      <c r="AH125" s="127" t="str">
        <f>IF(AND($A125&lt;&gt;0,$A125&lt;&gt;"",OR(RIGHT(Logic!B125,2)="T)",LEFT(Logic!B125,4)="CSD1")),Num_FETS2*0.5*IM_RMS_120*VDC_AVG*Z125*n*FSW*k/GDR_SRC/3,"")</f>
        <v/>
      </c>
      <c r="AI125" s="127" t="str">
        <f>IF(AND($A125&lt;&gt;0,$A125&lt;&gt;"",OR(RIGHT(Logic!B125,2)="T)",LEFT(Logic!B125,4)="CSD1")),Num_FETS2*0.5*IM_RMS_120*VDC_AVG*Z125*n*FSW*k/GDR_SINK/3,"")</f>
        <v/>
      </c>
      <c r="AJ125" s="127" t="str">
        <f t="shared" si="53"/>
        <v/>
      </c>
      <c r="AK125" s="127" t="str">
        <f t="shared" si="55"/>
        <v/>
      </c>
      <c r="AL125" s="127" t="str">
        <f t="shared" si="54"/>
        <v/>
      </c>
      <c r="AM125" s="127" t="str">
        <f t="shared" si="51"/>
        <v/>
      </c>
      <c r="AN125" s="127">
        <f>IF(AND($A125&lt;&gt;0,$A125&lt;&gt;"",OR(RIGHT(Logic!B125,2)="C)",LEFT(Logic!B125,4)="CSD1")),SUM(AD125:AF125)+(AJ125/3)+AK125+AL125/6+AM125/6,AN126)</f>
        <v>0</v>
      </c>
      <c r="AO125" s="127">
        <f>IF(AND($A125&lt;&gt;0,$A125&lt;&gt;"",OR(RIGHT(Logic!B125,2)="T)",LEFT(Logic!B125,4)="CSD1")),SUM(AG125:AI125)+(AJ125/3)+AL125/6+AM125/6,AO124)</f>
        <v>0.23887636588496741</v>
      </c>
      <c r="AP125" s="48" t="str">
        <f t="shared" si="52"/>
        <v/>
      </c>
      <c r="AQ125" s="35" t="str">
        <f>IF(AND(A125&lt;&gt;0,A125&lt;&gt;""),LOOKUP(A125,Discrete_NFET[PARTNUMBER],Discrete_NFET[TI_EQ_PACKAGE]),"")</f>
        <v/>
      </c>
      <c r="AR125" s="49" t="str">
        <f>IF(AND(A125&lt;&gt;0,A125&lt;&gt;""),LOOKUP(A125,Discrete_NFET[PARTNUMBER],Discrete_NFET[1KPRICE]),"")</f>
        <v/>
      </c>
      <c r="AS125" s="35" t="str">
        <f>IF(AND($A125&lt;&gt;0,$A125&lt;&gt;""),CONCATENATE(TEXT(AP125,"0.00"),"W, ",IF('User Input'!G$11="Single Discrete",A125,IF('User Input'!G$11="Dual/Power Block",LEFT(A125,FIND(")",A125)-7),A125)),", ",AQ125,", ",TEXT(AR125,"$0.00")),"Invalid Part")</f>
        <v>Invalid Part</v>
      </c>
      <c r="AT125"/>
      <c r="AW125"/>
    </row>
    <row r="126" spans="1:50" ht="15" customHeight="1" x14ac:dyDescent="0.25">
      <c r="A126" s="35" t="str">
        <f>IF(OR(AND(FET_config2="Dual/Power Block",LEFT(Logic!B126,4)="CSD8"),AND(FET_config2="Single Discrete",LEFT(Logic!B126,4)="CSD1")),Logic!B126,"")</f>
        <v/>
      </c>
      <c r="B126" s="37" t="str">
        <f>IF(OR($A126=0,$A126=""),"0",IF(LOOKUP($A126,Discrete_NFET[PARTNUMBER],Discrete_NFET[RDSON25])="(NULL)","0","1"))</f>
        <v>0</v>
      </c>
      <c r="C126" s="38" t="str">
        <f>IF(OR($A126=0,$A126=""),"0",IF(LOOKUP($A126,Discrete_NFET[PARTNUMBER],Discrete_NFET[RDSON3])="(NULL)","0","1"))</f>
        <v>0</v>
      </c>
      <c r="D126" s="40" t="str">
        <f>IF(OR($A126=0,$A126=""),"0",IF(LOOKUP($A126,Discrete_NFET[PARTNUMBER],Discrete_NFET[RDSON45])="(NULL)","0","1"))</f>
        <v>0</v>
      </c>
      <c r="E126" s="45" t="str">
        <f>IF(OR($A126=0,$A126=""),"0",IF(LOOKUP($A126,Discrete_NFET[PARTNUMBER],Discrete_NFET[RDSON6])="(NULL)","0","1"))</f>
        <v>0</v>
      </c>
      <c r="F126" s="34" t="str">
        <f>IF(OR($A126=0,$A126=""),"0",IF(LOOKUP($A126,Discrete_NFET[PARTNUMBER],Discrete_NFET[RDSON8])="(NULL)","0","1"))</f>
        <v>0</v>
      </c>
      <c r="G126" s="43" t="str">
        <f>IF(OR($A126=0,$A126=""),"0",IF(LOOKUP($A126,Discrete_NFET[PARTNUMBER],Discrete_NFET[RDSON10])="(NULL)","0","1"))</f>
        <v>0</v>
      </c>
      <c r="H126" s="36" t="b">
        <f t="shared" si="37"/>
        <v>0</v>
      </c>
      <c r="I126" s="39" t="b">
        <f t="shared" si="38"/>
        <v>0</v>
      </c>
      <c r="J126" s="41" t="b">
        <f t="shared" si="39"/>
        <v>0</v>
      </c>
      <c r="K126" s="46" t="b">
        <f t="shared" si="40"/>
        <v>0</v>
      </c>
      <c r="L126" s="42" t="b">
        <f t="shared" si="41"/>
        <v>0</v>
      </c>
      <c r="M126" s="44" t="b">
        <f t="shared" si="42"/>
        <v>0</v>
      </c>
      <c r="N126" s="47" t="b">
        <f t="shared" si="43"/>
        <v>0</v>
      </c>
      <c r="O126" s="36" t="b">
        <f t="shared" si="44"/>
        <v>0</v>
      </c>
      <c r="P126" s="39" t="b">
        <f t="shared" si="45"/>
        <v>0</v>
      </c>
      <c r="Q126" s="41" t="b">
        <f t="shared" si="46"/>
        <v>0</v>
      </c>
      <c r="R126" s="46" t="b">
        <f t="shared" si="47"/>
        <v>0</v>
      </c>
      <c r="S126" s="42" t="b">
        <f t="shared" si="48"/>
        <v>0</v>
      </c>
      <c r="T126" s="44" t="b">
        <f t="shared" si="49"/>
        <v>0</v>
      </c>
      <c r="U126" s="148" t="str">
        <f>IF(T126,LOOKUP(A126,Discrete_NFET[PARTNUMBER],Discrete_NFET[RDSON10])*1000,IF(S126,LOOKUP(A126,Discrete_NFET[PARTNUMBER],Discrete_NFET[RDSON8])*1000,IF(R126,LOOKUP(A126,Discrete_NFET[PARTNUMBER],Discrete_NFET[RDSON6])*1000,IF(Q126,LOOKUP(A126,Discrete_NFET[PARTNUMBER],Discrete_NFET[RDSON45])*1000,IF(P126,LOOKUP(A126,Discrete_NFET[PARTNUMBER],Discrete_NFET[RDSON3])*1000,IF(O126,LOOKUP(A126,Discrete_NFET[PARTNUMBER],Discrete_NFET[RDSON25])*1000,""))))))</f>
        <v/>
      </c>
      <c r="V126" s="48" t="str">
        <f>IF(AND(A126&lt;&gt;0,A126&lt;&gt;""),U126*(1+(Tj-25)*(LOOKUP(A126,Discrete_NFET[PARTNUMBER],Discrete_NFET[RDSDELTA])/((LOOKUP(A126,Discrete_NFET[PARTNUMBER],Discrete_NFET[TJMAX])-25)))),"")</f>
        <v/>
      </c>
      <c r="W126" s="35" t="str">
        <f>IF(AND($A126&lt;&gt;0,$A126&lt;&gt;""),LOOKUP($A126,Discrete_NFET[PARTNUMBER],Discrete_NFET[QGS]),"")</f>
        <v/>
      </c>
      <c r="X126" s="35" t="str">
        <f>IF(AND($A126&lt;&gt;0,$A126&lt;&gt;""),LOOKUP($A126,Discrete_NFET[PARTNUMBER],Discrete_NFET[QGD]),"")</f>
        <v/>
      </c>
      <c r="Y126" s="35" t="str">
        <f>IF(AND($A126&lt;&gt;0,$A126&lt;&gt;""),LOOKUP($A126,Discrete_NFET[PARTNUMBER],Discrete_NFET[QGTH]),"")</f>
        <v/>
      </c>
      <c r="Z126" s="35" t="str">
        <f t="shared" si="50"/>
        <v/>
      </c>
      <c r="AA126" s="35" t="str">
        <f>IF(AND($A126&lt;&gt;0,$A126&lt;&gt;""),LOOKUP($A126,Discrete_NFET[PARTNUMBER],Discrete_NFET[QOSSTYP]),"")</f>
        <v/>
      </c>
      <c r="AB126" s="35" t="str">
        <f>IF(AND($A126&lt;&gt;0,$A126&lt;&gt;""),LOOKUP($A126,Discrete_NFET[PARTNUMBER],Discrete_NFET[QRR]),"")</f>
        <v/>
      </c>
      <c r="AC126" s="35" t="str">
        <f>IF(AND(A126&lt;&gt;0,A126&lt;&gt;""),LOOKUP(A126,Discrete_NFET[PARTNUMBER],Discrete_NFET[VF_TYP]),"")</f>
        <v/>
      </c>
      <c r="AD126" s="127" t="str">
        <f>IF(AND($A126&lt;&gt;0,$A126&lt;&gt;"",OR(RIGHT(Logic!B126,2)="C)",LEFT(Logic!B126,4)="CSD1")),(1+(1-DUTY))*IM_RMS_120^2*V126*m/3/Num_FETS2,"")</f>
        <v/>
      </c>
      <c r="AE126" s="127" t="str">
        <f>IF(AND($A126&lt;&gt;0,$A126&lt;&gt;"",OR(RIGHT(Logic!B126,2)="C)",LEFT(Logic!B126,4)="CSD1")),Num_FETS2*0.5*IM_RMS_120*VDC_AVG*Z126*n*MOT_ELEC_FREQ/GDR_SRC,"")</f>
        <v/>
      </c>
      <c r="AF126" s="127" t="str">
        <f>IF(AND($A126&lt;&gt;0,$A126&lt;&gt;"",OR(RIGHT(Logic!B126,2)="C)",LEFT(Logic!B126,4)="CSD1")),Num_FETS2*0.5*IM_RMS_120*VDC_AVG*Z126*n*MOT_ELEC_FREQ/GDR_SINK,"")</f>
        <v/>
      </c>
      <c r="AG126" s="127" t="str">
        <f>IF(AND($A126&lt;&gt;0,$A126&lt;&gt;"",OR(RIGHT(Logic!B126,2)="T)",LEFT(Logic!B126,4)="CSD1")),DUTY*IM_RMS_120^2*V126*m/3/Num_FETS2,"")</f>
        <v/>
      </c>
      <c r="AH126" s="127" t="str">
        <f>IF(AND($A126&lt;&gt;0,$A126&lt;&gt;"",OR(RIGHT(Logic!B126,2)="T)",LEFT(Logic!B126,4)="CSD1")),Num_FETS2*0.5*IM_RMS_120*VDC_AVG*Z126*n*FSW*k/GDR_SRC/3,"")</f>
        <v/>
      </c>
      <c r="AI126" s="127" t="str">
        <f>IF(AND($A126&lt;&gt;0,$A126&lt;&gt;"",OR(RIGHT(Logic!B126,2)="T)",LEFT(Logic!B126,4)="CSD1")),Num_FETS2*0.5*IM_RMS_120*VDC_AVG*Z126*n*FSW*k/GDR_SINK/3,"")</f>
        <v/>
      </c>
      <c r="AJ126" s="127" t="str">
        <f t="shared" si="53"/>
        <v/>
      </c>
      <c r="AK126" s="127" t="str">
        <f t="shared" si="55"/>
        <v/>
      </c>
      <c r="AL126" s="127" t="str">
        <f t="shared" si="54"/>
        <v/>
      </c>
      <c r="AM126" s="127" t="str">
        <f t="shared" si="51"/>
        <v/>
      </c>
      <c r="AN126" s="127">
        <f>IF(AND($A126&lt;&gt;0,$A126&lt;&gt;"",OR(RIGHT(Logic!B126,2)="C)",LEFT(Logic!B126,4)="CSD1")),SUM(AD126:AF126)+(AJ126/3)+AK126+AL126/6+AM126/6,AN127)</f>
        <v>0</v>
      </c>
      <c r="AO126" s="127">
        <f>IF(AND($A126&lt;&gt;0,$A126&lt;&gt;"",OR(RIGHT(Logic!B126,2)="T)",LEFT(Logic!B126,4)="CSD1")),SUM(AG126:AI126)+(AJ126/3)+AL126/6+AM126/6,AO125)</f>
        <v>0.23887636588496741</v>
      </c>
      <c r="AP126" s="48" t="str">
        <f t="shared" si="52"/>
        <v/>
      </c>
      <c r="AQ126" s="35" t="str">
        <f>IF(AND(A126&lt;&gt;0,A126&lt;&gt;""),LOOKUP(A126,Discrete_NFET[PARTNUMBER],Discrete_NFET[TI_EQ_PACKAGE]),"")</f>
        <v/>
      </c>
      <c r="AR126" s="49" t="str">
        <f>IF(AND(A126&lt;&gt;0,A126&lt;&gt;""),LOOKUP(A126,Discrete_NFET[PARTNUMBER],Discrete_NFET[1KPRICE]),"")</f>
        <v/>
      </c>
      <c r="AS126" s="35" t="str">
        <f>IF(AND($A126&lt;&gt;0,$A126&lt;&gt;""),CONCATENATE(TEXT(AP126,"0.00"),"W, ",IF('User Input'!G$11="Single Discrete",A126,IF('User Input'!G$11="Dual/Power Block",LEFT(A126,FIND(")",A126)-7),A126)),", ",AQ126,", ",TEXT(AR126,"$0.00")),"Invalid Part")</f>
        <v>Invalid Part</v>
      </c>
      <c r="AT126"/>
      <c r="AW126"/>
    </row>
    <row r="127" spans="1:50" ht="15" customHeight="1" x14ac:dyDescent="0.25">
      <c r="A127" s="35" t="str">
        <f>IF(OR(AND(FET_config2="Dual/Power Block",LEFT(Logic!B127,4)="CSD8"),AND(FET_config2="Single Discrete",LEFT(Logic!B127,4)="CSD1")),Logic!B127,"")</f>
        <v/>
      </c>
      <c r="B127" s="37" t="str">
        <f>IF(OR($A127=0,$A127=""),"0",IF(LOOKUP($A127,Discrete_NFET[PARTNUMBER],Discrete_NFET[RDSON25])="(NULL)","0","1"))</f>
        <v>0</v>
      </c>
      <c r="C127" s="38" t="str">
        <f>IF(OR($A127=0,$A127=""),"0",IF(LOOKUP($A127,Discrete_NFET[PARTNUMBER],Discrete_NFET[RDSON3])="(NULL)","0","1"))</f>
        <v>0</v>
      </c>
      <c r="D127" s="40" t="str">
        <f>IF(OR($A127=0,$A127=""),"0",IF(LOOKUP($A127,Discrete_NFET[PARTNUMBER],Discrete_NFET[RDSON45])="(NULL)","0","1"))</f>
        <v>0</v>
      </c>
      <c r="E127" s="45" t="str">
        <f>IF(OR($A127=0,$A127=""),"0",IF(LOOKUP($A127,Discrete_NFET[PARTNUMBER],Discrete_NFET[RDSON6])="(NULL)","0","1"))</f>
        <v>0</v>
      </c>
      <c r="F127" s="34" t="str">
        <f>IF(OR($A127=0,$A127=""),"0",IF(LOOKUP($A127,Discrete_NFET[PARTNUMBER],Discrete_NFET[RDSON8])="(NULL)","0","1"))</f>
        <v>0</v>
      </c>
      <c r="G127" s="43" t="str">
        <f>IF(OR($A127=0,$A127=""),"0",IF(LOOKUP($A127,Discrete_NFET[PARTNUMBER],Discrete_NFET[RDSON10])="(NULL)","0","1"))</f>
        <v>0</v>
      </c>
      <c r="H127" s="36" t="b">
        <f t="shared" si="37"/>
        <v>0</v>
      </c>
      <c r="I127" s="39" t="b">
        <f t="shared" si="38"/>
        <v>0</v>
      </c>
      <c r="J127" s="41" t="b">
        <f t="shared" si="39"/>
        <v>0</v>
      </c>
      <c r="K127" s="46" t="b">
        <f t="shared" si="40"/>
        <v>0</v>
      </c>
      <c r="L127" s="42" t="b">
        <f t="shared" si="41"/>
        <v>0</v>
      </c>
      <c r="M127" s="44" t="b">
        <f t="shared" si="42"/>
        <v>0</v>
      </c>
      <c r="N127" s="47" t="b">
        <f t="shared" si="43"/>
        <v>0</v>
      </c>
      <c r="O127" s="36" t="b">
        <f t="shared" si="44"/>
        <v>0</v>
      </c>
      <c r="P127" s="39" t="b">
        <f t="shared" si="45"/>
        <v>0</v>
      </c>
      <c r="Q127" s="41" t="b">
        <f t="shared" si="46"/>
        <v>0</v>
      </c>
      <c r="R127" s="46" t="b">
        <f t="shared" si="47"/>
        <v>0</v>
      </c>
      <c r="S127" s="42" t="b">
        <f t="shared" si="48"/>
        <v>0</v>
      </c>
      <c r="T127" s="44" t="b">
        <f t="shared" si="49"/>
        <v>0</v>
      </c>
      <c r="U127" s="148" t="str">
        <f>IF(T127,LOOKUP(A127,Discrete_NFET[PARTNUMBER],Discrete_NFET[RDSON10])*1000,IF(S127,LOOKUP(A127,Discrete_NFET[PARTNUMBER],Discrete_NFET[RDSON8])*1000,IF(R127,LOOKUP(A127,Discrete_NFET[PARTNUMBER],Discrete_NFET[RDSON6])*1000,IF(Q127,LOOKUP(A127,Discrete_NFET[PARTNUMBER],Discrete_NFET[RDSON45])*1000,IF(P127,LOOKUP(A127,Discrete_NFET[PARTNUMBER],Discrete_NFET[RDSON3])*1000,IF(O127,LOOKUP(A127,Discrete_NFET[PARTNUMBER],Discrete_NFET[RDSON25])*1000,""))))))</f>
        <v/>
      </c>
      <c r="V127" s="48" t="str">
        <f>IF(AND(A127&lt;&gt;0,A127&lt;&gt;""),U127*(1+(Tj-25)*(LOOKUP(A127,Discrete_NFET[PARTNUMBER],Discrete_NFET[RDSDELTA])/((LOOKUP(A127,Discrete_NFET[PARTNUMBER],Discrete_NFET[TJMAX])-25)))),"")</f>
        <v/>
      </c>
      <c r="W127" s="35" t="str">
        <f>IF(AND($A127&lt;&gt;0,$A127&lt;&gt;""),LOOKUP($A127,Discrete_NFET[PARTNUMBER],Discrete_NFET[QGS]),"")</f>
        <v/>
      </c>
      <c r="X127" s="35" t="str">
        <f>IF(AND($A127&lt;&gt;0,$A127&lt;&gt;""),LOOKUP($A127,Discrete_NFET[PARTNUMBER],Discrete_NFET[QGD]),"")</f>
        <v/>
      </c>
      <c r="Y127" s="35" t="str">
        <f>IF(AND($A127&lt;&gt;0,$A127&lt;&gt;""),LOOKUP($A127,Discrete_NFET[PARTNUMBER],Discrete_NFET[QGTH]),"")</f>
        <v/>
      </c>
      <c r="Z127" s="35" t="str">
        <f t="shared" si="50"/>
        <v/>
      </c>
      <c r="AA127" s="35" t="str">
        <f>IF(AND($A127&lt;&gt;0,$A127&lt;&gt;""),LOOKUP($A127,Discrete_NFET[PARTNUMBER],Discrete_NFET[QOSSTYP]),"")</f>
        <v/>
      </c>
      <c r="AB127" s="35" t="str">
        <f>IF(AND($A127&lt;&gt;0,$A127&lt;&gt;""),LOOKUP($A127,Discrete_NFET[PARTNUMBER],Discrete_NFET[QRR]),"")</f>
        <v/>
      </c>
      <c r="AC127" s="35" t="str">
        <f>IF(AND(A127&lt;&gt;0,A127&lt;&gt;""),LOOKUP(A127,Discrete_NFET[PARTNUMBER],Discrete_NFET[VF_TYP]),"")</f>
        <v/>
      </c>
      <c r="AD127" s="127" t="str">
        <f>IF(AND($A127&lt;&gt;0,$A127&lt;&gt;"",OR(RIGHT(Logic!B127,2)="C)",LEFT(Logic!B127,4)="CSD1")),(1+(1-DUTY))*IM_RMS_120^2*V127*m/3/Num_FETS2,"")</f>
        <v/>
      </c>
      <c r="AE127" s="127" t="str">
        <f>IF(AND($A127&lt;&gt;0,$A127&lt;&gt;"",OR(RIGHT(Logic!B127,2)="C)",LEFT(Logic!B127,4)="CSD1")),Num_FETS2*0.5*IM_RMS_120*VDC_AVG*Z127*n*MOT_ELEC_FREQ/GDR_SRC,"")</f>
        <v/>
      </c>
      <c r="AF127" s="127" t="str">
        <f>IF(AND($A127&lt;&gt;0,$A127&lt;&gt;"",OR(RIGHT(Logic!B127,2)="C)",LEFT(Logic!B127,4)="CSD1")),Num_FETS2*0.5*IM_RMS_120*VDC_AVG*Z127*n*MOT_ELEC_FREQ/GDR_SINK,"")</f>
        <v/>
      </c>
      <c r="AG127" s="127" t="str">
        <f>IF(AND($A127&lt;&gt;0,$A127&lt;&gt;"",OR(RIGHT(Logic!B127,2)="T)",LEFT(Logic!B127,4)="CSD1")),DUTY*IM_RMS_120^2*V127*m/3/Num_FETS2,"")</f>
        <v/>
      </c>
      <c r="AH127" s="127" t="str">
        <f>IF(AND($A127&lt;&gt;0,$A127&lt;&gt;"",OR(RIGHT(Logic!B127,2)="T)",LEFT(Logic!B127,4)="CSD1")),Num_FETS2*0.5*IM_RMS_120*VDC_AVG*Z127*n*FSW*k/GDR_SRC/3,"")</f>
        <v/>
      </c>
      <c r="AI127" s="127" t="str">
        <f>IF(AND($A127&lt;&gt;0,$A127&lt;&gt;"",OR(RIGHT(Logic!B127,2)="T)",LEFT(Logic!B127,4)="CSD1")),Num_FETS2*0.5*IM_RMS_120*VDC_AVG*Z127*n*FSW*k/GDR_SINK/3,"")</f>
        <v/>
      </c>
      <c r="AJ127" s="127" t="str">
        <f t="shared" si="53"/>
        <v/>
      </c>
      <c r="AK127" s="127" t="str">
        <f t="shared" si="55"/>
        <v/>
      </c>
      <c r="AL127" s="127" t="str">
        <f t="shared" si="54"/>
        <v/>
      </c>
      <c r="AM127" s="127" t="str">
        <f t="shared" si="51"/>
        <v/>
      </c>
      <c r="AN127" s="127">
        <f>IF(AND($A127&lt;&gt;0,$A127&lt;&gt;"",OR(RIGHT(Logic!B127,2)="C)",LEFT(Logic!B127,4)="CSD1")),SUM(AD127:AF127)+(AJ127/3)+AK127+AL127/6+AM127/6,AN128)</f>
        <v>0</v>
      </c>
      <c r="AO127" s="127">
        <f>IF(AND($A127&lt;&gt;0,$A127&lt;&gt;"",OR(RIGHT(Logic!B127,2)="T)",LEFT(Logic!B127,4)="CSD1")),SUM(AG127:AI127)+(AJ127/3)+AL127/6+AM127/6,AO126)</f>
        <v>0.23887636588496741</v>
      </c>
      <c r="AP127" s="48" t="str">
        <f t="shared" si="52"/>
        <v/>
      </c>
      <c r="AQ127" s="35" t="str">
        <f>IF(AND(A127&lt;&gt;0,A127&lt;&gt;""),LOOKUP(A127,Discrete_NFET[PARTNUMBER],Discrete_NFET[TI_EQ_PACKAGE]),"")</f>
        <v/>
      </c>
      <c r="AR127" s="49" t="str">
        <f>IF(AND(A127&lt;&gt;0,A127&lt;&gt;""),LOOKUP(A127,Discrete_NFET[PARTNUMBER],Discrete_NFET[1KPRICE]),"")</f>
        <v/>
      </c>
      <c r="AS127" s="35" t="str">
        <f>IF(AND($A127&lt;&gt;0,$A127&lt;&gt;""),CONCATENATE(TEXT(AP127,"0.00"),"W, ",IF('User Input'!G$11="Single Discrete",A127,IF('User Input'!G$11="Dual/Power Block",LEFT(A127,FIND(")",A127)-7),A127)),", ",AQ127,", ",TEXT(AR127,"$0.00")),"Invalid Part")</f>
        <v>Invalid Part</v>
      </c>
      <c r="AT127"/>
      <c r="AW127"/>
    </row>
    <row r="128" spans="1:50" ht="15" customHeight="1" x14ac:dyDescent="0.25">
      <c r="A128" s="35" t="str">
        <f>IF(OR(AND(FET_config2="Dual/Power Block",LEFT(Logic!B128,4)="CSD8"),AND(FET_config2="Single Discrete",LEFT(Logic!B128,4)="CSD1")),Logic!B128,"")</f>
        <v/>
      </c>
      <c r="B128" s="37" t="str">
        <f>IF(OR($A128=0,$A128=""),"0",IF(LOOKUP($A128,Discrete_NFET[PARTNUMBER],Discrete_NFET[RDSON25])="(NULL)","0","1"))</f>
        <v>0</v>
      </c>
      <c r="C128" s="38" t="str">
        <f>IF(OR($A128=0,$A128=""),"0",IF(LOOKUP($A128,Discrete_NFET[PARTNUMBER],Discrete_NFET[RDSON3])="(NULL)","0","1"))</f>
        <v>0</v>
      </c>
      <c r="D128" s="40" t="str">
        <f>IF(OR($A128=0,$A128=""),"0",IF(LOOKUP($A128,Discrete_NFET[PARTNUMBER],Discrete_NFET[RDSON45])="(NULL)","0","1"))</f>
        <v>0</v>
      </c>
      <c r="E128" s="45" t="str">
        <f>IF(OR($A128=0,$A128=""),"0",IF(LOOKUP($A128,Discrete_NFET[PARTNUMBER],Discrete_NFET[RDSON6])="(NULL)","0","1"))</f>
        <v>0</v>
      </c>
      <c r="F128" s="34" t="str">
        <f>IF(OR($A128=0,$A128=""),"0",IF(LOOKUP($A128,Discrete_NFET[PARTNUMBER],Discrete_NFET[RDSON8])="(NULL)","0","1"))</f>
        <v>0</v>
      </c>
      <c r="G128" s="43" t="str">
        <f>IF(OR($A128=0,$A128=""),"0",IF(LOOKUP($A128,Discrete_NFET[PARTNUMBER],Discrete_NFET[RDSON10])="(NULL)","0","1"))</f>
        <v>0</v>
      </c>
      <c r="H128" s="36" t="b">
        <f t="shared" si="37"/>
        <v>0</v>
      </c>
      <c r="I128" s="39" t="b">
        <f t="shared" si="38"/>
        <v>0</v>
      </c>
      <c r="J128" s="41" t="b">
        <f t="shared" si="39"/>
        <v>0</v>
      </c>
      <c r="K128" s="46" t="b">
        <f t="shared" si="40"/>
        <v>0</v>
      </c>
      <c r="L128" s="42" t="b">
        <f t="shared" si="41"/>
        <v>0</v>
      </c>
      <c r="M128" s="44" t="b">
        <f t="shared" si="42"/>
        <v>0</v>
      </c>
      <c r="N128" s="47" t="b">
        <f t="shared" si="43"/>
        <v>0</v>
      </c>
      <c r="O128" s="36" t="b">
        <f t="shared" si="44"/>
        <v>0</v>
      </c>
      <c r="P128" s="39" t="b">
        <f t="shared" si="45"/>
        <v>0</v>
      </c>
      <c r="Q128" s="41" t="b">
        <f t="shared" si="46"/>
        <v>0</v>
      </c>
      <c r="R128" s="46" t="b">
        <f t="shared" si="47"/>
        <v>0</v>
      </c>
      <c r="S128" s="42" t="b">
        <f t="shared" si="48"/>
        <v>0</v>
      </c>
      <c r="T128" s="44" t="b">
        <f t="shared" si="49"/>
        <v>0</v>
      </c>
      <c r="U128" s="148" t="str">
        <f>IF(T128,LOOKUP(A128,Discrete_NFET[PARTNUMBER],Discrete_NFET[RDSON10])*1000,IF(S128,LOOKUP(A128,Discrete_NFET[PARTNUMBER],Discrete_NFET[RDSON8])*1000,IF(R128,LOOKUP(A128,Discrete_NFET[PARTNUMBER],Discrete_NFET[RDSON6])*1000,IF(Q128,LOOKUP(A128,Discrete_NFET[PARTNUMBER],Discrete_NFET[RDSON45])*1000,IF(P128,LOOKUP(A128,Discrete_NFET[PARTNUMBER],Discrete_NFET[RDSON3])*1000,IF(O128,LOOKUP(A128,Discrete_NFET[PARTNUMBER],Discrete_NFET[RDSON25])*1000,""))))))</f>
        <v/>
      </c>
      <c r="V128" s="48" t="str">
        <f>IF(AND(A128&lt;&gt;0,A128&lt;&gt;""),U128*(1+(Tj-25)*(LOOKUP(A128,Discrete_NFET[PARTNUMBER],Discrete_NFET[RDSDELTA])/((LOOKUP(A128,Discrete_NFET[PARTNUMBER],Discrete_NFET[TJMAX])-25)))),"")</f>
        <v/>
      </c>
      <c r="W128" s="35" t="str">
        <f>IF(AND($A128&lt;&gt;0,$A128&lt;&gt;""),LOOKUP($A128,Discrete_NFET[PARTNUMBER],Discrete_NFET[QGS]),"")</f>
        <v/>
      </c>
      <c r="X128" s="35" t="str">
        <f>IF(AND($A128&lt;&gt;0,$A128&lt;&gt;""),LOOKUP($A128,Discrete_NFET[PARTNUMBER],Discrete_NFET[QGD]),"")</f>
        <v/>
      </c>
      <c r="Y128" s="35" t="str">
        <f>IF(AND($A128&lt;&gt;0,$A128&lt;&gt;""),LOOKUP($A128,Discrete_NFET[PARTNUMBER],Discrete_NFET[QGTH]),"")</f>
        <v/>
      </c>
      <c r="Z128" s="35" t="str">
        <f t="shared" si="50"/>
        <v/>
      </c>
      <c r="AA128" s="35" t="str">
        <f>IF(AND($A128&lt;&gt;0,$A128&lt;&gt;""),LOOKUP($A128,Discrete_NFET[PARTNUMBER],Discrete_NFET[QOSSTYP]),"")</f>
        <v/>
      </c>
      <c r="AB128" s="35" t="str">
        <f>IF(AND($A128&lt;&gt;0,$A128&lt;&gt;""),LOOKUP($A128,Discrete_NFET[PARTNUMBER],Discrete_NFET[QRR]),"")</f>
        <v/>
      </c>
      <c r="AC128" s="35" t="str">
        <f>IF(AND(A128&lt;&gt;0,A128&lt;&gt;""),LOOKUP(A128,Discrete_NFET[PARTNUMBER],Discrete_NFET[VF_TYP]),"")</f>
        <v/>
      </c>
      <c r="AD128" s="127" t="str">
        <f>IF(AND($A128&lt;&gt;0,$A128&lt;&gt;"",OR(RIGHT(Logic!B128,2)="C)",LEFT(Logic!B128,4)="CSD1")),(1+(1-DUTY))*IM_RMS_120^2*V128*m/3/Num_FETS2,"")</f>
        <v/>
      </c>
      <c r="AE128" s="127" t="str">
        <f>IF(AND($A128&lt;&gt;0,$A128&lt;&gt;"",OR(RIGHT(Logic!B128,2)="C)",LEFT(Logic!B128,4)="CSD1")),Num_FETS2*0.5*IM_RMS_120*VDC_AVG*Z128*n*MOT_ELEC_FREQ/GDR_SRC,"")</f>
        <v/>
      </c>
      <c r="AF128" s="127" t="str">
        <f>IF(AND($A128&lt;&gt;0,$A128&lt;&gt;"",OR(RIGHT(Logic!B128,2)="C)",LEFT(Logic!B128,4)="CSD1")),Num_FETS2*0.5*IM_RMS_120*VDC_AVG*Z128*n*MOT_ELEC_FREQ/GDR_SINK,"")</f>
        <v/>
      </c>
      <c r="AG128" s="127" t="str">
        <f>IF(AND($A128&lt;&gt;0,$A128&lt;&gt;"",OR(RIGHT(Logic!B128,2)="T)",LEFT(Logic!B128,4)="CSD1")),DUTY*IM_RMS_120^2*V128*m/3/Num_FETS2,"")</f>
        <v/>
      </c>
      <c r="AH128" s="127" t="str">
        <f>IF(AND($A128&lt;&gt;0,$A128&lt;&gt;"",OR(RIGHT(Logic!B128,2)="T)",LEFT(Logic!B128,4)="CSD1")),Num_FETS2*0.5*IM_RMS_120*VDC_AVG*Z128*n*FSW*k/GDR_SRC/3,"")</f>
        <v/>
      </c>
      <c r="AI128" s="127" t="str">
        <f>IF(AND($A128&lt;&gt;0,$A128&lt;&gt;"",OR(RIGHT(Logic!B128,2)="T)",LEFT(Logic!B128,4)="CSD1")),Num_FETS2*0.5*IM_RMS_120*VDC_AVG*Z128*n*FSW*k/GDR_SINK/3,"")</f>
        <v/>
      </c>
      <c r="AJ128" s="127" t="str">
        <f t="shared" si="53"/>
        <v/>
      </c>
      <c r="AK128" s="127" t="str">
        <f t="shared" si="55"/>
        <v/>
      </c>
      <c r="AL128" s="127" t="str">
        <f t="shared" si="54"/>
        <v/>
      </c>
      <c r="AM128" s="127" t="str">
        <f t="shared" si="51"/>
        <v/>
      </c>
      <c r="AN128" s="127">
        <f>IF(AND($A128&lt;&gt;0,$A128&lt;&gt;"",OR(RIGHT(Logic!B128,2)="C)",LEFT(Logic!B128,4)="CSD1")),SUM(AD128:AF128)+(AJ128/3)+AK128+AL128/6+AM128/6,AN129)</f>
        <v>0</v>
      </c>
      <c r="AO128" s="127">
        <f>IF(AND($A128&lt;&gt;0,$A128&lt;&gt;"",OR(RIGHT(Logic!B128,2)="T)",LEFT(Logic!B128,4)="CSD1")),SUM(AG128:AI128)+(AJ128/3)+AL128/6+AM128/6,AO127)</f>
        <v>0.23887636588496741</v>
      </c>
      <c r="AP128" s="48" t="str">
        <f t="shared" si="52"/>
        <v/>
      </c>
      <c r="AQ128" s="35" t="str">
        <f>IF(AND(A128&lt;&gt;0,A128&lt;&gt;""),LOOKUP(A128,Discrete_NFET[PARTNUMBER],Discrete_NFET[TI_EQ_PACKAGE]),"")</f>
        <v/>
      </c>
      <c r="AR128" s="49" t="str">
        <f>IF(AND(A128&lt;&gt;0,A128&lt;&gt;""),LOOKUP(A128,Discrete_NFET[PARTNUMBER],Discrete_NFET[1KPRICE]),"")</f>
        <v/>
      </c>
      <c r="AS128" s="35" t="str">
        <f>IF(AND($A128&lt;&gt;0,$A128&lt;&gt;""),CONCATENATE(TEXT(AP128,"0.00"),"W, ",IF('User Input'!G$11="Single Discrete",A128,IF('User Input'!G$11="Dual/Power Block",LEFT(A128,FIND(")",A128)-7),A128)),", ",AQ128,", ",TEXT(AR128,"$0.00")),"Invalid Part")</f>
        <v>Invalid Part</v>
      </c>
      <c r="AT128"/>
      <c r="AW128"/>
    </row>
    <row r="129" spans="1:54" s="17" customFormat="1" x14ac:dyDescent="0.25">
      <c r="A129" s="35" t="str">
        <f>IF(OR(AND(FET_config2="Dual/Power Block",LEFT(Logic!B129,4)="CSD8"),AND(FET_config2="Single Discrete",LEFT(Logic!B129,4)="CSD1")),Logic!B129,"")</f>
        <v/>
      </c>
      <c r="B129" s="37" t="str">
        <f>IF(OR($A129=0,$A129=""),"0",IF(LOOKUP($A129,Discrete_NFET[PARTNUMBER],Discrete_NFET[RDSON25])="(NULL)","0","1"))</f>
        <v>0</v>
      </c>
      <c r="C129" s="38" t="str">
        <f>IF(OR($A129=0,$A129=""),"0",IF(LOOKUP($A129,Discrete_NFET[PARTNUMBER],Discrete_NFET[RDSON3])="(NULL)","0","1"))</f>
        <v>0</v>
      </c>
      <c r="D129" s="40" t="str">
        <f>IF(OR($A129=0,$A129=""),"0",IF(LOOKUP($A129,Discrete_NFET[PARTNUMBER],Discrete_NFET[RDSON45])="(NULL)","0","1"))</f>
        <v>0</v>
      </c>
      <c r="E129" s="45" t="str">
        <f>IF(OR($A129=0,$A129=""),"0",IF(LOOKUP($A129,Discrete_NFET[PARTNUMBER],Discrete_NFET[RDSON6])="(NULL)","0","1"))</f>
        <v>0</v>
      </c>
      <c r="F129" s="34" t="str">
        <f>IF(OR($A129=0,$A129=""),"0",IF(LOOKUP($A129,Discrete_NFET[PARTNUMBER],Discrete_NFET[RDSON8])="(NULL)","0","1"))</f>
        <v>0</v>
      </c>
      <c r="G129" s="43" t="str">
        <f>IF(OR($A129=0,$A129=""),"0",IF(LOOKUP($A129,Discrete_NFET[PARTNUMBER],Discrete_NFET[RDSON10])="(NULL)","0","1"))</f>
        <v>0</v>
      </c>
      <c r="H129" s="36" t="b">
        <f t="shared" si="37"/>
        <v>0</v>
      </c>
      <c r="I129" s="39" t="b">
        <f t="shared" si="38"/>
        <v>0</v>
      </c>
      <c r="J129" s="41" t="b">
        <f t="shared" si="39"/>
        <v>0</v>
      </c>
      <c r="K129" s="46" t="b">
        <f t="shared" si="40"/>
        <v>0</v>
      </c>
      <c r="L129" s="42" t="b">
        <f t="shared" si="41"/>
        <v>0</v>
      </c>
      <c r="M129" s="44" t="b">
        <f t="shared" si="42"/>
        <v>0</v>
      </c>
      <c r="N129" s="47" t="b">
        <f t="shared" si="43"/>
        <v>0</v>
      </c>
      <c r="O129" s="36" t="b">
        <f t="shared" si="44"/>
        <v>0</v>
      </c>
      <c r="P129" s="39" t="b">
        <f t="shared" si="45"/>
        <v>0</v>
      </c>
      <c r="Q129" s="41" t="b">
        <f t="shared" si="46"/>
        <v>0</v>
      </c>
      <c r="R129" s="46" t="b">
        <f t="shared" si="47"/>
        <v>0</v>
      </c>
      <c r="S129" s="42" t="b">
        <f t="shared" si="48"/>
        <v>0</v>
      </c>
      <c r="T129" s="44" t="b">
        <f t="shared" si="49"/>
        <v>0</v>
      </c>
      <c r="U129" s="148" t="str">
        <f>IF(T129,LOOKUP(A129,Discrete_NFET[PARTNUMBER],Discrete_NFET[RDSON10])*1000,IF(S129,LOOKUP(A129,Discrete_NFET[PARTNUMBER],Discrete_NFET[RDSON8])*1000,IF(R129,LOOKUP(A129,Discrete_NFET[PARTNUMBER],Discrete_NFET[RDSON6])*1000,IF(Q129,LOOKUP(A129,Discrete_NFET[PARTNUMBER],Discrete_NFET[RDSON45])*1000,IF(P129,LOOKUP(A129,Discrete_NFET[PARTNUMBER],Discrete_NFET[RDSON3])*1000,IF(O129,LOOKUP(A129,Discrete_NFET[PARTNUMBER],Discrete_NFET[RDSON25])*1000,""))))))</f>
        <v/>
      </c>
      <c r="V129" s="48" t="str">
        <f>IF(AND(A129&lt;&gt;0,A129&lt;&gt;""),U129*(1+(Tj-25)*(LOOKUP(A129,Discrete_NFET[PARTNUMBER],Discrete_NFET[RDSDELTA])/((LOOKUP(A129,Discrete_NFET[PARTNUMBER],Discrete_NFET[TJMAX])-25)))),"")</f>
        <v/>
      </c>
      <c r="W129" s="35" t="str">
        <f>IF(AND($A129&lt;&gt;0,$A129&lt;&gt;""),LOOKUP($A129,Discrete_NFET[PARTNUMBER],Discrete_NFET[QGS]),"")</f>
        <v/>
      </c>
      <c r="X129" s="35" t="str">
        <f>IF(AND($A129&lt;&gt;0,$A129&lt;&gt;""),LOOKUP($A129,Discrete_NFET[PARTNUMBER],Discrete_NFET[QGD]),"")</f>
        <v/>
      </c>
      <c r="Y129" s="35" t="str">
        <f>IF(AND($A129&lt;&gt;0,$A129&lt;&gt;""),LOOKUP($A129,Discrete_NFET[PARTNUMBER],Discrete_NFET[QGTH]),"")</f>
        <v/>
      </c>
      <c r="Z129" s="35" t="str">
        <f t="shared" si="50"/>
        <v/>
      </c>
      <c r="AA129" s="35" t="str">
        <f>IF(AND($A129&lt;&gt;0,$A129&lt;&gt;""),LOOKUP($A129,Discrete_NFET[PARTNUMBER],Discrete_NFET[QOSSTYP]),"")</f>
        <v/>
      </c>
      <c r="AB129" s="35" t="str">
        <f>IF(AND($A129&lt;&gt;0,$A129&lt;&gt;""),LOOKUP($A129,Discrete_NFET[PARTNUMBER],Discrete_NFET[QRR]),"")</f>
        <v/>
      </c>
      <c r="AC129" s="35" t="str">
        <f>IF(AND(A129&lt;&gt;0,A129&lt;&gt;""),LOOKUP(A129,Discrete_NFET[PARTNUMBER],Discrete_NFET[VF_TYP]),"")</f>
        <v/>
      </c>
      <c r="AD129" s="127" t="str">
        <f>IF(AND($A129&lt;&gt;0,$A129&lt;&gt;"",OR(RIGHT(Logic!B129,2)="C)",LEFT(Logic!B129,4)="CSD1")),(1+(1-DUTY))*IM_RMS_120^2*V129*m/3/Num_FETS2,"")</f>
        <v/>
      </c>
      <c r="AE129" s="127" t="str">
        <f>IF(AND($A129&lt;&gt;0,$A129&lt;&gt;"",OR(RIGHT(Logic!B129,2)="C)",LEFT(Logic!B129,4)="CSD1")),Num_FETS2*0.5*IM_RMS_120*VDC_AVG*Z129*n*MOT_ELEC_FREQ/GDR_SRC,"")</f>
        <v/>
      </c>
      <c r="AF129" s="127" t="str">
        <f>IF(AND($A129&lt;&gt;0,$A129&lt;&gt;"",OR(RIGHT(Logic!B129,2)="C)",LEFT(Logic!B129,4)="CSD1")),Num_FETS2*0.5*IM_RMS_120*VDC_AVG*Z129*n*MOT_ELEC_FREQ/GDR_SINK,"")</f>
        <v/>
      </c>
      <c r="AG129" s="127" t="str">
        <f>IF(AND($A129&lt;&gt;0,$A129&lt;&gt;"",OR(RIGHT(Logic!B129,2)="T)",LEFT(Logic!B129,4)="CSD1")),DUTY*IM_RMS_120^2*V129*m/3/Num_FETS2,"")</f>
        <v/>
      </c>
      <c r="AH129" s="127" t="str">
        <f>IF(AND($A129&lt;&gt;0,$A129&lt;&gt;"",OR(RIGHT(Logic!B129,2)="T)",LEFT(Logic!B129,4)="CSD1")),Num_FETS2*0.5*IM_RMS_120*VDC_AVG*Z129*n*FSW*k/GDR_SRC/3,"")</f>
        <v/>
      </c>
      <c r="AI129" s="127" t="str">
        <f>IF(AND($A129&lt;&gt;0,$A129&lt;&gt;"",OR(RIGHT(Logic!B129,2)="T)",LEFT(Logic!B129,4)="CSD1")),Num_FETS2*0.5*IM_RMS_120*VDC_AVG*Z129*n*FSW*k/GDR_SINK/3,"")</f>
        <v/>
      </c>
      <c r="AJ129" s="127" t="str">
        <f t="shared" si="53"/>
        <v/>
      </c>
      <c r="AK129" s="127" t="str">
        <f t="shared" si="55"/>
        <v/>
      </c>
      <c r="AL129" s="127" t="str">
        <f t="shared" si="54"/>
        <v/>
      </c>
      <c r="AM129" s="127" t="str">
        <f t="shared" si="51"/>
        <v/>
      </c>
      <c r="AN129" s="127">
        <f>IF(AND($A129&lt;&gt;0,$A129&lt;&gt;"",OR(RIGHT(Logic!B129,2)="C)",LEFT(Logic!B129,4)="CSD1")),SUM(AD129:AF129)+(AJ129/3)+AK129+AL129/6+AM129/6,AN130)</f>
        <v>0</v>
      </c>
      <c r="AO129" s="127">
        <f>IF(AND($A129&lt;&gt;0,$A129&lt;&gt;"",OR(RIGHT(Logic!B129,2)="T)",LEFT(Logic!B129,4)="CSD1")),SUM(AG129:AI129)+(AJ129/3)+AL129/6+AM129/6,AO128)</f>
        <v>0.23887636588496741</v>
      </c>
      <c r="AP129" s="48" t="str">
        <f t="shared" si="52"/>
        <v/>
      </c>
      <c r="AQ129" s="35" t="str">
        <f>IF(AND(A129&lt;&gt;0,A129&lt;&gt;""),LOOKUP(A129,Discrete_NFET[PARTNUMBER],Discrete_NFET[TI_EQ_PACKAGE]),"")</f>
        <v/>
      </c>
      <c r="AR129" s="49" t="str">
        <f>IF(AND(A129&lt;&gt;0,A129&lt;&gt;""),LOOKUP(A129,Discrete_NFET[PARTNUMBER],Discrete_NFET[1KPRICE]),"")</f>
        <v/>
      </c>
      <c r="AS129" s="35" t="str">
        <f>IF(AND($A129&lt;&gt;0,$A129&lt;&gt;""),CONCATENATE(TEXT(AP129,"0.00"),"W, ",IF('User Input'!G$11="Single Discrete",A129,IF('User Input'!G$11="Dual/Power Block",LEFT(A129,FIND(")",A129)-7),A129)),", ",AQ129,", ",TEXT(AR129,"$0.00")),"Invalid Part")</f>
        <v>Invalid Part</v>
      </c>
      <c r="AT129"/>
      <c r="AU129" s="16"/>
      <c r="AV129" s="16"/>
      <c r="AX129" s="16"/>
    </row>
    <row r="130" spans="1:54" x14ac:dyDescent="0.25">
      <c r="A130" s="35" t="str">
        <f>IF(OR(AND(FET_config2="Dual/Power Block",LEFT(Logic!B130,4)="CSD8"),AND(FET_config2="Single Discrete",LEFT(Logic!B130,4)="CSD1")),Logic!B130,"")</f>
        <v/>
      </c>
      <c r="B130" s="37" t="str">
        <f>IF(OR($A130=0,$A130=""),"0",IF(LOOKUP($A130,Discrete_NFET[PARTNUMBER],Discrete_NFET[RDSON25])="(NULL)","0","1"))</f>
        <v>0</v>
      </c>
      <c r="C130" s="38" t="str">
        <f>IF(OR($A130=0,$A130=""),"0",IF(LOOKUP($A130,Discrete_NFET[PARTNUMBER],Discrete_NFET[RDSON3])="(NULL)","0","1"))</f>
        <v>0</v>
      </c>
      <c r="D130" s="40" t="str">
        <f>IF(OR($A130=0,$A130=""),"0",IF(LOOKUP($A130,Discrete_NFET[PARTNUMBER],Discrete_NFET[RDSON45])="(NULL)","0","1"))</f>
        <v>0</v>
      </c>
      <c r="E130" s="45" t="str">
        <f>IF(OR($A130=0,$A130=""),"0",IF(LOOKUP($A130,Discrete_NFET[PARTNUMBER],Discrete_NFET[RDSON6])="(NULL)","0","1"))</f>
        <v>0</v>
      </c>
      <c r="F130" s="34" t="str">
        <f>IF(OR($A130=0,$A130=""),"0",IF(LOOKUP($A130,Discrete_NFET[PARTNUMBER],Discrete_NFET[RDSON8])="(NULL)","0","1"))</f>
        <v>0</v>
      </c>
      <c r="G130" s="43" t="str">
        <f>IF(OR($A130=0,$A130=""),"0",IF(LOOKUP($A130,Discrete_NFET[PARTNUMBER],Discrete_NFET[RDSON10])="(NULL)","0","1"))</f>
        <v>0</v>
      </c>
      <c r="H130" s="36" t="b">
        <f t="shared" si="37"/>
        <v>0</v>
      </c>
      <c r="I130" s="39" t="b">
        <f t="shared" si="38"/>
        <v>0</v>
      </c>
      <c r="J130" s="41" t="b">
        <f t="shared" si="39"/>
        <v>0</v>
      </c>
      <c r="K130" s="46" t="b">
        <f t="shared" si="40"/>
        <v>0</v>
      </c>
      <c r="L130" s="42" t="b">
        <f t="shared" si="41"/>
        <v>0</v>
      </c>
      <c r="M130" s="44" t="b">
        <f t="shared" si="42"/>
        <v>0</v>
      </c>
      <c r="N130" s="47" t="b">
        <f t="shared" si="43"/>
        <v>0</v>
      </c>
      <c r="O130" s="36" t="b">
        <f t="shared" si="44"/>
        <v>0</v>
      </c>
      <c r="P130" s="39" t="b">
        <f t="shared" si="45"/>
        <v>0</v>
      </c>
      <c r="Q130" s="41" t="b">
        <f t="shared" si="46"/>
        <v>0</v>
      </c>
      <c r="R130" s="46" t="b">
        <f t="shared" si="47"/>
        <v>0</v>
      </c>
      <c r="S130" s="42" t="b">
        <f t="shared" si="48"/>
        <v>0</v>
      </c>
      <c r="T130" s="44" t="b">
        <f t="shared" si="49"/>
        <v>0</v>
      </c>
      <c r="U130" s="148" t="str">
        <f>IF(T130,LOOKUP(A130,Discrete_NFET[PARTNUMBER],Discrete_NFET[RDSON10])*1000,IF(S130,LOOKUP(A130,Discrete_NFET[PARTNUMBER],Discrete_NFET[RDSON8])*1000,IF(R130,LOOKUP(A130,Discrete_NFET[PARTNUMBER],Discrete_NFET[RDSON6])*1000,IF(Q130,LOOKUP(A130,Discrete_NFET[PARTNUMBER],Discrete_NFET[RDSON45])*1000,IF(P130,LOOKUP(A130,Discrete_NFET[PARTNUMBER],Discrete_NFET[RDSON3])*1000,IF(O130,LOOKUP(A130,Discrete_NFET[PARTNUMBER],Discrete_NFET[RDSON25])*1000,""))))))</f>
        <v/>
      </c>
      <c r="V130" s="48" t="str">
        <f>IF(AND(A130&lt;&gt;0,A130&lt;&gt;""),U130*(1+(Tj-25)*(LOOKUP(A130,Discrete_NFET[PARTNUMBER],Discrete_NFET[RDSDELTA])/((LOOKUP(A130,Discrete_NFET[PARTNUMBER],Discrete_NFET[TJMAX])-25)))),"")</f>
        <v/>
      </c>
      <c r="W130" s="35" t="str">
        <f>IF(AND($A130&lt;&gt;0,$A130&lt;&gt;""),LOOKUP($A130,Discrete_NFET[PARTNUMBER],Discrete_NFET[QGS]),"")</f>
        <v/>
      </c>
      <c r="X130" s="35" t="str">
        <f>IF(AND($A130&lt;&gt;0,$A130&lt;&gt;""),LOOKUP($A130,Discrete_NFET[PARTNUMBER],Discrete_NFET[QGD]),"")</f>
        <v/>
      </c>
      <c r="Y130" s="35" t="str">
        <f>IF(AND($A130&lt;&gt;0,$A130&lt;&gt;""),LOOKUP($A130,Discrete_NFET[PARTNUMBER],Discrete_NFET[QGTH]),"")</f>
        <v/>
      </c>
      <c r="Z130" s="35" t="str">
        <f t="shared" si="50"/>
        <v/>
      </c>
      <c r="AA130" s="35" t="str">
        <f>IF(AND($A130&lt;&gt;0,$A130&lt;&gt;""),LOOKUP($A130,Discrete_NFET[PARTNUMBER],Discrete_NFET[QOSSTYP]),"")</f>
        <v/>
      </c>
      <c r="AB130" s="35" t="str">
        <f>IF(AND($A130&lt;&gt;0,$A130&lt;&gt;""),LOOKUP($A130,Discrete_NFET[PARTNUMBER],Discrete_NFET[QRR]),"")</f>
        <v/>
      </c>
      <c r="AC130" s="35" t="str">
        <f>IF(AND(A130&lt;&gt;0,A130&lt;&gt;""),LOOKUP(A130,Discrete_NFET[PARTNUMBER],Discrete_NFET[VF_TYP]),"")</f>
        <v/>
      </c>
      <c r="AD130" s="127" t="str">
        <f>IF(AND($A130&lt;&gt;0,$A130&lt;&gt;"",OR(RIGHT(Logic!B130,2)="C)",LEFT(Logic!B130,4)="CSD1")),(1+(1-DUTY))*IM_RMS_120^2*V130*m/3/Num_FETS2,"")</f>
        <v/>
      </c>
      <c r="AE130" s="127" t="str">
        <f>IF(AND($A130&lt;&gt;0,$A130&lt;&gt;"",OR(RIGHT(Logic!B130,2)="C)",LEFT(Logic!B130,4)="CSD1")),Num_FETS2*0.5*IM_RMS_120*VDC_AVG*Z130*n*MOT_ELEC_FREQ/GDR_SRC,"")</f>
        <v/>
      </c>
      <c r="AF130" s="127" t="str">
        <f>IF(AND($A130&lt;&gt;0,$A130&lt;&gt;"",OR(RIGHT(Logic!B130,2)="C)",LEFT(Logic!B130,4)="CSD1")),Num_FETS2*0.5*IM_RMS_120*VDC_AVG*Z130*n*MOT_ELEC_FREQ/GDR_SINK,"")</f>
        <v/>
      </c>
      <c r="AG130" s="127" t="str">
        <f>IF(AND($A130&lt;&gt;0,$A130&lt;&gt;"",OR(RIGHT(Logic!B130,2)="T)",LEFT(Logic!B130,4)="CSD1")),DUTY*IM_RMS_120^2*V130*m/3/Num_FETS2,"")</f>
        <v/>
      </c>
      <c r="AH130" s="127" t="str">
        <f>IF(AND($A130&lt;&gt;0,$A130&lt;&gt;"",OR(RIGHT(Logic!B130,2)="T)",LEFT(Logic!B130,4)="CSD1")),Num_FETS2*0.5*IM_RMS_120*VDC_AVG*Z130*n*FSW*k/GDR_SRC/3,"")</f>
        <v/>
      </c>
      <c r="AI130" s="127" t="str">
        <f>IF(AND($A130&lt;&gt;0,$A130&lt;&gt;"",OR(RIGHT(Logic!B130,2)="T)",LEFT(Logic!B130,4)="CSD1")),Num_FETS2*0.5*IM_RMS_120*VDC_AVG*Z130*n*FSW*k/GDR_SINK/3,"")</f>
        <v/>
      </c>
      <c r="AJ130" s="127" t="str">
        <f t="shared" ref="AJ130:AJ144" si="56">IF(AND($A130&lt;&gt;0,$A130&lt;&gt;""),Num_FETS2*((AA130*VDC_AVG)*((FSW*k)))*n/2,"")</f>
        <v/>
      </c>
      <c r="AK130" s="127" t="str">
        <f t="shared" si="55"/>
        <v/>
      </c>
      <c r="AL130" s="127" t="str">
        <f t="shared" ref="AL130:AL144" si="57">IF(AND($A130&lt;&gt;0,$A130&lt;&gt;""),Num_FETS2*((AB130*VDC_AVG)*((MOT_ELEC_FREQ+FSW*k)))*n,"")</f>
        <v/>
      </c>
      <c r="AM130" s="127" t="str">
        <f t="shared" si="51"/>
        <v/>
      </c>
      <c r="AN130" s="127">
        <f>IF(AND($A130&lt;&gt;0,$A130&lt;&gt;"",OR(RIGHT(Logic!B130,2)="C)",LEFT(Logic!B130,4)="CSD1")),SUM(AD130:AF130)+(AJ130/3)+AK130+AL130/6+AM130/6,AN131)</f>
        <v>0</v>
      </c>
      <c r="AO130" s="127">
        <f>IF(AND($A130&lt;&gt;0,$A130&lt;&gt;"",OR(RIGHT(Logic!B130,2)="T)",LEFT(Logic!B130,4)="CSD1")),SUM(AG130:AI130)+(AJ130/3)+AL130/6+AM130/6,AO129)</f>
        <v>0.23887636588496741</v>
      </c>
      <c r="AP130" s="48" t="str">
        <f t="shared" si="52"/>
        <v/>
      </c>
      <c r="AQ130" s="35" t="str">
        <f>IF(AND(A130&lt;&gt;0,A130&lt;&gt;""),LOOKUP(A130,Discrete_NFET[PARTNUMBER],Discrete_NFET[TI_EQ_PACKAGE]),"")</f>
        <v/>
      </c>
      <c r="AR130" s="49" t="str">
        <f>IF(AND(A130&lt;&gt;0,A130&lt;&gt;""),LOOKUP(A130,Discrete_NFET[PARTNUMBER],Discrete_NFET[1KPRICE]),"")</f>
        <v/>
      </c>
      <c r="AS130" s="35" t="str">
        <f>IF(AND($A130&lt;&gt;0,$A130&lt;&gt;""),CONCATENATE(TEXT(AP130,"0.00"),"W, ",IF('User Input'!G$11="Single Discrete",A130,IF('User Input'!G$11="Dual/Power Block",LEFT(A130,FIND(")",A130)-7),A130)),", ",AQ130,", ",TEXT(AR130,"$0.00")),"Invalid Part")</f>
        <v>Invalid Part</v>
      </c>
      <c r="AT130"/>
      <c r="AU130" s="142"/>
      <c r="AV130" s="142"/>
      <c r="AW130" s="142"/>
      <c r="AX130" s="142"/>
    </row>
    <row r="131" spans="1:54" x14ac:dyDescent="0.25">
      <c r="A131" s="35" t="str">
        <f>IF(OR(AND(FET_config2="Dual/Power Block",LEFT(Logic!B131,4)="CSD8"),AND(FET_config2="Single Discrete",LEFT(Logic!B131,4)="CSD1")),Logic!B131,"")</f>
        <v/>
      </c>
      <c r="B131" s="37" t="str">
        <f>IF(OR($A131=0,$A131=""),"0",IF(LOOKUP($A131,Discrete_NFET[PARTNUMBER],Discrete_NFET[RDSON25])="(NULL)","0","1"))</f>
        <v>0</v>
      </c>
      <c r="C131" s="38" t="str">
        <f>IF(OR($A131=0,$A131=""),"0",IF(LOOKUP($A131,Discrete_NFET[PARTNUMBER],Discrete_NFET[RDSON3])="(NULL)","0","1"))</f>
        <v>0</v>
      </c>
      <c r="D131" s="40" t="str">
        <f>IF(OR($A131=0,$A131=""),"0",IF(LOOKUP($A131,Discrete_NFET[PARTNUMBER],Discrete_NFET[RDSON45])="(NULL)","0","1"))</f>
        <v>0</v>
      </c>
      <c r="E131" s="45" t="str">
        <f>IF(OR($A131=0,$A131=""),"0",IF(LOOKUP($A131,Discrete_NFET[PARTNUMBER],Discrete_NFET[RDSON6])="(NULL)","0","1"))</f>
        <v>0</v>
      </c>
      <c r="F131" s="34" t="str">
        <f>IF(OR($A131=0,$A131=""),"0",IF(LOOKUP($A131,Discrete_NFET[PARTNUMBER],Discrete_NFET[RDSON8])="(NULL)","0","1"))</f>
        <v>0</v>
      </c>
      <c r="G131" s="43" t="str">
        <f>IF(OR($A131=0,$A131=""),"0",IF(LOOKUP($A131,Discrete_NFET[PARTNUMBER],Discrete_NFET[RDSON10])="(NULL)","0","1"))</f>
        <v>0</v>
      </c>
      <c r="H131" s="36" t="b">
        <f t="shared" si="37"/>
        <v>0</v>
      </c>
      <c r="I131" s="39" t="b">
        <f t="shared" si="38"/>
        <v>0</v>
      </c>
      <c r="J131" s="41" t="b">
        <f t="shared" si="39"/>
        <v>0</v>
      </c>
      <c r="K131" s="46" t="b">
        <f t="shared" si="40"/>
        <v>0</v>
      </c>
      <c r="L131" s="42" t="b">
        <f t="shared" si="41"/>
        <v>0</v>
      </c>
      <c r="M131" s="44" t="b">
        <f t="shared" si="42"/>
        <v>0</v>
      </c>
      <c r="N131" s="47" t="b">
        <f t="shared" si="43"/>
        <v>0</v>
      </c>
      <c r="O131" s="36" t="b">
        <f t="shared" si="44"/>
        <v>0</v>
      </c>
      <c r="P131" s="39" t="b">
        <f t="shared" si="45"/>
        <v>0</v>
      </c>
      <c r="Q131" s="41" t="b">
        <f t="shared" si="46"/>
        <v>0</v>
      </c>
      <c r="R131" s="46" t="b">
        <f t="shared" si="47"/>
        <v>0</v>
      </c>
      <c r="S131" s="42" t="b">
        <f t="shared" si="48"/>
        <v>0</v>
      </c>
      <c r="T131" s="44" t="b">
        <f t="shared" si="49"/>
        <v>0</v>
      </c>
      <c r="U131" s="148" t="str">
        <f>IF(T131,LOOKUP(A131,Discrete_NFET[PARTNUMBER],Discrete_NFET[RDSON10])*1000,IF(S131,LOOKUP(A131,Discrete_NFET[PARTNUMBER],Discrete_NFET[RDSON8])*1000,IF(R131,LOOKUP(A131,Discrete_NFET[PARTNUMBER],Discrete_NFET[RDSON6])*1000,IF(Q131,LOOKUP(A131,Discrete_NFET[PARTNUMBER],Discrete_NFET[RDSON45])*1000,IF(P131,LOOKUP(A131,Discrete_NFET[PARTNUMBER],Discrete_NFET[RDSON3])*1000,IF(O131,LOOKUP(A131,Discrete_NFET[PARTNUMBER],Discrete_NFET[RDSON25])*1000,""))))))</f>
        <v/>
      </c>
      <c r="V131" s="48" t="str">
        <f>IF(AND(A131&lt;&gt;0,A131&lt;&gt;""),U131*(1+(Tj-25)*(LOOKUP(A131,Discrete_NFET[PARTNUMBER],Discrete_NFET[RDSDELTA])/((LOOKUP(A131,Discrete_NFET[PARTNUMBER],Discrete_NFET[TJMAX])-25)))),"")</f>
        <v/>
      </c>
      <c r="W131" s="35" t="str">
        <f>IF(AND($A131&lt;&gt;0,$A131&lt;&gt;""),LOOKUP($A131,Discrete_NFET[PARTNUMBER],Discrete_NFET[QGS]),"")</f>
        <v/>
      </c>
      <c r="X131" s="35" t="str">
        <f>IF(AND($A131&lt;&gt;0,$A131&lt;&gt;""),LOOKUP($A131,Discrete_NFET[PARTNUMBER],Discrete_NFET[QGD]),"")</f>
        <v/>
      </c>
      <c r="Y131" s="35" t="str">
        <f>IF(AND($A131&lt;&gt;0,$A131&lt;&gt;""),LOOKUP($A131,Discrete_NFET[PARTNUMBER],Discrete_NFET[QGTH]),"")</f>
        <v/>
      </c>
      <c r="Z131" s="35" t="str">
        <f t="shared" si="50"/>
        <v/>
      </c>
      <c r="AA131" s="35" t="str">
        <f>IF(AND($A131&lt;&gt;0,$A131&lt;&gt;""),LOOKUP($A131,Discrete_NFET[PARTNUMBER],Discrete_NFET[QOSSTYP]),"")</f>
        <v/>
      </c>
      <c r="AB131" s="35" t="str">
        <f>IF(AND($A131&lt;&gt;0,$A131&lt;&gt;""),LOOKUP($A131,Discrete_NFET[PARTNUMBER],Discrete_NFET[QRR]),"")</f>
        <v/>
      </c>
      <c r="AC131" s="35" t="str">
        <f>IF(AND(A131&lt;&gt;0,A131&lt;&gt;""),LOOKUP(A131,Discrete_NFET[PARTNUMBER],Discrete_NFET[VF_TYP]),"")</f>
        <v/>
      </c>
      <c r="AD131" s="127" t="str">
        <f>IF(AND($A131&lt;&gt;0,$A131&lt;&gt;"",OR(RIGHT(Logic!B131,2)="C)",LEFT(Logic!B131,4)="CSD1")),(1+(1-DUTY))*IM_RMS_120^2*V131*m/3/Num_FETS2,"")</f>
        <v/>
      </c>
      <c r="AE131" s="127" t="str">
        <f>IF(AND($A131&lt;&gt;0,$A131&lt;&gt;"",OR(RIGHT(Logic!B131,2)="C)",LEFT(Logic!B131,4)="CSD1")),Num_FETS2*0.5*IM_RMS_120*VDC_AVG*Z131*n*MOT_ELEC_FREQ/GDR_SRC,"")</f>
        <v/>
      </c>
      <c r="AF131" s="127" t="str">
        <f>IF(AND($A131&lt;&gt;0,$A131&lt;&gt;"",OR(RIGHT(Logic!B131,2)="C)",LEFT(Logic!B131,4)="CSD1")),Num_FETS2*0.5*IM_RMS_120*VDC_AVG*Z131*n*MOT_ELEC_FREQ/GDR_SINK,"")</f>
        <v/>
      </c>
      <c r="AG131" s="127" t="str">
        <f>IF(AND($A131&lt;&gt;0,$A131&lt;&gt;"",OR(RIGHT(Logic!B131,2)="T)",LEFT(Logic!B131,4)="CSD1")),DUTY*IM_RMS_120^2*V131*m/3/Num_FETS2,"")</f>
        <v/>
      </c>
      <c r="AH131" s="127" t="str">
        <f>IF(AND($A131&lt;&gt;0,$A131&lt;&gt;"",OR(RIGHT(Logic!B131,2)="T)",LEFT(Logic!B131,4)="CSD1")),Num_FETS2*0.5*IM_RMS_120*VDC_AVG*Z131*n*FSW*k/GDR_SRC/3,"")</f>
        <v/>
      </c>
      <c r="AI131" s="127" t="str">
        <f>IF(AND($A131&lt;&gt;0,$A131&lt;&gt;"",OR(RIGHT(Logic!B131,2)="T)",LEFT(Logic!B131,4)="CSD1")),Num_FETS2*0.5*IM_RMS_120*VDC_AVG*Z131*n*FSW*k/GDR_SINK/3,"")</f>
        <v/>
      </c>
      <c r="AJ131" s="127" t="str">
        <f t="shared" si="56"/>
        <v/>
      </c>
      <c r="AK131" s="127" t="str">
        <f t="shared" ref="AK131:AK144" si="58">IF(AND($A131&lt;&gt;0,$A131&lt;&gt;""),2*T_DEAD*n*AC131*IM_PEAK*(FSW*k)/3,"")</f>
        <v/>
      </c>
      <c r="AL131" s="127" t="str">
        <f t="shared" si="57"/>
        <v/>
      </c>
      <c r="AM131" s="127" t="str">
        <f t="shared" si="51"/>
        <v/>
      </c>
      <c r="AN131" s="127">
        <f>IF(AND($A131&lt;&gt;0,$A131&lt;&gt;"",OR(RIGHT(Logic!B131,2)="C)",LEFT(Logic!B131,4)="CSD1")),SUM(AD131:AF131)+(AJ131/3)+AK131+AL131/6+AM131/6,AN132)</f>
        <v>0</v>
      </c>
      <c r="AO131" s="127">
        <f>IF(AND($A131&lt;&gt;0,$A131&lt;&gt;"",OR(RIGHT(Logic!B131,2)="T)",LEFT(Logic!B131,4)="CSD1")),SUM(AG131:AI131)+(AJ131/3)+AL131/6+AM131/6,AO130)</f>
        <v>0.23887636588496741</v>
      </c>
      <c r="AP131" s="48" t="str">
        <f t="shared" si="52"/>
        <v/>
      </c>
      <c r="AQ131" s="35" t="str">
        <f>IF(AND(A131&lt;&gt;0,A131&lt;&gt;""),LOOKUP(A131,Discrete_NFET[PARTNUMBER],Discrete_NFET[TI_EQ_PACKAGE]),"")</f>
        <v/>
      </c>
      <c r="AR131" s="49" t="str">
        <f>IF(AND(A131&lt;&gt;0,A131&lt;&gt;""),LOOKUP(A131,Discrete_NFET[PARTNUMBER],Discrete_NFET[1KPRICE]),"")</f>
        <v/>
      </c>
      <c r="AS131" s="35" t="str">
        <f>IF(AND($A131&lt;&gt;0,$A131&lt;&gt;""),CONCATENATE(TEXT(AP131,"0.00"),"W, ",IF('User Input'!G$11="Single Discrete",A131,IF('User Input'!G$11="Dual/Power Block",LEFT(A131,FIND(")",A131)-7),A131)),", ",AQ131,", ",TEXT(AR131,"$0.00")),"Invalid Part")</f>
        <v>Invalid Part</v>
      </c>
      <c r="AT131"/>
    </row>
    <row r="132" spans="1:54" x14ac:dyDescent="0.25">
      <c r="A132" s="35" t="str">
        <f>IF(OR(AND(FET_config2="Dual/Power Block",LEFT(Logic!B132,4)="CSD8"),AND(FET_config2="Single Discrete",LEFT(Logic!B132,4)="CSD1")),Logic!B132,"")</f>
        <v/>
      </c>
      <c r="B132" s="37" t="str">
        <f>IF(OR($A132=0,$A132=""),"0",IF(LOOKUP($A132,Discrete_NFET[PARTNUMBER],Discrete_NFET[RDSON25])="(NULL)","0","1"))</f>
        <v>0</v>
      </c>
      <c r="C132" s="38" t="str">
        <f>IF(OR($A132=0,$A132=""),"0",IF(LOOKUP($A132,Discrete_NFET[PARTNUMBER],Discrete_NFET[RDSON3])="(NULL)","0","1"))</f>
        <v>0</v>
      </c>
      <c r="D132" s="40" t="str">
        <f>IF(OR($A132=0,$A132=""),"0",IF(LOOKUP($A132,Discrete_NFET[PARTNUMBER],Discrete_NFET[RDSON45])="(NULL)","0","1"))</f>
        <v>0</v>
      </c>
      <c r="E132" s="45" t="str">
        <f>IF(OR($A132=0,$A132=""),"0",IF(LOOKUP($A132,Discrete_NFET[PARTNUMBER],Discrete_NFET[RDSON6])="(NULL)","0","1"))</f>
        <v>0</v>
      </c>
      <c r="F132" s="34" t="str">
        <f>IF(OR($A132=0,$A132=""),"0",IF(LOOKUP($A132,Discrete_NFET[PARTNUMBER],Discrete_NFET[RDSON8])="(NULL)","0","1"))</f>
        <v>0</v>
      </c>
      <c r="G132" s="43" t="str">
        <f>IF(OR($A132=0,$A132=""),"0",IF(LOOKUP($A132,Discrete_NFET[PARTNUMBER],Discrete_NFET[RDSON10])="(NULL)","0","1"))</f>
        <v>0</v>
      </c>
      <c r="H132" s="36" t="b">
        <f t="shared" ref="H132:H142" si="59">AND(AV$2,B132="1")</f>
        <v>0</v>
      </c>
      <c r="I132" s="39" t="b">
        <f t="shared" ref="I132:I142" si="60">AND(AW$2,C132="1")</f>
        <v>0</v>
      </c>
      <c r="J132" s="41" t="b">
        <f t="shared" ref="J132:J142" si="61">AND(AX$2,D132="1")</f>
        <v>0</v>
      </c>
      <c r="K132" s="46" t="b">
        <f t="shared" ref="K132:K142" si="62">AND(AY$2,E132="1")</f>
        <v>0</v>
      </c>
      <c r="L132" s="42" t="b">
        <f t="shared" ref="L132:L142" si="63">AND(AZ$2,F132="1")</f>
        <v>0</v>
      </c>
      <c r="M132" s="44" t="b">
        <f t="shared" ref="M132:M142" si="64">AND(BA$2,G132="1")</f>
        <v>0</v>
      </c>
      <c r="N132" s="47" t="b">
        <f t="shared" ref="N132:N142" si="65">OR(H132:M132)</f>
        <v>0</v>
      </c>
      <c r="O132" s="36" t="b">
        <f t="shared" ref="O132:O142" si="66">IF($N132,H132,IF((B132="1"),OR($AU$2,$AU$9)))</f>
        <v>0</v>
      </c>
      <c r="P132" s="39" t="b">
        <f t="shared" ref="P132:P142" si="67">IF($N132,I132,IF((C132="1"),OR(AU$2,AU$9,AX$2,J132)))</f>
        <v>0</v>
      </c>
      <c r="Q132" s="41" t="b">
        <f t="shared" ref="Q132:Q142" si="68">IF($N132,J132,IF((D132="1"),OR(AW$2,I132,AY$2,K132)))</f>
        <v>0</v>
      </c>
      <c r="R132" s="46" t="b">
        <f t="shared" ref="R132:R142" si="69">IF($N132,K132,IF((E132="1"),OR(AX$2,J132,AZ$2,L132)))</f>
        <v>0</v>
      </c>
      <c r="S132" s="42" t="b">
        <f t="shared" ref="S132:S142" si="70">IF($N132,L132,IF((F132="1"),OR(AY$2,K132,BA$2,M132)))</f>
        <v>0</v>
      </c>
      <c r="T132" s="44" t="b">
        <f t="shared" ref="T132:T142" si="71">IF($N132,M132,IF((G132="1"),OR(AZ$2,L132)))</f>
        <v>0</v>
      </c>
      <c r="U132" s="148" t="str">
        <f>IF(T132,LOOKUP(A132,Discrete_NFET[PARTNUMBER],Discrete_NFET[RDSON10])*1000,IF(S132,LOOKUP(A132,Discrete_NFET[PARTNUMBER],Discrete_NFET[RDSON8])*1000,IF(R132,LOOKUP(A132,Discrete_NFET[PARTNUMBER],Discrete_NFET[RDSON6])*1000,IF(Q132,LOOKUP(A132,Discrete_NFET[PARTNUMBER],Discrete_NFET[RDSON45])*1000,IF(P132,LOOKUP(A132,Discrete_NFET[PARTNUMBER],Discrete_NFET[RDSON3])*1000,IF(O132,LOOKUP(A132,Discrete_NFET[PARTNUMBER],Discrete_NFET[RDSON25])*1000,""))))))</f>
        <v/>
      </c>
      <c r="V132" s="48" t="str">
        <f>IF(AND(A132&lt;&gt;0,A132&lt;&gt;""),U132*(1+(Tj-25)*(LOOKUP(A132,Discrete_NFET[PARTNUMBER],Discrete_NFET[RDSDELTA])/((LOOKUP(A132,Discrete_NFET[PARTNUMBER],Discrete_NFET[TJMAX])-25)))),"")</f>
        <v/>
      </c>
      <c r="W132" s="35" t="str">
        <f>IF(AND($A132&lt;&gt;0,$A132&lt;&gt;""),LOOKUP($A132,Discrete_NFET[PARTNUMBER],Discrete_NFET[QGS]),"")</f>
        <v/>
      </c>
      <c r="X132" s="35" t="str">
        <f>IF(AND($A132&lt;&gt;0,$A132&lt;&gt;""),LOOKUP($A132,Discrete_NFET[PARTNUMBER],Discrete_NFET[QGD]),"")</f>
        <v/>
      </c>
      <c r="Y132" s="35" t="str">
        <f>IF(AND($A132&lt;&gt;0,$A132&lt;&gt;""),LOOKUP($A132,Discrete_NFET[PARTNUMBER],Discrete_NFET[QGTH]),"")</f>
        <v/>
      </c>
      <c r="Z132" s="35" t="str">
        <f t="shared" ref="Z132:Z142" si="72">IF(AND(A132&lt;&gt;0,A132&lt;&gt;""),W132+X132-Y132,"")</f>
        <v/>
      </c>
      <c r="AA132" s="35" t="str">
        <f>IF(AND($A132&lt;&gt;0,$A132&lt;&gt;""),LOOKUP($A132,Discrete_NFET[PARTNUMBER],Discrete_NFET[QOSSTYP]),"")</f>
        <v/>
      </c>
      <c r="AB132" s="35" t="str">
        <f>IF(AND($A132&lt;&gt;0,$A132&lt;&gt;""),LOOKUP($A132,Discrete_NFET[PARTNUMBER],Discrete_NFET[QRR]),"")</f>
        <v/>
      </c>
      <c r="AC132" s="35" t="str">
        <f>IF(AND(A132&lt;&gt;0,A132&lt;&gt;""),LOOKUP(A132,Discrete_NFET[PARTNUMBER],Discrete_NFET[VF_TYP]),"")</f>
        <v/>
      </c>
      <c r="AD132" s="127" t="str">
        <f>IF(AND($A132&lt;&gt;0,$A132&lt;&gt;"",OR(RIGHT(Logic!B132,2)="C)",LEFT(Logic!B132,4)="CSD1")),(1+(1-DUTY))*IM_RMS_120^2*V132*m/3/Num_FETS2,"")</f>
        <v/>
      </c>
      <c r="AE132" s="127" t="str">
        <f>IF(AND($A132&lt;&gt;0,$A132&lt;&gt;"",OR(RIGHT(Logic!B132,2)="C)",LEFT(Logic!B132,4)="CSD1")),Num_FETS2*0.5*IM_RMS_120*VDC_AVG*Z132*n*MOT_ELEC_FREQ/GDR_SRC,"")</f>
        <v/>
      </c>
      <c r="AF132" s="127" t="str">
        <f>IF(AND($A132&lt;&gt;0,$A132&lt;&gt;"",OR(RIGHT(Logic!B132,2)="C)",LEFT(Logic!B132,4)="CSD1")),Num_FETS2*0.5*IM_RMS_120*VDC_AVG*Z132*n*MOT_ELEC_FREQ/GDR_SINK,"")</f>
        <v/>
      </c>
      <c r="AG132" s="127" t="str">
        <f>IF(AND($A132&lt;&gt;0,$A132&lt;&gt;"",OR(RIGHT(Logic!B132,2)="T)",LEFT(Logic!B132,4)="CSD1")),DUTY*IM_RMS_120^2*V132*m/3/Num_FETS2,"")</f>
        <v/>
      </c>
      <c r="AH132" s="127" t="str">
        <f>IF(AND($A132&lt;&gt;0,$A132&lt;&gt;"",OR(RIGHT(Logic!B132,2)="T)",LEFT(Logic!B132,4)="CSD1")),Num_FETS2*0.5*IM_RMS_120*VDC_AVG*Z132*n*FSW*k/GDR_SRC/3,"")</f>
        <v/>
      </c>
      <c r="AI132" s="127" t="str">
        <f>IF(AND($A132&lt;&gt;0,$A132&lt;&gt;"",OR(RIGHT(Logic!B132,2)="T)",LEFT(Logic!B132,4)="CSD1")),Num_FETS2*0.5*IM_RMS_120*VDC_AVG*Z132*n*FSW*k/GDR_SINK/3,"")</f>
        <v/>
      </c>
      <c r="AJ132" s="127" t="str">
        <f t="shared" si="56"/>
        <v/>
      </c>
      <c r="AK132" s="127" t="str">
        <f t="shared" si="58"/>
        <v/>
      </c>
      <c r="AL132" s="127" t="str">
        <f t="shared" si="57"/>
        <v/>
      </c>
      <c r="AM132" s="127" t="str">
        <f t="shared" ref="AM132:AM142" si="73">IF(AND($A132&lt;&gt;0,$A132&lt;&gt;""),6*0.5*AC132*IM_PEAK*MOT_COM_TIME*m*MOT_ELEC_FREQ,"")</f>
        <v/>
      </c>
      <c r="AN132" s="127">
        <f>IF(AND($A132&lt;&gt;0,$A132&lt;&gt;"",OR(RIGHT(Logic!B132,2)="C)",LEFT(Logic!B132,4)="CSD1")),SUM(AD132:AF132)+(AJ132/3)+AK132+AL132/6+AM132/6,AN133)</f>
        <v>0</v>
      </c>
      <c r="AO132" s="127">
        <f>IF(AND($A132&lt;&gt;0,$A132&lt;&gt;"",OR(RIGHT(Logic!B132,2)="T)",LEFT(Logic!B132,4)="CSD1")),SUM(AG132:AI132)+(AJ132/3)+AL132/6+AM132/6,AO131)</f>
        <v>0.23887636588496741</v>
      </c>
      <c r="AP132" s="48" t="str">
        <f t="shared" ref="AP132:AP142" si="74">IF(AND($A132&lt;&gt;0,$A132&lt;&gt;""),ROUND(SUM(AN132:AO132),2),"")</f>
        <v/>
      </c>
      <c r="AQ132" s="35" t="str">
        <f>IF(AND(A132&lt;&gt;0,A132&lt;&gt;""),LOOKUP(A132,Discrete_NFET[PARTNUMBER],Discrete_NFET[TI_EQ_PACKAGE]),"")</f>
        <v/>
      </c>
      <c r="AR132" s="49" t="str">
        <f>IF(AND(A132&lt;&gt;0,A132&lt;&gt;""),LOOKUP(A132,Discrete_NFET[PARTNUMBER],Discrete_NFET[1KPRICE]),"")</f>
        <v/>
      </c>
      <c r="AS132" s="35" t="str">
        <f>IF(AND($A132&lt;&gt;0,$A132&lt;&gt;""),CONCATENATE(TEXT(AP132,"0.00"),"W, ",IF('User Input'!G$11="Single Discrete",A132,IF('User Input'!G$11="Dual/Power Block",LEFT(A132,FIND(")",A132)-7),A132)),", ",AQ132,", ",TEXT(AR132,"$0.00")),"Invalid Part")</f>
        <v>Invalid Part</v>
      </c>
      <c r="AT132"/>
    </row>
    <row r="133" spans="1:54" x14ac:dyDescent="0.25">
      <c r="A133" s="35" t="str">
        <f>IF(OR(AND(FET_config2="Dual/Power Block",LEFT(Logic!B133,4)="CSD8"),AND(FET_config2="Single Discrete",LEFT(Logic!B133,4)="CSD1")),Logic!B133,"")</f>
        <v/>
      </c>
      <c r="B133" s="37" t="str">
        <f>IF(OR($A133=0,$A133=""),"0",IF(LOOKUP($A133,Discrete_NFET[PARTNUMBER],Discrete_NFET[RDSON25])="(NULL)","0","1"))</f>
        <v>0</v>
      </c>
      <c r="C133" s="38" t="str">
        <f>IF(OR($A133=0,$A133=""),"0",IF(LOOKUP($A133,Discrete_NFET[PARTNUMBER],Discrete_NFET[RDSON3])="(NULL)","0","1"))</f>
        <v>0</v>
      </c>
      <c r="D133" s="40" t="str">
        <f>IF(OR($A133=0,$A133=""),"0",IF(LOOKUP($A133,Discrete_NFET[PARTNUMBER],Discrete_NFET[RDSON45])="(NULL)","0","1"))</f>
        <v>0</v>
      </c>
      <c r="E133" s="45" t="str">
        <f>IF(OR($A133=0,$A133=""),"0",IF(LOOKUP($A133,Discrete_NFET[PARTNUMBER],Discrete_NFET[RDSON6])="(NULL)","0","1"))</f>
        <v>0</v>
      </c>
      <c r="F133" s="34" t="str">
        <f>IF(OR($A133=0,$A133=""),"0",IF(LOOKUP($A133,Discrete_NFET[PARTNUMBER],Discrete_NFET[RDSON8])="(NULL)","0","1"))</f>
        <v>0</v>
      </c>
      <c r="G133" s="43" t="str">
        <f>IF(OR($A133=0,$A133=""),"0",IF(LOOKUP($A133,Discrete_NFET[PARTNUMBER],Discrete_NFET[RDSON10])="(NULL)","0","1"))</f>
        <v>0</v>
      </c>
      <c r="H133" s="36" t="b">
        <f t="shared" si="59"/>
        <v>0</v>
      </c>
      <c r="I133" s="39" t="b">
        <f t="shared" si="60"/>
        <v>0</v>
      </c>
      <c r="J133" s="41" t="b">
        <f t="shared" si="61"/>
        <v>0</v>
      </c>
      <c r="K133" s="46" t="b">
        <f t="shared" si="62"/>
        <v>0</v>
      </c>
      <c r="L133" s="42" t="b">
        <f t="shared" si="63"/>
        <v>0</v>
      </c>
      <c r="M133" s="44" t="b">
        <f t="shared" si="64"/>
        <v>0</v>
      </c>
      <c r="N133" s="47" t="b">
        <f t="shared" si="65"/>
        <v>0</v>
      </c>
      <c r="O133" s="36" t="b">
        <f t="shared" si="66"/>
        <v>0</v>
      </c>
      <c r="P133" s="39" t="b">
        <f t="shared" si="67"/>
        <v>0</v>
      </c>
      <c r="Q133" s="41" t="b">
        <f t="shared" si="68"/>
        <v>0</v>
      </c>
      <c r="R133" s="46" t="b">
        <f t="shared" si="69"/>
        <v>0</v>
      </c>
      <c r="S133" s="42" t="b">
        <f t="shared" si="70"/>
        <v>0</v>
      </c>
      <c r="T133" s="44" t="b">
        <f t="shared" si="71"/>
        <v>0</v>
      </c>
      <c r="U133" s="148" t="str">
        <f>IF(T133,LOOKUP(A133,Discrete_NFET[PARTNUMBER],Discrete_NFET[RDSON10])*1000,IF(S133,LOOKUP(A133,Discrete_NFET[PARTNUMBER],Discrete_NFET[RDSON8])*1000,IF(R133,LOOKUP(A133,Discrete_NFET[PARTNUMBER],Discrete_NFET[RDSON6])*1000,IF(Q133,LOOKUP(A133,Discrete_NFET[PARTNUMBER],Discrete_NFET[RDSON45])*1000,IF(P133,LOOKUP(A133,Discrete_NFET[PARTNUMBER],Discrete_NFET[RDSON3])*1000,IF(O133,LOOKUP(A133,Discrete_NFET[PARTNUMBER],Discrete_NFET[RDSON25])*1000,""))))))</f>
        <v/>
      </c>
      <c r="V133" s="48" t="str">
        <f>IF(AND(A133&lt;&gt;0,A133&lt;&gt;""),U133*(1+(Tj-25)*(LOOKUP(A133,Discrete_NFET[PARTNUMBER],Discrete_NFET[RDSDELTA])/((LOOKUP(A133,Discrete_NFET[PARTNUMBER],Discrete_NFET[TJMAX])-25)))),"")</f>
        <v/>
      </c>
      <c r="W133" s="35" t="str">
        <f>IF(AND($A133&lt;&gt;0,$A133&lt;&gt;""),LOOKUP($A133,Discrete_NFET[PARTNUMBER],Discrete_NFET[QGS]),"")</f>
        <v/>
      </c>
      <c r="X133" s="35" t="str">
        <f>IF(AND($A133&lt;&gt;0,$A133&lt;&gt;""),LOOKUP($A133,Discrete_NFET[PARTNUMBER],Discrete_NFET[QGD]),"")</f>
        <v/>
      </c>
      <c r="Y133" s="35" t="str">
        <f>IF(AND($A133&lt;&gt;0,$A133&lt;&gt;""),LOOKUP($A133,Discrete_NFET[PARTNUMBER],Discrete_NFET[QGTH]),"")</f>
        <v/>
      </c>
      <c r="Z133" s="35" t="str">
        <f t="shared" si="72"/>
        <v/>
      </c>
      <c r="AA133" s="35" t="str">
        <f>IF(AND($A133&lt;&gt;0,$A133&lt;&gt;""),LOOKUP($A133,Discrete_NFET[PARTNUMBER],Discrete_NFET[QOSSTYP]),"")</f>
        <v/>
      </c>
      <c r="AB133" s="35" t="str">
        <f>IF(AND($A133&lt;&gt;0,$A133&lt;&gt;""),LOOKUP($A133,Discrete_NFET[PARTNUMBER],Discrete_NFET[QRR]),"")</f>
        <v/>
      </c>
      <c r="AC133" s="35" t="str">
        <f>IF(AND(A133&lt;&gt;0,A133&lt;&gt;""),LOOKUP(A133,Discrete_NFET[PARTNUMBER],Discrete_NFET[VF_TYP]),"")</f>
        <v/>
      </c>
      <c r="AD133" s="127" t="str">
        <f>IF(AND($A133&lt;&gt;0,$A133&lt;&gt;"",OR(RIGHT(Logic!B133,2)="C)",LEFT(Logic!B133,4)="CSD1")),(1+(1-DUTY))*IM_RMS_120^2*V133*m/3/Num_FETS2,"")</f>
        <v/>
      </c>
      <c r="AE133" s="127" t="str">
        <f>IF(AND($A133&lt;&gt;0,$A133&lt;&gt;"",OR(RIGHT(Logic!B133,2)="C)",LEFT(Logic!B133,4)="CSD1")),Num_FETS2*0.5*IM_RMS_120*VDC_AVG*Z133*n*MOT_ELEC_FREQ/GDR_SRC,"")</f>
        <v/>
      </c>
      <c r="AF133" s="127" t="str">
        <f>IF(AND($A133&lt;&gt;0,$A133&lt;&gt;"",OR(RIGHT(Logic!B133,2)="C)",LEFT(Logic!B133,4)="CSD1")),Num_FETS2*0.5*IM_RMS_120*VDC_AVG*Z133*n*MOT_ELEC_FREQ/GDR_SINK,"")</f>
        <v/>
      </c>
      <c r="AG133" s="127" t="str">
        <f>IF(AND($A133&lt;&gt;0,$A133&lt;&gt;"",OR(RIGHT(Logic!B133,2)="T)",LEFT(Logic!B133,4)="CSD1")),DUTY*IM_RMS_120^2*V133*m/3/Num_FETS2,"")</f>
        <v/>
      </c>
      <c r="AH133" s="127" t="str">
        <f>IF(AND($A133&lt;&gt;0,$A133&lt;&gt;"",OR(RIGHT(Logic!B133,2)="T)",LEFT(Logic!B133,4)="CSD1")),Num_FETS2*0.5*IM_RMS_120*VDC_AVG*Z133*n*FSW*k/GDR_SRC/3,"")</f>
        <v/>
      </c>
      <c r="AI133" s="127" t="str">
        <f>IF(AND($A133&lt;&gt;0,$A133&lt;&gt;"",OR(RIGHT(Logic!B133,2)="T)",LEFT(Logic!B133,4)="CSD1")),Num_FETS2*0.5*IM_RMS_120*VDC_AVG*Z133*n*FSW*k/GDR_SINK/3,"")</f>
        <v/>
      </c>
      <c r="AJ133" s="127" t="str">
        <f t="shared" si="56"/>
        <v/>
      </c>
      <c r="AK133" s="127" t="str">
        <f t="shared" si="58"/>
        <v/>
      </c>
      <c r="AL133" s="127" t="str">
        <f t="shared" si="57"/>
        <v/>
      </c>
      <c r="AM133" s="127" t="str">
        <f t="shared" si="73"/>
        <v/>
      </c>
      <c r="AN133" s="127">
        <f>IF(AND($A133&lt;&gt;0,$A133&lt;&gt;"",OR(RIGHT(Logic!B133,2)="C)",LEFT(Logic!B133,4)="CSD1")),SUM(AD133:AF133)+(AJ133/3)+AK133+AL133/6+AM133/6,AN134)</f>
        <v>0</v>
      </c>
      <c r="AO133" s="127">
        <f>IF(AND($A133&lt;&gt;0,$A133&lt;&gt;"",OR(RIGHT(Logic!B133,2)="T)",LEFT(Logic!B133,4)="CSD1")),SUM(AG133:AI133)+(AJ133/3)+AL133/6+AM133/6,AO132)</f>
        <v>0.23887636588496741</v>
      </c>
      <c r="AP133" s="48" t="str">
        <f t="shared" si="74"/>
        <v/>
      </c>
      <c r="AQ133" s="35" t="str">
        <f>IF(AND(A133&lt;&gt;0,A133&lt;&gt;""),LOOKUP(A133,Discrete_NFET[PARTNUMBER],Discrete_NFET[TI_EQ_PACKAGE]),"")</f>
        <v/>
      </c>
      <c r="AR133" s="49" t="str">
        <f>IF(AND(A133&lt;&gt;0,A133&lt;&gt;""),LOOKUP(A133,Discrete_NFET[PARTNUMBER],Discrete_NFET[1KPRICE]),"")</f>
        <v/>
      </c>
      <c r="AS133" s="35" t="str">
        <f>IF(AND($A133&lt;&gt;0,$A133&lt;&gt;""),CONCATENATE(TEXT(AP133,"0.00"),"W, ",IF('User Input'!G$11="Single Discrete",A133,IF('User Input'!G$11="Dual/Power Block",LEFT(A133,FIND(")",A133)-7),A133)),", ",AQ133,", ",TEXT(AR133,"$0.00")),"Invalid Part")</f>
        <v>Invalid Part</v>
      </c>
      <c r="AT133"/>
    </row>
    <row r="134" spans="1:54" x14ac:dyDescent="0.25">
      <c r="A134" s="35" t="str">
        <f>IF(OR(AND(FET_config2="Dual/Power Block",LEFT(Logic!B134,4)="CSD8"),AND(FET_config2="Single Discrete",LEFT(Logic!B134,4)="CSD1")),Logic!B134,"")</f>
        <v/>
      </c>
      <c r="B134" s="37" t="str">
        <f>IF(OR($A134=0,$A134=""),"0",IF(LOOKUP($A134,Discrete_NFET[PARTNUMBER],Discrete_NFET[RDSON25])="(NULL)","0","1"))</f>
        <v>0</v>
      </c>
      <c r="C134" s="38" t="str">
        <f>IF(OR($A134=0,$A134=""),"0",IF(LOOKUP($A134,Discrete_NFET[PARTNUMBER],Discrete_NFET[RDSON3])="(NULL)","0","1"))</f>
        <v>0</v>
      </c>
      <c r="D134" s="40" t="str">
        <f>IF(OR($A134=0,$A134=""),"0",IF(LOOKUP($A134,Discrete_NFET[PARTNUMBER],Discrete_NFET[RDSON45])="(NULL)","0","1"))</f>
        <v>0</v>
      </c>
      <c r="E134" s="45" t="str">
        <f>IF(OR($A134=0,$A134=""),"0",IF(LOOKUP($A134,Discrete_NFET[PARTNUMBER],Discrete_NFET[RDSON6])="(NULL)","0","1"))</f>
        <v>0</v>
      </c>
      <c r="F134" s="34" t="str">
        <f>IF(OR($A134=0,$A134=""),"0",IF(LOOKUP($A134,Discrete_NFET[PARTNUMBER],Discrete_NFET[RDSON8])="(NULL)","0","1"))</f>
        <v>0</v>
      </c>
      <c r="G134" s="43" t="str">
        <f>IF(OR($A134=0,$A134=""),"0",IF(LOOKUP($A134,Discrete_NFET[PARTNUMBER],Discrete_NFET[RDSON10])="(NULL)","0","1"))</f>
        <v>0</v>
      </c>
      <c r="H134" s="36" t="b">
        <f t="shared" si="59"/>
        <v>0</v>
      </c>
      <c r="I134" s="39" t="b">
        <f t="shared" si="60"/>
        <v>0</v>
      </c>
      <c r="J134" s="41" t="b">
        <f t="shared" si="61"/>
        <v>0</v>
      </c>
      <c r="K134" s="46" t="b">
        <f t="shared" si="62"/>
        <v>0</v>
      </c>
      <c r="L134" s="42" t="b">
        <f t="shared" si="63"/>
        <v>0</v>
      </c>
      <c r="M134" s="44" t="b">
        <f t="shared" si="64"/>
        <v>0</v>
      </c>
      <c r="N134" s="47" t="b">
        <f t="shared" si="65"/>
        <v>0</v>
      </c>
      <c r="O134" s="36" t="b">
        <f t="shared" si="66"/>
        <v>0</v>
      </c>
      <c r="P134" s="39" t="b">
        <f t="shared" si="67"/>
        <v>0</v>
      </c>
      <c r="Q134" s="41" t="b">
        <f t="shared" si="68"/>
        <v>0</v>
      </c>
      <c r="R134" s="46" t="b">
        <f t="shared" si="69"/>
        <v>0</v>
      </c>
      <c r="S134" s="42" t="b">
        <f t="shared" si="70"/>
        <v>0</v>
      </c>
      <c r="T134" s="44" t="b">
        <f t="shared" si="71"/>
        <v>0</v>
      </c>
      <c r="U134" s="148" t="str">
        <f>IF(T134,LOOKUP(A134,Discrete_NFET[PARTNUMBER],Discrete_NFET[RDSON10])*1000,IF(S134,LOOKUP(A134,Discrete_NFET[PARTNUMBER],Discrete_NFET[RDSON8])*1000,IF(R134,LOOKUP(A134,Discrete_NFET[PARTNUMBER],Discrete_NFET[RDSON6])*1000,IF(Q134,LOOKUP(A134,Discrete_NFET[PARTNUMBER],Discrete_NFET[RDSON45])*1000,IF(P134,LOOKUP(A134,Discrete_NFET[PARTNUMBER],Discrete_NFET[RDSON3])*1000,IF(O134,LOOKUP(A134,Discrete_NFET[PARTNUMBER],Discrete_NFET[RDSON25])*1000,""))))))</f>
        <v/>
      </c>
      <c r="V134" s="48" t="str">
        <f>IF(AND(A134&lt;&gt;0,A134&lt;&gt;""),U134*(1+(Tj-25)*(LOOKUP(A134,Discrete_NFET[PARTNUMBER],Discrete_NFET[RDSDELTA])/((LOOKUP(A134,Discrete_NFET[PARTNUMBER],Discrete_NFET[TJMAX])-25)))),"")</f>
        <v/>
      </c>
      <c r="W134" s="35" t="str">
        <f>IF(AND($A134&lt;&gt;0,$A134&lt;&gt;""),LOOKUP($A134,Discrete_NFET[PARTNUMBER],Discrete_NFET[QGS]),"")</f>
        <v/>
      </c>
      <c r="X134" s="35" t="str">
        <f>IF(AND($A134&lt;&gt;0,$A134&lt;&gt;""),LOOKUP($A134,Discrete_NFET[PARTNUMBER],Discrete_NFET[QGD]),"")</f>
        <v/>
      </c>
      <c r="Y134" s="35" t="str">
        <f>IF(AND($A134&lt;&gt;0,$A134&lt;&gt;""),LOOKUP($A134,Discrete_NFET[PARTNUMBER],Discrete_NFET[QGTH]),"")</f>
        <v/>
      </c>
      <c r="Z134" s="35" t="str">
        <f t="shared" si="72"/>
        <v/>
      </c>
      <c r="AA134" s="35" t="str">
        <f>IF(AND($A134&lt;&gt;0,$A134&lt;&gt;""),LOOKUP($A134,Discrete_NFET[PARTNUMBER],Discrete_NFET[QOSSTYP]),"")</f>
        <v/>
      </c>
      <c r="AB134" s="35" t="str">
        <f>IF(AND($A134&lt;&gt;0,$A134&lt;&gt;""),LOOKUP($A134,Discrete_NFET[PARTNUMBER],Discrete_NFET[QRR]),"")</f>
        <v/>
      </c>
      <c r="AC134" s="35" t="str">
        <f>IF(AND(A134&lt;&gt;0,A134&lt;&gt;""),LOOKUP(A134,Discrete_NFET[PARTNUMBER],Discrete_NFET[VF_TYP]),"")</f>
        <v/>
      </c>
      <c r="AD134" s="127" t="str">
        <f>IF(AND($A134&lt;&gt;0,$A134&lt;&gt;"",OR(RIGHT(Logic!B134,2)="C)",LEFT(Logic!B134,4)="CSD1")),(1+(1-DUTY))*IM_RMS_120^2*V134*m/3/Num_FETS2,"")</f>
        <v/>
      </c>
      <c r="AE134" s="127" t="str">
        <f>IF(AND($A134&lt;&gt;0,$A134&lt;&gt;"",OR(RIGHT(Logic!B134,2)="C)",LEFT(Logic!B134,4)="CSD1")),Num_FETS2*0.5*IM_RMS_120*VDC_AVG*Z134*n*MOT_ELEC_FREQ/GDR_SRC,"")</f>
        <v/>
      </c>
      <c r="AF134" s="127" t="str">
        <f>IF(AND($A134&lt;&gt;0,$A134&lt;&gt;"",OR(RIGHT(Logic!B134,2)="C)",LEFT(Logic!B134,4)="CSD1")),Num_FETS2*0.5*IM_RMS_120*VDC_AVG*Z134*n*MOT_ELEC_FREQ/GDR_SINK,"")</f>
        <v/>
      </c>
      <c r="AG134" s="127" t="str">
        <f>IF(AND($A134&lt;&gt;0,$A134&lt;&gt;"",OR(RIGHT(Logic!B134,2)="T)",LEFT(Logic!B134,4)="CSD1")),DUTY*IM_RMS_120^2*V134*m/3/Num_FETS2,"")</f>
        <v/>
      </c>
      <c r="AH134" s="127" t="str">
        <f>IF(AND($A134&lt;&gt;0,$A134&lt;&gt;"",OR(RIGHT(Logic!B134,2)="T)",LEFT(Logic!B134,4)="CSD1")),Num_FETS2*0.5*IM_RMS_120*VDC_AVG*Z134*n*FSW*k/GDR_SRC/3,"")</f>
        <v/>
      </c>
      <c r="AI134" s="127" t="str">
        <f>IF(AND($A134&lt;&gt;0,$A134&lt;&gt;"",OR(RIGHT(Logic!B134,2)="T)",LEFT(Logic!B134,4)="CSD1")),Num_FETS2*0.5*IM_RMS_120*VDC_AVG*Z134*n*FSW*k/GDR_SINK/3,"")</f>
        <v/>
      </c>
      <c r="AJ134" s="127" t="str">
        <f t="shared" si="56"/>
        <v/>
      </c>
      <c r="AK134" s="127" t="str">
        <f t="shared" si="58"/>
        <v/>
      </c>
      <c r="AL134" s="127" t="str">
        <f t="shared" si="57"/>
        <v/>
      </c>
      <c r="AM134" s="127" t="str">
        <f t="shared" si="73"/>
        <v/>
      </c>
      <c r="AN134" s="127">
        <f>IF(AND($A134&lt;&gt;0,$A134&lt;&gt;"",OR(RIGHT(Logic!B134,2)="C)",LEFT(Logic!B134,4)="CSD1")),SUM(AD134:AF134)+(AJ134/3)+AK134+AL134/6+AM134/6,AN135)</f>
        <v>0</v>
      </c>
      <c r="AO134" s="127">
        <f>IF(AND($A134&lt;&gt;0,$A134&lt;&gt;"",OR(RIGHT(Logic!B134,2)="T)",LEFT(Logic!B134,4)="CSD1")),SUM(AG134:AI134)+(AJ134/3)+AL134/6+AM134/6,AO133)</f>
        <v>0.23887636588496741</v>
      </c>
      <c r="AP134" s="48" t="str">
        <f t="shared" si="74"/>
        <v/>
      </c>
      <c r="AQ134" s="35" t="str">
        <f>IF(AND(A134&lt;&gt;0,A134&lt;&gt;""),LOOKUP(A134,Discrete_NFET[PARTNUMBER],Discrete_NFET[TI_EQ_PACKAGE]),"")</f>
        <v/>
      </c>
      <c r="AR134" s="49" t="str">
        <f>IF(AND(A134&lt;&gt;0,A134&lt;&gt;""),LOOKUP(A134,Discrete_NFET[PARTNUMBER],Discrete_NFET[1KPRICE]),"")</f>
        <v/>
      </c>
      <c r="AS134" s="35" t="str">
        <f>IF(AND($A134&lt;&gt;0,$A134&lt;&gt;""),CONCATENATE(TEXT(AP134,"0.00"),"W, ",IF('User Input'!G$11="Single Discrete",A134,IF('User Input'!G$11="Dual/Power Block",LEFT(A134,FIND(")",A134)-7),A134)),", ",AQ134,", ",TEXT(AR134,"$0.00")),"Invalid Part")</f>
        <v>Invalid Part</v>
      </c>
      <c r="AT134"/>
    </row>
    <row r="135" spans="1:54" x14ac:dyDescent="0.25">
      <c r="A135" s="35" t="str">
        <f>IF(OR(AND(FET_config2="Dual/Power Block",LEFT(Logic!B135,4)="CSD8"),AND(FET_config2="Single Discrete",LEFT(Logic!B135,4)="CSD1")),Logic!B135,"")</f>
        <v/>
      </c>
      <c r="B135" s="37" t="str">
        <f>IF(OR($A135=0,$A135=""),"0",IF(LOOKUP($A135,Discrete_NFET[PARTNUMBER],Discrete_NFET[RDSON25])="(NULL)","0","1"))</f>
        <v>0</v>
      </c>
      <c r="C135" s="38" t="str">
        <f>IF(OR($A135=0,$A135=""),"0",IF(LOOKUP($A135,Discrete_NFET[PARTNUMBER],Discrete_NFET[RDSON3])="(NULL)","0","1"))</f>
        <v>0</v>
      </c>
      <c r="D135" s="40" t="str">
        <f>IF(OR($A135=0,$A135=""),"0",IF(LOOKUP($A135,Discrete_NFET[PARTNUMBER],Discrete_NFET[RDSON45])="(NULL)","0","1"))</f>
        <v>0</v>
      </c>
      <c r="E135" s="45" t="str">
        <f>IF(OR($A135=0,$A135=""),"0",IF(LOOKUP($A135,Discrete_NFET[PARTNUMBER],Discrete_NFET[RDSON6])="(NULL)","0","1"))</f>
        <v>0</v>
      </c>
      <c r="F135" s="34" t="str">
        <f>IF(OR($A135=0,$A135=""),"0",IF(LOOKUP($A135,Discrete_NFET[PARTNUMBER],Discrete_NFET[RDSON8])="(NULL)","0","1"))</f>
        <v>0</v>
      </c>
      <c r="G135" s="43" t="str">
        <f>IF(OR($A135=0,$A135=""),"0",IF(LOOKUP($A135,Discrete_NFET[PARTNUMBER],Discrete_NFET[RDSON10])="(NULL)","0","1"))</f>
        <v>0</v>
      </c>
      <c r="H135" s="36" t="b">
        <f t="shared" si="59"/>
        <v>0</v>
      </c>
      <c r="I135" s="39" t="b">
        <f t="shared" si="60"/>
        <v>0</v>
      </c>
      <c r="J135" s="41" t="b">
        <f t="shared" si="61"/>
        <v>0</v>
      </c>
      <c r="K135" s="46" t="b">
        <f t="shared" si="62"/>
        <v>0</v>
      </c>
      <c r="L135" s="42" t="b">
        <f t="shared" si="63"/>
        <v>0</v>
      </c>
      <c r="M135" s="44" t="b">
        <f t="shared" si="64"/>
        <v>0</v>
      </c>
      <c r="N135" s="47" t="b">
        <f t="shared" si="65"/>
        <v>0</v>
      </c>
      <c r="O135" s="36" t="b">
        <f t="shared" si="66"/>
        <v>0</v>
      </c>
      <c r="P135" s="39" t="b">
        <f t="shared" si="67"/>
        <v>0</v>
      </c>
      <c r="Q135" s="41" t="b">
        <f t="shared" si="68"/>
        <v>0</v>
      </c>
      <c r="R135" s="46" t="b">
        <f t="shared" si="69"/>
        <v>0</v>
      </c>
      <c r="S135" s="42" t="b">
        <f t="shared" si="70"/>
        <v>0</v>
      </c>
      <c r="T135" s="44" t="b">
        <f t="shared" si="71"/>
        <v>0</v>
      </c>
      <c r="U135" s="148" t="str">
        <f>IF(T135,LOOKUP(A135,Discrete_NFET[PARTNUMBER],Discrete_NFET[RDSON10])*1000,IF(S135,LOOKUP(A135,Discrete_NFET[PARTNUMBER],Discrete_NFET[RDSON8])*1000,IF(R135,LOOKUP(A135,Discrete_NFET[PARTNUMBER],Discrete_NFET[RDSON6])*1000,IF(Q135,LOOKUP(A135,Discrete_NFET[PARTNUMBER],Discrete_NFET[RDSON45])*1000,IF(P135,LOOKUP(A135,Discrete_NFET[PARTNUMBER],Discrete_NFET[RDSON3])*1000,IF(O135,LOOKUP(A135,Discrete_NFET[PARTNUMBER],Discrete_NFET[RDSON25])*1000,""))))))</f>
        <v/>
      </c>
      <c r="V135" s="48" t="str">
        <f>IF(AND(A135&lt;&gt;0,A135&lt;&gt;""),U135*(1+(Tj-25)*(LOOKUP(A135,Discrete_NFET[PARTNUMBER],Discrete_NFET[RDSDELTA])/((LOOKUP(A135,Discrete_NFET[PARTNUMBER],Discrete_NFET[TJMAX])-25)))),"")</f>
        <v/>
      </c>
      <c r="W135" s="35" t="str">
        <f>IF(AND($A135&lt;&gt;0,$A135&lt;&gt;""),LOOKUP($A135,Discrete_NFET[PARTNUMBER],Discrete_NFET[QGS]),"")</f>
        <v/>
      </c>
      <c r="X135" s="35" t="str">
        <f>IF(AND($A135&lt;&gt;0,$A135&lt;&gt;""),LOOKUP($A135,Discrete_NFET[PARTNUMBER],Discrete_NFET[QGD]),"")</f>
        <v/>
      </c>
      <c r="Y135" s="35" t="str">
        <f>IF(AND($A135&lt;&gt;0,$A135&lt;&gt;""),LOOKUP($A135,Discrete_NFET[PARTNUMBER],Discrete_NFET[QGTH]),"")</f>
        <v/>
      </c>
      <c r="Z135" s="35" t="str">
        <f t="shared" si="72"/>
        <v/>
      </c>
      <c r="AA135" s="35" t="str">
        <f>IF(AND($A135&lt;&gt;0,$A135&lt;&gt;""),LOOKUP($A135,Discrete_NFET[PARTNUMBER],Discrete_NFET[QOSSTYP]),"")</f>
        <v/>
      </c>
      <c r="AB135" s="35" t="str">
        <f>IF(AND($A135&lt;&gt;0,$A135&lt;&gt;""),LOOKUP($A135,Discrete_NFET[PARTNUMBER],Discrete_NFET[QRR]),"")</f>
        <v/>
      </c>
      <c r="AC135" s="35" t="str">
        <f>IF(AND(A135&lt;&gt;0,A135&lt;&gt;""),LOOKUP(A135,Discrete_NFET[PARTNUMBER],Discrete_NFET[VF_TYP]),"")</f>
        <v/>
      </c>
      <c r="AD135" s="127" t="str">
        <f>IF(AND($A135&lt;&gt;0,$A135&lt;&gt;"",OR(RIGHT(Logic!B135,2)="C)",LEFT(Logic!B135,4)="CSD1")),(1+(1-DUTY))*IM_RMS_120^2*V135*m/3/Num_FETS2,"")</f>
        <v/>
      </c>
      <c r="AE135" s="127" t="str">
        <f>IF(AND($A135&lt;&gt;0,$A135&lt;&gt;"",OR(RIGHT(Logic!B135,2)="C)",LEFT(Logic!B135,4)="CSD1")),Num_FETS2*0.5*IM_RMS_120*VDC_AVG*Z135*n*MOT_ELEC_FREQ/GDR_SRC,"")</f>
        <v/>
      </c>
      <c r="AF135" s="127" t="str">
        <f>IF(AND($A135&lt;&gt;0,$A135&lt;&gt;"",OR(RIGHT(Logic!B135,2)="C)",LEFT(Logic!B135,4)="CSD1")),Num_FETS2*0.5*IM_RMS_120*VDC_AVG*Z135*n*MOT_ELEC_FREQ/GDR_SINK,"")</f>
        <v/>
      </c>
      <c r="AG135" s="127" t="str">
        <f>IF(AND($A135&lt;&gt;0,$A135&lt;&gt;"",OR(RIGHT(Logic!B135,2)="T)",LEFT(Logic!B135,4)="CSD1")),DUTY*IM_RMS_120^2*V135*m/3/Num_FETS2,"")</f>
        <v/>
      </c>
      <c r="AH135" s="127" t="str">
        <f>IF(AND($A135&lt;&gt;0,$A135&lt;&gt;"",OR(RIGHT(Logic!B135,2)="T)",LEFT(Logic!B135,4)="CSD1")),Num_FETS2*0.5*IM_RMS_120*VDC_AVG*Z135*n*FSW*k/GDR_SRC/3,"")</f>
        <v/>
      </c>
      <c r="AI135" s="127" t="str">
        <f>IF(AND($A135&lt;&gt;0,$A135&lt;&gt;"",OR(RIGHT(Logic!B135,2)="T)",LEFT(Logic!B135,4)="CSD1")),Num_FETS2*0.5*IM_RMS_120*VDC_AVG*Z135*n*FSW*k/GDR_SINK/3,"")</f>
        <v/>
      </c>
      <c r="AJ135" s="127" t="str">
        <f t="shared" si="56"/>
        <v/>
      </c>
      <c r="AK135" s="127" t="str">
        <f t="shared" si="58"/>
        <v/>
      </c>
      <c r="AL135" s="127" t="str">
        <f t="shared" si="57"/>
        <v/>
      </c>
      <c r="AM135" s="127" t="str">
        <f t="shared" si="73"/>
        <v/>
      </c>
      <c r="AN135" s="127">
        <f>IF(AND($A135&lt;&gt;0,$A135&lt;&gt;"",OR(RIGHT(Logic!B135,2)="C)",LEFT(Logic!B135,4)="CSD1")),SUM(AD135:AF135)+(AJ135/3)+AK135+AL135/6+AM135/6,AN136)</f>
        <v>0</v>
      </c>
      <c r="AO135" s="127">
        <f>IF(AND($A135&lt;&gt;0,$A135&lt;&gt;"",OR(RIGHT(Logic!B135,2)="T)",LEFT(Logic!B135,4)="CSD1")),SUM(AG135:AI135)+(AJ135/3)+AL135/6+AM135/6,AO134)</f>
        <v>0.23887636588496741</v>
      </c>
      <c r="AP135" s="48" t="str">
        <f t="shared" si="74"/>
        <v/>
      </c>
      <c r="AQ135" s="35" t="str">
        <f>IF(AND(A135&lt;&gt;0,A135&lt;&gt;""),LOOKUP(A135,Discrete_NFET[PARTNUMBER],Discrete_NFET[TI_EQ_PACKAGE]),"")</f>
        <v/>
      </c>
      <c r="AR135" s="49" t="str">
        <f>IF(AND(A135&lt;&gt;0,A135&lt;&gt;""),LOOKUP(A135,Discrete_NFET[PARTNUMBER],Discrete_NFET[1KPRICE]),"")</f>
        <v/>
      </c>
      <c r="AS135" s="35" t="str">
        <f>IF(AND($A135&lt;&gt;0,$A135&lt;&gt;""),CONCATENATE(TEXT(AP135,"0.00"),"W, ",IF('User Input'!G$11="Single Discrete",A135,IF('User Input'!G$11="Dual/Power Block",LEFT(A135,FIND(")",A135)-7),A135)),", ",AQ135,", ",TEXT(AR135,"$0.00")),"Invalid Part")</f>
        <v>Invalid Part</v>
      </c>
      <c r="AT135"/>
    </row>
    <row r="136" spans="1:54" x14ac:dyDescent="0.25">
      <c r="A136" s="35" t="str">
        <f>IF(OR(AND(FET_config2="Dual/Power Block",LEFT(Logic!B136,4)="CSD8"),AND(FET_config2="Single Discrete",LEFT(Logic!B136,4)="CSD1")),Logic!B136,"")</f>
        <v/>
      </c>
      <c r="B136" s="37" t="str">
        <f>IF(OR($A136=0,$A136=""),"0",IF(LOOKUP($A136,Discrete_NFET[PARTNUMBER],Discrete_NFET[RDSON25])="(NULL)","0","1"))</f>
        <v>0</v>
      </c>
      <c r="C136" s="38" t="str">
        <f>IF(OR($A136=0,$A136=""),"0",IF(LOOKUP($A136,Discrete_NFET[PARTNUMBER],Discrete_NFET[RDSON3])="(NULL)","0","1"))</f>
        <v>0</v>
      </c>
      <c r="D136" s="40" t="str">
        <f>IF(OR($A136=0,$A136=""),"0",IF(LOOKUP($A136,Discrete_NFET[PARTNUMBER],Discrete_NFET[RDSON45])="(NULL)","0","1"))</f>
        <v>0</v>
      </c>
      <c r="E136" s="45" t="str">
        <f>IF(OR($A136=0,$A136=""),"0",IF(LOOKUP($A136,Discrete_NFET[PARTNUMBER],Discrete_NFET[RDSON6])="(NULL)","0","1"))</f>
        <v>0</v>
      </c>
      <c r="F136" s="34" t="str">
        <f>IF(OR($A136=0,$A136=""),"0",IF(LOOKUP($A136,Discrete_NFET[PARTNUMBER],Discrete_NFET[RDSON8])="(NULL)","0","1"))</f>
        <v>0</v>
      </c>
      <c r="G136" s="43" t="str">
        <f>IF(OR($A136=0,$A136=""),"0",IF(LOOKUP($A136,Discrete_NFET[PARTNUMBER],Discrete_NFET[RDSON10])="(NULL)","0","1"))</f>
        <v>0</v>
      </c>
      <c r="H136" s="36" t="b">
        <f t="shared" si="59"/>
        <v>0</v>
      </c>
      <c r="I136" s="39" t="b">
        <f t="shared" si="60"/>
        <v>0</v>
      </c>
      <c r="J136" s="41" t="b">
        <f t="shared" si="61"/>
        <v>0</v>
      </c>
      <c r="K136" s="46" t="b">
        <f t="shared" si="62"/>
        <v>0</v>
      </c>
      <c r="L136" s="42" t="b">
        <f t="shared" si="63"/>
        <v>0</v>
      </c>
      <c r="M136" s="44" t="b">
        <f t="shared" si="64"/>
        <v>0</v>
      </c>
      <c r="N136" s="47" t="b">
        <f t="shared" si="65"/>
        <v>0</v>
      </c>
      <c r="O136" s="36" t="b">
        <f t="shared" si="66"/>
        <v>0</v>
      </c>
      <c r="P136" s="39" t="b">
        <f t="shared" si="67"/>
        <v>0</v>
      </c>
      <c r="Q136" s="41" t="b">
        <f t="shared" si="68"/>
        <v>0</v>
      </c>
      <c r="R136" s="46" t="b">
        <f t="shared" si="69"/>
        <v>0</v>
      </c>
      <c r="S136" s="42" t="b">
        <f t="shared" si="70"/>
        <v>0</v>
      </c>
      <c r="T136" s="44" t="b">
        <f t="shared" si="71"/>
        <v>0</v>
      </c>
      <c r="U136" s="148" t="str">
        <f>IF(T136,LOOKUP(A136,Discrete_NFET[PARTNUMBER],Discrete_NFET[RDSON10])*1000,IF(S136,LOOKUP(A136,Discrete_NFET[PARTNUMBER],Discrete_NFET[RDSON8])*1000,IF(R136,LOOKUP(A136,Discrete_NFET[PARTNUMBER],Discrete_NFET[RDSON6])*1000,IF(Q136,LOOKUP(A136,Discrete_NFET[PARTNUMBER],Discrete_NFET[RDSON45])*1000,IF(P136,LOOKUP(A136,Discrete_NFET[PARTNUMBER],Discrete_NFET[RDSON3])*1000,IF(O136,LOOKUP(A136,Discrete_NFET[PARTNUMBER],Discrete_NFET[RDSON25])*1000,""))))))</f>
        <v/>
      </c>
      <c r="V136" s="48" t="str">
        <f>IF(AND(A136&lt;&gt;0,A136&lt;&gt;""),U136*(1+(Tj-25)*(LOOKUP(A136,Discrete_NFET[PARTNUMBER],Discrete_NFET[RDSDELTA])/((LOOKUP(A136,Discrete_NFET[PARTNUMBER],Discrete_NFET[TJMAX])-25)))),"")</f>
        <v/>
      </c>
      <c r="W136" s="35" t="str">
        <f>IF(AND($A136&lt;&gt;0,$A136&lt;&gt;""),LOOKUP($A136,Discrete_NFET[PARTNUMBER],Discrete_NFET[QGS]),"")</f>
        <v/>
      </c>
      <c r="X136" s="35" t="str">
        <f>IF(AND($A136&lt;&gt;0,$A136&lt;&gt;""),LOOKUP($A136,Discrete_NFET[PARTNUMBER],Discrete_NFET[QGD]),"")</f>
        <v/>
      </c>
      <c r="Y136" s="35" t="str">
        <f>IF(AND($A136&lt;&gt;0,$A136&lt;&gt;""),LOOKUP($A136,Discrete_NFET[PARTNUMBER],Discrete_NFET[QGTH]),"")</f>
        <v/>
      </c>
      <c r="Z136" s="35" t="str">
        <f t="shared" si="72"/>
        <v/>
      </c>
      <c r="AA136" s="35" t="str">
        <f>IF(AND($A136&lt;&gt;0,$A136&lt;&gt;""),LOOKUP($A136,Discrete_NFET[PARTNUMBER],Discrete_NFET[QOSSTYP]),"")</f>
        <v/>
      </c>
      <c r="AB136" s="35" t="str">
        <f>IF(AND($A136&lt;&gt;0,$A136&lt;&gt;""),LOOKUP($A136,Discrete_NFET[PARTNUMBER],Discrete_NFET[QRR]),"")</f>
        <v/>
      </c>
      <c r="AC136" s="35" t="str">
        <f>IF(AND(A136&lt;&gt;0,A136&lt;&gt;""),LOOKUP(A136,Discrete_NFET[PARTNUMBER],Discrete_NFET[VF_TYP]),"")</f>
        <v/>
      </c>
      <c r="AD136" s="127" t="str">
        <f>IF(AND($A136&lt;&gt;0,$A136&lt;&gt;"",OR(RIGHT(Logic!B136,2)="C)",LEFT(Logic!B136,4)="CSD1")),(1+(1-DUTY))*IM_RMS_120^2*V136*m/3/Num_FETS2,"")</f>
        <v/>
      </c>
      <c r="AE136" s="127" t="str">
        <f>IF(AND($A136&lt;&gt;0,$A136&lt;&gt;"",OR(RIGHT(Logic!B136,2)="C)",LEFT(Logic!B136,4)="CSD1")),Num_FETS2*0.5*IM_RMS_120*VDC_AVG*Z136*n*MOT_ELEC_FREQ/GDR_SRC,"")</f>
        <v/>
      </c>
      <c r="AF136" s="127" t="str">
        <f>IF(AND($A136&lt;&gt;0,$A136&lt;&gt;"",OR(RIGHT(Logic!B136,2)="C)",LEFT(Logic!B136,4)="CSD1")),Num_FETS2*0.5*IM_RMS_120*VDC_AVG*Z136*n*MOT_ELEC_FREQ/GDR_SINK,"")</f>
        <v/>
      </c>
      <c r="AG136" s="127" t="str">
        <f>IF(AND($A136&lt;&gt;0,$A136&lt;&gt;"",OR(RIGHT(Logic!B136,2)="T)",LEFT(Logic!B136,4)="CSD1")),DUTY*IM_RMS_120^2*V136*m/3/Num_FETS2,"")</f>
        <v/>
      </c>
      <c r="AH136" s="127" t="str">
        <f>IF(AND($A136&lt;&gt;0,$A136&lt;&gt;"",OR(RIGHT(Logic!B136,2)="T)",LEFT(Logic!B136,4)="CSD1")),Num_FETS2*0.5*IM_RMS_120*VDC_AVG*Z136*n*FSW*k/GDR_SRC/3,"")</f>
        <v/>
      </c>
      <c r="AI136" s="127" t="str">
        <f>IF(AND($A136&lt;&gt;0,$A136&lt;&gt;"",OR(RIGHT(Logic!B136,2)="T)",LEFT(Logic!B136,4)="CSD1")),Num_FETS2*0.5*IM_RMS_120*VDC_AVG*Z136*n*FSW*k/GDR_SINK/3,"")</f>
        <v/>
      </c>
      <c r="AJ136" s="127" t="str">
        <f t="shared" si="56"/>
        <v/>
      </c>
      <c r="AK136" s="127" t="str">
        <f t="shared" si="58"/>
        <v/>
      </c>
      <c r="AL136" s="127" t="str">
        <f t="shared" si="57"/>
        <v/>
      </c>
      <c r="AM136" s="127" t="str">
        <f t="shared" si="73"/>
        <v/>
      </c>
      <c r="AN136" s="127">
        <f>IF(AND($A136&lt;&gt;0,$A136&lt;&gt;"",OR(RIGHT(Logic!B136,2)="C)",LEFT(Logic!B136,4)="CSD1")),SUM(AD136:AF136)+(AJ136/3)+AK136+AL136/6+AM136/6,AN137)</f>
        <v>0</v>
      </c>
      <c r="AO136" s="127">
        <f>IF(AND($A136&lt;&gt;0,$A136&lt;&gt;"",OR(RIGHT(Logic!B136,2)="T)",LEFT(Logic!B136,4)="CSD1")),SUM(AG136:AI136)+(AJ136/3)+AL136/6+AM136/6,AO135)</f>
        <v>0.23887636588496741</v>
      </c>
      <c r="AP136" s="48" t="str">
        <f t="shared" si="74"/>
        <v/>
      </c>
      <c r="AQ136" s="35" t="str">
        <f>IF(AND(A136&lt;&gt;0,A136&lt;&gt;""),LOOKUP(A136,Discrete_NFET[PARTNUMBER],Discrete_NFET[TI_EQ_PACKAGE]),"")</f>
        <v/>
      </c>
      <c r="AR136" s="49" t="str">
        <f>IF(AND(A136&lt;&gt;0,A136&lt;&gt;""),LOOKUP(A136,Discrete_NFET[PARTNUMBER],Discrete_NFET[1KPRICE]),"")</f>
        <v/>
      </c>
      <c r="AS136" s="35" t="str">
        <f>IF(AND($A136&lt;&gt;0,$A136&lt;&gt;""),CONCATENATE(TEXT(AP136,"0.00"),"W, ",IF('User Input'!G$11="Single Discrete",A136,IF('User Input'!G$11="Dual/Power Block",LEFT(A136,FIND(")",A136)-7),A136)),", ",AQ136,", ",TEXT(AR136,"$0.00")),"Invalid Part")</f>
        <v>Invalid Part</v>
      </c>
      <c r="AT136"/>
    </row>
    <row r="137" spans="1:54" x14ac:dyDescent="0.25">
      <c r="A137" s="35" t="str">
        <f>IF(OR(AND(FET_config2="Dual/Power Block",LEFT(Logic!B137,4)="CSD8"),AND(FET_config2="Single Discrete",LEFT(Logic!B137,4)="CSD1")),Logic!B137,"")</f>
        <v/>
      </c>
      <c r="B137" s="37" t="str">
        <f>IF(OR($A137=0,$A137=""),"0",IF(LOOKUP($A137,Discrete_NFET[PARTNUMBER],Discrete_NFET[RDSON25])="(NULL)","0","1"))</f>
        <v>0</v>
      </c>
      <c r="C137" s="38" t="str">
        <f>IF(OR($A137=0,$A137=""),"0",IF(LOOKUP($A137,Discrete_NFET[PARTNUMBER],Discrete_NFET[RDSON3])="(NULL)","0","1"))</f>
        <v>0</v>
      </c>
      <c r="D137" s="40" t="str">
        <f>IF(OR($A137=0,$A137=""),"0",IF(LOOKUP($A137,Discrete_NFET[PARTNUMBER],Discrete_NFET[RDSON45])="(NULL)","0","1"))</f>
        <v>0</v>
      </c>
      <c r="E137" s="45" t="str">
        <f>IF(OR($A137=0,$A137=""),"0",IF(LOOKUP($A137,Discrete_NFET[PARTNUMBER],Discrete_NFET[RDSON6])="(NULL)","0","1"))</f>
        <v>0</v>
      </c>
      <c r="F137" s="34" t="str">
        <f>IF(OR($A137=0,$A137=""),"0",IF(LOOKUP($A137,Discrete_NFET[PARTNUMBER],Discrete_NFET[RDSON8])="(NULL)","0","1"))</f>
        <v>0</v>
      </c>
      <c r="G137" s="43" t="str">
        <f>IF(OR($A137=0,$A137=""),"0",IF(LOOKUP($A137,Discrete_NFET[PARTNUMBER],Discrete_NFET[RDSON10])="(NULL)","0","1"))</f>
        <v>0</v>
      </c>
      <c r="H137" s="36" t="b">
        <f t="shared" si="59"/>
        <v>0</v>
      </c>
      <c r="I137" s="39" t="b">
        <f t="shared" si="60"/>
        <v>0</v>
      </c>
      <c r="J137" s="41" t="b">
        <f t="shared" si="61"/>
        <v>0</v>
      </c>
      <c r="K137" s="46" t="b">
        <f t="shared" si="62"/>
        <v>0</v>
      </c>
      <c r="L137" s="42" t="b">
        <f t="shared" si="63"/>
        <v>0</v>
      </c>
      <c r="M137" s="44" t="b">
        <f t="shared" si="64"/>
        <v>0</v>
      </c>
      <c r="N137" s="47" t="b">
        <f t="shared" si="65"/>
        <v>0</v>
      </c>
      <c r="O137" s="36" t="b">
        <f t="shared" si="66"/>
        <v>0</v>
      </c>
      <c r="P137" s="39" t="b">
        <f t="shared" si="67"/>
        <v>0</v>
      </c>
      <c r="Q137" s="41" t="b">
        <f t="shared" si="68"/>
        <v>0</v>
      </c>
      <c r="R137" s="46" t="b">
        <f t="shared" si="69"/>
        <v>0</v>
      </c>
      <c r="S137" s="42" t="b">
        <f t="shared" si="70"/>
        <v>0</v>
      </c>
      <c r="T137" s="44" t="b">
        <f t="shared" si="71"/>
        <v>0</v>
      </c>
      <c r="U137" s="148" t="str">
        <f>IF(T137,LOOKUP(A137,Discrete_NFET[PARTNUMBER],Discrete_NFET[RDSON10])*1000,IF(S137,LOOKUP(A137,Discrete_NFET[PARTNUMBER],Discrete_NFET[RDSON8])*1000,IF(R137,LOOKUP(A137,Discrete_NFET[PARTNUMBER],Discrete_NFET[RDSON6])*1000,IF(Q137,LOOKUP(A137,Discrete_NFET[PARTNUMBER],Discrete_NFET[RDSON45])*1000,IF(P137,LOOKUP(A137,Discrete_NFET[PARTNUMBER],Discrete_NFET[RDSON3])*1000,IF(O137,LOOKUP(A137,Discrete_NFET[PARTNUMBER],Discrete_NFET[RDSON25])*1000,""))))))</f>
        <v/>
      </c>
      <c r="V137" s="48" t="str">
        <f>IF(AND(A137&lt;&gt;0,A137&lt;&gt;""),U137*(1+(Tj-25)*(LOOKUP(A137,Discrete_NFET[PARTNUMBER],Discrete_NFET[RDSDELTA])/((LOOKUP(A137,Discrete_NFET[PARTNUMBER],Discrete_NFET[TJMAX])-25)))),"")</f>
        <v/>
      </c>
      <c r="W137" s="35" t="str">
        <f>IF(AND($A137&lt;&gt;0,$A137&lt;&gt;""),LOOKUP($A137,Discrete_NFET[PARTNUMBER],Discrete_NFET[QGS]),"")</f>
        <v/>
      </c>
      <c r="X137" s="35" t="str">
        <f>IF(AND($A137&lt;&gt;0,$A137&lt;&gt;""),LOOKUP($A137,Discrete_NFET[PARTNUMBER],Discrete_NFET[QGD]),"")</f>
        <v/>
      </c>
      <c r="Y137" s="35" t="str">
        <f>IF(AND($A137&lt;&gt;0,$A137&lt;&gt;""),LOOKUP($A137,Discrete_NFET[PARTNUMBER],Discrete_NFET[QGTH]),"")</f>
        <v/>
      </c>
      <c r="Z137" s="35" t="str">
        <f t="shared" si="72"/>
        <v/>
      </c>
      <c r="AA137" s="35" t="str">
        <f>IF(AND($A137&lt;&gt;0,$A137&lt;&gt;""),LOOKUP($A137,Discrete_NFET[PARTNUMBER],Discrete_NFET[QOSSTYP]),"")</f>
        <v/>
      </c>
      <c r="AB137" s="35" t="str">
        <f>IF(AND($A137&lt;&gt;0,$A137&lt;&gt;""),LOOKUP($A137,Discrete_NFET[PARTNUMBER],Discrete_NFET[QRR]),"")</f>
        <v/>
      </c>
      <c r="AC137" s="35" t="str">
        <f>IF(AND(A137&lt;&gt;0,A137&lt;&gt;""),LOOKUP(A137,Discrete_NFET[PARTNUMBER],Discrete_NFET[VF_TYP]),"")</f>
        <v/>
      </c>
      <c r="AD137" s="127" t="str">
        <f>IF(AND($A137&lt;&gt;0,$A137&lt;&gt;"",OR(RIGHT(Logic!B137,2)="C)",LEFT(Logic!B137,4)="CSD1")),(1+(1-DUTY))*IM_RMS_120^2*V137*m/3/Num_FETS2,"")</f>
        <v/>
      </c>
      <c r="AE137" s="127" t="str">
        <f>IF(AND($A137&lt;&gt;0,$A137&lt;&gt;"",OR(RIGHT(Logic!B137,2)="C)",LEFT(Logic!B137,4)="CSD1")),Num_FETS2*0.5*IM_RMS_120*VDC_AVG*Z137*n*MOT_ELEC_FREQ/GDR_SRC,"")</f>
        <v/>
      </c>
      <c r="AF137" s="127" t="str">
        <f>IF(AND($A137&lt;&gt;0,$A137&lt;&gt;"",OR(RIGHT(Logic!B137,2)="C)",LEFT(Logic!B137,4)="CSD1")),Num_FETS2*0.5*IM_RMS_120*VDC_AVG*Z137*n*MOT_ELEC_FREQ/GDR_SINK,"")</f>
        <v/>
      </c>
      <c r="AG137" s="127" t="str">
        <f>IF(AND($A137&lt;&gt;0,$A137&lt;&gt;"",OR(RIGHT(Logic!B137,2)="T)",LEFT(Logic!B137,4)="CSD1")),DUTY*IM_RMS_120^2*V137*m/3/Num_FETS2,"")</f>
        <v/>
      </c>
      <c r="AH137" s="127" t="str">
        <f>IF(AND($A137&lt;&gt;0,$A137&lt;&gt;"",OR(RIGHT(Logic!B137,2)="T)",LEFT(Logic!B137,4)="CSD1")),Num_FETS2*0.5*IM_RMS_120*VDC_AVG*Z137*n*FSW*k/GDR_SRC/3,"")</f>
        <v/>
      </c>
      <c r="AI137" s="127" t="str">
        <f>IF(AND($A137&lt;&gt;0,$A137&lt;&gt;"",OR(RIGHT(Logic!B137,2)="T)",LEFT(Logic!B137,4)="CSD1")),Num_FETS2*0.5*IM_RMS_120*VDC_AVG*Z137*n*FSW*k/GDR_SINK/3,"")</f>
        <v/>
      </c>
      <c r="AJ137" s="127" t="str">
        <f t="shared" si="56"/>
        <v/>
      </c>
      <c r="AK137" s="127" t="str">
        <f t="shared" si="58"/>
        <v/>
      </c>
      <c r="AL137" s="127" t="str">
        <f t="shared" si="57"/>
        <v/>
      </c>
      <c r="AM137" s="127" t="str">
        <f t="shared" si="73"/>
        <v/>
      </c>
      <c r="AN137" s="127">
        <f>IF(AND($A137&lt;&gt;0,$A137&lt;&gt;"",OR(RIGHT(Logic!B137,2)="C)",LEFT(Logic!B137,4)="CSD1")),SUM(AD137:AF137)+(AJ137/3)+AK137+AL137/6+AM137/6,AN138)</f>
        <v>0</v>
      </c>
      <c r="AO137" s="127">
        <f>IF(AND($A137&lt;&gt;0,$A137&lt;&gt;"",OR(RIGHT(Logic!B137,2)="T)",LEFT(Logic!B137,4)="CSD1")),SUM(AG137:AI137)+(AJ137/3)+AL137/6+AM137/6,AO136)</f>
        <v>0.23887636588496741</v>
      </c>
      <c r="AP137" s="48" t="str">
        <f t="shared" si="74"/>
        <v/>
      </c>
      <c r="AQ137" s="35" t="str">
        <f>IF(AND(A137&lt;&gt;0,A137&lt;&gt;""),LOOKUP(A137,Discrete_NFET[PARTNUMBER],Discrete_NFET[TI_EQ_PACKAGE]),"")</f>
        <v/>
      </c>
      <c r="AR137" s="49" t="str">
        <f>IF(AND(A137&lt;&gt;0,A137&lt;&gt;""),LOOKUP(A137,Discrete_NFET[PARTNUMBER],Discrete_NFET[1KPRICE]),"")</f>
        <v/>
      </c>
      <c r="AS137" s="35" t="str">
        <f>IF(AND($A137&lt;&gt;0,$A137&lt;&gt;""),CONCATENATE(TEXT(AP137,"0.00"),"W, ",IF('User Input'!G$11="Single Discrete",A137,IF('User Input'!G$11="Dual/Power Block",LEFT(A137,FIND(")",A137)-7),A137)),", ",AQ137,", ",TEXT(AR137,"$0.00")),"Invalid Part")</f>
        <v>Invalid Part</v>
      </c>
      <c r="AT137"/>
    </row>
    <row r="138" spans="1:54" x14ac:dyDescent="0.25">
      <c r="A138" s="35" t="str">
        <f>IF(OR(AND(FET_config2="Dual/Power Block",LEFT(Logic!B138,4)="CSD8"),AND(FET_config2="Single Discrete",LEFT(Logic!B138,4)="CSD1")),Logic!B138,"")</f>
        <v/>
      </c>
      <c r="B138" s="37" t="str">
        <f>IF(OR($A138=0,$A138=""),"0",IF(LOOKUP($A138,Discrete_NFET[PARTNUMBER],Discrete_NFET[RDSON25])="(NULL)","0","1"))</f>
        <v>0</v>
      </c>
      <c r="C138" s="38" t="str">
        <f>IF(OR($A138=0,$A138=""),"0",IF(LOOKUP($A138,Discrete_NFET[PARTNUMBER],Discrete_NFET[RDSON3])="(NULL)","0","1"))</f>
        <v>0</v>
      </c>
      <c r="D138" s="40" t="str">
        <f>IF(OR($A138=0,$A138=""),"0",IF(LOOKUP($A138,Discrete_NFET[PARTNUMBER],Discrete_NFET[RDSON45])="(NULL)","0","1"))</f>
        <v>0</v>
      </c>
      <c r="E138" s="45" t="str">
        <f>IF(OR($A138=0,$A138=""),"0",IF(LOOKUP($A138,Discrete_NFET[PARTNUMBER],Discrete_NFET[RDSON6])="(NULL)","0","1"))</f>
        <v>0</v>
      </c>
      <c r="F138" s="34" t="str">
        <f>IF(OR($A138=0,$A138=""),"0",IF(LOOKUP($A138,Discrete_NFET[PARTNUMBER],Discrete_NFET[RDSON8])="(NULL)","0","1"))</f>
        <v>0</v>
      </c>
      <c r="G138" s="43" t="str">
        <f>IF(OR($A138=0,$A138=""),"0",IF(LOOKUP($A138,Discrete_NFET[PARTNUMBER],Discrete_NFET[RDSON10])="(NULL)","0","1"))</f>
        <v>0</v>
      </c>
      <c r="H138" s="36" t="b">
        <f t="shared" si="59"/>
        <v>0</v>
      </c>
      <c r="I138" s="39" t="b">
        <f t="shared" si="60"/>
        <v>0</v>
      </c>
      <c r="J138" s="41" t="b">
        <f t="shared" si="61"/>
        <v>0</v>
      </c>
      <c r="K138" s="46" t="b">
        <f t="shared" si="62"/>
        <v>0</v>
      </c>
      <c r="L138" s="42" t="b">
        <f t="shared" si="63"/>
        <v>0</v>
      </c>
      <c r="M138" s="44" t="b">
        <f t="shared" si="64"/>
        <v>0</v>
      </c>
      <c r="N138" s="47" t="b">
        <f t="shared" si="65"/>
        <v>0</v>
      </c>
      <c r="O138" s="36" t="b">
        <f t="shared" si="66"/>
        <v>0</v>
      </c>
      <c r="P138" s="39" t="b">
        <f t="shared" si="67"/>
        <v>0</v>
      </c>
      <c r="Q138" s="41" t="b">
        <f t="shared" si="68"/>
        <v>0</v>
      </c>
      <c r="R138" s="46" t="b">
        <f t="shared" si="69"/>
        <v>0</v>
      </c>
      <c r="S138" s="42" t="b">
        <f t="shared" si="70"/>
        <v>0</v>
      </c>
      <c r="T138" s="44" t="b">
        <f t="shared" si="71"/>
        <v>0</v>
      </c>
      <c r="U138" s="148" t="str">
        <f>IF(T138,LOOKUP(A138,Discrete_NFET[PARTNUMBER],Discrete_NFET[RDSON10])*1000,IF(S138,LOOKUP(A138,Discrete_NFET[PARTNUMBER],Discrete_NFET[RDSON8])*1000,IF(R138,LOOKUP(A138,Discrete_NFET[PARTNUMBER],Discrete_NFET[RDSON6])*1000,IF(Q138,LOOKUP(A138,Discrete_NFET[PARTNUMBER],Discrete_NFET[RDSON45])*1000,IF(P138,LOOKUP(A138,Discrete_NFET[PARTNUMBER],Discrete_NFET[RDSON3])*1000,IF(O138,LOOKUP(A138,Discrete_NFET[PARTNUMBER],Discrete_NFET[RDSON25])*1000,""))))))</f>
        <v/>
      </c>
      <c r="V138" s="48" t="str">
        <f>IF(AND(A138&lt;&gt;0,A138&lt;&gt;""),U138*(1+(Tj-25)*(LOOKUP(A138,Discrete_NFET[PARTNUMBER],Discrete_NFET[RDSDELTA])/((LOOKUP(A138,Discrete_NFET[PARTNUMBER],Discrete_NFET[TJMAX])-25)))),"")</f>
        <v/>
      </c>
      <c r="W138" s="35" t="str">
        <f>IF(AND($A138&lt;&gt;0,$A138&lt;&gt;""),LOOKUP($A138,Discrete_NFET[PARTNUMBER],Discrete_NFET[QGS]),"")</f>
        <v/>
      </c>
      <c r="X138" s="35" t="str">
        <f>IF(AND($A138&lt;&gt;0,$A138&lt;&gt;""),LOOKUP($A138,Discrete_NFET[PARTNUMBER],Discrete_NFET[QGD]),"")</f>
        <v/>
      </c>
      <c r="Y138" s="35" t="str">
        <f>IF(AND($A138&lt;&gt;0,$A138&lt;&gt;""),LOOKUP($A138,Discrete_NFET[PARTNUMBER],Discrete_NFET[QGTH]),"")</f>
        <v/>
      </c>
      <c r="Z138" s="35" t="str">
        <f t="shared" si="72"/>
        <v/>
      </c>
      <c r="AA138" s="35" t="str">
        <f>IF(AND($A138&lt;&gt;0,$A138&lt;&gt;""),LOOKUP($A138,Discrete_NFET[PARTNUMBER],Discrete_NFET[QOSSTYP]),"")</f>
        <v/>
      </c>
      <c r="AB138" s="35" t="str">
        <f>IF(AND($A138&lt;&gt;0,$A138&lt;&gt;""),LOOKUP($A138,Discrete_NFET[PARTNUMBER],Discrete_NFET[QRR]),"")</f>
        <v/>
      </c>
      <c r="AC138" s="35" t="str">
        <f>IF(AND(A138&lt;&gt;0,A138&lt;&gt;""),LOOKUP(A138,Discrete_NFET[PARTNUMBER],Discrete_NFET[VF_TYP]),"")</f>
        <v/>
      </c>
      <c r="AD138" s="127" t="str">
        <f>IF(AND($A138&lt;&gt;0,$A138&lt;&gt;"",OR(RIGHT(Logic!B138,2)="C)",LEFT(Logic!B138,4)="CSD1")),(1+(1-DUTY))*IM_RMS_120^2*V138*m/3/Num_FETS2,"")</f>
        <v/>
      </c>
      <c r="AE138" s="127" t="str">
        <f>IF(AND($A138&lt;&gt;0,$A138&lt;&gt;"",OR(RIGHT(Logic!B138,2)="C)",LEFT(Logic!B138,4)="CSD1")),Num_FETS2*0.5*IM_RMS_120*VDC_AVG*Z138*n*MOT_ELEC_FREQ/GDR_SRC,"")</f>
        <v/>
      </c>
      <c r="AF138" s="127" t="str">
        <f>IF(AND($A138&lt;&gt;0,$A138&lt;&gt;"",OR(RIGHT(Logic!B138,2)="C)",LEFT(Logic!B138,4)="CSD1")),Num_FETS2*0.5*IM_RMS_120*VDC_AVG*Z138*n*MOT_ELEC_FREQ/GDR_SINK,"")</f>
        <v/>
      </c>
      <c r="AG138" s="127" t="str">
        <f>IF(AND($A138&lt;&gt;0,$A138&lt;&gt;"",OR(RIGHT(Logic!B138,2)="T)",LEFT(Logic!B138,4)="CSD1")),DUTY*IM_RMS_120^2*V138*m/3/Num_FETS2,"")</f>
        <v/>
      </c>
      <c r="AH138" s="127" t="str">
        <f>IF(AND($A138&lt;&gt;0,$A138&lt;&gt;"",OR(RIGHT(Logic!B138,2)="T)",LEFT(Logic!B138,4)="CSD1")),Num_FETS2*0.5*IM_RMS_120*VDC_AVG*Z138*n*FSW*k/GDR_SRC/3,"")</f>
        <v/>
      </c>
      <c r="AI138" s="127" t="str">
        <f>IF(AND($A138&lt;&gt;0,$A138&lt;&gt;"",OR(RIGHT(Logic!B138,2)="T)",LEFT(Logic!B138,4)="CSD1")),Num_FETS2*0.5*IM_RMS_120*VDC_AVG*Z138*n*FSW*k/GDR_SINK/3,"")</f>
        <v/>
      </c>
      <c r="AJ138" s="127" t="str">
        <f t="shared" si="56"/>
        <v/>
      </c>
      <c r="AK138" s="127" t="str">
        <f t="shared" si="58"/>
        <v/>
      </c>
      <c r="AL138" s="127" t="str">
        <f t="shared" si="57"/>
        <v/>
      </c>
      <c r="AM138" s="127" t="str">
        <f t="shared" si="73"/>
        <v/>
      </c>
      <c r="AN138" s="127">
        <f>IF(AND($A138&lt;&gt;0,$A138&lt;&gt;"",OR(RIGHT(Logic!B138,2)="C)",LEFT(Logic!B138,4)="CSD1")),SUM(AD138:AF138)+(AJ138/3)+AK138+AL138/6+AM138/6,AN139)</f>
        <v>0</v>
      </c>
      <c r="AO138" s="127">
        <f>IF(AND($A138&lt;&gt;0,$A138&lt;&gt;"",OR(RIGHT(Logic!B138,2)="T)",LEFT(Logic!B138,4)="CSD1")),SUM(AG138:AI138)+(AJ138/3)+AL138/6+AM138/6,AO137)</f>
        <v>0.23887636588496741</v>
      </c>
      <c r="AP138" s="48" t="str">
        <f t="shared" si="74"/>
        <v/>
      </c>
      <c r="AQ138" s="35" t="str">
        <f>IF(AND(A138&lt;&gt;0,A138&lt;&gt;""),LOOKUP(A138,Discrete_NFET[PARTNUMBER],Discrete_NFET[TI_EQ_PACKAGE]),"")</f>
        <v/>
      </c>
      <c r="AR138" s="49" t="str">
        <f>IF(AND(A138&lt;&gt;0,A138&lt;&gt;""),LOOKUP(A138,Discrete_NFET[PARTNUMBER],Discrete_NFET[1KPRICE]),"")</f>
        <v/>
      </c>
      <c r="AS138" s="35" t="str">
        <f>IF(AND($A138&lt;&gt;0,$A138&lt;&gt;""),CONCATENATE(TEXT(AP138,"0.00"),"W, ",IF('User Input'!G$11="Single Discrete",A138,IF('User Input'!G$11="Dual/Power Block",LEFT(A138,FIND(")",A138)-7),A138)),", ",AQ138,", ",TEXT(AR138,"$0.00")),"Invalid Part")</f>
        <v>Invalid Part</v>
      </c>
      <c r="AT138"/>
    </row>
    <row r="139" spans="1:54" x14ac:dyDescent="0.25">
      <c r="A139" s="35" t="str">
        <f>IF(OR(AND(FET_config2="Dual/Power Block",LEFT(Logic!B139,4)="CSD8"),AND(FET_config2="Single Discrete",LEFT(Logic!B139,4)="CSD1")),Logic!B139,"")</f>
        <v/>
      </c>
      <c r="B139" s="37" t="str">
        <f>IF(OR($A139=0,$A139=""),"0",IF(LOOKUP($A139,Discrete_NFET[PARTNUMBER],Discrete_NFET[RDSON25])="(NULL)","0","1"))</f>
        <v>0</v>
      </c>
      <c r="C139" s="38" t="str">
        <f>IF(OR($A139=0,$A139=""),"0",IF(LOOKUP($A139,Discrete_NFET[PARTNUMBER],Discrete_NFET[RDSON3])="(NULL)","0","1"))</f>
        <v>0</v>
      </c>
      <c r="D139" s="40" t="str">
        <f>IF(OR($A139=0,$A139=""),"0",IF(LOOKUP($A139,Discrete_NFET[PARTNUMBER],Discrete_NFET[RDSON45])="(NULL)","0","1"))</f>
        <v>0</v>
      </c>
      <c r="E139" s="45" t="str">
        <f>IF(OR($A139=0,$A139=""),"0",IF(LOOKUP($A139,Discrete_NFET[PARTNUMBER],Discrete_NFET[RDSON6])="(NULL)","0","1"))</f>
        <v>0</v>
      </c>
      <c r="F139" s="34" t="str">
        <f>IF(OR($A139=0,$A139=""),"0",IF(LOOKUP($A139,Discrete_NFET[PARTNUMBER],Discrete_NFET[RDSON8])="(NULL)","0","1"))</f>
        <v>0</v>
      </c>
      <c r="G139" s="43" t="str">
        <f>IF(OR($A139=0,$A139=""),"0",IF(LOOKUP($A139,Discrete_NFET[PARTNUMBER],Discrete_NFET[RDSON10])="(NULL)","0","1"))</f>
        <v>0</v>
      </c>
      <c r="H139" s="36" t="b">
        <f t="shared" si="59"/>
        <v>0</v>
      </c>
      <c r="I139" s="39" t="b">
        <f t="shared" si="60"/>
        <v>0</v>
      </c>
      <c r="J139" s="41" t="b">
        <f t="shared" si="61"/>
        <v>0</v>
      </c>
      <c r="K139" s="46" t="b">
        <f t="shared" si="62"/>
        <v>0</v>
      </c>
      <c r="L139" s="42" t="b">
        <f t="shared" si="63"/>
        <v>0</v>
      </c>
      <c r="M139" s="44" t="b">
        <f t="shared" si="64"/>
        <v>0</v>
      </c>
      <c r="N139" s="47" t="b">
        <f t="shared" si="65"/>
        <v>0</v>
      </c>
      <c r="O139" s="36" t="b">
        <f t="shared" si="66"/>
        <v>0</v>
      </c>
      <c r="P139" s="39" t="b">
        <f t="shared" si="67"/>
        <v>0</v>
      </c>
      <c r="Q139" s="41" t="b">
        <f t="shared" si="68"/>
        <v>0</v>
      </c>
      <c r="R139" s="46" t="b">
        <f t="shared" si="69"/>
        <v>0</v>
      </c>
      <c r="S139" s="42" t="b">
        <f t="shared" si="70"/>
        <v>0</v>
      </c>
      <c r="T139" s="44" t="b">
        <f t="shared" si="71"/>
        <v>0</v>
      </c>
      <c r="U139" s="148" t="str">
        <f>IF(T139,LOOKUP(A139,Discrete_NFET[PARTNUMBER],Discrete_NFET[RDSON10])*1000,IF(S139,LOOKUP(A139,Discrete_NFET[PARTNUMBER],Discrete_NFET[RDSON8])*1000,IF(R139,LOOKUP(A139,Discrete_NFET[PARTNUMBER],Discrete_NFET[RDSON6])*1000,IF(Q139,LOOKUP(A139,Discrete_NFET[PARTNUMBER],Discrete_NFET[RDSON45])*1000,IF(P139,LOOKUP(A139,Discrete_NFET[PARTNUMBER],Discrete_NFET[RDSON3])*1000,IF(O139,LOOKUP(A139,Discrete_NFET[PARTNUMBER],Discrete_NFET[RDSON25])*1000,""))))))</f>
        <v/>
      </c>
      <c r="V139" s="48" t="str">
        <f>IF(AND(A139&lt;&gt;0,A139&lt;&gt;""),U139*(1+(Tj-25)*(LOOKUP(A139,Discrete_NFET[PARTNUMBER],Discrete_NFET[RDSDELTA])/((LOOKUP(A139,Discrete_NFET[PARTNUMBER],Discrete_NFET[TJMAX])-25)))),"")</f>
        <v/>
      </c>
      <c r="W139" s="35" t="str">
        <f>IF(AND($A139&lt;&gt;0,$A139&lt;&gt;""),LOOKUP($A139,Discrete_NFET[PARTNUMBER],Discrete_NFET[QGS]),"")</f>
        <v/>
      </c>
      <c r="X139" s="35" t="str">
        <f>IF(AND($A139&lt;&gt;0,$A139&lt;&gt;""),LOOKUP($A139,Discrete_NFET[PARTNUMBER],Discrete_NFET[QGD]),"")</f>
        <v/>
      </c>
      <c r="Y139" s="35" t="str">
        <f>IF(AND($A139&lt;&gt;0,$A139&lt;&gt;""),LOOKUP($A139,Discrete_NFET[PARTNUMBER],Discrete_NFET[QGTH]),"")</f>
        <v/>
      </c>
      <c r="Z139" s="35" t="str">
        <f t="shared" si="72"/>
        <v/>
      </c>
      <c r="AA139" s="35" t="str">
        <f>IF(AND($A139&lt;&gt;0,$A139&lt;&gt;""),LOOKUP($A139,Discrete_NFET[PARTNUMBER],Discrete_NFET[QOSSTYP]),"")</f>
        <v/>
      </c>
      <c r="AB139" s="35" t="str">
        <f>IF(AND($A139&lt;&gt;0,$A139&lt;&gt;""),LOOKUP($A139,Discrete_NFET[PARTNUMBER],Discrete_NFET[QRR]),"")</f>
        <v/>
      </c>
      <c r="AC139" s="35" t="str">
        <f>IF(AND(A139&lt;&gt;0,A139&lt;&gt;""),LOOKUP(A139,Discrete_NFET[PARTNUMBER],Discrete_NFET[VF_TYP]),"")</f>
        <v/>
      </c>
      <c r="AD139" s="127" t="str">
        <f>IF(AND($A139&lt;&gt;0,$A139&lt;&gt;"",OR(RIGHT(Logic!B139,2)="C)",LEFT(Logic!B139,4)="CSD1")),(1+(1-DUTY))*IM_RMS_120^2*V139*m/3/Num_FETS2,"")</f>
        <v/>
      </c>
      <c r="AE139" s="127" t="str">
        <f>IF(AND($A139&lt;&gt;0,$A139&lt;&gt;"",OR(RIGHT(Logic!B139,2)="C)",LEFT(Logic!B139,4)="CSD1")),Num_FETS2*0.5*IM_RMS_120*VDC_AVG*Z139*n*MOT_ELEC_FREQ/GDR_SRC,"")</f>
        <v/>
      </c>
      <c r="AF139" s="127" t="str">
        <f>IF(AND($A139&lt;&gt;0,$A139&lt;&gt;"",OR(RIGHT(Logic!B139,2)="C)",LEFT(Logic!B139,4)="CSD1")),Num_FETS2*0.5*IM_RMS_120*VDC_AVG*Z139*n*MOT_ELEC_FREQ/GDR_SINK,"")</f>
        <v/>
      </c>
      <c r="AG139" s="127" t="str">
        <f>IF(AND($A139&lt;&gt;0,$A139&lt;&gt;"",OR(RIGHT(Logic!B139,2)="T)",LEFT(Logic!B139,4)="CSD1")),DUTY*IM_RMS_120^2*V139*m/3/Num_FETS2,"")</f>
        <v/>
      </c>
      <c r="AH139" s="127" t="str">
        <f>IF(AND($A139&lt;&gt;0,$A139&lt;&gt;"",OR(RIGHT(Logic!B139,2)="T)",LEFT(Logic!B139,4)="CSD1")),Num_FETS2*0.5*IM_RMS_120*VDC_AVG*Z139*n*FSW*k/GDR_SRC/3,"")</f>
        <v/>
      </c>
      <c r="AI139" s="127" t="str">
        <f>IF(AND($A139&lt;&gt;0,$A139&lt;&gt;"",OR(RIGHT(Logic!B139,2)="T)",LEFT(Logic!B139,4)="CSD1")),Num_FETS2*0.5*IM_RMS_120*VDC_AVG*Z139*n*FSW*k/GDR_SINK/3,"")</f>
        <v/>
      </c>
      <c r="AJ139" s="127" t="str">
        <f t="shared" si="56"/>
        <v/>
      </c>
      <c r="AK139" s="127" t="str">
        <f t="shared" si="58"/>
        <v/>
      </c>
      <c r="AL139" s="127" t="str">
        <f t="shared" si="57"/>
        <v/>
      </c>
      <c r="AM139" s="127" t="str">
        <f t="shared" si="73"/>
        <v/>
      </c>
      <c r="AN139" s="127">
        <f>IF(AND($A139&lt;&gt;0,$A139&lt;&gt;"",OR(RIGHT(Logic!B139,2)="C)",LEFT(Logic!B139,4)="CSD1")),SUM(AD139:AF139)+(AJ139/3)+AK139+AL139/6+AM139/6,AN140)</f>
        <v>0</v>
      </c>
      <c r="AO139" s="127">
        <f>IF(AND($A139&lt;&gt;0,$A139&lt;&gt;"",OR(RIGHT(Logic!B139,2)="T)",LEFT(Logic!B139,4)="CSD1")),SUM(AG139:AI139)+(AJ139/3)+AL139/6+AM139/6,AO138)</f>
        <v>0.23887636588496741</v>
      </c>
      <c r="AP139" s="48" t="str">
        <f t="shared" si="74"/>
        <v/>
      </c>
      <c r="AQ139" s="35" t="str">
        <f>IF(AND(A139&lt;&gt;0,A139&lt;&gt;""),LOOKUP(A139,Discrete_NFET[PARTNUMBER],Discrete_NFET[TI_EQ_PACKAGE]),"")</f>
        <v/>
      </c>
      <c r="AR139" s="49" t="str">
        <f>IF(AND(A139&lt;&gt;0,A139&lt;&gt;""),LOOKUP(A139,Discrete_NFET[PARTNUMBER],Discrete_NFET[1KPRICE]),"")</f>
        <v/>
      </c>
      <c r="AS139" s="35" t="str">
        <f>IF(AND($A139&lt;&gt;0,$A139&lt;&gt;""),CONCATENATE(TEXT(AP139,"0.00"),"W, ",IF('User Input'!G$11="Single Discrete",A139,IF('User Input'!G$11="Dual/Power Block",LEFT(A139,FIND(")",A139)-7),A139)),", ",AQ139,", ",TEXT(AR139,"$0.00")),"Invalid Part")</f>
        <v>Invalid Part</v>
      </c>
      <c r="AT139"/>
    </row>
    <row r="140" spans="1:54" x14ac:dyDescent="0.25">
      <c r="A140" s="35" t="str">
        <f>IF(OR(AND(FET_config2="Dual/Power Block",LEFT(Logic!B140,4)="CSD8"),AND(FET_config2="Single Discrete",LEFT(Logic!B140,4)="CSD1")),Logic!B140,"")</f>
        <v/>
      </c>
      <c r="B140" s="37" t="str">
        <f>IF(OR($A140=0,$A140=""),"0",IF(LOOKUP($A140,Discrete_NFET[PARTNUMBER],Discrete_NFET[RDSON25])="(NULL)","0","1"))</f>
        <v>0</v>
      </c>
      <c r="C140" s="38" t="str">
        <f>IF(OR($A140=0,$A140=""),"0",IF(LOOKUP($A140,Discrete_NFET[PARTNUMBER],Discrete_NFET[RDSON3])="(NULL)","0","1"))</f>
        <v>0</v>
      </c>
      <c r="D140" s="40" t="str">
        <f>IF(OR($A140=0,$A140=""),"0",IF(LOOKUP($A140,Discrete_NFET[PARTNUMBER],Discrete_NFET[RDSON45])="(NULL)","0","1"))</f>
        <v>0</v>
      </c>
      <c r="E140" s="45" t="str">
        <f>IF(OR($A140=0,$A140=""),"0",IF(LOOKUP($A140,Discrete_NFET[PARTNUMBER],Discrete_NFET[RDSON6])="(NULL)","0","1"))</f>
        <v>0</v>
      </c>
      <c r="F140" s="34" t="str">
        <f>IF(OR($A140=0,$A140=""),"0",IF(LOOKUP($A140,Discrete_NFET[PARTNUMBER],Discrete_NFET[RDSON8])="(NULL)","0","1"))</f>
        <v>0</v>
      </c>
      <c r="G140" s="43" t="str">
        <f>IF(OR($A140=0,$A140=""),"0",IF(LOOKUP($A140,Discrete_NFET[PARTNUMBER],Discrete_NFET[RDSON10])="(NULL)","0","1"))</f>
        <v>0</v>
      </c>
      <c r="H140" s="36" t="b">
        <f t="shared" si="59"/>
        <v>0</v>
      </c>
      <c r="I140" s="39" t="b">
        <f t="shared" si="60"/>
        <v>0</v>
      </c>
      <c r="J140" s="41" t="b">
        <f t="shared" si="61"/>
        <v>0</v>
      </c>
      <c r="K140" s="46" t="b">
        <f t="shared" si="62"/>
        <v>0</v>
      </c>
      <c r="L140" s="42" t="b">
        <f t="shared" si="63"/>
        <v>0</v>
      </c>
      <c r="M140" s="44" t="b">
        <f t="shared" si="64"/>
        <v>0</v>
      </c>
      <c r="N140" s="47" t="b">
        <f t="shared" si="65"/>
        <v>0</v>
      </c>
      <c r="O140" s="36" t="b">
        <f t="shared" si="66"/>
        <v>0</v>
      </c>
      <c r="P140" s="39" t="b">
        <f t="shared" si="67"/>
        <v>0</v>
      </c>
      <c r="Q140" s="41" t="b">
        <f t="shared" si="68"/>
        <v>0</v>
      </c>
      <c r="R140" s="46" t="b">
        <f t="shared" si="69"/>
        <v>0</v>
      </c>
      <c r="S140" s="42" t="b">
        <f t="shared" si="70"/>
        <v>0</v>
      </c>
      <c r="T140" s="44" t="b">
        <f t="shared" si="71"/>
        <v>0</v>
      </c>
      <c r="U140" s="148" t="str">
        <f>IF(T140,LOOKUP(A140,Discrete_NFET[PARTNUMBER],Discrete_NFET[RDSON10])*1000,IF(S140,LOOKUP(A140,Discrete_NFET[PARTNUMBER],Discrete_NFET[RDSON8])*1000,IF(R140,LOOKUP(A140,Discrete_NFET[PARTNUMBER],Discrete_NFET[RDSON6])*1000,IF(Q140,LOOKUP(A140,Discrete_NFET[PARTNUMBER],Discrete_NFET[RDSON45])*1000,IF(P140,LOOKUP(A140,Discrete_NFET[PARTNUMBER],Discrete_NFET[RDSON3])*1000,IF(O140,LOOKUP(A140,Discrete_NFET[PARTNUMBER],Discrete_NFET[RDSON25])*1000,""))))))</f>
        <v/>
      </c>
      <c r="V140" s="48" t="str">
        <f>IF(AND(A140&lt;&gt;0,A140&lt;&gt;""),U140*(1+(Tj-25)*(LOOKUP(A140,Discrete_NFET[PARTNUMBER],Discrete_NFET[RDSDELTA])/((LOOKUP(A140,Discrete_NFET[PARTNUMBER],Discrete_NFET[TJMAX])-25)))),"")</f>
        <v/>
      </c>
      <c r="W140" s="35" t="str">
        <f>IF(AND($A140&lt;&gt;0,$A140&lt;&gt;""),LOOKUP($A140,Discrete_NFET[PARTNUMBER],Discrete_NFET[QGS]),"")</f>
        <v/>
      </c>
      <c r="X140" s="35" t="str">
        <f>IF(AND($A140&lt;&gt;0,$A140&lt;&gt;""),LOOKUP($A140,Discrete_NFET[PARTNUMBER],Discrete_NFET[QGD]),"")</f>
        <v/>
      </c>
      <c r="Y140" s="35" t="str">
        <f>IF(AND($A140&lt;&gt;0,$A140&lt;&gt;""),LOOKUP($A140,Discrete_NFET[PARTNUMBER],Discrete_NFET[QGTH]),"")</f>
        <v/>
      </c>
      <c r="Z140" s="35" t="str">
        <f t="shared" si="72"/>
        <v/>
      </c>
      <c r="AA140" s="35" t="str">
        <f>IF(AND($A140&lt;&gt;0,$A140&lt;&gt;""),LOOKUP($A140,Discrete_NFET[PARTNUMBER],Discrete_NFET[QOSSTYP]),"")</f>
        <v/>
      </c>
      <c r="AB140" s="35" t="str">
        <f>IF(AND($A140&lt;&gt;0,$A140&lt;&gt;""),LOOKUP($A140,Discrete_NFET[PARTNUMBER],Discrete_NFET[QRR]),"")</f>
        <v/>
      </c>
      <c r="AC140" s="35" t="str">
        <f>IF(AND(A140&lt;&gt;0,A140&lt;&gt;""),LOOKUP(A140,Discrete_NFET[PARTNUMBER],Discrete_NFET[VF_TYP]),"")</f>
        <v/>
      </c>
      <c r="AD140" s="127" t="str">
        <f>IF(AND($A140&lt;&gt;0,$A140&lt;&gt;"",OR(RIGHT(Logic!B140,2)="C)",LEFT(Logic!B140,4)="CSD1")),(1+(1-DUTY))*IM_RMS_120^2*V140*m/3/Num_FETS2,"")</f>
        <v/>
      </c>
      <c r="AE140" s="127" t="str">
        <f>IF(AND($A140&lt;&gt;0,$A140&lt;&gt;"",OR(RIGHT(Logic!B140,2)="C)",LEFT(Logic!B140,4)="CSD1")),Num_FETS2*0.5*IM_RMS_120*VDC_AVG*Z140*n*MOT_ELEC_FREQ/GDR_SRC,"")</f>
        <v/>
      </c>
      <c r="AF140" s="127" t="str">
        <f>IF(AND($A140&lt;&gt;0,$A140&lt;&gt;"",OR(RIGHT(Logic!B140,2)="C)",LEFT(Logic!B140,4)="CSD1")),Num_FETS2*0.5*IM_RMS_120*VDC_AVG*Z140*n*MOT_ELEC_FREQ/GDR_SINK,"")</f>
        <v/>
      </c>
      <c r="AG140" s="127" t="str">
        <f>IF(AND($A140&lt;&gt;0,$A140&lt;&gt;"",OR(RIGHT(Logic!B140,2)="T)",LEFT(Logic!B140,4)="CSD1")),DUTY*IM_RMS_120^2*V140*m/3/Num_FETS2,"")</f>
        <v/>
      </c>
      <c r="AH140" s="127" t="str">
        <f>IF(AND($A140&lt;&gt;0,$A140&lt;&gt;"",OR(RIGHT(Logic!B140,2)="T)",LEFT(Logic!B140,4)="CSD1")),Num_FETS2*0.5*IM_RMS_120*VDC_AVG*Z140*n*FSW*k/GDR_SRC/3,"")</f>
        <v/>
      </c>
      <c r="AI140" s="127" t="str">
        <f>IF(AND($A140&lt;&gt;0,$A140&lt;&gt;"",OR(RIGHT(Logic!B140,2)="T)",LEFT(Logic!B140,4)="CSD1")),Num_FETS2*0.5*IM_RMS_120*VDC_AVG*Z140*n*FSW*k/GDR_SINK/3,"")</f>
        <v/>
      </c>
      <c r="AJ140" s="127" t="str">
        <f t="shared" si="56"/>
        <v/>
      </c>
      <c r="AK140" s="127" t="str">
        <f t="shared" si="58"/>
        <v/>
      </c>
      <c r="AL140" s="127" t="str">
        <f t="shared" si="57"/>
        <v/>
      </c>
      <c r="AM140" s="127" t="str">
        <f t="shared" si="73"/>
        <v/>
      </c>
      <c r="AN140" s="127">
        <f>IF(AND($A140&lt;&gt;0,$A140&lt;&gt;"",OR(RIGHT(Logic!B140,2)="C)",LEFT(Logic!B140,4)="CSD1")),SUM(AD140:AF140)+(AJ140/3)+AK140+AL140/6+AM140/6,AN141)</f>
        <v>0</v>
      </c>
      <c r="AO140" s="127">
        <f>IF(AND($A140&lt;&gt;0,$A140&lt;&gt;"",OR(RIGHT(Logic!B140,2)="T)",LEFT(Logic!B140,4)="CSD1")),SUM(AG140:AI140)+(AJ140/3)+AL140/6+AM140/6,AO139)</f>
        <v>0.23887636588496741</v>
      </c>
      <c r="AP140" s="48" t="str">
        <f t="shared" si="74"/>
        <v/>
      </c>
      <c r="AQ140" s="35" t="str">
        <f>IF(AND(A140&lt;&gt;0,A140&lt;&gt;""),LOOKUP(A140,Discrete_NFET[PARTNUMBER],Discrete_NFET[TI_EQ_PACKAGE]),"")</f>
        <v/>
      </c>
      <c r="AR140" s="49" t="str">
        <f>IF(AND(A140&lt;&gt;0,A140&lt;&gt;""),LOOKUP(A140,Discrete_NFET[PARTNUMBER],Discrete_NFET[1KPRICE]),"")</f>
        <v/>
      </c>
      <c r="AS140" s="35" t="str">
        <f>IF(AND($A140&lt;&gt;0,$A140&lt;&gt;""),CONCATENATE(TEXT(AP140,"0.00"),"W, ",IF('User Input'!G$11="Single Discrete",A140,IF('User Input'!G$11="Dual/Power Block",LEFT(A140,FIND(")",A140)-7),A140)),", ",AQ140,", ",TEXT(AR140,"$0.00")),"Invalid Part")</f>
        <v>Invalid Part</v>
      </c>
      <c r="AT140"/>
    </row>
    <row r="141" spans="1:54" x14ac:dyDescent="0.25">
      <c r="A141" s="35" t="str">
        <f>IF(OR(AND(FET_config2="Dual/Power Block",LEFT(Logic!B141,4)="CSD8"),AND(FET_config2="Single Discrete",LEFT(Logic!B141,4)="CSD1")),Logic!B141,"")</f>
        <v/>
      </c>
      <c r="B141" s="37" t="str">
        <f>IF(OR($A141=0,$A141=""),"0",IF(LOOKUP($A141,Discrete_NFET[PARTNUMBER],Discrete_NFET[RDSON25])="(NULL)","0","1"))</f>
        <v>0</v>
      </c>
      <c r="C141" s="38" t="str">
        <f>IF(OR($A141=0,$A141=""),"0",IF(LOOKUP($A141,Discrete_NFET[PARTNUMBER],Discrete_NFET[RDSON3])="(NULL)","0","1"))</f>
        <v>0</v>
      </c>
      <c r="D141" s="40" t="str">
        <f>IF(OR($A141=0,$A141=""),"0",IF(LOOKUP($A141,Discrete_NFET[PARTNUMBER],Discrete_NFET[RDSON45])="(NULL)","0","1"))</f>
        <v>0</v>
      </c>
      <c r="E141" s="45" t="str">
        <f>IF(OR($A141=0,$A141=""),"0",IF(LOOKUP($A141,Discrete_NFET[PARTNUMBER],Discrete_NFET[RDSON6])="(NULL)","0","1"))</f>
        <v>0</v>
      </c>
      <c r="F141" s="34" t="str">
        <f>IF(OR($A141=0,$A141=""),"0",IF(LOOKUP($A141,Discrete_NFET[PARTNUMBER],Discrete_NFET[RDSON8])="(NULL)","0","1"))</f>
        <v>0</v>
      </c>
      <c r="G141" s="43" t="str">
        <f>IF(OR($A141=0,$A141=""),"0",IF(LOOKUP($A141,Discrete_NFET[PARTNUMBER],Discrete_NFET[RDSON10])="(NULL)","0","1"))</f>
        <v>0</v>
      </c>
      <c r="H141" s="36" t="b">
        <f t="shared" si="59"/>
        <v>0</v>
      </c>
      <c r="I141" s="39" t="b">
        <f t="shared" si="60"/>
        <v>0</v>
      </c>
      <c r="J141" s="41" t="b">
        <f t="shared" si="61"/>
        <v>0</v>
      </c>
      <c r="K141" s="46" t="b">
        <f t="shared" si="62"/>
        <v>0</v>
      </c>
      <c r="L141" s="42" t="b">
        <f t="shared" si="63"/>
        <v>0</v>
      </c>
      <c r="M141" s="44" t="b">
        <f t="shared" si="64"/>
        <v>0</v>
      </c>
      <c r="N141" s="47" t="b">
        <f t="shared" si="65"/>
        <v>0</v>
      </c>
      <c r="O141" s="36" t="b">
        <f t="shared" si="66"/>
        <v>0</v>
      </c>
      <c r="P141" s="39" t="b">
        <f t="shared" si="67"/>
        <v>0</v>
      </c>
      <c r="Q141" s="41" t="b">
        <f t="shared" si="68"/>
        <v>0</v>
      </c>
      <c r="R141" s="46" t="b">
        <f t="shared" si="69"/>
        <v>0</v>
      </c>
      <c r="S141" s="42" t="b">
        <f t="shared" si="70"/>
        <v>0</v>
      </c>
      <c r="T141" s="44" t="b">
        <f t="shared" si="71"/>
        <v>0</v>
      </c>
      <c r="U141" s="148" t="str">
        <f>IF(T141,LOOKUP(A141,Discrete_NFET[PARTNUMBER],Discrete_NFET[RDSON10])*1000,IF(S141,LOOKUP(A141,Discrete_NFET[PARTNUMBER],Discrete_NFET[RDSON8])*1000,IF(R141,LOOKUP(A141,Discrete_NFET[PARTNUMBER],Discrete_NFET[RDSON6])*1000,IF(Q141,LOOKUP(A141,Discrete_NFET[PARTNUMBER],Discrete_NFET[RDSON45])*1000,IF(P141,LOOKUP(A141,Discrete_NFET[PARTNUMBER],Discrete_NFET[RDSON3])*1000,IF(O141,LOOKUP(A141,Discrete_NFET[PARTNUMBER],Discrete_NFET[RDSON25])*1000,""))))))</f>
        <v/>
      </c>
      <c r="V141" s="48" t="str">
        <f>IF(AND(A141&lt;&gt;0,A141&lt;&gt;""),U141*(1+(Tj-25)*(LOOKUP(A141,Discrete_NFET[PARTNUMBER],Discrete_NFET[RDSDELTA])/((LOOKUP(A141,Discrete_NFET[PARTNUMBER],Discrete_NFET[TJMAX])-25)))),"")</f>
        <v/>
      </c>
      <c r="W141" s="35" t="str">
        <f>IF(AND($A141&lt;&gt;0,$A141&lt;&gt;""),LOOKUP($A141,Discrete_NFET[PARTNUMBER],Discrete_NFET[QGS]),"")</f>
        <v/>
      </c>
      <c r="X141" s="35" t="str">
        <f>IF(AND($A141&lt;&gt;0,$A141&lt;&gt;""),LOOKUP($A141,Discrete_NFET[PARTNUMBER],Discrete_NFET[QGD]),"")</f>
        <v/>
      </c>
      <c r="Y141" s="35" t="str">
        <f>IF(AND($A141&lt;&gt;0,$A141&lt;&gt;""),LOOKUP($A141,Discrete_NFET[PARTNUMBER],Discrete_NFET[QGTH]),"")</f>
        <v/>
      </c>
      <c r="Z141" s="35" t="str">
        <f t="shared" si="72"/>
        <v/>
      </c>
      <c r="AA141" s="35" t="str">
        <f>IF(AND($A141&lt;&gt;0,$A141&lt;&gt;""),LOOKUP($A141,Discrete_NFET[PARTNUMBER],Discrete_NFET[QOSSTYP]),"")</f>
        <v/>
      </c>
      <c r="AB141" s="35" t="str">
        <f>IF(AND($A141&lt;&gt;0,$A141&lt;&gt;""),LOOKUP($A141,Discrete_NFET[PARTNUMBER],Discrete_NFET[QRR]),"")</f>
        <v/>
      </c>
      <c r="AC141" s="35" t="str">
        <f>IF(AND(A141&lt;&gt;0,A141&lt;&gt;""),LOOKUP(A141,Discrete_NFET[PARTNUMBER],Discrete_NFET[VF_TYP]),"")</f>
        <v/>
      </c>
      <c r="AD141" s="127" t="str">
        <f>IF(AND($A141&lt;&gt;0,$A141&lt;&gt;"",OR(RIGHT(Logic!B141,2)="C)",LEFT(Logic!B141,4)="CSD1")),(1+(1-DUTY))*IM_RMS_120^2*V141*m/3/Num_FETS2,"")</f>
        <v/>
      </c>
      <c r="AE141" s="127" t="str">
        <f>IF(AND($A141&lt;&gt;0,$A141&lt;&gt;"",OR(RIGHT(Logic!B141,2)="C)",LEFT(Logic!B141,4)="CSD1")),Num_FETS2*0.5*IM_RMS_120*VDC_AVG*Z141*n*MOT_ELEC_FREQ/GDR_SRC,"")</f>
        <v/>
      </c>
      <c r="AF141" s="127" t="str">
        <f>IF(AND($A141&lt;&gt;0,$A141&lt;&gt;"",OR(RIGHT(Logic!B141,2)="C)",LEFT(Logic!B141,4)="CSD1")),Num_FETS2*0.5*IM_RMS_120*VDC_AVG*Z141*n*MOT_ELEC_FREQ/GDR_SINK,"")</f>
        <v/>
      </c>
      <c r="AG141" s="127" t="str">
        <f>IF(AND($A141&lt;&gt;0,$A141&lt;&gt;"",OR(RIGHT(Logic!B141,2)="T)",LEFT(Logic!B141,4)="CSD1")),DUTY*IM_RMS_120^2*V141*m/3/Num_FETS2,"")</f>
        <v/>
      </c>
      <c r="AH141" s="127" t="str">
        <f>IF(AND($A141&lt;&gt;0,$A141&lt;&gt;"",OR(RIGHT(Logic!B141,2)="T)",LEFT(Logic!B141,4)="CSD1")),Num_FETS2*0.5*IM_RMS_120*VDC_AVG*Z141*n*FSW*k/GDR_SRC/3,"")</f>
        <v/>
      </c>
      <c r="AI141" s="127" t="str">
        <f>IF(AND($A141&lt;&gt;0,$A141&lt;&gt;"",OR(RIGHT(Logic!B141,2)="T)",LEFT(Logic!B141,4)="CSD1")),Num_FETS2*0.5*IM_RMS_120*VDC_AVG*Z141*n*FSW*k/GDR_SINK/3,"")</f>
        <v/>
      </c>
      <c r="AJ141" s="127" t="str">
        <f t="shared" si="56"/>
        <v/>
      </c>
      <c r="AK141" s="127" t="str">
        <f t="shared" si="58"/>
        <v/>
      </c>
      <c r="AL141" s="127" t="str">
        <f t="shared" si="57"/>
        <v/>
      </c>
      <c r="AM141" s="127" t="str">
        <f t="shared" si="73"/>
        <v/>
      </c>
      <c r="AN141" s="127">
        <f>IF(AND($A141&lt;&gt;0,$A141&lt;&gt;"",OR(RIGHT(Logic!B141,2)="C)",LEFT(Logic!B141,4)="CSD1")),SUM(AD141:AF141)+(AJ141/3)+AK141+AL141/6+AM141/6,AN142)</f>
        <v>0</v>
      </c>
      <c r="AO141" s="127">
        <f>IF(AND($A141&lt;&gt;0,$A141&lt;&gt;"",OR(RIGHT(Logic!B141,2)="T)",LEFT(Logic!B141,4)="CSD1")),SUM(AG141:AI141)+(AJ141/3)+AL141/6+AM141/6,AO140)</f>
        <v>0.23887636588496741</v>
      </c>
      <c r="AP141" s="48" t="str">
        <f t="shared" si="74"/>
        <v/>
      </c>
      <c r="AQ141" s="35" t="str">
        <f>IF(AND(A141&lt;&gt;0,A141&lt;&gt;""),LOOKUP(A141,Discrete_NFET[PARTNUMBER],Discrete_NFET[TI_EQ_PACKAGE]),"")</f>
        <v/>
      </c>
      <c r="AR141" s="49" t="str">
        <f>IF(AND(A141&lt;&gt;0,A141&lt;&gt;""),LOOKUP(A141,Discrete_NFET[PARTNUMBER],Discrete_NFET[1KPRICE]),"")</f>
        <v/>
      </c>
      <c r="AS141" s="35" t="str">
        <f>IF(AND($A141&lt;&gt;0,$A141&lt;&gt;""),CONCATENATE(TEXT(AP141,"0.00"),"W, ",IF('User Input'!G$11="Single Discrete",A141,IF('User Input'!G$11="Dual/Power Block",LEFT(A141,FIND(")",A141)-7),A141)),", ",AQ141,", ",TEXT(AR141,"$0.00")),"Invalid Part")</f>
        <v>Invalid Part</v>
      </c>
      <c r="AT141"/>
    </row>
    <row r="142" spans="1:54" x14ac:dyDescent="0.25">
      <c r="A142" s="35" t="str">
        <f>IF(OR(AND(FET_config2="Dual/Power Block",LEFT(Logic!B142,4)="CSD8"),AND(FET_config2="Single Discrete",LEFT(Logic!B142,4)="CSD1")),Logic!B142,"")</f>
        <v/>
      </c>
      <c r="B142" s="37" t="str">
        <f>IF(OR($A142=0,$A142=""),"0",IF(LOOKUP($A142,Discrete_NFET[PARTNUMBER],Discrete_NFET[RDSON25])="(NULL)","0","1"))</f>
        <v>0</v>
      </c>
      <c r="C142" s="38" t="str">
        <f>IF(OR($A142=0,$A142=""),"0",IF(LOOKUP($A142,Discrete_NFET[PARTNUMBER],Discrete_NFET[RDSON3])="(NULL)","0","1"))</f>
        <v>0</v>
      </c>
      <c r="D142" s="40" t="str">
        <f>IF(OR($A142=0,$A142=""),"0",IF(LOOKUP($A142,Discrete_NFET[PARTNUMBER],Discrete_NFET[RDSON45])="(NULL)","0","1"))</f>
        <v>0</v>
      </c>
      <c r="E142" s="45" t="str">
        <f>IF(OR($A142=0,$A142=""),"0",IF(LOOKUP($A142,Discrete_NFET[PARTNUMBER],Discrete_NFET[RDSON6])="(NULL)","0","1"))</f>
        <v>0</v>
      </c>
      <c r="F142" s="34" t="str">
        <f>IF(OR($A142=0,$A142=""),"0",IF(LOOKUP($A142,Discrete_NFET[PARTNUMBER],Discrete_NFET[RDSON8])="(NULL)","0","1"))</f>
        <v>0</v>
      </c>
      <c r="G142" s="43" t="str">
        <f>IF(OR($A142=0,$A142=""),"0",IF(LOOKUP($A142,Discrete_NFET[PARTNUMBER],Discrete_NFET[RDSON10])="(NULL)","0","1"))</f>
        <v>0</v>
      </c>
      <c r="H142" s="36" t="b">
        <f t="shared" si="59"/>
        <v>0</v>
      </c>
      <c r="I142" s="39" t="b">
        <f t="shared" si="60"/>
        <v>0</v>
      </c>
      <c r="J142" s="41" t="b">
        <f t="shared" si="61"/>
        <v>0</v>
      </c>
      <c r="K142" s="46" t="b">
        <f t="shared" si="62"/>
        <v>0</v>
      </c>
      <c r="L142" s="42" t="b">
        <f t="shared" si="63"/>
        <v>0</v>
      </c>
      <c r="M142" s="44" t="b">
        <f t="shared" si="64"/>
        <v>0</v>
      </c>
      <c r="N142" s="47" t="b">
        <f t="shared" si="65"/>
        <v>0</v>
      </c>
      <c r="O142" s="36" t="b">
        <f t="shared" si="66"/>
        <v>0</v>
      </c>
      <c r="P142" s="39" t="b">
        <f t="shared" si="67"/>
        <v>0</v>
      </c>
      <c r="Q142" s="41" t="b">
        <f t="shared" si="68"/>
        <v>0</v>
      </c>
      <c r="R142" s="46" t="b">
        <f t="shared" si="69"/>
        <v>0</v>
      </c>
      <c r="S142" s="42" t="b">
        <f t="shared" si="70"/>
        <v>0</v>
      </c>
      <c r="T142" s="44" t="b">
        <f t="shared" si="71"/>
        <v>0</v>
      </c>
      <c r="U142" s="148" t="str">
        <f>IF(T142,LOOKUP(A142,Discrete_NFET[PARTNUMBER],Discrete_NFET[RDSON10])*1000,IF(S142,LOOKUP(A142,Discrete_NFET[PARTNUMBER],Discrete_NFET[RDSON8])*1000,IF(R142,LOOKUP(A142,Discrete_NFET[PARTNUMBER],Discrete_NFET[RDSON6])*1000,IF(Q142,LOOKUP(A142,Discrete_NFET[PARTNUMBER],Discrete_NFET[RDSON45])*1000,IF(P142,LOOKUP(A142,Discrete_NFET[PARTNUMBER],Discrete_NFET[RDSON3])*1000,IF(O142,LOOKUP(A142,Discrete_NFET[PARTNUMBER],Discrete_NFET[RDSON25])*1000,""))))))</f>
        <v/>
      </c>
      <c r="V142" s="48" t="str">
        <f>IF(AND(A142&lt;&gt;0,A142&lt;&gt;""),U142*(1+(Tj-25)*(LOOKUP(A142,Discrete_NFET[PARTNUMBER],Discrete_NFET[RDSDELTA])/((LOOKUP(A142,Discrete_NFET[PARTNUMBER],Discrete_NFET[TJMAX])-25)))),"")</f>
        <v/>
      </c>
      <c r="W142" s="35" t="str">
        <f>IF(AND($A142&lt;&gt;0,$A142&lt;&gt;""),LOOKUP($A142,Discrete_NFET[PARTNUMBER],Discrete_NFET[QGS]),"")</f>
        <v/>
      </c>
      <c r="X142" s="35" t="str">
        <f>IF(AND($A142&lt;&gt;0,$A142&lt;&gt;""),LOOKUP($A142,Discrete_NFET[PARTNUMBER],Discrete_NFET[QGD]),"")</f>
        <v/>
      </c>
      <c r="Y142" s="35" t="str">
        <f>IF(AND($A142&lt;&gt;0,$A142&lt;&gt;""),LOOKUP($A142,Discrete_NFET[PARTNUMBER],Discrete_NFET[QGTH]),"")</f>
        <v/>
      </c>
      <c r="Z142" s="35" t="str">
        <f t="shared" si="72"/>
        <v/>
      </c>
      <c r="AA142" s="35" t="str">
        <f>IF(AND($A142&lt;&gt;0,$A142&lt;&gt;""),LOOKUP($A142,Discrete_NFET[PARTNUMBER],Discrete_NFET[QOSSTYP]),"")</f>
        <v/>
      </c>
      <c r="AB142" s="35" t="str">
        <f>IF(AND($A142&lt;&gt;0,$A142&lt;&gt;""),LOOKUP($A142,Discrete_NFET[PARTNUMBER],Discrete_NFET[QRR]),"")</f>
        <v/>
      </c>
      <c r="AC142" s="35" t="str">
        <f>IF(AND(A142&lt;&gt;0,A142&lt;&gt;""),LOOKUP(A142,Discrete_NFET[PARTNUMBER],Discrete_NFET[VF_TYP]),"")</f>
        <v/>
      </c>
      <c r="AD142" s="127" t="str">
        <f>IF(AND($A142&lt;&gt;0,$A142&lt;&gt;"",OR(RIGHT(Logic!B142,2)="C)",LEFT(Logic!B142,4)="CSD1")),(1+(1-DUTY))*IM_RMS_120^2*V142*m/3/Num_FETS2,"")</f>
        <v/>
      </c>
      <c r="AE142" s="127" t="str">
        <f>IF(AND($A142&lt;&gt;0,$A142&lt;&gt;"",OR(RIGHT(Logic!B142,2)="C)",LEFT(Logic!B142,4)="CSD1")),Num_FETS2*0.5*IM_RMS_120*VDC_AVG*Z142*n*MOT_ELEC_FREQ/GDR_SRC,"")</f>
        <v/>
      </c>
      <c r="AF142" s="127" t="str">
        <f>IF(AND($A142&lt;&gt;0,$A142&lt;&gt;"",OR(RIGHT(Logic!B142,2)="C)",LEFT(Logic!B142,4)="CSD1")),Num_FETS2*0.5*IM_RMS_120*VDC_AVG*Z142*n*MOT_ELEC_FREQ/GDR_SINK,"")</f>
        <v/>
      </c>
      <c r="AG142" s="127" t="str">
        <f>IF(AND($A142&lt;&gt;0,$A142&lt;&gt;"",OR(RIGHT(Logic!B142,2)="T)",LEFT(Logic!B142,4)="CSD1")),DUTY*IM_RMS_120^2*V142*m/3/Num_FETS2,"")</f>
        <v/>
      </c>
      <c r="AH142" s="127" t="str">
        <f>IF(AND($A142&lt;&gt;0,$A142&lt;&gt;"",OR(RIGHT(Logic!B142,2)="T)",LEFT(Logic!B142,4)="CSD1")),Num_FETS2*0.5*IM_RMS_120*VDC_AVG*Z142*n*FSW*k/GDR_SRC/3,"")</f>
        <v/>
      </c>
      <c r="AI142" s="127" t="str">
        <f>IF(AND($A142&lt;&gt;0,$A142&lt;&gt;"",OR(RIGHT(Logic!B142,2)="T)",LEFT(Logic!B142,4)="CSD1")),Num_FETS2*0.5*IM_RMS_120*VDC_AVG*Z142*n*FSW*k/GDR_SINK/3,"")</f>
        <v/>
      </c>
      <c r="AJ142" s="127" t="str">
        <f t="shared" si="56"/>
        <v/>
      </c>
      <c r="AK142" s="127" t="str">
        <f t="shared" si="58"/>
        <v/>
      </c>
      <c r="AL142" s="127" t="str">
        <f t="shared" si="57"/>
        <v/>
      </c>
      <c r="AM142" s="127" t="str">
        <f t="shared" si="73"/>
        <v/>
      </c>
      <c r="AN142" s="127">
        <f>IF(AND($A142&lt;&gt;0,$A142&lt;&gt;"",OR(RIGHT(Logic!B142,2)="C)",LEFT(Logic!B142,4)="CSD1")),SUM(AD142:AF142)+(AJ142/3)+AK142+AL142/6+AM142/6,AN143)</f>
        <v>0</v>
      </c>
      <c r="AO142" s="127">
        <f>IF(AND($A142&lt;&gt;0,$A142&lt;&gt;"",OR(RIGHT(Logic!B142,2)="T)",LEFT(Logic!B142,4)="CSD1")),SUM(AG142:AI142)+(AJ142/3)+AL142/6+AM142/6,AO141)</f>
        <v>0.23887636588496741</v>
      </c>
      <c r="AP142" s="48" t="str">
        <f t="shared" si="74"/>
        <v/>
      </c>
      <c r="AQ142" s="35" t="str">
        <f>IF(AND(A142&lt;&gt;0,A142&lt;&gt;""),LOOKUP(A142,Discrete_NFET[PARTNUMBER],Discrete_NFET[TI_EQ_PACKAGE]),"")</f>
        <v/>
      </c>
      <c r="AR142" s="49" t="str">
        <f>IF(AND(A142&lt;&gt;0,A142&lt;&gt;""),LOOKUP(A142,Discrete_NFET[PARTNUMBER],Discrete_NFET[1KPRICE]),"")</f>
        <v/>
      </c>
      <c r="AS142" s="35" t="str">
        <f>IF(AND($A142&lt;&gt;0,$A142&lt;&gt;""),CONCATENATE(TEXT(AP142,"0.00"),"W, ",IF('User Input'!G$11="Single Discrete",A142,IF('User Input'!G$11="Dual/Power Block",LEFT(A142,FIND(")",A142)-7),A142)),", ",AQ142,", ",TEXT(AR142,"$0.00")),"Invalid Part")</f>
        <v>Invalid Part</v>
      </c>
      <c r="AT142"/>
    </row>
    <row r="143" spans="1:54" s="35" customFormat="1" x14ac:dyDescent="0.25">
      <c r="A143" s="35" t="str">
        <f>IF(OR(AND(FET_config2="Dual/Power Block",LEFT(Logic!B143,4)="CSD8"),AND(FET_config2="Single Discrete",LEFT(Logic!B143,4)="CSD1")),Logic!B143,"")</f>
        <v/>
      </c>
      <c r="B143" s="37" t="str">
        <f>IF(OR($A143=0,$A143=""),"0",IF(LOOKUP($A143,Discrete_NFET[PARTNUMBER],Discrete_NFET[RDSON25])="(NULL)","0","1"))</f>
        <v>0</v>
      </c>
      <c r="C143" s="38" t="str">
        <f>IF(OR($A143=0,$A143=""),"0",IF(LOOKUP($A143,Discrete_NFET[PARTNUMBER],Discrete_NFET[RDSON3])="(NULL)","0","1"))</f>
        <v>0</v>
      </c>
      <c r="D143" s="40" t="str">
        <f>IF(OR($A143=0,$A143=""),"0",IF(LOOKUP($A143,Discrete_NFET[PARTNUMBER],Discrete_NFET[RDSON45])="(NULL)","0","1"))</f>
        <v>0</v>
      </c>
      <c r="E143" s="45" t="str">
        <f>IF(OR($A143=0,$A143=""),"0",IF(LOOKUP($A143,Discrete_NFET[PARTNUMBER],Discrete_NFET[RDSON6])="(NULL)","0","1"))</f>
        <v>0</v>
      </c>
      <c r="F143" s="34" t="str">
        <f>IF(OR($A143=0,$A143=""),"0",IF(LOOKUP($A143,Discrete_NFET[PARTNUMBER],Discrete_NFET[RDSON8])="(NULL)","0","1"))</f>
        <v>0</v>
      </c>
      <c r="G143" s="43" t="str">
        <f>IF(OR($A143=0,$A143=""),"0",IF(LOOKUP($A143,Discrete_NFET[PARTNUMBER],Discrete_NFET[RDSON10])="(NULL)","0","1"))</f>
        <v>0</v>
      </c>
      <c r="H143" s="36" t="b">
        <f t="shared" ref="H143:H144" si="75">AND(AV$2,B143="1")</f>
        <v>0</v>
      </c>
      <c r="I143" s="39" t="b">
        <f t="shared" ref="I143:I144" si="76">AND(AW$2,C143="1")</f>
        <v>0</v>
      </c>
      <c r="J143" s="41" t="b">
        <f t="shared" ref="J143:J144" si="77">AND(AX$2,D143="1")</f>
        <v>0</v>
      </c>
      <c r="K143" s="46" t="b">
        <f t="shared" ref="K143:K144" si="78">AND(AY$2,E143="1")</f>
        <v>0</v>
      </c>
      <c r="L143" s="42" t="b">
        <f t="shared" ref="L143:L144" si="79">AND(AZ$2,F143="1")</f>
        <v>0</v>
      </c>
      <c r="M143" s="44" t="b">
        <f t="shared" ref="M143:M144" si="80">AND(BA$2,G143="1")</f>
        <v>0</v>
      </c>
      <c r="N143" s="47" t="b">
        <f t="shared" ref="N143:N144" si="81">OR(H143:M143)</f>
        <v>0</v>
      </c>
      <c r="O143" s="36" t="b">
        <f t="shared" ref="O143:O144" si="82">IF($N143,H143,IF((B143="1"),OR($AU$2,$AU$9)))</f>
        <v>0</v>
      </c>
      <c r="P143" s="39" t="b">
        <f t="shared" ref="P143:P144" si="83">IF($N143,I143,IF((C143="1"),OR(AU$2,AU$9,AX$2,J143)))</f>
        <v>0</v>
      </c>
      <c r="Q143" s="41" t="b">
        <f t="shared" ref="Q143:Q144" si="84">IF($N143,J143,IF((D143="1"),OR(AW$2,I143,AY$2,K143)))</f>
        <v>0</v>
      </c>
      <c r="R143" s="46" t="b">
        <f t="shared" ref="R143:R144" si="85">IF($N143,K143,IF((E143="1"),OR(AX$2,J143,AZ$2,L143)))</f>
        <v>0</v>
      </c>
      <c r="S143" s="42" t="b">
        <f t="shared" ref="S143:S144" si="86">IF($N143,L143,IF((F143="1"),OR(AY$2,K143,BA$2,M143)))</f>
        <v>0</v>
      </c>
      <c r="T143" s="44" t="b">
        <f t="shared" ref="T143:T144" si="87">IF($N143,M143,IF((G143="1"),OR(AZ$2,L143)))</f>
        <v>0</v>
      </c>
      <c r="U143" s="148" t="str">
        <f>IF(T143,LOOKUP(A143,Discrete_NFET[PARTNUMBER],Discrete_NFET[RDSON10])*1000,IF(S143,LOOKUP(A143,Discrete_NFET[PARTNUMBER],Discrete_NFET[RDSON8])*1000,IF(R143,LOOKUP(A143,Discrete_NFET[PARTNUMBER],Discrete_NFET[RDSON6])*1000,IF(Q143,LOOKUP(A143,Discrete_NFET[PARTNUMBER],Discrete_NFET[RDSON45])*1000,IF(P143,LOOKUP(A143,Discrete_NFET[PARTNUMBER],Discrete_NFET[RDSON3])*1000,IF(O143,LOOKUP(A143,Discrete_NFET[PARTNUMBER],Discrete_NFET[RDSON25])*1000,""))))))</f>
        <v/>
      </c>
      <c r="V143" s="48" t="str">
        <f>IF(AND(A143&lt;&gt;0,A143&lt;&gt;""),U143*(1+(Tj-25)*(LOOKUP(A143,Discrete_NFET[PARTNUMBER],Discrete_NFET[RDSDELTA])/((LOOKUP(A143,Discrete_NFET[PARTNUMBER],Discrete_NFET[TJMAX])-25)))),"")</f>
        <v/>
      </c>
      <c r="W143" s="35" t="str">
        <f>IF(AND($A143&lt;&gt;0,$A143&lt;&gt;""),LOOKUP($A143,Discrete_NFET[PARTNUMBER],Discrete_NFET[QGS]),"")</f>
        <v/>
      </c>
      <c r="X143" s="35" t="str">
        <f>IF(AND($A143&lt;&gt;0,$A143&lt;&gt;""),LOOKUP($A143,Discrete_NFET[PARTNUMBER],Discrete_NFET[QGD]),"")</f>
        <v/>
      </c>
      <c r="Y143" s="35" t="str">
        <f>IF(AND($A143&lt;&gt;0,$A143&lt;&gt;""),LOOKUP($A143,Discrete_NFET[PARTNUMBER],Discrete_NFET[QGTH]),"")</f>
        <v/>
      </c>
      <c r="Z143" s="35" t="str">
        <f t="shared" ref="Z143:Z144" si="88">IF(AND(A143&lt;&gt;0,A143&lt;&gt;""),W143+X143-Y143,"")</f>
        <v/>
      </c>
      <c r="AA143" s="35" t="str">
        <f>IF(AND($A143&lt;&gt;0,$A143&lt;&gt;""),LOOKUP($A143,Discrete_NFET[PARTNUMBER],Discrete_NFET[QOSSTYP]),"")</f>
        <v/>
      </c>
      <c r="AB143" s="35" t="str">
        <f>IF(AND($A143&lt;&gt;0,$A143&lt;&gt;""),LOOKUP($A143,Discrete_NFET[PARTNUMBER],Discrete_NFET[QRR]),"")</f>
        <v/>
      </c>
      <c r="AC143" s="35" t="str">
        <f>IF(AND(A143&lt;&gt;0,A143&lt;&gt;""),LOOKUP(A143,Discrete_NFET[PARTNUMBER],Discrete_NFET[VF_TYP]),"")</f>
        <v/>
      </c>
      <c r="AD143" s="127" t="str">
        <f>IF(AND($A143&lt;&gt;0,$A143&lt;&gt;"",OR(RIGHT(Logic!B143,2)="C)",LEFT(Logic!B143,4)="CSD1")),IM_RMS_120^2*V143*m/3/Num_FETS2,"")</f>
        <v/>
      </c>
      <c r="AE143" s="127" t="str">
        <f>IF(AND($A143&lt;&gt;0,$A143&lt;&gt;"",OR(RIGHT(Logic!B143,2)="C)",LEFT(Logic!B143,4)="CSD1")),Num_FETS2*0.5*IM_RMS_120*VDC_AVG*Z143*n*MOT_ELEC_FREQ/GDR_SRC,"")</f>
        <v/>
      </c>
      <c r="AF143" s="127" t="str">
        <f>IF(AND($A143&lt;&gt;0,$A143&lt;&gt;"",OR(RIGHT(Logic!B143,2)="C)",LEFT(Logic!B143,4)="CSD1")),Num_FETS2*0.5*IM_RMS_120*VDC_AVG*Z143*n*MOT_ELEC_FREQ/GDR_SINK,"")</f>
        <v/>
      </c>
      <c r="AG143" s="127" t="str">
        <f>IF(AND($A143&lt;&gt;0,$A143&lt;&gt;"",OR(RIGHT(Logic!B143,2)="T)",LEFT(Logic!B143,4)="CSD1")),DUTY*IM_RMS_120^2*V143*m/3/Num_FETS2,"")</f>
        <v/>
      </c>
      <c r="AH143" s="127" t="str">
        <f>IF(AND($A143&lt;&gt;0,$A143&lt;&gt;"",OR(RIGHT(Logic!B143,2)="T)",LEFT(Logic!B143,4)="CSD1")),Num_FETS2*0.5*IM_RMS_120*VDC_AVG*Z143*n*FSW*k/GDR_SRC/3,"")</f>
        <v/>
      </c>
      <c r="AI143" s="127" t="str">
        <f>IF(AND($A143&lt;&gt;0,$A143&lt;&gt;"",OR(RIGHT(Logic!B143,2)="T)",LEFT(Logic!B143,4)="CSD1")),Num_FETS2*0.5*IM_RMS_120*VDC_AVG*Z143*n*FSW*k/GDR_SINK/3,"")</f>
        <v/>
      </c>
      <c r="AJ143" s="127" t="str">
        <f t="shared" si="56"/>
        <v/>
      </c>
      <c r="AK143" s="127" t="str">
        <f t="shared" si="58"/>
        <v/>
      </c>
      <c r="AL143" s="127" t="str">
        <f t="shared" si="57"/>
        <v/>
      </c>
      <c r="AM143" s="127" t="str">
        <f t="shared" ref="AM143:AM144" si="89">IF(AND($A143&lt;&gt;0,$A143&lt;&gt;""),6*0.5*AC143*IM_PEAK*MOT_COM_TIME*m*MOT_ELEC_FREQ,"")</f>
        <v/>
      </c>
      <c r="AN143" s="127">
        <f>IF(AND($A143&lt;&gt;0,$A143&lt;&gt;"",OR(RIGHT(Logic!B143,2)="C)",LEFT(Logic!B143,4)="CSD1")),SUM(AD143:AF143)+(AJ143/3)+AK143+AL143/6+AM143/6,AN144)</f>
        <v>0</v>
      </c>
      <c r="AO143" s="127">
        <f>IF(AND($A143&lt;&gt;0,$A143&lt;&gt;"",OR(RIGHT(Logic!B143,2)="T)",LEFT(Logic!B143,4)="CSD1")),SUM(AG143:AI143)+(AJ143/3)+AL143/6+AM143/6,AO142)</f>
        <v>0.23887636588496741</v>
      </c>
      <c r="AP143" s="48" t="str">
        <f t="shared" ref="AP143:AP144" si="90">IF(AND($A143&lt;&gt;0,$A143&lt;&gt;""),ROUND(SUM(AN143:AO143),2),"")</f>
        <v/>
      </c>
      <c r="AQ143" s="35" t="str">
        <f>IF(AND(A143&lt;&gt;0,A143&lt;&gt;""),LOOKUP(A143,Discrete_NFET[PARTNUMBER],Discrete_NFET[TI_EQ_PACKAGE]),"")</f>
        <v/>
      </c>
      <c r="AR143" s="49" t="str">
        <f>IF(AND(A143&lt;&gt;0,A143&lt;&gt;""),LOOKUP(A143,Discrete_NFET[PARTNUMBER],Discrete_NFET[1KPRICE]),"")</f>
        <v/>
      </c>
      <c r="AS143" s="35" t="str">
        <f>IF(AND($A143&lt;&gt;0,$A143&lt;&gt;""),CONCATENATE(TEXT(AP143,"0.00"),"W, ",IF('User Input'!G$11="Single Discrete",A143,IF('User Input'!G$11="Dual/Power Block",LEFT(A143,FIND(")",A143)-7),A143)),", ",AQ143,", ",TEXT(AR143,"$0.00")),"Invalid Part")</f>
        <v>Invalid Part</v>
      </c>
      <c r="AT143"/>
      <c r="AY143"/>
      <c r="AZ143"/>
      <c r="BA143"/>
      <c r="BB143"/>
    </row>
    <row r="144" spans="1:54" x14ac:dyDescent="0.25">
      <c r="A144" s="35" t="str">
        <f>IF(OR(AND(FET_config2="Dual/Power Block",LEFT(Logic!B144,4)="CSD8"),AND(FET_config2="Single Discrete",LEFT(Logic!B144,4)="CSD1")),Logic!B144,"")</f>
        <v/>
      </c>
      <c r="B144" s="37" t="str">
        <f>IF(OR($A144=0,$A144=""),"0",IF(LOOKUP($A144,Discrete_NFET[PARTNUMBER],Discrete_NFET[RDSON25])="(NULL)","0","1"))</f>
        <v>0</v>
      </c>
      <c r="C144" s="38" t="str">
        <f>IF(OR($A144=0,$A144=""),"0",IF(LOOKUP($A144,Discrete_NFET[PARTNUMBER],Discrete_NFET[RDSON3])="(NULL)","0","1"))</f>
        <v>0</v>
      </c>
      <c r="D144" s="40" t="str">
        <f>IF(OR($A144=0,$A144=""),"0",IF(LOOKUP($A144,Discrete_NFET[PARTNUMBER],Discrete_NFET[RDSON45])="(NULL)","0","1"))</f>
        <v>0</v>
      </c>
      <c r="E144" s="45" t="str">
        <f>IF(OR($A144=0,$A144=""),"0",IF(LOOKUP($A144,Discrete_NFET[PARTNUMBER],Discrete_NFET[RDSON6])="(NULL)","0","1"))</f>
        <v>0</v>
      </c>
      <c r="F144" s="34" t="str">
        <f>IF(OR($A144=0,$A144=""),"0",IF(LOOKUP($A144,Discrete_NFET[PARTNUMBER],Discrete_NFET[RDSON8])="(NULL)","0","1"))</f>
        <v>0</v>
      </c>
      <c r="G144" s="43" t="str">
        <f>IF(OR($A144=0,$A144=""),"0",IF(LOOKUP($A144,Discrete_NFET[PARTNUMBER],Discrete_NFET[RDSON10])="(NULL)","0","1"))</f>
        <v>0</v>
      </c>
      <c r="H144" s="36" t="b">
        <f t="shared" si="75"/>
        <v>0</v>
      </c>
      <c r="I144" s="39" t="b">
        <f t="shared" si="76"/>
        <v>0</v>
      </c>
      <c r="J144" s="41" t="b">
        <f t="shared" si="77"/>
        <v>0</v>
      </c>
      <c r="K144" s="46" t="b">
        <f t="shared" si="78"/>
        <v>0</v>
      </c>
      <c r="L144" s="42" t="b">
        <f t="shared" si="79"/>
        <v>0</v>
      </c>
      <c r="M144" s="44" t="b">
        <f t="shared" si="80"/>
        <v>0</v>
      </c>
      <c r="N144" s="47" t="b">
        <f t="shared" si="81"/>
        <v>0</v>
      </c>
      <c r="O144" s="36" t="b">
        <f t="shared" si="82"/>
        <v>0</v>
      </c>
      <c r="P144" s="39" t="b">
        <f t="shared" si="83"/>
        <v>0</v>
      </c>
      <c r="Q144" s="41" t="b">
        <f t="shared" si="84"/>
        <v>0</v>
      </c>
      <c r="R144" s="46" t="b">
        <f t="shared" si="85"/>
        <v>0</v>
      </c>
      <c r="S144" s="42" t="b">
        <f t="shared" si="86"/>
        <v>0</v>
      </c>
      <c r="T144" s="44" t="b">
        <f t="shared" si="87"/>
        <v>0</v>
      </c>
      <c r="U144" s="148" t="str">
        <f>IF(T144,LOOKUP(A144,Discrete_NFET[PARTNUMBER],Discrete_NFET[RDSON10])*1000,IF(S144,LOOKUP(A144,Discrete_NFET[PARTNUMBER],Discrete_NFET[RDSON8])*1000,IF(R144,LOOKUP(A144,Discrete_NFET[PARTNUMBER],Discrete_NFET[RDSON6])*1000,IF(Q144,LOOKUP(A144,Discrete_NFET[PARTNUMBER],Discrete_NFET[RDSON45])*1000,IF(P144,LOOKUP(A144,Discrete_NFET[PARTNUMBER],Discrete_NFET[RDSON3])*1000,IF(O144,LOOKUP(A144,Discrete_NFET[PARTNUMBER],Discrete_NFET[RDSON25])*1000,""))))))</f>
        <v/>
      </c>
      <c r="V144" s="48" t="str">
        <f>IF(AND(A144&lt;&gt;0,A144&lt;&gt;""),U144*(1+(Tj-25)*(LOOKUP(A144,Discrete_NFET[PARTNUMBER],Discrete_NFET[RDSDELTA])/((LOOKUP(A144,Discrete_NFET[PARTNUMBER],Discrete_NFET[TJMAX])-25)))),"")</f>
        <v/>
      </c>
      <c r="W144" s="35" t="str">
        <f>IF(AND($A144&lt;&gt;0,$A144&lt;&gt;""),LOOKUP($A144,Discrete_NFET[PARTNUMBER],Discrete_NFET[QGS]),"")</f>
        <v/>
      </c>
      <c r="X144" s="35" t="str">
        <f>IF(AND($A144&lt;&gt;0,$A144&lt;&gt;""),LOOKUP($A144,Discrete_NFET[PARTNUMBER],Discrete_NFET[QGD]),"")</f>
        <v/>
      </c>
      <c r="Y144" s="35" t="str">
        <f>IF(AND($A144&lt;&gt;0,$A144&lt;&gt;""),LOOKUP($A144,Discrete_NFET[PARTNUMBER],Discrete_NFET[QGTH]),"")</f>
        <v/>
      </c>
      <c r="Z144" s="35" t="str">
        <f t="shared" si="88"/>
        <v/>
      </c>
      <c r="AA144" s="35" t="str">
        <f>IF(AND($A144&lt;&gt;0,$A144&lt;&gt;""),LOOKUP($A144,Discrete_NFET[PARTNUMBER],Discrete_NFET[QOSSTYP]),"")</f>
        <v/>
      </c>
      <c r="AB144" s="35" t="str">
        <f>IF(AND($A144&lt;&gt;0,$A144&lt;&gt;""),LOOKUP($A144,Discrete_NFET[PARTNUMBER],Discrete_NFET[QRR]),"")</f>
        <v/>
      </c>
      <c r="AC144" s="35" t="str">
        <f>IF(AND(A144&lt;&gt;0,A144&lt;&gt;""),LOOKUP(A144,Discrete_NFET[PARTNUMBER],Discrete_NFET[VF_TYP]),"")</f>
        <v/>
      </c>
      <c r="AD144" s="127" t="str">
        <f>IF(AND($A144&lt;&gt;0,$A144&lt;&gt;"",OR(RIGHT(Logic!B144,2)="C)",LEFT(Logic!B144,4)="CSD1")),IM_RMS_120^2*V144*m/3/Num_FETS2,"")</f>
        <v/>
      </c>
      <c r="AE144" s="127" t="str">
        <f>IF(AND($A144&lt;&gt;0,$A144&lt;&gt;"",OR(RIGHT(Logic!B144,2)="C)",LEFT(Logic!B144,4)="CSD1")),Num_FETS2*0.5*IM_RMS_120*VDC_AVG*Z144*n*MOT_ELEC_FREQ/GDR_SRC,"")</f>
        <v/>
      </c>
      <c r="AF144" s="127" t="str">
        <f>IF(AND($A144&lt;&gt;0,$A144&lt;&gt;"",OR(RIGHT(Logic!B144,2)="C)",LEFT(Logic!B144,4)="CSD1")),Num_FETS2*0.5*IM_RMS_120*VDC_AVG*Z144*n*MOT_ELEC_FREQ/GDR_SINK,"")</f>
        <v/>
      </c>
      <c r="AG144" s="127" t="str">
        <f>IF(AND($A144&lt;&gt;0,$A144&lt;&gt;"",OR(RIGHT(Logic!B144,2)="T)",LEFT(Logic!B144,4)="CSD1")),DUTY*IM_RMS_120^2*V144*m/3/Num_FETS2,"")</f>
        <v/>
      </c>
      <c r="AH144" s="127" t="str">
        <f>IF(AND($A144&lt;&gt;0,$A144&lt;&gt;"",OR(RIGHT(Logic!B144,2)="T)",LEFT(Logic!B144,4)="CSD1")),Num_FETS2*0.5*IM_RMS_120*VDC_AVG*Z144*n*FSW*k/GDR_SRC/3,"")</f>
        <v/>
      </c>
      <c r="AI144" s="127" t="str">
        <f>IF(AND($A144&lt;&gt;0,$A144&lt;&gt;"",OR(RIGHT(Logic!B144,2)="T)",LEFT(Logic!B144,4)="CSD1")),Num_FETS2*0.5*IM_RMS_120*VDC_AVG*Z144*n*FSW*k/GDR_SINK/3,"")</f>
        <v/>
      </c>
      <c r="AJ144" s="127" t="str">
        <f t="shared" si="56"/>
        <v/>
      </c>
      <c r="AK144" s="127" t="str">
        <f t="shared" si="58"/>
        <v/>
      </c>
      <c r="AL144" s="127" t="str">
        <f t="shared" si="57"/>
        <v/>
      </c>
      <c r="AM144" s="127" t="str">
        <f t="shared" si="89"/>
        <v/>
      </c>
      <c r="AN144" s="127">
        <f>IF(AND($A144&lt;&gt;0,$A144&lt;&gt;"",OR(RIGHT(Logic!B144,2)="C)",LEFT(Logic!B144,4)="CSD1")),SUM(AD144:AF144)+(AJ144/3)+AK144+AL144/6+AM144/6,AN145)</f>
        <v>0</v>
      </c>
      <c r="AO144" s="127">
        <f>IF(AND($A144&lt;&gt;0,$A144&lt;&gt;"",OR(RIGHT(Logic!B144,2)="T)",LEFT(Logic!B144,4)="CSD1")),SUM(AG144:AI144)+(AJ144/3)+AL144/6+AM144/6,AO143)</f>
        <v>0.23887636588496741</v>
      </c>
      <c r="AP144" s="48" t="str">
        <f t="shared" si="90"/>
        <v/>
      </c>
      <c r="AQ144" s="35" t="str">
        <f>IF(AND(A144&lt;&gt;0,A144&lt;&gt;""),LOOKUP(A144,Discrete_NFET[PARTNUMBER],Discrete_NFET[TI_EQ_PACKAGE]),"")</f>
        <v/>
      </c>
      <c r="AR144" s="49" t="str">
        <f>IF(AND(A144&lt;&gt;0,A144&lt;&gt;""),LOOKUP(A144,Discrete_NFET[PARTNUMBER],Discrete_NFET[1KPRICE]),"")</f>
        <v/>
      </c>
      <c r="AS144" s="35" t="str">
        <f>IF(AND($A144&lt;&gt;0,$A144&lt;&gt;""),CONCATENATE(TEXT(AP144,"0.00"),"W, ",IF('User Input'!G$11="Single Discrete",A144,IF('User Input'!G$11="Dual/Power Block",LEFT(A144,FIND(")",A144)-7),A144)),", ",AQ144,", ",TEXT(AR144,"$0.00")),"Invalid Part")</f>
        <v>Invalid Part</v>
      </c>
      <c r="AT144"/>
    </row>
    <row r="145" spans="46:46" x14ac:dyDescent="0.25">
      <c r="AT145"/>
    </row>
    <row r="146" spans="46:46" x14ac:dyDescent="0.25">
      <c r="AT146"/>
    </row>
    <row r="147" spans="46:46" x14ac:dyDescent="0.25">
      <c r="AT147"/>
    </row>
    <row r="148" spans="46:46" x14ac:dyDescent="0.25">
      <c r="AT148"/>
    </row>
    <row r="149" spans="46:46" x14ac:dyDescent="0.25">
      <c r="AT149"/>
    </row>
    <row r="150" spans="46:46" x14ac:dyDescent="0.25">
      <c r="AT150"/>
    </row>
    <row r="151" spans="46:46" x14ac:dyDescent="0.25">
      <c r="AT151"/>
    </row>
    <row r="152" spans="46:46" x14ac:dyDescent="0.25">
      <c r="AT152"/>
    </row>
    <row r="153" spans="46:46" x14ac:dyDescent="0.25">
      <c r="AT153"/>
    </row>
    <row r="154" spans="46:46" x14ac:dyDescent="0.25">
      <c r="AT154"/>
    </row>
    <row r="155" spans="46:46" x14ac:dyDescent="0.25">
      <c r="AT155"/>
    </row>
    <row r="156" spans="46:46" x14ac:dyDescent="0.25">
      <c r="AT156"/>
    </row>
    <row r="157" spans="46:46" x14ac:dyDescent="0.25">
      <c r="AT157"/>
    </row>
    <row r="158" spans="46:46" x14ac:dyDescent="0.25">
      <c r="AT158"/>
    </row>
    <row r="159" spans="46:46" x14ac:dyDescent="0.25">
      <c r="AT159"/>
    </row>
    <row r="160" spans="46:46" x14ac:dyDescent="0.25">
      <c r="AT160"/>
    </row>
    <row r="161" spans="46:46" x14ac:dyDescent="0.25">
      <c r="AT161"/>
    </row>
    <row r="162" spans="46:46" x14ac:dyDescent="0.25">
      <c r="AT162"/>
    </row>
    <row r="163" spans="46:46" x14ac:dyDescent="0.25">
      <c r="AT163"/>
    </row>
    <row r="164" spans="46:46" x14ac:dyDescent="0.25">
      <c r="AT164"/>
    </row>
    <row r="165" spans="46:46" x14ac:dyDescent="0.25">
      <c r="AT165"/>
    </row>
    <row r="166" spans="46:46" x14ac:dyDescent="0.25">
      <c r="AT166"/>
    </row>
    <row r="167" spans="46:46" x14ac:dyDescent="0.25">
      <c r="AT167"/>
    </row>
    <row r="168" spans="46:46" x14ac:dyDescent="0.25">
      <c r="AT168"/>
    </row>
    <row r="169" spans="46:46" x14ac:dyDescent="0.25">
      <c r="AT169"/>
    </row>
    <row r="170" spans="46:46" x14ac:dyDescent="0.25">
      <c r="AT170"/>
    </row>
    <row r="171" spans="46:46" x14ac:dyDescent="0.25">
      <c r="AT171"/>
    </row>
    <row r="172" spans="46:46" x14ac:dyDescent="0.25">
      <c r="AT172"/>
    </row>
    <row r="173" spans="46:46" x14ac:dyDescent="0.25">
      <c r="AT173"/>
    </row>
    <row r="174" spans="46:46" x14ac:dyDescent="0.25">
      <c r="AT174"/>
    </row>
    <row r="175" spans="46:46" x14ac:dyDescent="0.25">
      <c r="AT175"/>
    </row>
    <row r="176" spans="46:46" x14ac:dyDescent="0.25">
      <c r="AT176"/>
    </row>
    <row r="177" spans="46:46" x14ac:dyDescent="0.25">
      <c r="AT177"/>
    </row>
  </sheetData>
  <sortState xmlns:xlrd2="http://schemas.microsoft.com/office/spreadsheetml/2017/richdata2" ref="AT4:AT177">
    <sortCondition ref="AT3"/>
  </sortState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/>
  <dimension ref="A1:BB177"/>
  <sheetViews>
    <sheetView workbookViewId="0">
      <pane xSplit="1" topLeftCell="AO1" activePane="topRight" state="frozen"/>
      <selection pane="topRight" activeCell="AS3" sqref="AS3:AS176"/>
    </sheetView>
  </sheetViews>
  <sheetFormatPr defaultRowHeight="15" x14ac:dyDescent="0.25"/>
  <cols>
    <col min="1" max="1" width="20.85546875" style="35" bestFit="1" customWidth="1"/>
    <col min="2" max="2" width="13.140625" style="36" bestFit="1" customWidth="1"/>
    <col min="3" max="3" width="11.42578125" style="39" bestFit="1" customWidth="1"/>
    <col min="4" max="4" width="13.140625" style="41" bestFit="1" customWidth="1"/>
    <col min="5" max="5" width="11.85546875" style="46" bestFit="1" customWidth="1"/>
    <col min="6" max="6" width="9.140625" style="42"/>
    <col min="7" max="7" width="9.140625" style="44"/>
    <col min="8" max="8" width="9.140625" style="36"/>
    <col min="9" max="9" width="9.140625" style="39"/>
    <col min="10" max="10" width="9.140625" style="41"/>
    <col min="11" max="11" width="9.140625" style="46"/>
    <col min="12" max="12" width="9.140625" style="42"/>
    <col min="13" max="13" width="9.140625" style="44"/>
    <col min="14" max="14" width="9.140625" style="47"/>
    <col min="15" max="15" width="9.140625" style="36"/>
    <col min="16" max="16" width="9.140625" style="39"/>
    <col min="17" max="17" width="9.140625" style="41"/>
    <col min="18" max="18" width="9.140625" style="46"/>
    <col min="19" max="19" width="9.140625" style="42"/>
    <col min="20" max="20" width="9.140625" style="44"/>
    <col min="21" max="21" width="9.140625" style="149"/>
    <col min="22" max="22" width="9.140625" style="48"/>
    <col min="23" max="29" width="9.140625" style="35"/>
    <col min="30" max="30" width="9.5703125" style="127" bestFit="1" customWidth="1"/>
    <col min="31" max="37" width="9.140625" style="127"/>
    <col min="38" max="38" width="9.5703125" style="127" bestFit="1" customWidth="1"/>
    <col min="39" max="41" width="9.5703125" style="127" customWidth="1"/>
    <col min="42" max="42" width="9.140625" style="48"/>
    <col min="43" max="43" width="9.28515625" style="35" bestFit="1" customWidth="1"/>
    <col min="44" max="44" width="9.28515625" style="49" customWidth="1"/>
    <col min="45" max="46" width="34" style="35" bestFit="1" customWidth="1"/>
    <col min="47" max="47" width="12.7109375" style="35" bestFit="1" customWidth="1"/>
    <col min="48" max="49" width="9.140625" style="35"/>
    <col min="50" max="50" width="13.28515625" style="35" bestFit="1" customWidth="1"/>
    <col min="51" max="51" width="7.85546875" bestFit="1" customWidth="1"/>
  </cols>
  <sheetData>
    <row r="1" spans="1:54" ht="60" x14ac:dyDescent="0.25">
      <c r="A1" s="35" t="str">
        <f>Logic!B1</f>
        <v>MOST BLANKS REMOVED ROW2 BLANK</v>
      </c>
      <c r="B1" s="128" t="s">
        <v>437</v>
      </c>
      <c r="C1" s="129" t="s">
        <v>438</v>
      </c>
      <c r="D1" s="130" t="s">
        <v>439</v>
      </c>
      <c r="E1" s="131" t="s">
        <v>440</v>
      </c>
      <c r="F1" s="132" t="s">
        <v>441</v>
      </c>
      <c r="G1" s="133" t="s">
        <v>442</v>
      </c>
      <c r="H1" s="134" t="s">
        <v>443</v>
      </c>
      <c r="I1" s="135" t="s">
        <v>410</v>
      </c>
      <c r="J1" s="136" t="s">
        <v>444</v>
      </c>
      <c r="K1" s="137" t="s">
        <v>412</v>
      </c>
      <c r="L1" s="138" t="s">
        <v>413</v>
      </c>
      <c r="M1" s="139" t="s">
        <v>414</v>
      </c>
      <c r="N1" s="140" t="s">
        <v>445</v>
      </c>
      <c r="O1" s="134" t="s">
        <v>446</v>
      </c>
      <c r="P1" s="135" t="s">
        <v>447</v>
      </c>
      <c r="Q1" s="136" t="s">
        <v>448</v>
      </c>
      <c r="R1" s="137" t="s">
        <v>449</v>
      </c>
      <c r="S1" s="138" t="s">
        <v>450</v>
      </c>
      <c r="T1" s="139" t="s">
        <v>451</v>
      </c>
      <c r="U1" s="147" t="s">
        <v>374</v>
      </c>
      <c r="V1" s="141" t="s">
        <v>452</v>
      </c>
      <c r="W1" s="142" t="s">
        <v>84</v>
      </c>
      <c r="X1" s="142" t="s">
        <v>83</v>
      </c>
      <c r="Y1" s="142" t="s">
        <v>456</v>
      </c>
      <c r="Z1" s="142" t="s">
        <v>453</v>
      </c>
      <c r="AA1" s="142" t="s">
        <v>500</v>
      </c>
      <c r="AB1" s="35" t="s">
        <v>82</v>
      </c>
      <c r="AC1" s="142" t="s">
        <v>501</v>
      </c>
      <c r="AD1" s="127" t="s">
        <v>575</v>
      </c>
      <c r="AE1" s="127" t="s">
        <v>576</v>
      </c>
      <c r="AF1" s="127" t="s">
        <v>577</v>
      </c>
      <c r="AG1" s="127" t="s">
        <v>578</v>
      </c>
      <c r="AH1" s="127" t="s">
        <v>579</v>
      </c>
      <c r="AI1" s="127" t="s">
        <v>580</v>
      </c>
      <c r="AJ1" s="127" t="s">
        <v>581</v>
      </c>
      <c r="AK1" s="127" t="s">
        <v>571</v>
      </c>
      <c r="AL1" s="127" t="s">
        <v>572</v>
      </c>
      <c r="AM1" s="127" t="s">
        <v>573</v>
      </c>
      <c r="AN1" s="127" t="s">
        <v>582</v>
      </c>
      <c r="AO1" s="127" t="s">
        <v>583</v>
      </c>
      <c r="AP1" s="48" t="s">
        <v>454</v>
      </c>
      <c r="AQ1" s="142" t="s">
        <v>75</v>
      </c>
      <c r="AR1" s="143" t="s">
        <v>496</v>
      </c>
      <c r="AV1" s="35" t="s">
        <v>431</v>
      </c>
      <c r="AW1" s="35" t="s">
        <v>432</v>
      </c>
      <c r="AX1" s="35" t="s">
        <v>434</v>
      </c>
      <c r="AY1" s="35" t="s">
        <v>433</v>
      </c>
      <c r="AZ1" s="35" t="s">
        <v>435</v>
      </c>
      <c r="BA1" s="35" t="s">
        <v>436</v>
      </c>
      <c r="BB1" t="s">
        <v>374</v>
      </c>
    </row>
    <row r="2" spans="1:54" ht="15" customHeight="1" x14ac:dyDescent="0.25">
      <c r="A2" s="35" t="str">
        <f>IF(OR(AND(FET_config3="Dual/Power Block",LEFT(Logic!B2,4)="CSD8"),AND(FET_config3="Single Discrete",LEFT(Logic!B2,4)="CSD1")),Logic!B2,"")</f>
        <v/>
      </c>
      <c r="B2" s="37" t="str">
        <f>IF(OR($A2=0,$A2=""),"0",IF(LOOKUP($A2,Discrete_NFET[PARTNUMBER],Discrete_NFET[RDSON25])="(NULL)","0","1"))</f>
        <v>0</v>
      </c>
      <c r="C2" s="38" t="str">
        <f>IF(OR($A2=0,$A2=""),"0",IF(LOOKUP($A2,Discrete_NFET[PARTNUMBER],Discrete_NFET[RDSON3])="(NULL)","0","1"))</f>
        <v>0</v>
      </c>
      <c r="D2" s="40" t="str">
        <f>IF(OR($A2=0,$A2=""),"0",IF(LOOKUP($A2,Discrete_NFET[PARTNUMBER],Discrete_NFET[RDSON45])="(NULL)","0","1"))</f>
        <v>0</v>
      </c>
      <c r="E2" s="45" t="str">
        <f>IF(OR($A2=0,$A2=""),"0",IF(LOOKUP($A2,Discrete_NFET[PARTNUMBER],Discrete_NFET[RDSON6])="(NULL)","0","1"))</f>
        <v>0</v>
      </c>
      <c r="F2" s="34" t="str">
        <f>IF(OR($A2=0,$A2=""),"0",IF(LOOKUP($A2,Discrete_NFET[PARTNUMBER],Discrete_NFET[RDSON8])="(NULL)","0","1"))</f>
        <v>0</v>
      </c>
      <c r="G2" s="43" t="str">
        <f>IF(OR($A2=0,$A2=""),"0",IF(LOOKUP($A2,Discrete_NFET[PARTNUMBER],Discrete_NFET[RDSON10])="(NULL)","0","1"))</f>
        <v>0</v>
      </c>
      <c r="H2" s="36" t="b">
        <f t="shared" ref="H2:M3" si="0">AND(AV$2,B2="1")</f>
        <v>0</v>
      </c>
      <c r="I2" s="39" t="b">
        <f t="shared" si="0"/>
        <v>0</v>
      </c>
      <c r="J2" s="41" t="b">
        <f t="shared" si="0"/>
        <v>0</v>
      </c>
      <c r="K2" s="46" t="b">
        <f t="shared" si="0"/>
        <v>0</v>
      </c>
      <c r="L2" s="42" t="b">
        <f t="shared" si="0"/>
        <v>0</v>
      </c>
      <c r="M2" s="44" t="b">
        <f t="shared" si="0"/>
        <v>0</v>
      </c>
      <c r="N2" s="47" t="b">
        <f t="shared" ref="N2:N3" si="1">OR(H2:M2)</f>
        <v>0</v>
      </c>
      <c r="O2" s="36" t="b">
        <f t="shared" ref="O2:O3" si="2">IF($N2,H2,IF((B2="1"),OR($AU$2,$AU$9)))</f>
        <v>0</v>
      </c>
      <c r="P2" s="39" t="b">
        <f t="shared" ref="P2:P3" si="3">IF($N2,I2,IF((C2="1"),OR(AU$2,AU$9,AX$2,J2)))</f>
        <v>0</v>
      </c>
      <c r="Q2" s="41" t="b">
        <f t="shared" ref="Q2:S3" si="4">IF($N2,J2,IF((D2="1"),OR(AW$2,I2,AY$2,K2)))</f>
        <v>0</v>
      </c>
      <c r="R2" s="46" t="b">
        <f t="shared" si="4"/>
        <v>0</v>
      </c>
      <c r="S2" s="42" t="b">
        <f t="shared" si="4"/>
        <v>0</v>
      </c>
      <c r="T2" s="44" t="b">
        <f t="shared" ref="T2:T3" si="5">IF($N2,M2,IF((G2="1"),OR(AZ$2,L2)))</f>
        <v>0</v>
      </c>
      <c r="U2" s="148" t="str">
        <f>IF(T2,LOOKUP(A2,Discrete_NFET[PARTNUMBER],Discrete_NFET[RDSON10])*1000,IF(S2,LOOKUP(A2,Discrete_NFET[PARTNUMBER],Discrete_NFET[RDSON8])*1000,IF(R2,LOOKUP(A2,Discrete_NFET[PARTNUMBER],Discrete_NFET[RDSON6])*1000,IF(Q2,LOOKUP(A2,Discrete_NFET[PARTNUMBER],Discrete_NFET[RDSON45])*1000,IF(P2,LOOKUP(A2,Discrete_NFET[PARTNUMBER],Discrete_NFET[RDSON3])*1000,IF(O2,LOOKUP(A2,Discrete_NFET[PARTNUMBER],Discrete_NFET[RDSON25])*1000,""))))))</f>
        <v/>
      </c>
      <c r="V2" s="48" t="str">
        <f>IF(AND(A2&lt;&gt;0,A2&lt;&gt;""),U2*(1+(Tj-25)*(LOOKUP(A2,Discrete_NFET[PARTNUMBER],Discrete_NFET[RDSDELTA])/((LOOKUP(A2,Discrete_NFET[PARTNUMBER],Discrete_NFET[TJMAX])-25)))),"")</f>
        <v/>
      </c>
      <c r="W2" s="35" t="str">
        <f>IF(AND($A2&lt;&gt;0,$A2&lt;&gt;""),LOOKUP($A2,Discrete_NFET[PARTNUMBER],Discrete_NFET[QGS]),"")</f>
        <v/>
      </c>
      <c r="X2" s="35" t="str">
        <f>IF(AND($A2&lt;&gt;0,$A2&lt;&gt;""),LOOKUP($A2,Discrete_NFET[PARTNUMBER],Discrete_NFET[QGD]),"")</f>
        <v/>
      </c>
      <c r="Y2" s="35" t="str">
        <f>IF(AND($A2&lt;&gt;0,$A2&lt;&gt;""),LOOKUP($A2,Discrete_NFET[PARTNUMBER],Discrete_NFET[QGTH]),"")</f>
        <v/>
      </c>
      <c r="Z2" s="35" t="str">
        <f t="shared" ref="Z2:Z3" si="6">IF(AND(A2&lt;&gt;0,A2&lt;&gt;""),W2+X2-Y2,"")</f>
        <v/>
      </c>
      <c r="AA2" s="35" t="str">
        <f>IF(AND($A2&lt;&gt;0,$A2&lt;&gt;""),LOOKUP($A2,Discrete_NFET[PARTNUMBER],Discrete_NFET[QOSSTYP]),"")</f>
        <v/>
      </c>
      <c r="AB2" s="35" t="str">
        <f>IF(AND($A2&lt;&gt;0,$A2&lt;&gt;""),LOOKUP($A2,Discrete_NFET[PARTNUMBER],Discrete_NFET[QRR]),"")</f>
        <v/>
      </c>
      <c r="AC2" s="35" t="str">
        <f>IF(AND(A2&lt;&gt;0,A2&lt;&gt;""),LOOKUP(A2,Discrete_NFET[PARTNUMBER],Discrete_NFET[VF_TYP]),"")</f>
        <v/>
      </c>
      <c r="AD2" s="127" t="str">
        <f>IF(AND($A2&lt;&gt;0,$A2&lt;&gt;"",OR(RIGHT(Logic!B2,2)="C)",LEFT(Logic!B2,4)="CSD1")),(1+(1-DUTY))*IM_RMS_120^2*V2*m/3/Num_FETS3,"")</f>
        <v/>
      </c>
      <c r="AE2" s="127" t="str">
        <f>IF(AND($A2&lt;&gt;0,$A2&lt;&gt;"",OR(RIGHT(Logic!B2,2)="C)",LEFT(Logic!B2,4)="CSD1")),Num_FETS3*0.5*IM_RMS_120*VDC_AVG*Z2*n*MOT_ELEC_FREQ/GDR_SRC,"")</f>
        <v/>
      </c>
      <c r="AF2" s="127" t="str">
        <f>IF(AND($A2&lt;&gt;0,$A2&lt;&gt;"",OR(RIGHT(Logic!B2,2)="C)",LEFT(Logic!B2,4)="CSD1")),Num_FETS3*0.5*IM_RMS_120*VDC_AVG*Z2*n*MOT_ELEC_FREQ/GDR_SINK,"")</f>
        <v/>
      </c>
      <c r="AG2" s="127" t="str">
        <f>IF(AND($A2&lt;&gt;0,$A2&lt;&gt;"",OR(RIGHT(Logic!B2,2)="T)",LEFT(Logic!B2,4)="CSD1")),DUTY*IM_RMS_120^2*V2*m/3/Num_FETS3,"")</f>
        <v/>
      </c>
      <c r="AH2" s="127" t="str">
        <f>IF(AND($A2&lt;&gt;0,$A2&lt;&gt;"",OR(RIGHT(Logic!B2,2)="T)",LEFT(Logic!B2,4)="CSD1")),Num_FETS3*0.5*IM_RMS_120*VDC_AVG*Z2*n*FSW*k/GDR_SRC/3,"")</f>
        <v/>
      </c>
      <c r="AI2" s="127" t="str">
        <f>IF(AND($A2&lt;&gt;0,$A2&lt;&gt;"",OR(RIGHT(Logic!B2,2)="T)",LEFT(Logic!B2,4)="CSD1")),Num_FETS3*0.5*IM_RMS_120*VDC_AVG*Z2*n*FSW*k/GDR_SINK/3,"")</f>
        <v/>
      </c>
      <c r="AJ2" s="127" t="str">
        <f t="shared" ref="AJ2:AJ33" si="7">IF(AND($A2&lt;&gt;0,$A2&lt;&gt;""),Num_FETS3*((AA2*VDC_AVG)*((FSW*k)))*n/2,"")</f>
        <v/>
      </c>
      <c r="AK2" s="127" t="str">
        <f t="shared" ref="AK2:AK33" si="8">IF(AND($A2&lt;&gt;0,$A2&lt;&gt;""),2*T_DEAD*n*AC2*IM_PEAK*(FSW*k)/3,"")</f>
        <v/>
      </c>
      <c r="AL2" s="127" t="str">
        <f t="shared" ref="AL2:AL33" si="9">IF(AND($A2&lt;&gt;0,$A2&lt;&gt;""),Num_FETS3*((AB2*VDC_AVG)*((MOT_ELEC_FREQ+FSW*k)))*n,"")</f>
        <v/>
      </c>
      <c r="AM2" s="127" t="str">
        <f t="shared" ref="AM2:AM3" si="10">IF(AND($A2&lt;&gt;0,$A2&lt;&gt;""),6*0.5*AC2*IM_PEAK*MOT_COM_TIME*m*MOT_ELEC_FREQ,"")</f>
        <v/>
      </c>
      <c r="AO2" s="127" t="str">
        <f>IF(AND($A2&lt;&gt;0,$A2&lt;&gt;"",OR(RIGHT(Logic!B2,2)="T)",LEFT(Logic!B2,4)="CSD1")),SUM(AG2:AI2)+(AJ2/3)+AK2/2+AL2/6+AM2/6,"")</f>
        <v/>
      </c>
      <c r="AP2" s="48" t="str">
        <f t="shared" ref="AP2:AP3" si="11">IF(AND($A2&lt;&gt;0,$A2&lt;&gt;""),ROUND(SUM(AN2:AO2),2),"")</f>
        <v/>
      </c>
      <c r="AQ2" s="35" t="str">
        <f>IF(AND(A2&lt;&gt;0,A2&lt;&gt;""),LOOKUP(A2,Discrete_NFET[PARTNUMBER],Discrete_NFET[TI_EQ_PACKAGE]),"")</f>
        <v/>
      </c>
      <c r="AR2" s="49" t="str">
        <f>IF(AND(A2&lt;&gt;0,A2&lt;&gt;""),LOOKUP(A2,Discrete_NFET[PARTNUMBER],Discrete_NFET[1KPRICE]),"")</f>
        <v/>
      </c>
      <c r="AU2" s="35" t="str">
        <f>IF(AND($A2&lt;&gt;0,$A2&lt;&gt;""),IF(VDC_RATED&gt;7,LOOKUP($A2,Discrete_NFET[PARTNUMBER],Discrete_NFET[QG10TYP]),LOOKUP($A2,Discrete_NFET[PARTNUMBER],Discrete_NFET[QG10TYP])),"")</f>
        <v/>
      </c>
      <c r="AV2" s="35" t="b">
        <f>(GDR_V&gt;=2.5)</f>
        <v>1</v>
      </c>
      <c r="AW2" s="35" t="b">
        <f>(GDR_V&gt;=3)</f>
        <v>1</v>
      </c>
      <c r="AX2" s="35" t="b">
        <f>(GDR_V&gt;=4)</f>
        <v>1</v>
      </c>
      <c r="AY2" t="b">
        <f>(GDR_V&gt;=5.5)</f>
        <v>1</v>
      </c>
      <c r="AZ2" t="b">
        <f>(GDR_V&gt;=7)</f>
        <v>1</v>
      </c>
      <c r="BA2" t="b">
        <f>(GDR_V&gt;=8.5)</f>
        <v>1</v>
      </c>
    </row>
    <row r="3" spans="1:54" ht="15" customHeight="1" x14ac:dyDescent="0.25">
      <c r="A3" s="35" t="str">
        <f>IF(OR(AND(FET_config3="Dual/Power Block",LEFT(Logic!B3,4)="CSD8"),AND(FET_config3="Single Discrete",LEFT(Logic!B3,4)="CSD1")),Logic!B3,"")</f>
        <v/>
      </c>
      <c r="B3" s="37" t="str">
        <f>IF(OR($A3=0,$A3=""),"0",IF(LOOKUP($A3,Discrete_NFET[PARTNUMBER],Discrete_NFET[RDSON25])="(NULL)","0","1"))</f>
        <v>0</v>
      </c>
      <c r="C3" s="38" t="str">
        <f>IF(OR($A3=0,$A3=""),"0",IF(LOOKUP($A3,Discrete_NFET[PARTNUMBER],Discrete_NFET[RDSON3])="(NULL)","0","1"))</f>
        <v>0</v>
      </c>
      <c r="D3" s="40" t="str">
        <f>IF(OR($A3=0,$A3=""),"0",IF(LOOKUP($A3,Discrete_NFET[PARTNUMBER],Discrete_NFET[RDSON45])="(NULL)","0","1"))</f>
        <v>0</v>
      </c>
      <c r="E3" s="45" t="str">
        <f>IF(OR($A3=0,$A3=""),"0",IF(LOOKUP($A3,Discrete_NFET[PARTNUMBER],Discrete_NFET[RDSON6])="(NULL)","0","1"))</f>
        <v>0</v>
      </c>
      <c r="F3" s="34" t="str">
        <f>IF(OR($A3=0,$A3=""),"0",IF(LOOKUP($A3,Discrete_NFET[PARTNUMBER],Discrete_NFET[RDSON8])="(NULL)","0","1"))</f>
        <v>0</v>
      </c>
      <c r="G3" s="43" t="str">
        <f>IF(OR($A3=0,$A3=""),"0",IF(LOOKUP($A3,Discrete_NFET[PARTNUMBER],Discrete_NFET[RDSON10])="(NULL)","0","1"))</f>
        <v>0</v>
      </c>
      <c r="H3" s="36" t="b">
        <f t="shared" si="0"/>
        <v>0</v>
      </c>
      <c r="I3" s="39" t="b">
        <f t="shared" si="0"/>
        <v>0</v>
      </c>
      <c r="J3" s="41" t="b">
        <f t="shared" si="0"/>
        <v>0</v>
      </c>
      <c r="K3" s="46" t="b">
        <f t="shared" si="0"/>
        <v>0</v>
      </c>
      <c r="L3" s="42" t="b">
        <f t="shared" si="0"/>
        <v>0</v>
      </c>
      <c r="M3" s="44" t="b">
        <f t="shared" si="0"/>
        <v>0</v>
      </c>
      <c r="N3" s="47" t="b">
        <f t="shared" si="1"/>
        <v>0</v>
      </c>
      <c r="O3" s="36" t="b">
        <f t="shared" si="2"/>
        <v>0</v>
      </c>
      <c r="P3" s="39" t="b">
        <f t="shared" si="3"/>
        <v>0</v>
      </c>
      <c r="Q3" s="41" t="b">
        <f t="shared" si="4"/>
        <v>0</v>
      </c>
      <c r="R3" s="46" t="b">
        <f t="shared" si="4"/>
        <v>0</v>
      </c>
      <c r="S3" s="42" t="b">
        <f t="shared" si="4"/>
        <v>0</v>
      </c>
      <c r="T3" s="44" t="b">
        <f t="shared" si="5"/>
        <v>0</v>
      </c>
      <c r="U3" s="148" t="str">
        <f>IF(T3,LOOKUP(A3,Discrete_NFET[PARTNUMBER],Discrete_NFET[RDSON10])*1000,IF(S3,LOOKUP(A3,Discrete_NFET[PARTNUMBER],Discrete_NFET[RDSON8])*1000,IF(R3,LOOKUP(A3,Discrete_NFET[PARTNUMBER],Discrete_NFET[RDSON6])*1000,IF(Q3,LOOKUP(A3,Discrete_NFET[PARTNUMBER],Discrete_NFET[RDSON45])*1000,IF(P3,LOOKUP(A3,Discrete_NFET[PARTNUMBER],Discrete_NFET[RDSON3])*1000,IF(O3,LOOKUP(A3,Discrete_NFET[PARTNUMBER],Discrete_NFET[RDSON25])*1000,""))))))</f>
        <v/>
      </c>
      <c r="V3" s="48" t="str">
        <f>IF(AND(A3&lt;&gt;0,A3&lt;&gt;""),U3*(1+(Tj-25)*(LOOKUP(A3,Discrete_NFET[PARTNUMBER],Discrete_NFET[RDSDELTA])/((LOOKUP(A3,Discrete_NFET[PARTNUMBER],Discrete_NFET[TJMAX])-25)))),"")</f>
        <v/>
      </c>
      <c r="W3" s="35" t="str">
        <f>IF(AND($A3&lt;&gt;0,$A3&lt;&gt;""),LOOKUP($A3,Discrete_NFET[PARTNUMBER],Discrete_NFET[QGS]),"")</f>
        <v/>
      </c>
      <c r="X3" s="35" t="str">
        <f>IF(AND($A3&lt;&gt;0,$A3&lt;&gt;""),LOOKUP($A3,Discrete_NFET[PARTNUMBER],Discrete_NFET[QGD]),"")</f>
        <v/>
      </c>
      <c r="Y3" s="35" t="str">
        <f>IF(AND($A3&lt;&gt;0,$A3&lt;&gt;""),LOOKUP($A3,Discrete_NFET[PARTNUMBER],Discrete_NFET[QGTH]),"")</f>
        <v/>
      </c>
      <c r="Z3" s="35" t="str">
        <f t="shared" si="6"/>
        <v/>
      </c>
      <c r="AA3" s="35" t="str">
        <f>IF(AND($A3&lt;&gt;0,$A3&lt;&gt;""),LOOKUP($A3,Discrete_NFET[PARTNUMBER],Discrete_NFET[QOSSTYP]),"")</f>
        <v/>
      </c>
      <c r="AB3" s="35" t="str">
        <f>IF(AND($A3&lt;&gt;0,$A3&lt;&gt;""),LOOKUP($A3,Discrete_NFET[PARTNUMBER],Discrete_NFET[QRR]),"")</f>
        <v/>
      </c>
      <c r="AC3" s="35" t="str">
        <f>IF(AND(A3&lt;&gt;0,A3&lt;&gt;""),LOOKUP(A3,Discrete_NFET[PARTNUMBER],Discrete_NFET[VF_TYP]),"")</f>
        <v/>
      </c>
      <c r="AD3" s="127" t="str">
        <f>IF(AND($A3&lt;&gt;0,$A3&lt;&gt;"",OR(RIGHT(Logic!B3,2)="C)",LEFT(Logic!B3,4)="CSD1")),(1+(1-DUTY))*IM_RMS_120^2*V3*m/3/Num_FETS3,"")</f>
        <v/>
      </c>
      <c r="AE3" s="127" t="str">
        <f>IF(AND($A3&lt;&gt;0,$A3&lt;&gt;"",OR(RIGHT(Logic!B3,2)="C)",LEFT(Logic!B3,4)="CSD1")),Num_FETS3*0.5*IM_RMS_120*VDC_AVG*Z3*n*MOT_ELEC_FREQ/GDR_SRC,"")</f>
        <v/>
      </c>
      <c r="AF3" s="127" t="str">
        <f>IF(AND($A3&lt;&gt;0,$A3&lt;&gt;"",OR(RIGHT(Logic!B3,2)="C)",LEFT(Logic!B3,4)="CSD1")),Num_FETS3*0.5*IM_RMS_120*VDC_AVG*Z3*n*MOT_ELEC_FREQ/GDR_SINK,"")</f>
        <v/>
      </c>
      <c r="AG3" s="127" t="str">
        <f>IF(AND($A3&lt;&gt;0,$A3&lt;&gt;"",OR(RIGHT(Logic!B3,2)="T)",LEFT(Logic!B3,4)="CSD1")),DUTY*IM_RMS_120^2*V3*m/3/Num_FETS3,"")</f>
        <v/>
      </c>
      <c r="AH3" s="127" t="str">
        <f>IF(AND($A3&lt;&gt;0,$A3&lt;&gt;"",OR(RIGHT(Logic!B3,2)="T)",LEFT(Logic!B3,4)="CSD1")),Num_FETS3*0.5*IM_RMS_120*VDC_AVG*Z3*n*FSW*k/GDR_SRC/3,"")</f>
        <v/>
      </c>
      <c r="AI3" s="127" t="str">
        <f>IF(AND($A3&lt;&gt;0,$A3&lt;&gt;"",OR(RIGHT(Logic!B3,2)="T)",LEFT(Logic!B3,4)="CSD1")),Num_FETS3*0.5*IM_RMS_120*VDC_AVG*Z3*n*FSW*k/GDR_SINK/3,"")</f>
        <v/>
      </c>
      <c r="AJ3" s="127" t="str">
        <f t="shared" si="7"/>
        <v/>
      </c>
      <c r="AK3" s="127" t="str">
        <f t="shared" si="8"/>
        <v/>
      </c>
      <c r="AL3" s="127" t="str">
        <f t="shared" si="9"/>
        <v/>
      </c>
      <c r="AM3" s="127" t="str">
        <f t="shared" si="10"/>
        <v/>
      </c>
      <c r="AN3" s="127">
        <f>IF(AND($A3&lt;&gt;0,$A3&lt;&gt;"",OR(RIGHT(Logic!B3,2)="C)",LEFT(Logic!B3,4)="CSD1")),SUM(AD3:AF3)+(AJ3/3)+AK3+AL3/6+AM3/6,AN4)</f>
        <v>0.20068572944577745</v>
      </c>
      <c r="AO3" s="127" t="str">
        <f>IF(AND($A3&lt;&gt;0,$A3&lt;&gt;"",OR(RIGHT(Logic!B3,2)="T)",LEFT(Logic!B3,4)="CSD1")),SUM(AG3:AI3)+(AJ3/3)+AL3/6+AM3/6,AO2)</f>
        <v/>
      </c>
      <c r="AP3" s="48" t="str">
        <f t="shared" si="11"/>
        <v/>
      </c>
      <c r="AQ3" s="35" t="str">
        <f>IF(AND(A3&lt;&gt;0,A3&lt;&gt;""),LOOKUP(A3,Discrete_NFET[PARTNUMBER],Discrete_NFET[TI_EQ_PACKAGE]),"")</f>
        <v/>
      </c>
      <c r="AR3" s="49" t="str">
        <f>IF(AND(A3&lt;&gt;0,A3&lt;&gt;""),LOOKUP(A3,Discrete_NFET[PARTNUMBER],Discrete_NFET[1KPRICE]),"")</f>
        <v/>
      </c>
      <c r="AS3" s="35" t="str">
        <f>IF(AND($A3&lt;&gt;0,$A3&lt;&gt;""),CONCATENATE(TEXT(AP3,"0.00"),"W, ",IF('User Input'!H$11="Single Discrete",A3,IF('User Input'!H$11="Dual/Power Block",LEFT(A3,FIND(")",A3)-7),A3)),", ",AQ3,", ",TEXT(AR3,"$0.00")),"Invalid Part")</f>
        <v>Invalid Part</v>
      </c>
      <c r="AT3" s="35" t="s">
        <v>574</v>
      </c>
      <c r="AU3" s="35" t="str">
        <f>IF(AND($A3&lt;&gt;0,$A3&lt;&gt;""),IF(VDC_RATED&gt;7,LOOKUP($A3,Discrete_NFET[PARTNUMBER],Discrete_NFET[QG10TYP]),LOOKUP($A3,Discrete_NFET[PARTNUMBER],Discrete_NFET[QG10TYP])),"")</f>
        <v/>
      </c>
      <c r="BB3" t="str">
        <f>IF(AV5,LOOKUP(Q2_Part_Number,Discrete_NFET[PARTNUMBER],#REF!)*1000,IF(AW5,LOOKUP(Q2_Part_Number,Discrete_NFET[PARTNUMBER],Discrete_NFET[RDSON18])*1000,IF(AZ5,LOOKUP(Q2_Part_Number,Discrete_NFET[PARTNUMBER],Discrete_NFET[RDSON45])*1000,IF(AY5,LOOKUP(Q2_Part_Number,Discrete_NFET[PARTNUMBER],Discrete_NFET[RDSON3])*1000,IF(AX5,LOOKUP(Q2_Part_Number,Discrete_NFET[PARTNUMBER],Discrete_NFET[RDSON25])*1000,IF(BA5,LOOKUP(Q2_Part_Number,Discrete_NFET[PARTNUMBER],Discrete_NFET[RDSON6])*1000,""))))))</f>
        <v/>
      </c>
    </row>
    <row r="4" spans="1:54" ht="15" customHeight="1" x14ac:dyDescent="0.25">
      <c r="A4" s="35" t="str">
        <f>IF(OR(AND(FET_config3="Dual/Power Block",LEFT(Logic!B4,4)="CSD8"),AND(FET_config3="Single Discrete",LEFT(Logic!B4,4)="CSD1")),Logic!B4,"")</f>
        <v>CSD17301Q5A</v>
      </c>
      <c r="B4" s="37" t="str">
        <f>IF(OR($A4=0,$A4=""),"0",IF(LOOKUP($A4,Discrete_NFET[PARTNUMBER],Discrete_NFET[RDSON25])="(NULL)","0","1"))</f>
        <v>0</v>
      </c>
      <c r="C4" s="38" t="str">
        <f>IF(OR($A4=0,$A4=""),"0",IF(LOOKUP($A4,Discrete_NFET[PARTNUMBER],Discrete_NFET[RDSON3])="(NULL)","0","1"))</f>
        <v>1</v>
      </c>
      <c r="D4" s="40" t="str">
        <f>IF(OR($A4=0,$A4=""),"0",IF(LOOKUP($A4,Discrete_NFET[PARTNUMBER],Discrete_NFET[RDSON45])="(NULL)","0","1"))</f>
        <v>1</v>
      </c>
      <c r="E4" s="45" t="str">
        <f>IF(OR($A4=0,$A4=""),"0",IF(LOOKUP($A4,Discrete_NFET[PARTNUMBER],Discrete_NFET[RDSON6])="(NULL)","0","1"))</f>
        <v>0</v>
      </c>
      <c r="F4" s="34" t="str">
        <f>IF(OR($A4=0,$A4=""),"0",IF(LOOKUP($A4,Discrete_NFET[PARTNUMBER],Discrete_NFET[RDSON8])="(NULL)","0","1"))</f>
        <v>1</v>
      </c>
      <c r="G4" s="43" t="str">
        <f>IF(OR($A4=0,$A4=""),"0",IF(LOOKUP($A4,Discrete_NFET[PARTNUMBER],Discrete_NFET[RDSON10])="(NULL)","0","1"))</f>
        <v>0</v>
      </c>
      <c r="H4" s="36" t="b">
        <f t="shared" ref="H4:H67" si="12">AND(AV$2,B4="1")</f>
        <v>0</v>
      </c>
      <c r="I4" s="39" t="b">
        <f t="shared" ref="I4:I67" si="13">AND(AW$2,C4="1")</f>
        <v>1</v>
      </c>
      <c r="J4" s="41" t="b">
        <f t="shared" ref="J4:J67" si="14">AND(AX$2,D4="1")</f>
        <v>1</v>
      </c>
      <c r="K4" s="46" t="b">
        <f t="shared" ref="K4:K67" si="15">AND(AY$2,E4="1")</f>
        <v>0</v>
      </c>
      <c r="L4" s="42" t="b">
        <f t="shared" ref="L4:L67" si="16">AND(AZ$2,F4="1")</f>
        <v>1</v>
      </c>
      <c r="M4" s="44" t="b">
        <f t="shared" ref="M4:M67" si="17">AND(BA$2,G4="1")</f>
        <v>0</v>
      </c>
      <c r="N4" s="47" t="b">
        <f t="shared" ref="N4:N67" si="18">OR(H4:M4)</f>
        <v>1</v>
      </c>
      <c r="O4" s="36" t="b">
        <f t="shared" ref="O4:O67" si="19">IF($N4,H4,IF((B4="1"),OR($AU$2,$AU$9)))</f>
        <v>0</v>
      </c>
      <c r="P4" s="39" t="b">
        <f t="shared" ref="P4:P67" si="20">IF($N4,I4,IF((C4="1"),OR(AU$2,AU$9,AX$2,J4)))</f>
        <v>1</v>
      </c>
      <c r="Q4" s="41" t="b">
        <f t="shared" ref="Q4:Q67" si="21">IF($N4,J4,IF((D4="1"),OR(AW$2,I4,AY$2,K4)))</f>
        <v>1</v>
      </c>
      <c r="R4" s="46" t="b">
        <f t="shared" ref="R4:R67" si="22">IF($N4,K4,IF((E4="1"),OR(AX$2,J4,AZ$2,L4)))</f>
        <v>0</v>
      </c>
      <c r="S4" s="42" t="b">
        <f t="shared" ref="S4:S67" si="23">IF($N4,L4,IF((F4="1"),OR(AY$2,K4,BA$2,M4)))</f>
        <v>1</v>
      </c>
      <c r="T4" s="44" t="b">
        <f t="shared" ref="T4:T67" si="24">IF($N4,M4,IF((G4="1"),OR(AZ$2,L4)))</f>
        <v>0</v>
      </c>
      <c r="U4" s="148">
        <f>IF(T4,LOOKUP(A4,Discrete_NFET[PARTNUMBER],Discrete_NFET[RDSON10])*1000,IF(S4,LOOKUP(A4,Discrete_NFET[PARTNUMBER],Discrete_NFET[RDSON8])*1000,IF(R4,LOOKUP(A4,Discrete_NFET[PARTNUMBER],Discrete_NFET[RDSON6])*1000,IF(Q4,LOOKUP(A4,Discrete_NFET[PARTNUMBER],Discrete_NFET[RDSON45])*1000,IF(P4,LOOKUP(A4,Discrete_NFET[PARTNUMBER],Discrete_NFET[RDSON3])*1000,IF(O4,LOOKUP(A4,Discrete_NFET[PARTNUMBER],Discrete_NFET[RDSON25])*1000,""))))))</f>
        <v>2.6</v>
      </c>
      <c r="V4" s="48">
        <f>IF(AND(A4&lt;&gt;0,A4&lt;&gt;""),U4*(1+(Tj-25)*(LOOKUP(A4,Discrete_NFET[PARTNUMBER],Discrete_NFET[RDSDELTA])/((LOOKUP(A4,Discrete_NFET[PARTNUMBER],Discrete_NFET[TJMAX])-25)))),"")</f>
        <v>2.9171999999999998</v>
      </c>
      <c r="W4" s="35">
        <f>IF(AND($A4&lt;&gt;0,$A4&lt;&gt;""),LOOKUP($A4,Discrete_NFET[PARTNUMBER],Discrete_NFET[QGS]),"")</f>
        <v>5.7</v>
      </c>
      <c r="X4" s="35">
        <f>IF(AND($A4&lt;&gt;0,$A4&lt;&gt;""),LOOKUP($A4,Discrete_NFET[PARTNUMBER],Discrete_NFET[QGD]),"")</f>
        <v>4.3</v>
      </c>
      <c r="Y4" s="35">
        <f>IF(AND($A4&lt;&gt;0,$A4&lt;&gt;""),LOOKUP($A4,Discrete_NFET[PARTNUMBER],Discrete_NFET[QGTH]),"")</f>
        <v>2.9</v>
      </c>
      <c r="Z4" s="35">
        <f t="shared" ref="Z4:Z67" si="25">IF(AND(A4&lt;&gt;0,A4&lt;&gt;""),W4+X4-Y4,"")</f>
        <v>7.1</v>
      </c>
      <c r="AA4" s="35">
        <f>IF(AND($A4&lt;&gt;0,$A4&lt;&gt;""),LOOKUP($A4,Discrete_NFET[PARTNUMBER],Discrete_NFET[QOSSTYP]),"")</f>
        <v>35</v>
      </c>
      <c r="AB4" s="35">
        <f>IF(AND($A4&lt;&gt;0,$A4&lt;&gt;""),LOOKUP($A4,Discrete_NFET[PARTNUMBER],Discrete_NFET[QRR]),"")</f>
        <v>50</v>
      </c>
      <c r="AC4" s="35">
        <f>IF(AND(A4&lt;&gt;0,A4&lt;&gt;""),LOOKUP(A4,Discrete_NFET[PARTNUMBER],Discrete_NFET[VF_TYP]),"")</f>
        <v>0.8</v>
      </c>
      <c r="AD4" s="127">
        <f>IF(AND($A4&lt;&gt;0,$A4&lt;&gt;"",OR(RIGHT(Logic!B4,2)="C)",LEFT(Logic!B4,4)="CSD1")),(1+(1-DUTY))*IM_RMS_120^2*V4*m/3/Num_FETS3,"")</f>
        <v>0.12275652123730375</v>
      </c>
      <c r="AE4" s="127">
        <f>IF(AND($A4&lt;&gt;0,$A4&lt;&gt;"",OR(RIGHT(Logic!B4,2)="C)",LEFT(Logic!B4,4)="CSD1")),Num_FETS3*0.5*IM_RMS_120*VDC_AVG*Z4*n*MOT_ELEC_FREQ/GDR_SRC,"")</f>
        <v>2.2897316821465423E-5</v>
      </c>
      <c r="AF4" s="127">
        <f>IF(AND($A4&lt;&gt;0,$A4&lt;&gt;"",OR(RIGHT(Logic!B4,2)="C)",LEFT(Logic!B4,4)="CSD1")),Num_FETS3*0.5*IM_RMS_120*VDC_AVG*Z4*n*MOT_ELEC_FREQ/GDR_SINK,"")</f>
        <v>1.557017543859649E-5</v>
      </c>
      <c r="AG4" s="127">
        <f>IF(AND($A4&lt;&gt;0,$A4&lt;&gt;"",OR(RIGHT(Logic!B4,2)="T)",LEFT(Logic!B4,4)="CSD1")),DUTY*IM_RMS_120^2*V4*m/3/Num_FETS3,"")</f>
        <v>0.11106542397660814</v>
      </c>
      <c r="AH4" s="127">
        <f>IF(AND($A4&lt;&gt;0,$A4&lt;&gt;"",OR(RIGHT(Logic!B4,2)="T)",LEFT(Logic!B4,4)="CSD1")),Num_FETS3*0.5*IM_RMS_120*VDC_AVG*Z4*n*FSW*k/GDR_SRC/3,"")</f>
        <v>4.5794633642930842E-3</v>
      </c>
      <c r="AI4" s="127">
        <f>IF(AND($A4&lt;&gt;0,$A4&lt;&gt;"",OR(RIGHT(Logic!B4,2)="T)",LEFT(Logic!B4,4)="CSD1")),Num_FETS3*0.5*IM_RMS_120*VDC_AVG*Z4*n*FSW*k/GDR_SINK/3,"")</f>
        <v>3.1140350877192978E-3</v>
      </c>
      <c r="AJ4" s="127">
        <f t="shared" si="7"/>
        <v>4.2000000000000006E-3</v>
      </c>
      <c r="AK4" s="127">
        <f t="shared" si="8"/>
        <v>1.2414567897146714E-2</v>
      </c>
      <c r="AL4" s="127">
        <f t="shared" si="9"/>
        <v>1.2020000000000001E-2</v>
      </c>
      <c r="AM4" s="127">
        <f t="shared" ref="AM4:AM67" si="26">IF(AND($A4&lt;&gt;0,$A4&lt;&gt;""),6*0.5*AC4*IM_PEAK*MOT_COM_TIME*m*MOT_ELEC_FREQ,"")</f>
        <v>0.37243703691440144</v>
      </c>
      <c r="AN4" s="127">
        <f>IF(AND($A4&lt;&gt;0,$A4&lt;&gt;"",OR(RIGHT(Logic!B4,2)="C)",LEFT(Logic!B4,4)="CSD1")),SUM(AD4:AF4)+(AJ4/3)+AK4+AL4/6+AM4/6,AN5)</f>
        <v>0.20068572944577745</v>
      </c>
      <c r="AO4" s="127">
        <f>IF(AND($A4&lt;&gt;0,$A4&lt;&gt;"",OR(RIGHT(Logic!B4,2)="T)",LEFT(Logic!B4,4)="CSD1")),SUM(AG4:AI4)+(AJ4/3)+AL4/6+AM4/6,AO3)</f>
        <v>0.18423509524768741</v>
      </c>
      <c r="AP4" s="48">
        <f t="shared" ref="AP4:AP67" si="27">IF(AND($A4&lt;&gt;0,$A4&lt;&gt;""),ROUND(SUM(AN4:AO4),2),"")</f>
        <v>0.38</v>
      </c>
      <c r="AQ4" s="35" t="str">
        <f>IF(AND(A4&lt;&gt;0,A4&lt;&gt;""),LOOKUP(A4,Discrete_NFET[PARTNUMBER],Discrete_NFET[TI_EQ_PACKAGE]),"")</f>
        <v>SON5X6</v>
      </c>
      <c r="AR4" s="49">
        <f>IF(AND(A4&lt;&gt;0,A4&lt;&gt;""),LOOKUP(A4,Discrete_NFET[PARTNUMBER],Discrete_NFET[1KPRICE]),"")</f>
        <v>0.51</v>
      </c>
      <c r="AS4" s="35" t="str">
        <f>IF(AND($A4&lt;&gt;0,$A4&lt;&gt;""),CONCATENATE(TEXT(AP4,"0.00"),"W, ",IF('User Input'!H$11="Single Discrete",A4,IF('User Input'!H$11="Dual/Power Block",LEFT(A4,FIND(")",A4)-7),A4)),", ",AQ4,", ",TEXT(AR4,"$0.00")),"Invalid Part")</f>
        <v>0.38W, CSD17301Q5A, SON5X6, $0.51</v>
      </c>
      <c r="AT4" t="s">
        <v>824</v>
      </c>
      <c r="AU4" s="35" t="e">
        <f>IF(AND($A4&lt;&gt;0,$A4&lt;&gt;""),IF(VDC_RATED&gt;7,LOOKUP($A4,Discrete_NFET[PARTNUMBER],Discrete_NFET[QG10TYP]),LOOKUP($A4,Discrete_NFET[PARTNUMBER],Discrete_NFET[QG10TYP])),"")</f>
        <v>#NAME?</v>
      </c>
      <c r="AW4"/>
    </row>
    <row r="5" spans="1:54" ht="15" customHeight="1" x14ac:dyDescent="0.25">
      <c r="A5" s="35" t="str">
        <f>IF(OR(AND(FET_config3="Dual/Power Block",LEFT(Logic!B5,4)="CSD8"),AND(FET_config3="Single Discrete",LEFT(Logic!B5,4)="CSD1")),Logic!B5,"")</f>
        <v>CSD17302Q5A</v>
      </c>
      <c r="B5" s="37" t="str">
        <f>IF(OR($A5=0,$A5=""),"0",IF(LOOKUP($A5,Discrete_NFET[PARTNUMBER],Discrete_NFET[RDSON25])="(NULL)","0","1"))</f>
        <v>0</v>
      </c>
      <c r="C5" s="38" t="str">
        <f>IF(OR($A5=0,$A5=""),"0",IF(LOOKUP($A5,Discrete_NFET[PARTNUMBER],Discrete_NFET[RDSON3])="(NULL)","0","1"))</f>
        <v>1</v>
      </c>
      <c r="D5" s="40" t="str">
        <f>IF(OR($A5=0,$A5=""),"0",IF(LOOKUP($A5,Discrete_NFET[PARTNUMBER],Discrete_NFET[RDSON45])="(NULL)","0","1"))</f>
        <v>1</v>
      </c>
      <c r="E5" s="45" t="str">
        <f>IF(OR($A5=0,$A5=""),"0",IF(LOOKUP($A5,Discrete_NFET[PARTNUMBER],Discrete_NFET[RDSON6])="(NULL)","0","1"))</f>
        <v>0</v>
      </c>
      <c r="F5" s="34" t="str">
        <f>IF(OR($A5=0,$A5=""),"0",IF(LOOKUP($A5,Discrete_NFET[PARTNUMBER],Discrete_NFET[RDSON8])="(NULL)","0","1"))</f>
        <v>1</v>
      </c>
      <c r="G5" s="43" t="str">
        <f>IF(OR($A5=0,$A5=""),"0",IF(LOOKUP($A5,Discrete_NFET[PARTNUMBER],Discrete_NFET[RDSON10])="(NULL)","0","1"))</f>
        <v>0</v>
      </c>
      <c r="H5" s="36" t="b">
        <f t="shared" si="12"/>
        <v>0</v>
      </c>
      <c r="I5" s="39" t="b">
        <f t="shared" si="13"/>
        <v>1</v>
      </c>
      <c r="J5" s="41" t="b">
        <f t="shared" si="14"/>
        <v>1</v>
      </c>
      <c r="K5" s="46" t="b">
        <f t="shared" si="15"/>
        <v>0</v>
      </c>
      <c r="L5" s="42" t="b">
        <f t="shared" si="16"/>
        <v>1</v>
      </c>
      <c r="M5" s="44" t="b">
        <f t="shared" si="17"/>
        <v>0</v>
      </c>
      <c r="N5" s="47" t="b">
        <f t="shared" si="18"/>
        <v>1</v>
      </c>
      <c r="O5" s="36" t="b">
        <f t="shared" si="19"/>
        <v>0</v>
      </c>
      <c r="P5" s="39" t="b">
        <f t="shared" si="20"/>
        <v>1</v>
      </c>
      <c r="Q5" s="41" t="b">
        <f t="shared" si="21"/>
        <v>1</v>
      </c>
      <c r="R5" s="46" t="b">
        <f t="shared" si="22"/>
        <v>0</v>
      </c>
      <c r="S5" s="42" t="b">
        <f t="shared" si="23"/>
        <v>1</v>
      </c>
      <c r="T5" s="44" t="b">
        <f t="shared" si="24"/>
        <v>0</v>
      </c>
      <c r="U5" s="148">
        <f>IF(T5,LOOKUP(A5,Discrete_NFET[PARTNUMBER],Discrete_NFET[RDSON10])*1000,IF(S5,LOOKUP(A5,Discrete_NFET[PARTNUMBER],Discrete_NFET[RDSON8])*1000,IF(R5,LOOKUP(A5,Discrete_NFET[PARTNUMBER],Discrete_NFET[RDSON6])*1000,IF(Q5,LOOKUP(A5,Discrete_NFET[PARTNUMBER],Discrete_NFET[RDSON45])*1000,IF(P5,LOOKUP(A5,Discrete_NFET[PARTNUMBER],Discrete_NFET[RDSON3])*1000,IF(O5,LOOKUP(A5,Discrete_NFET[PARTNUMBER],Discrete_NFET[RDSON25])*1000,""))))))</f>
        <v>7.9</v>
      </c>
      <c r="V5" s="48">
        <f>IF(AND(A5&lt;&gt;0,A5&lt;&gt;""),U5*(1+(Tj-25)*(LOOKUP(A5,Discrete_NFET[PARTNUMBER],Discrete_NFET[RDSDELTA])/((LOOKUP(A5,Discrete_NFET[PARTNUMBER],Discrete_NFET[TJMAX])-25)))),"")</f>
        <v>8.7848000000000006</v>
      </c>
      <c r="W5" s="35">
        <f>IF(AND($A5&lt;&gt;0,$A5&lt;&gt;""),LOOKUP($A5,Discrete_NFET[PARTNUMBER],Discrete_NFET[QGS]),"")</f>
        <v>1.7</v>
      </c>
      <c r="X5" s="35">
        <f>IF(AND($A5&lt;&gt;0,$A5&lt;&gt;""),LOOKUP($A5,Discrete_NFET[PARTNUMBER],Discrete_NFET[QGD]),"")</f>
        <v>1.2</v>
      </c>
      <c r="Y5" s="35">
        <f>IF(AND($A5&lt;&gt;0,$A5&lt;&gt;""),LOOKUP($A5,Discrete_NFET[PARTNUMBER],Discrete_NFET[QGTH]),"")</f>
        <v>0.9</v>
      </c>
      <c r="Z5" s="35">
        <f t="shared" si="25"/>
        <v>2</v>
      </c>
      <c r="AA5" s="35">
        <f>IF(AND($A5&lt;&gt;0,$A5&lt;&gt;""),LOOKUP($A5,Discrete_NFET[PARTNUMBER],Discrete_NFET[QOSSTYP]),"")</f>
        <v>9.5</v>
      </c>
      <c r="AB5" s="35">
        <f>IF(AND($A5&lt;&gt;0,$A5&lt;&gt;""),LOOKUP($A5,Discrete_NFET[PARTNUMBER],Discrete_NFET[QRR]),"")</f>
        <v>15.4</v>
      </c>
      <c r="AC5" s="35">
        <f>IF(AND(A5&lt;&gt;0,A5&lt;&gt;""),LOOKUP(A5,Discrete_NFET[PARTNUMBER],Discrete_NFET[VF_TYP]),"")</f>
        <v>0.85</v>
      </c>
      <c r="AD5" s="127">
        <f>IF(AND($A5&lt;&gt;0,$A5&lt;&gt;"",OR(RIGHT(Logic!B5,2)="C)",LEFT(Logic!B5,4)="CSD1")),(1+(1-DUTY))*IM_RMS_120^2*V5*m/3/Num_FETS3,"")</f>
        <v>0.36966662819329027</v>
      </c>
      <c r="AE5" s="127">
        <f>IF(AND($A5&lt;&gt;0,$A5&lt;&gt;"",OR(RIGHT(Logic!B5,2)="C)",LEFT(Logic!B5,4)="CSD1")),Num_FETS3*0.5*IM_RMS_120*VDC_AVG*Z5*n*MOT_ELEC_FREQ/GDR_SRC,"")</f>
        <v>6.4499484004127957E-6</v>
      </c>
      <c r="AF5" s="127">
        <f>IF(AND($A5&lt;&gt;0,$A5&lt;&gt;"",OR(RIGHT(Logic!B5,2)="C)",LEFT(Logic!B5,4)="CSD1")),Num_FETS3*0.5*IM_RMS_120*VDC_AVG*Z5*n*MOT_ELEC_FREQ/GDR_SINK,"")</f>
        <v>4.3859649122807014E-6</v>
      </c>
      <c r="AG5" s="127">
        <f>IF(AND($A5&lt;&gt;0,$A5&lt;&gt;"",OR(RIGHT(Logic!B5,2)="T)",LEFT(Logic!B5,4)="CSD1")),DUTY*IM_RMS_120^2*V5*m/3/Num_FETS3,"")</f>
        <v>0.33446028265107208</v>
      </c>
      <c r="AH5" s="127">
        <f>IF(AND($A5&lt;&gt;0,$A5&lt;&gt;"",OR(RIGHT(Logic!B5,2)="T)",LEFT(Logic!B5,4)="CSD1")),Num_FETS3*0.5*IM_RMS_120*VDC_AVG*Z5*n*FSW*k/GDR_SRC/3,"")</f>
        <v>1.2899896800825591E-3</v>
      </c>
      <c r="AI5" s="127">
        <f>IF(AND($A5&lt;&gt;0,$A5&lt;&gt;"",OR(RIGHT(Logic!B5,2)="T)",LEFT(Logic!B5,4)="CSD1")),Num_FETS3*0.5*IM_RMS_120*VDC_AVG*Z5*n*FSW*k/GDR_SINK/3,"")</f>
        <v>8.7719298245614015E-4</v>
      </c>
      <c r="AJ5" s="127">
        <f t="shared" si="7"/>
        <v>1.1400000000000002E-3</v>
      </c>
      <c r="AK5" s="127">
        <f t="shared" si="8"/>
        <v>1.3190478390718382E-2</v>
      </c>
      <c r="AL5" s="127">
        <f t="shared" si="9"/>
        <v>3.7021600000000003E-3</v>
      </c>
      <c r="AM5" s="127">
        <f t="shared" si="26"/>
        <v>0.39571435172155139</v>
      </c>
      <c r="AN5" s="127">
        <f>IF(AND($A5&lt;&gt;0,$A5&lt;&gt;"",OR(RIGHT(Logic!B5,2)="C)",LEFT(Logic!B5,4)="CSD1")),SUM(AD5:AF5)+(AJ5/3)+AK5+AL5/6+AM5/6,AN6)</f>
        <v>0.44981736111757997</v>
      </c>
      <c r="AO5" s="127">
        <f>IF(AND($A5&lt;&gt;0,$A5&lt;&gt;"",OR(RIGHT(Logic!B5,2)="T)",LEFT(Logic!B5,4)="CSD1")),SUM(AG5:AI5)+(AJ5/3)+AL5/6+AM5/6,AO4)</f>
        <v>0.40357688393386937</v>
      </c>
      <c r="AP5" s="48">
        <f t="shared" si="27"/>
        <v>0.85</v>
      </c>
      <c r="AQ5" s="35" t="str">
        <f>IF(AND(A5&lt;&gt;0,A5&lt;&gt;""),LOOKUP(A5,Discrete_NFET[PARTNUMBER],Discrete_NFET[TI_EQ_PACKAGE]),"")</f>
        <v>SON5X6</v>
      </c>
      <c r="AR5" s="49">
        <f>IF(AND(A5&lt;&gt;0,A5&lt;&gt;""),LOOKUP(A5,Discrete_NFET[PARTNUMBER],Discrete_NFET[1KPRICE]),"")</f>
        <v>0.28999999999999998</v>
      </c>
      <c r="AS5" s="35" t="str">
        <f>IF(AND($A5&lt;&gt;0,$A5&lt;&gt;""),CONCATENATE(TEXT(AP5,"0.00"),"W, ",IF('User Input'!H$11="Single Discrete",A5,IF('User Input'!H$11="Dual/Power Block",LEFT(A5,FIND(")",A5)-7),A5)),", ",AQ5,", ",TEXT(AR5,"$0.00")),"Invalid Part")</f>
        <v>0.85W, CSD17302Q5A, SON5X6, $0.29</v>
      </c>
      <c r="AT5" t="s">
        <v>826</v>
      </c>
      <c r="AW5"/>
    </row>
    <row r="6" spans="1:54" ht="15" customHeight="1" x14ac:dyDescent="0.25">
      <c r="A6" s="35" t="str">
        <f>IF(OR(AND(FET_config3="Dual/Power Block",LEFT(Logic!B6,4)="CSD8"),AND(FET_config3="Single Discrete",LEFT(Logic!B6,4)="CSD1")),Logic!B6,"")</f>
        <v>CSD17303Q5</v>
      </c>
      <c r="B6" s="37" t="str">
        <f>IF(OR($A6=0,$A6=""),"0",IF(LOOKUP($A6,Discrete_NFET[PARTNUMBER],Discrete_NFET[RDSON25])="(NULL)","0","1"))</f>
        <v>0</v>
      </c>
      <c r="C6" s="38" t="str">
        <f>IF(OR($A6=0,$A6=""),"0",IF(LOOKUP($A6,Discrete_NFET[PARTNUMBER],Discrete_NFET[RDSON3])="(NULL)","0","1"))</f>
        <v>1</v>
      </c>
      <c r="D6" s="40" t="str">
        <f>IF(OR($A6=0,$A6=""),"0",IF(LOOKUP($A6,Discrete_NFET[PARTNUMBER],Discrete_NFET[RDSON45])="(NULL)","0","1"))</f>
        <v>1</v>
      </c>
      <c r="E6" s="45" t="str">
        <f>IF(OR($A6=0,$A6=""),"0",IF(LOOKUP($A6,Discrete_NFET[PARTNUMBER],Discrete_NFET[RDSON6])="(NULL)","0","1"))</f>
        <v>0</v>
      </c>
      <c r="F6" s="34" t="str">
        <f>IF(OR($A6=0,$A6=""),"0",IF(LOOKUP($A6,Discrete_NFET[PARTNUMBER],Discrete_NFET[RDSON8])="(NULL)","0","1"))</f>
        <v>1</v>
      </c>
      <c r="G6" s="43" t="str">
        <f>IF(OR($A6=0,$A6=""),"0",IF(LOOKUP($A6,Discrete_NFET[PARTNUMBER],Discrete_NFET[RDSON10])="(NULL)","0","1"))</f>
        <v>0</v>
      </c>
      <c r="H6" s="36" t="b">
        <f t="shared" si="12"/>
        <v>0</v>
      </c>
      <c r="I6" s="39" t="b">
        <f t="shared" si="13"/>
        <v>1</v>
      </c>
      <c r="J6" s="41" t="b">
        <f t="shared" si="14"/>
        <v>1</v>
      </c>
      <c r="K6" s="46" t="b">
        <f t="shared" si="15"/>
        <v>0</v>
      </c>
      <c r="L6" s="42" t="b">
        <f t="shared" si="16"/>
        <v>1</v>
      </c>
      <c r="M6" s="44" t="b">
        <f t="shared" si="17"/>
        <v>0</v>
      </c>
      <c r="N6" s="47" t="b">
        <f t="shared" si="18"/>
        <v>1</v>
      </c>
      <c r="O6" s="36" t="b">
        <f t="shared" si="19"/>
        <v>0</v>
      </c>
      <c r="P6" s="39" t="b">
        <f t="shared" si="20"/>
        <v>1</v>
      </c>
      <c r="Q6" s="41" t="b">
        <f t="shared" si="21"/>
        <v>1</v>
      </c>
      <c r="R6" s="46" t="b">
        <f t="shared" si="22"/>
        <v>0</v>
      </c>
      <c r="S6" s="42" t="b">
        <f t="shared" si="23"/>
        <v>1</v>
      </c>
      <c r="T6" s="44" t="b">
        <f t="shared" si="24"/>
        <v>0</v>
      </c>
      <c r="U6" s="148">
        <f>IF(T6,LOOKUP(A6,Discrete_NFET[PARTNUMBER],Discrete_NFET[RDSON10])*1000,IF(S6,LOOKUP(A6,Discrete_NFET[PARTNUMBER],Discrete_NFET[RDSON8])*1000,IF(R6,LOOKUP(A6,Discrete_NFET[PARTNUMBER],Discrete_NFET[RDSON6])*1000,IF(Q6,LOOKUP(A6,Discrete_NFET[PARTNUMBER],Discrete_NFET[RDSON45])*1000,IF(P6,LOOKUP(A6,Discrete_NFET[PARTNUMBER],Discrete_NFET[RDSON3])*1000,IF(O6,LOOKUP(A6,Discrete_NFET[PARTNUMBER],Discrete_NFET[RDSON25])*1000,""))))))</f>
        <v>2.4</v>
      </c>
      <c r="V6" s="48">
        <f>IF(AND(A6&lt;&gt;0,A6&lt;&gt;""),U6*(1+(Tj-25)*(LOOKUP(A6,Discrete_NFET[PARTNUMBER],Discrete_NFET[RDSDELTA])/((LOOKUP(A6,Discrete_NFET[PARTNUMBER],Discrete_NFET[TJMAX])-25)))),"")</f>
        <v>2.6064000000000003</v>
      </c>
      <c r="W6" s="35">
        <f>IF(AND($A6&lt;&gt;0,$A6&lt;&gt;""),LOOKUP($A6,Discrete_NFET[PARTNUMBER],Discrete_NFET[QGS]),"")</f>
        <v>5.6</v>
      </c>
      <c r="X6" s="35">
        <f>IF(AND($A6&lt;&gt;0,$A6&lt;&gt;""),LOOKUP($A6,Discrete_NFET[PARTNUMBER],Discrete_NFET[QGD]),"")</f>
        <v>4</v>
      </c>
      <c r="Y6" s="35">
        <f>IF(AND($A6&lt;&gt;0,$A6&lt;&gt;""),LOOKUP($A6,Discrete_NFET[PARTNUMBER],Discrete_NFET[QGTH]),"")</f>
        <v>3</v>
      </c>
      <c r="Z6" s="35">
        <f t="shared" si="25"/>
        <v>6.6</v>
      </c>
      <c r="AA6" s="35">
        <f>IF(AND($A6&lt;&gt;0,$A6&lt;&gt;""),LOOKUP($A6,Discrete_NFET[PARTNUMBER],Discrete_NFET[QOSSTYP]),"")</f>
        <v>34</v>
      </c>
      <c r="AB6" s="35">
        <f>IF(AND($A6&lt;&gt;0,$A6&lt;&gt;""),LOOKUP($A6,Discrete_NFET[PARTNUMBER],Discrete_NFET[QRR]),"")</f>
        <v>50</v>
      </c>
      <c r="AC6" s="35">
        <f>IF(AND(A6&lt;&gt;0,A6&lt;&gt;""),LOOKUP(A6,Discrete_NFET[PARTNUMBER],Discrete_NFET[VF_TYP]),"")</f>
        <v>0.8</v>
      </c>
      <c r="AD6" s="127">
        <f>IF(AND($A6&lt;&gt;0,$A6&lt;&gt;"",OR(RIGHT(Logic!B6,2)="C)",LEFT(Logic!B6,4)="CSD1")),(1+(1-DUTY))*IM_RMS_120^2*V6*m/3/Num_FETS3,"")</f>
        <v>0.10967797783933518</v>
      </c>
      <c r="AE6" s="127">
        <f>IF(AND($A6&lt;&gt;0,$A6&lt;&gt;"",OR(RIGHT(Logic!B6,2)="C)",LEFT(Logic!B6,4)="CSD1")),Num_FETS3*0.5*IM_RMS_120*VDC_AVG*Z6*n*MOT_ELEC_FREQ/GDR_SRC,"")</f>
        <v>2.1284829721362229E-5</v>
      </c>
      <c r="AF6" s="127">
        <f>IF(AND($A6&lt;&gt;0,$A6&lt;&gt;"",OR(RIGHT(Logic!B6,2)="C)",LEFT(Logic!B6,4)="CSD1")),Num_FETS3*0.5*IM_RMS_120*VDC_AVG*Z6*n*MOT_ELEC_FREQ/GDR_SINK,"")</f>
        <v>1.4473684210526317E-5</v>
      </c>
      <c r="AG6" s="127">
        <f>IF(AND($A6&lt;&gt;0,$A6&lt;&gt;"",OR(RIGHT(Logic!B6,2)="T)",LEFT(Logic!B6,4)="CSD1")),DUTY*IM_RMS_120^2*V6*m/3/Num_FETS3,"")</f>
        <v>9.9232456140350866E-2</v>
      </c>
      <c r="AH6" s="127">
        <f>IF(AND($A6&lt;&gt;0,$A6&lt;&gt;"",OR(RIGHT(Logic!B6,2)="T)",LEFT(Logic!B6,4)="CSD1")),Num_FETS3*0.5*IM_RMS_120*VDC_AVG*Z6*n*FSW*k/GDR_SRC/3,"")</f>
        <v>4.2569659442724464E-3</v>
      </c>
      <c r="AI6" s="127">
        <f>IF(AND($A6&lt;&gt;0,$A6&lt;&gt;"",OR(RIGHT(Logic!B6,2)="T)",LEFT(Logic!B6,4)="CSD1")),Num_FETS3*0.5*IM_RMS_120*VDC_AVG*Z6*n*FSW*k/GDR_SINK/3,"")</f>
        <v>2.8947368421052637E-3</v>
      </c>
      <c r="AJ6" s="127">
        <f t="shared" si="7"/>
        <v>4.0800000000000003E-3</v>
      </c>
      <c r="AK6" s="127">
        <f t="shared" si="8"/>
        <v>1.2414567897146714E-2</v>
      </c>
      <c r="AL6" s="127">
        <f t="shared" si="9"/>
        <v>1.2020000000000001E-2</v>
      </c>
      <c r="AM6" s="127">
        <f t="shared" si="26"/>
        <v>0.37243703691440144</v>
      </c>
      <c r="AN6" s="127">
        <f>IF(AND($A6&lt;&gt;0,$A6&lt;&gt;"",OR(RIGHT(Logic!B6,2)="C)",LEFT(Logic!B6,4)="CSD1")),SUM(AD6:AF6)+(AJ6/3)+AK6+AL6/6+AM6/6,AN7)</f>
        <v>0.18756447706948071</v>
      </c>
      <c r="AO6" s="127">
        <f>IF(AND($A6&lt;&gt;0,$A6&lt;&gt;"",OR(RIGHT(Logic!B6,2)="T)",LEFT(Logic!B6,4)="CSD1")),SUM(AG6:AI6)+(AJ6/3)+AL6/6+AM6/6,AO5)</f>
        <v>0.17182033174579547</v>
      </c>
      <c r="AP6" s="48">
        <f t="shared" si="27"/>
        <v>0.36</v>
      </c>
      <c r="AQ6" s="35" t="str">
        <f>IF(AND(A6&lt;&gt;0,A6&lt;&gt;""),LOOKUP(A6,Discrete_NFET[PARTNUMBER],Discrete_NFET[TI_EQ_PACKAGE]),"")</f>
        <v>SON5X6</v>
      </c>
      <c r="AR6" s="49">
        <f>IF(AND(A6&lt;&gt;0,A6&lt;&gt;""),LOOKUP(A6,Discrete_NFET[PARTNUMBER],Discrete_NFET[1KPRICE]),"")</f>
        <v>0.56000000000000005</v>
      </c>
      <c r="AS6" s="35" t="str">
        <f>IF(AND($A6&lt;&gt;0,$A6&lt;&gt;""),CONCATENATE(TEXT(AP6,"0.00"),"W, ",IF('User Input'!H$11="Single Discrete",A6,IF('User Input'!H$11="Dual/Power Block",LEFT(A6,FIND(")",A6)-7),A6)),", ",AQ6,", ",TEXT(AR6,"$0.00")),"Invalid Part")</f>
        <v>0.36W, CSD17303Q5, SON5X6, $0.56</v>
      </c>
      <c r="AT6" t="s">
        <v>847</v>
      </c>
      <c r="AW6"/>
    </row>
    <row r="7" spans="1:54" ht="15" customHeight="1" x14ac:dyDescent="0.25">
      <c r="A7" s="35" t="str">
        <f>IF(OR(AND(FET_config3="Dual/Power Block",LEFT(Logic!B7,4)="CSD8"),AND(FET_config3="Single Discrete",LEFT(Logic!B7,4)="CSD1")),Logic!B7,"")</f>
        <v>CSD17304Q3</v>
      </c>
      <c r="B7" s="37" t="str">
        <f>IF(OR($A7=0,$A7=""),"0",IF(LOOKUP($A7,Discrete_NFET[PARTNUMBER],Discrete_NFET[RDSON25])="(NULL)","0","1"))</f>
        <v>0</v>
      </c>
      <c r="C7" s="38" t="str">
        <f>IF(OR($A7=0,$A7=""),"0",IF(LOOKUP($A7,Discrete_NFET[PARTNUMBER],Discrete_NFET[RDSON3])="(NULL)","0","1"))</f>
        <v>1</v>
      </c>
      <c r="D7" s="40" t="str">
        <f>IF(OR($A7=0,$A7=""),"0",IF(LOOKUP($A7,Discrete_NFET[PARTNUMBER],Discrete_NFET[RDSON45])="(NULL)","0","1"))</f>
        <v>1</v>
      </c>
      <c r="E7" s="45" t="str">
        <f>IF(OR($A7=0,$A7=""),"0",IF(LOOKUP($A7,Discrete_NFET[PARTNUMBER],Discrete_NFET[RDSON6])="(NULL)","0","1"))</f>
        <v>0</v>
      </c>
      <c r="F7" s="34" t="str">
        <f>IF(OR($A7=0,$A7=""),"0",IF(LOOKUP($A7,Discrete_NFET[PARTNUMBER],Discrete_NFET[RDSON8])="(NULL)","0","1"))</f>
        <v>1</v>
      </c>
      <c r="G7" s="43" t="str">
        <f>IF(OR($A7=0,$A7=""),"0",IF(LOOKUP($A7,Discrete_NFET[PARTNUMBER],Discrete_NFET[RDSON10])="(NULL)","0","1"))</f>
        <v>0</v>
      </c>
      <c r="H7" s="36" t="b">
        <f t="shared" si="12"/>
        <v>0</v>
      </c>
      <c r="I7" s="39" t="b">
        <f t="shared" si="13"/>
        <v>1</v>
      </c>
      <c r="J7" s="41" t="b">
        <f t="shared" si="14"/>
        <v>1</v>
      </c>
      <c r="K7" s="46" t="b">
        <f t="shared" si="15"/>
        <v>0</v>
      </c>
      <c r="L7" s="42" t="b">
        <f t="shared" si="16"/>
        <v>1</v>
      </c>
      <c r="M7" s="44" t="b">
        <f t="shared" si="17"/>
        <v>0</v>
      </c>
      <c r="N7" s="47" t="b">
        <f t="shared" si="18"/>
        <v>1</v>
      </c>
      <c r="O7" s="36" t="b">
        <f t="shared" si="19"/>
        <v>0</v>
      </c>
      <c r="P7" s="39" t="b">
        <f t="shared" si="20"/>
        <v>1</v>
      </c>
      <c r="Q7" s="41" t="b">
        <f t="shared" si="21"/>
        <v>1</v>
      </c>
      <c r="R7" s="46" t="b">
        <f t="shared" si="22"/>
        <v>0</v>
      </c>
      <c r="S7" s="42" t="b">
        <f t="shared" si="23"/>
        <v>1</v>
      </c>
      <c r="T7" s="44" t="b">
        <f t="shared" si="24"/>
        <v>0</v>
      </c>
      <c r="U7" s="148">
        <f>IF(T7,LOOKUP(A7,Discrete_NFET[PARTNUMBER],Discrete_NFET[RDSON10])*1000,IF(S7,LOOKUP(A7,Discrete_NFET[PARTNUMBER],Discrete_NFET[RDSON8])*1000,IF(R7,LOOKUP(A7,Discrete_NFET[PARTNUMBER],Discrete_NFET[RDSON6])*1000,IF(Q7,LOOKUP(A7,Discrete_NFET[PARTNUMBER],Discrete_NFET[RDSON45])*1000,IF(P7,LOOKUP(A7,Discrete_NFET[PARTNUMBER],Discrete_NFET[RDSON3])*1000,IF(O7,LOOKUP(A7,Discrete_NFET[PARTNUMBER],Discrete_NFET[RDSON25])*1000,""))))))</f>
        <v>7.5</v>
      </c>
      <c r="V7" s="48">
        <f>IF(AND(A7&lt;&gt;0,A7&lt;&gt;""),U7*(1+(Tj-25)*(LOOKUP(A7,Discrete_NFET[PARTNUMBER],Discrete_NFET[RDSDELTA])/((LOOKUP(A7,Discrete_NFET[PARTNUMBER],Discrete_NFET[TJMAX])-25)))),"")</f>
        <v>8.2650000000000006</v>
      </c>
      <c r="W7" s="35">
        <f>IF(AND($A7&lt;&gt;0,$A7&lt;&gt;""),LOOKUP($A7,Discrete_NFET[PARTNUMBER],Discrete_NFET[QGS]),"")</f>
        <v>1.8</v>
      </c>
      <c r="X7" s="35">
        <f>IF(AND($A7&lt;&gt;0,$A7&lt;&gt;""),LOOKUP($A7,Discrete_NFET[PARTNUMBER],Discrete_NFET[QGD]),"")</f>
        <v>1.1000000000000001</v>
      </c>
      <c r="Y7" s="35">
        <f>IF(AND($A7&lt;&gt;0,$A7&lt;&gt;""),LOOKUP($A7,Discrete_NFET[PARTNUMBER],Discrete_NFET[QGTH]),"")</f>
        <v>0.9</v>
      </c>
      <c r="Z7" s="35">
        <f t="shared" si="25"/>
        <v>2.0000000000000004</v>
      </c>
      <c r="AA7" s="35">
        <f>IF(AND($A7&lt;&gt;0,$A7&lt;&gt;""),LOOKUP($A7,Discrete_NFET[PARTNUMBER],Discrete_NFET[QOSSTYP]),"")</f>
        <v>9.9</v>
      </c>
      <c r="AB7" s="35">
        <f>IF(AND($A7&lt;&gt;0,$A7&lt;&gt;""),LOOKUP($A7,Discrete_NFET[PARTNUMBER],Discrete_NFET[QRR]),"")</f>
        <v>14.5</v>
      </c>
      <c r="AC7" s="35">
        <f>IF(AND(A7&lt;&gt;0,A7&lt;&gt;""),LOOKUP(A7,Discrete_NFET[PARTNUMBER],Discrete_NFET[VF_TYP]),"")</f>
        <v>0.85</v>
      </c>
      <c r="AD7" s="127">
        <f>IF(AND($A7&lt;&gt;0,$A7&lt;&gt;"",OR(RIGHT(Logic!B7,2)="C)",LEFT(Logic!B7,4)="CSD1")),(1+(1-DUTY))*IM_RMS_120^2*V7*m/3/Num_FETS3,"")</f>
        <v>0.34779331140350878</v>
      </c>
      <c r="AE7" s="127">
        <f>IF(AND($A7&lt;&gt;0,$A7&lt;&gt;"",OR(RIGHT(Logic!B7,2)="C)",LEFT(Logic!B7,4)="CSD1")),Num_FETS3*0.5*IM_RMS_120*VDC_AVG*Z7*n*MOT_ELEC_FREQ/GDR_SRC,"")</f>
        <v>6.4499484004127974E-6</v>
      </c>
      <c r="AF7" s="127">
        <f>IF(AND($A7&lt;&gt;0,$A7&lt;&gt;"",OR(RIGHT(Logic!B7,2)="C)",LEFT(Logic!B7,4)="CSD1")),Num_FETS3*0.5*IM_RMS_120*VDC_AVG*Z7*n*MOT_ELEC_FREQ/GDR_SINK,"")</f>
        <v>4.3859649122807023E-6</v>
      </c>
      <c r="AG7" s="127">
        <f>IF(AND($A7&lt;&gt;0,$A7&lt;&gt;"",OR(RIGHT(Logic!B7,2)="T)",LEFT(Logic!B7,4)="CSD1")),DUTY*IM_RMS_120^2*V7*m/3/Num_FETS3,"")</f>
        <v>0.31467013888888884</v>
      </c>
      <c r="AH7" s="127">
        <f>IF(AND($A7&lt;&gt;0,$A7&lt;&gt;"",OR(RIGHT(Logic!B7,2)="T)",LEFT(Logic!B7,4)="CSD1")),Num_FETS3*0.5*IM_RMS_120*VDC_AVG*Z7*n*FSW*k/GDR_SRC/3,"")</f>
        <v>1.2899896800825596E-3</v>
      </c>
      <c r="AI7" s="127">
        <f>IF(AND($A7&lt;&gt;0,$A7&lt;&gt;"",OR(RIGHT(Logic!B7,2)="T)",LEFT(Logic!B7,4)="CSD1")),Num_FETS3*0.5*IM_RMS_120*VDC_AVG*Z7*n*FSW*k/GDR_SINK/3,"")</f>
        <v>8.7719298245614048E-4</v>
      </c>
      <c r="AJ7" s="127">
        <f t="shared" si="7"/>
        <v>1.188E-3</v>
      </c>
      <c r="AK7" s="127">
        <f t="shared" si="8"/>
        <v>1.3190478390718382E-2</v>
      </c>
      <c r="AL7" s="127">
        <f t="shared" si="9"/>
        <v>3.4858000000000003E-3</v>
      </c>
      <c r="AM7" s="127">
        <f t="shared" si="26"/>
        <v>0.39571435172155139</v>
      </c>
      <c r="AN7" s="127">
        <f>IF(AND($A7&lt;&gt;0,$A7&lt;&gt;"",OR(RIGHT(Logic!B7,2)="C)",LEFT(Logic!B7,4)="CSD1")),SUM(AD7:AF7)+(AJ7/3)+AK7+AL7/6+AM7/6,AN8)</f>
        <v>0.42792398432779843</v>
      </c>
      <c r="AO7" s="127">
        <f>IF(AND($A7&lt;&gt;0,$A7&lt;&gt;"",OR(RIGHT(Logic!B7,2)="T)",LEFT(Logic!B7,4)="CSD1")),SUM(AG7:AI7)+(AJ7/3)+AL7/6+AM7/6,AO6)</f>
        <v>0.38376668017168614</v>
      </c>
      <c r="AP7" s="48">
        <f t="shared" si="27"/>
        <v>0.81</v>
      </c>
      <c r="AQ7" s="35" t="str">
        <f>IF(AND(A7&lt;&gt;0,A7&lt;&gt;""),LOOKUP(A7,Discrete_NFET[PARTNUMBER],Discrete_NFET[TI_EQ_PACKAGE]),"")</f>
        <v>SON3X3</v>
      </c>
      <c r="AR7" s="49">
        <f>IF(AND(A7&lt;&gt;0,A7&lt;&gt;""),LOOKUP(A7,Discrete_NFET[PARTNUMBER],Discrete_NFET[1KPRICE]),"")</f>
        <v>0.25</v>
      </c>
      <c r="AS7" s="35" t="str">
        <f>IF(AND($A7&lt;&gt;0,$A7&lt;&gt;""),CONCATENATE(TEXT(AP7,"0.00"),"W, ",IF('User Input'!H$11="Single Discrete",A7,IF('User Input'!H$11="Dual/Power Block",LEFT(A7,FIND(")",A7)-7),A7)),", ",AQ7,", ",TEXT(AR7,"$0.00")),"Invalid Part")</f>
        <v>0.81W, CSD17304Q3, SON3X3, $0.25</v>
      </c>
      <c r="AT7" t="s">
        <v>805</v>
      </c>
      <c r="AW7"/>
    </row>
    <row r="8" spans="1:54" ht="15" customHeight="1" x14ac:dyDescent="0.25">
      <c r="A8" s="35" t="str">
        <f>IF(OR(AND(FET_config3="Dual/Power Block",LEFT(Logic!B8,4)="CSD8"),AND(FET_config3="Single Discrete",LEFT(Logic!B8,4)="CSD1")),Logic!B8,"")</f>
        <v>CSD17305Q5A</v>
      </c>
      <c r="B8" s="37" t="str">
        <f>IF(OR($A8=0,$A8=""),"0",IF(LOOKUP($A8,Discrete_NFET[PARTNUMBER],Discrete_NFET[RDSON25])="(NULL)","0","1"))</f>
        <v>0</v>
      </c>
      <c r="C8" s="38" t="str">
        <f>IF(OR($A8=0,$A8=""),"0",IF(LOOKUP($A8,Discrete_NFET[PARTNUMBER],Discrete_NFET[RDSON3])="(NULL)","0","1"))</f>
        <v>1</v>
      </c>
      <c r="D8" s="40" t="str">
        <f>IF(OR($A8=0,$A8=""),"0",IF(LOOKUP($A8,Discrete_NFET[PARTNUMBER],Discrete_NFET[RDSON45])="(NULL)","0","1"))</f>
        <v>1</v>
      </c>
      <c r="E8" s="45" t="str">
        <f>IF(OR($A8=0,$A8=""),"0",IF(LOOKUP($A8,Discrete_NFET[PARTNUMBER],Discrete_NFET[RDSON6])="(NULL)","0","1"))</f>
        <v>0</v>
      </c>
      <c r="F8" s="34" t="str">
        <f>IF(OR($A8=0,$A8=""),"0",IF(LOOKUP($A8,Discrete_NFET[PARTNUMBER],Discrete_NFET[RDSON8])="(NULL)","0","1"))</f>
        <v>1</v>
      </c>
      <c r="G8" s="43" t="str">
        <f>IF(OR($A8=0,$A8=""),"0",IF(LOOKUP($A8,Discrete_NFET[PARTNUMBER],Discrete_NFET[RDSON10])="(NULL)","0","1"))</f>
        <v>0</v>
      </c>
      <c r="H8" s="36" t="b">
        <f t="shared" si="12"/>
        <v>0</v>
      </c>
      <c r="I8" s="39" t="b">
        <f t="shared" si="13"/>
        <v>1</v>
      </c>
      <c r="J8" s="41" t="b">
        <f t="shared" si="14"/>
        <v>1</v>
      </c>
      <c r="K8" s="46" t="b">
        <f t="shared" si="15"/>
        <v>0</v>
      </c>
      <c r="L8" s="42" t="b">
        <f t="shared" si="16"/>
        <v>1</v>
      </c>
      <c r="M8" s="44" t="b">
        <f t="shared" si="17"/>
        <v>0</v>
      </c>
      <c r="N8" s="47" t="b">
        <f t="shared" si="18"/>
        <v>1</v>
      </c>
      <c r="O8" s="36" t="b">
        <f t="shared" si="19"/>
        <v>0</v>
      </c>
      <c r="P8" s="39" t="b">
        <f t="shared" si="20"/>
        <v>1</v>
      </c>
      <c r="Q8" s="41" t="b">
        <f t="shared" si="21"/>
        <v>1</v>
      </c>
      <c r="R8" s="46" t="b">
        <f t="shared" si="22"/>
        <v>0</v>
      </c>
      <c r="S8" s="42" t="b">
        <f t="shared" si="23"/>
        <v>1</v>
      </c>
      <c r="T8" s="44" t="b">
        <f t="shared" si="24"/>
        <v>0</v>
      </c>
      <c r="U8" s="148">
        <f>IF(T8,LOOKUP(A8,Discrete_NFET[PARTNUMBER],Discrete_NFET[RDSON10])*1000,IF(S8,LOOKUP(A8,Discrete_NFET[PARTNUMBER],Discrete_NFET[RDSON8])*1000,IF(R8,LOOKUP(A8,Discrete_NFET[PARTNUMBER],Discrete_NFET[RDSON6])*1000,IF(Q8,LOOKUP(A8,Discrete_NFET[PARTNUMBER],Discrete_NFET[RDSON45])*1000,IF(P8,LOOKUP(A8,Discrete_NFET[PARTNUMBER],Discrete_NFET[RDSON3])*1000,IF(O8,LOOKUP(A8,Discrete_NFET[PARTNUMBER],Discrete_NFET[RDSON25])*1000,""))))))</f>
        <v>3.4</v>
      </c>
      <c r="V8" s="48">
        <f>IF(AND(A8&lt;&gt;0,A8&lt;&gt;""),U8*(1+(Tj-25)*(LOOKUP(A8,Discrete_NFET[PARTNUMBER],Discrete_NFET[RDSDELTA])/((LOOKUP(A8,Discrete_NFET[PARTNUMBER],Discrete_NFET[TJMAX])-25)))),"")</f>
        <v>3.7808000000000002</v>
      </c>
      <c r="W8" s="35">
        <f>IF(AND($A8&lt;&gt;0,$A8&lt;&gt;""),LOOKUP($A8,Discrete_NFET[PARTNUMBER],Discrete_NFET[QGS]),"")</f>
        <v>4.5</v>
      </c>
      <c r="X8" s="35">
        <f>IF(AND($A8&lt;&gt;0,$A8&lt;&gt;""),LOOKUP($A8,Discrete_NFET[PARTNUMBER],Discrete_NFET[QGD]),"")</f>
        <v>3</v>
      </c>
      <c r="Y8" s="35">
        <f>IF(AND($A8&lt;&gt;0,$A8&lt;&gt;""),LOOKUP($A8,Discrete_NFET[PARTNUMBER],Discrete_NFET[QGTH]),"")</f>
        <v>2.2000000000000002</v>
      </c>
      <c r="Z8" s="35">
        <f t="shared" si="25"/>
        <v>5.3</v>
      </c>
      <c r="AA8" s="35">
        <f>IF(AND($A8&lt;&gt;0,$A8&lt;&gt;""),LOOKUP($A8,Discrete_NFET[PARTNUMBER],Discrete_NFET[QOSSTYP]),"")</f>
        <v>27</v>
      </c>
      <c r="AB8" s="35">
        <f>IF(AND($A8&lt;&gt;0,$A8&lt;&gt;""),LOOKUP($A8,Discrete_NFET[PARTNUMBER],Discrete_NFET[QRR]),"")</f>
        <v>34</v>
      </c>
      <c r="AC8" s="35">
        <f>IF(AND(A8&lt;&gt;0,A8&lt;&gt;""),LOOKUP(A8,Discrete_NFET[PARTNUMBER],Discrete_NFET[VF_TYP]),"")</f>
        <v>0.85</v>
      </c>
      <c r="AD8" s="127">
        <f>IF(AND($A8&lt;&gt;0,$A8&lt;&gt;"",OR(RIGHT(Logic!B8,2)="C)",LEFT(Logic!B8,4)="CSD1")),(1+(1-DUTY))*IM_RMS_120^2*V8*m/3/Num_FETS3,"")</f>
        <v>0.15909702985534008</v>
      </c>
      <c r="AE8" s="127">
        <f>IF(AND($A8&lt;&gt;0,$A8&lt;&gt;"",OR(RIGHT(Logic!B8,2)="C)",LEFT(Logic!B8,4)="CSD1")),Num_FETS3*0.5*IM_RMS_120*VDC_AVG*Z8*n*MOT_ELEC_FREQ/GDR_SRC,"")</f>
        <v>1.7092363261093909E-5</v>
      </c>
      <c r="AF8" s="127">
        <f>IF(AND($A8&lt;&gt;0,$A8&lt;&gt;"",OR(RIGHT(Logic!B8,2)="C)",LEFT(Logic!B8,4)="CSD1")),Num_FETS3*0.5*IM_RMS_120*VDC_AVG*Z8*n*MOT_ELEC_FREQ/GDR_SINK,"")</f>
        <v>1.1622807017543859E-5</v>
      </c>
      <c r="AG8" s="127">
        <f>IF(AND($A8&lt;&gt;0,$A8&lt;&gt;"",OR(RIGHT(Logic!B8,2)="T)",LEFT(Logic!B8,4)="CSD1")),DUTY*IM_RMS_120^2*V8*m/3/Num_FETS3,"")</f>
        <v>0.1439449317738791</v>
      </c>
      <c r="AH8" s="127">
        <f>IF(AND($A8&lt;&gt;0,$A8&lt;&gt;"",OR(RIGHT(Logic!B8,2)="T)",LEFT(Logic!B8,4)="CSD1")),Num_FETS3*0.5*IM_RMS_120*VDC_AVG*Z8*n*FSW*k/GDR_SRC/3,"")</f>
        <v>3.4184726522187812E-3</v>
      </c>
      <c r="AI8" s="127">
        <f>IF(AND($A8&lt;&gt;0,$A8&lt;&gt;"",OR(RIGHT(Logic!B8,2)="T)",LEFT(Logic!B8,4)="CSD1")),Num_FETS3*0.5*IM_RMS_120*VDC_AVG*Z8*n*FSW*k/GDR_SINK/3,"")</f>
        <v>2.3245614035087713E-3</v>
      </c>
      <c r="AJ8" s="127">
        <f t="shared" si="7"/>
        <v>3.2400000000000003E-3</v>
      </c>
      <c r="AK8" s="127">
        <f t="shared" si="8"/>
        <v>1.3190478390718382E-2</v>
      </c>
      <c r="AL8" s="127">
        <f t="shared" si="9"/>
        <v>8.1735999999999996E-3</v>
      </c>
      <c r="AM8" s="127">
        <f t="shared" si="26"/>
        <v>0.39571435172155139</v>
      </c>
      <c r="AN8" s="127">
        <f>IF(AND($A8&lt;&gt;0,$A8&lt;&gt;"",OR(RIGHT(Logic!B8,2)="C)",LEFT(Logic!B8,4)="CSD1")),SUM(AD8:AF8)+(AJ8/3)+AK8+AL8/6+AM8/6,AN9)</f>
        <v>0.24071088203659566</v>
      </c>
      <c r="AO8" s="127">
        <f>IF(AND($A8&lt;&gt;0,$A8&lt;&gt;"",OR(RIGHT(Logic!B8,2)="T)",LEFT(Logic!B8,4)="CSD1")),SUM(AG8:AI8)+(AJ8/3)+AL8/6+AM8/6,AO7)</f>
        <v>0.21808262444986523</v>
      </c>
      <c r="AP8" s="48">
        <f t="shared" si="27"/>
        <v>0.46</v>
      </c>
      <c r="AQ8" s="35" t="str">
        <f>IF(AND(A8&lt;&gt;0,A8&lt;&gt;""),LOOKUP(A8,Discrete_NFET[PARTNUMBER],Discrete_NFET[TI_EQ_PACKAGE]),"")</f>
        <v>SON5X6</v>
      </c>
      <c r="AR8" s="49">
        <f>IF(AND(A8&lt;&gt;0,A8&lt;&gt;""),LOOKUP(A8,Discrete_NFET[PARTNUMBER],Discrete_NFET[1KPRICE]),"")</f>
        <v>0.45</v>
      </c>
      <c r="AS8" s="35" t="str">
        <f>IF(AND($A8&lt;&gt;0,$A8&lt;&gt;""),CONCATENATE(TEXT(AP8,"0.00"),"W, ",IF('User Input'!H$11="Single Discrete",A8,IF('User Input'!H$11="Dual/Power Block",LEFT(A8,FIND(")",A8)-7),A8)),", ",AQ8,", ",TEXT(AR8,"$0.00")),"Invalid Part")</f>
        <v>0.46W, CSD17305Q5A, SON5X6, $0.45</v>
      </c>
      <c r="AT8" t="s">
        <v>823</v>
      </c>
      <c r="AW8"/>
    </row>
    <row r="9" spans="1:54" ht="15" customHeight="1" x14ac:dyDescent="0.25">
      <c r="A9" s="35" t="str">
        <f>IF(OR(AND(FET_config3="Dual/Power Block",LEFT(Logic!B9,4)="CSD8"),AND(FET_config3="Single Discrete",LEFT(Logic!B9,4)="CSD1")),Logic!B9,"")</f>
        <v>CSD17306Q5A</v>
      </c>
      <c r="B9" s="37" t="str">
        <f>IF(OR($A9=0,$A9=""),"0",IF(LOOKUP($A9,Discrete_NFET[PARTNUMBER],Discrete_NFET[RDSON25])="(NULL)","0","1"))</f>
        <v>0</v>
      </c>
      <c r="C9" s="38" t="str">
        <f>IF(OR($A9=0,$A9=""),"0",IF(LOOKUP($A9,Discrete_NFET[PARTNUMBER],Discrete_NFET[RDSON3])="(NULL)","0","1"))</f>
        <v>1</v>
      </c>
      <c r="D9" s="40" t="str">
        <f>IF(OR($A9=0,$A9=""),"0",IF(LOOKUP($A9,Discrete_NFET[PARTNUMBER],Discrete_NFET[RDSON45])="(NULL)","0","1"))</f>
        <v>1</v>
      </c>
      <c r="E9" s="45" t="str">
        <f>IF(OR($A9=0,$A9=""),"0",IF(LOOKUP($A9,Discrete_NFET[PARTNUMBER],Discrete_NFET[RDSON6])="(NULL)","0","1"))</f>
        <v>0</v>
      </c>
      <c r="F9" s="34" t="str">
        <f>IF(OR($A9=0,$A9=""),"0",IF(LOOKUP($A9,Discrete_NFET[PARTNUMBER],Discrete_NFET[RDSON8])="(NULL)","0","1"))</f>
        <v>1</v>
      </c>
      <c r="G9" s="43" t="str">
        <f>IF(OR($A9=0,$A9=""),"0",IF(LOOKUP($A9,Discrete_NFET[PARTNUMBER],Discrete_NFET[RDSON10])="(NULL)","0","1"))</f>
        <v>0</v>
      </c>
      <c r="H9" s="36" t="b">
        <f t="shared" si="12"/>
        <v>0</v>
      </c>
      <c r="I9" s="39" t="b">
        <f t="shared" si="13"/>
        <v>1</v>
      </c>
      <c r="J9" s="41" t="b">
        <f t="shared" si="14"/>
        <v>1</v>
      </c>
      <c r="K9" s="46" t="b">
        <f t="shared" si="15"/>
        <v>0</v>
      </c>
      <c r="L9" s="42" t="b">
        <f t="shared" si="16"/>
        <v>1</v>
      </c>
      <c r="M9" s="44" t="b">
        <f t="shared" si="17"/>
        <v>0</v>
      </c>
      <c r="N9" s="47" t="b">
        <f t="shared" si="18"/>
        <v>1</v>
      </c>
      <c r="O9" s="36" t="b">
        <f t="shared" si="19"/>
        <v>0</v>
      </c>
      <c r="P9" s="39" t="b">
        <f t="shared" si="20"/>
        <v>1</v>
      </c>
      <c r="Q9" s="41" t="b">
        <f t="shared" si="21"/>
        <v>1</v>
      </c>
      <c r="R9" s="46" t="b">
        <f t="shared" si="22"/>
        <v>0</v>
      </c>
      <c r="S9" s="42" t="b">
        <f t="shared" si="23"/>
        <v>1</v>
      </c>
      <c r="T9" s="44" t="b">
        <f t="shared" si="24"/>
        <v>0</v>
      </c>
      <c r="U9" s="148">
        <f>IF(T9,LOOKUP(A9,Discrete_NFET[PARTNUMBER],Discrete_NFET[RDSON10])*1000,IF(S9,LOOKUP(A9,Discrete_NFET[PARTNUMBER],Discrete_NFET[RDSON8])*1000,IF(R9,LOOKUP(A9,Discrete_NFET[PARTNUMBER],Discrete_NFET[RDSON6])*1000,IF(Q9,LOOKUP(A9,Discrete_NFET[PARTNUMBER],Discrete_NFET[RDSON45])*1000,IF(P9,LOOKUP(A9,Discrete_NFET[PARTNUMBER],Discrete_NFET[RDSON3])*1000,IF(O9,LOOKUP(A9,Discrete_NFET[PARTNUMBER],Discrete_NFET[RDSON25])*1000,""))))))</f>
        <v>3.7</v>
      </c>
      <c r="V9" s="48">
        <f>IF(AND(A9&lt;&gt;0,A9&lt;&gt;""),U9*(1+(Tj-25)*(LOOKUP(A9,Discrete_NFET[PARTNUMBER],Discrete_NFET[RDSDELTA])/((LOOKUP(A9,Discrete_NFET[PARTNUMBER],Discrete_NFET[TJMAX])-25)))),"")</f>
        <v>4.0922000000000009</v>
      </c>
      <c r="W9" s="35">
        <f>IF(AND($A9&lt;&gt;0,$A9&lt;&gt;""),LOOKUP($A9,Discrete_NFET[PARTNUMBER],Discrete_NFET[QGS]),"")</f>
        <v>3.5</v>
      </c>
      <c r="X9" s="35">
        <f>IF(AND($A9&lt;&gt;0,$A9&lt;&gt;""),LOOKUP($A9,Discrete_NFET[PARTNUMBER],Discrete_NFET[QGD]),"")</f>
        <v>2.4</v>
      </c>
      <c r="Y9" s="35">
        <f>IF(AND($A9&lt;&gt;0,$A9&lt;&gt;""),LOOKUP($A9,Discrete_NFET[PARTNUMBER],Discrete_NFET[QGTH]),"")</f>
        <v>1.8</v>
      </c>
      <c r="Z9" s="35">
        <f t="shared" si="25"/>
        <v>4.1000000000000005</v>
      </c>
      <c r="AA9" s="35">
        <f>IF(AND($A9&lt;&gt;0,$A9&lt;&gt;""),LOOKUP($A9,Discrete_NFET[PARTNUMBER],Discrete_NFET[QOSSTYP]),"")</f>
        <v>23</v>
      </c>
      <c r="AB9" s="35">
        <f>IF(AND($A9&lt;&gt;0,$A9&lt;&gt;""),LOOKUP($A9,Discrete_NFET[PARTNUMBER],Discrete_NFET[QRR]),"")</f>
        <v>27</v>
      </c>
      <c r="AC9" s="35">
        <f>IF(AND(A9&lt;&gt;0,A9&lt;&gt;""),LOOKUP(A9,Discrete_NFET[PARTNUMBER],Discrete_NFET[VF_TYP]),"")</f>
        <v>0.85</v>
      </c>
      <c r="AD9" s="127">
        <f>IF(AND($A9&lt;&gt;0,$A9&lt;&gt;"",OR(RIGHT(Logic!B9,2)="C)",LEFT(Logic!B9,4)="CSD1")),(1+(1-DUTY))*IM_RMS_120^2*V9*m/3/Num_FETS3,"")</f>
        <v>0.17220082140658663</v>
      </c>
      <c r="AE9" s="127">
        <f>IF(AND($A9&lt;&gt;0,$A9&lt;&gt;"",OR(RIGHT(Logic!B9,2)="C)",LEFT(Logic!B9,4)="CSD1")),Num_FETS3*0.5*IM_RMS_120*VDC_AVG*Z9*n*MOT_ELEC_FREQ/GDR_SRC,"")</f>
        <v>1.3222394220846234E-5</v>
      </c>
      <c r="AF9" s="127">
        <f>IF(AND($A9&lt;&gt;0,$A9&lt;&gt;"",OR(RIGHT(Logic!B9,2)="C)",LEFT(Logic!B9,4)="CSD1")),Num_FETS3*0.5*IM_RMS_120*VDC_AVG*Z9*n*MOT_ELEC_FREQ/GDR_SINK,"")</f>
        <v>8.9912280701754391E-6</v>
      </c>
      <c r="AG9" s="127">
        <f>IF(AND($A9&lt;&gt;0,$A9&lt;&gt;"",OR(RIGHT(Logic!B9,2)="T)",LEFT(Logic!B9,4)="CSD1")),DUTY*IM_RMS_120^2*V9*m/3/Num_FETS3,"")</f>
        <v>0.15580074317738793</v>
      </c>
      <c r="AH9" s="127">
        <f>IF(AND($A9&lt;&gt;0,$A9&lt;&gt;"",OR(RIGHT(Logic!B9,2)="T)",LEFT(Logic!B9,4)="CSD1")),Num_FETS3*0.5*IM_RMS_120*VDC_AVG*Z9*n*FSW*k/GDR_SRC/3,"")</f>
        <v>2.6444788441692467E-3</v>
      </c>
      <c r="AI9" s="127">
        <f>IF(AND($A9&lt;&gt;0,$A9&lt;&gt;"",OR(RIGHT(Logic!B9,2)="T)",LEFT(Logic!B9,4)="CSD1")),Num_FETS3*0.5*IM_RMS_120*VDC_AVG*Z9*n*FSW*k/GDR_SINK/3,"")</f>
        <v>1.7982456140350877E-3</v>
      </c>
      <c r="AJ9" s="127">
        <f t="shared" si="7"/>
        <v>2.7600000000000003E-3</v>
      </c>
      <c r="AK9" s="127">
        <f t="shared" si="8"/>
        <v>1.3190478390718382E-2</v>
      </c>
      <c r="AL9" s="127">
        <f t="shared" si="9"/>
        <v>6.4908000000000006E-3</v>
      </c>
      <c r="AM9" s="127">
        <f t="shared" si="26"/>
        <v>0.39571435172155139</v>
      </c>
      <c r="AN9" s="127">
        <f>IF(AND($A9&lt;&gt;0,$A9&lt;&gt;"",OR(RIGHT(Logic!B9,2)="C)",LEFT(Logic!B9,4)="CSD1")),SUM(AD9:AF9)+(AJ9/3)+AK9+AL9/6+AM9/6,AN10)</f>
        <v>0.25336770537318798</v>
      </c>
      <c r="AO9" s="127">
        <f>IF(AND($A9&lt;&gt;0,$A9&lt;&gt;"",OR(RIGHT(Logic!B9,2)="T)",LEFT(Logic!B9,4)="CSD1")),SUM(AG9:AI9)+(AJ9/3)+AL9/6+AM9/6,AO8)</f>
        <v>0.22819765958918414</v>
      </c>
      <c r="AP9" s="48">
        <f t="shared" si="27"/>
        <v>0.48</v>
      </c>
      <c r="AQ9" s="35" t="str">
        <f>IF(AND(A9&lt;&gt;0,A9&lt;&gt;""),LOOKUP(A9,Discrete_NFET[PARTNUMBER],Discrete_NFET[TI_EQ_PACKAGE]),"")</f>
        <v>SON5X6</v>
      </c>
      <c r="AR9" s="49">
        <f>IF(AND(A9&lt;&gt;0,A9&lt;&gt;""),LOOKUP(A9,Discrete_NFET[PARTNUMBER],Discrete_NFET[1KPRICE]),"")</f>
        <v>0.39</v>
      </c>
      <c r="AS9" s="35" t="str">
        <f>IF(AND($A9&lt;&gt;0,$A9&lt;&gt;""),CONCATENATE(TEXT(AP9,"0.00"),"W, ",IF('User Input'!H$11="Single Discrete",A9,IF('User Input'!H$11="Dual/Power Block",LEFT(A9,FIND(")",A9)-7),A9)),", ",AQ9,", ",TEXT(AR9,"$0.00")),"Invalid Part")</f>
        <v>0.48W, CSD17306Q5A, SON5X6, $0.39</v>
      </c>
      <c r="AT9" t="s">
        <v>844</v>
      </c>
      <c r="AW9"/>
    </row>
    <row r="10" spans="1:54" ht="15" customHeight="1" x14ac:dyDescent="0.25">
      <c r="A10" s="35" t="str">
        <f>IF(OR(AND(FET_config3="Dual/Power Block",LEFT(Logic!B10,4)="CSD8"),AND(FET_config3="Single Discrete",LEFT(Logic!B10,4)="CSD1")),Logic!B10,"")</f>
        <v>CSD17307Q5A</v>
      </c>
      <c r="B10" s="37" t="str">
        <f>IF(OR($A10=0,$A10=""),"0",IF(LOOKUP($A10,Discrete_NFET[PARTNUMBER],Discrete_NFET[RDSON25])="(NULL)","0","1"))</f>
        <v>0</v>
      </c>
      <c r="C10" s="38" t="str">
        <f>IF(OR($A10=0,$A10=""),"0",IF(LOOKUP($A10,Discrete_NFET[PARTNUMBER],Discrete_NFET[RDSON3])="(NULL)","0","1"))</f>
        <v>1</v>
      </c>
      <c r="D10" s="40" t="str">
        <f>IF(OR($A10=0,$A10=""),"0",IF(LOOKUP($A10,Discrete_NFET[PARTNUMBER],Discrete_NFET[RDSON45])="(NULL)","0","1"))</f>
        <v>1</v>
      </c>
      <c r="E10" s="45" t="str">
        <f>IF(OR($A10=0,$A10=""),"0",IF(LOOKUP($A10,Discrete_NFET[PARTNUMBER],Discrete_NFET[RDSON6])="(NULL)","0","1"))</f>
        <v>0</v>
      </c>
      <c r="F10" s="34" t="str">
        <f>IF(OR($A10=0,$A10=""),"0",IF(LOOKUP($A10,Discrete_NFET[PARTNUMBER],Discrete_NFET[RDSON8])="(NULL)","0","1"))</f>
        <v>1</v>
      </c>
      <c r="G10" s="43" t="str">
        <f>IF(OR($A10=0,$A10=""),"0",IF(LOOKUP($A10,Discrete_NFET[PARTNUMBER],Discrete_NFET[RDSON10])="(NULL)","0","1"))</f>
        <v>0</v>
      </c>
      <c r="H10" s="36" t="b">
        <f t="shared" si="12"/>
        <v>0</v>
      </c>
      <c r="I10" s="39" t="b">
        <f t="shared" si="13"/>
        <v>1</v>
      </c>
      <c r="J10" s="41" t="b">
        <f t="shared" si="14"/>
        <v>1</v>
      </c>
      <c r="K10" s="46" t="b">
        <f t="shared" si="15"/>
        <v>0</v>
      </c>
      <c r="L10" s="42" t="b">
        <f t="shared" si="16"/>
        <v>1</v>
      </c>
      <c r="M10" s="44" t="b">
        <f t="shared" si="17"/>
        <v>0</v>
      </c>
      <c r="N10" s="47" t="b">
        <f t="shared" si="18"/>
        <v>1</v>
      </c>
      <c r="O10" s="36" t="b">
        <f t="shared" si="19"/>
        <v>0</v>
      </c>
      <c r="P10" s="39" t="b">
        <f t="shared" si="20"/>
        <v>1</v>
      </c>
      <c r="Q10" s="41" t="b">
        <f t="shared" si="21"/>
        <v>1</v>
      </c>
      <c r="R10" s="46" t="b">
        <f t="shared" si="22"/>
        <v>0</v>
      </c>
      <c r="S10" s="42" t="b">
        <f t="shared" si="23"/>
        <v>1</v>
      </c>
      <c r="T10" s="44" t="b">
        <f t="shared" si="24"/>
        <v>0</v>
      </c>
      <c r="U10" s="148">
        <f>IF(T10,LOOKUP(A10,Discrete_NFET[PARTNUMBER],Discrete_NFET[RDSON10])*1000,IF(S10,LOOKUP(A10,Discrete_NFET[PARTNUMBER],Discrete_NFET[RDSON8])*1000,IF(R10,LOOKUP(A10,Discrete_NFET[PARTNUMBER],Discrete_NFET[RDSON6])*1000,IF(Q10,LOOKUP(A10,Discrete_NFET[PARTNUMBER],Discrete_NFET[RDSON45])*1000,IF(P10,LOOKUP(A10,Discrete_NFET[PARTNUMBER],Discrete_NFET[RDSON3])*1000,IF(O10,LOOKUP(A10,Discrete_NFET[PARTNUMBER],Discrete_NFET[RDSON25])*1000,""))))))</f>
        <v>10.5</v>
      </c>
      <c r="V10" s="48">
        <f>IF(AND(A10&lt;&gt;0,A10&lt;&gt;""),U10*(1+(Tj-25)*(LOOKUP(A10,Discrete_NFET[PARTNUMBER],Discrete_NFET[RDSDELTA])/((LOOKUP(A10,Discrete_NFET[PARTNUMBER],Discrete_NFET[TJMAX])-25)))),"")</f>
        <v>11.696999999999999</v>
      </c>
      <c r="W10" s="35">
        <f>IF(AND($A10&lt;&gt;0,$A10&lt;&gt;""),LOOKUP($A10,Discrete_NFET[PARTNUMBER],Discrete_NFET[QGS]),"")</f>
        <v>1.3</v>
      </c>
      <c r="X10" s="35">
        <f>IF(AND($A10&lt;&gt;0,$A10&lt;&gt;""),LOOKUP($A10,Discrete_NFET[PARTNUMBER],Discrete_NFET[QGD]),"")</f>
        <v>1</v>
      </c>
      <c r="Y10" s="35">
        <f>IF(AND($A10&lt;&gt;0,$A10&lt;&gt;""),LOOKUP($A10,Discrete_NFET[PARTNUMBER],Discrete_NFET[QGTH]),"")</f>
        <v>0.65</v>
      </c>
      <c r="Z10" s="35">
        <f t="shared" si="25"/>
        <v>1.65</v>
      </c>
      <c r="AA10" s="35">
        <f>IF(AND($A10&lt;&gt;0,$A10&lt;&gt;""),LOOKUP($A10,Discrete_NFET[PARTNUMBER],Discrete_NFET[QOSSTYP]),"")</f>
        <v>7.3</v>
      </c>
      <c r="AB10" s="35">
        <f>IF(AND($A10&lt;&gt;0,$A10&lt;&gt;""),LOOKUP($A10,Discrete_NFET[PARTNUMBER],Discrete_NFET[QRR]),"")</f>
        <v>13</v>
      </c>
      <c r="AC10" s="35">
        <f>IF(AND(A10&lt;&gt;0,A10&lt;&gt;""),LOOKUP(A10,Discrete_NFET[PARTNUMBER],Discrete_NFET[VF_TYP]),"")</f>
        <v>0.85</v>
      </c>
      <c r="AD10" s="127">
        <f>IF(AND($A10&lt;&gt;0,$A10&lt;&gt;"",OR(RIGHT(Logic!B10,2)="C)",LEFT(Logic!B10,4)="CSD1")),(1+(1-DUTY))*IM_RMS_120^2*V10*m/3/Num_FETS3,"")</f>
        <v>0.49221274815327781</v>
      </c>
      <c r="AE10" s="127">
        <f>IF(AND($A10&lt;&gt;0,$A10&lt;&gt;"",OR(RIGHT(Logic!B10,2)="C)",LEFT(Logic!B10,4)="CSD1")),Num_FETS3*0.5*IM_RMS_120*VDC_AVG*Z10*n*MOT_ELEC_FREQ/GDR_SRC,"")</f>
        <v>5.3212074303405573E-6</v>
      </c>
      <c r="AF10" s="127">
        <f>IF(AND($A10&lt;&gt;0,$A10&lt;&gt;"",OR(RIGHT(Logic!B10,2)="C)",LEFT(Logic!B10,4)="CSD1")),Num_FETS3*0.5*IM_RMS_120*VDC_AVG*Z10*n*MOT_ELEC_FREQ/GDR_SINK,"")</f>
        <v>3.6184210526315792E-6</v>
      </c>
      <c r="AG10" s="127">
        <f>IF(AND($A10&lt;&gt;0,$A10&lt;&gt;"",OR(RIGHT(Logic!B10,2)="T)",LEFT(Logic!B10,4)="CSD1")),DUTY*IM_RMS_120^2*V10*m/3/Num_FETS3,"")</f>
        <v>0.4453353435672513</v>
      </c>
      <c r="AH10" s="127">
        <f>IF(AND($A10&lt;&gt;0,$A10&lt;&gt;"",OR(RIGHT(Logic!B10,2)="T)",LEFT(Logic!B10,4)="CSD1")),Num_FETS3*0.5*IM_RMS_120*VDC_AVG*Z10*n*FSW*k/GDR_SRC/3,"")</f>
        <v>1.0642414860681116E-3</v>
      </c>
      <c r="AI10" s="127">
        <f>IF(AND($A10&lt;&gt;0,$A10&lt;&gt;"",OR(RIGHT(Logic!B10,2)="T)",LEFT(Logic!B10,4)="CSD1")),Num_FETS3*0.5*IM_RMS_120*VDC_AVG*Z10*n*FSW*k/GDR_SINK/3,"")</f>
        <v>7.2368421052631594E-4</v>
      </c>
      <c r="AJ10" s="127">
        <f t="shared" si="7"/>
        <v>8.7600000000000004E-4</v>
      </c>
      <c r="AK10" s="127">
        <f t="shared" si="8"/>
        <v>1.3190478390718382E-2</v>
      </c>
      <c r="AL10" s="127">
        <f t="shared" si="9"/>
        <v>3.1252000000000003E-3</v>
      </c>
      <c r="AM10" s="127">
        <f t="shared" si="26"/>
        <v>0.39571435172155139</v>
      </c>
      <c r="AN10" s="127">
        <f>IF(AND($A10&lt;&gt;0,$A10&lt;&gt;"",OR(RIGHT(Logic!B10,2)="C)",LEFT(Logic!B10,4)="CSD1")),SUM(AD10:AF10)+(AJ10/3)+AK10+AL10/6+AM10/6,AN11)</f>
        <v>0.5721774247927377</v>
      </c>
      <c r="AO10" s="127">
        <f>IF(AND($A10&lt;&gt;0,$A10&lt;&gt;"",OR(RIGHT(Logic!B10,2)="T)",LEFT(Logic!B10,4)="CSD1")),SUM(AG10:AI10)+(AJ10/3)+AL10/6+AM10/6,AO9)</f>
        <v>0.51388852788410433</v>
      </c>
      <c r="AP10" s="48">
        <f t="shared" si="27"/>
        <v>1.0900000000000001</v>
      </c>
      <c r="AQ10" s="35" t="str">
        <f>IF(AND(A10&lt;&gt;0,A10&lt;&gt;""),LOOKUP(A10,Discrete_NFET[PARTNUMBER],Discrete_NFET[TI_EQ_PACKAGE]),"")</f>
        <v>SON5X6</v>
      </c>
      <c r="AR10" s="49">
        <f>IF(AND(A10&lt;&gt;0,A10&lt;&gt;""),LOOKUP(A10,Discrete_NFET[PARTNUMBER],Discrete_NFET[1KPRICE]),"")</f>
        <v>0.2</v>
      </c>
      <c r="AS10" s="35" t="str">
        <f>IF(AND($A10&lt;&gt;0,$A10&lt;&gt;""),CONCATENATE(TEXT(AP10,"0.00"),"W, ",IF('User Input'!H$11="Single Discrete",A10,IF('User Input'!H$11="Dual/Power Block",LEFT(A10,FIND(")",A10)-7),A10)),", ",AQ10,", ",TEXT(AR10,"$0.00")),"Invalid Part")</f>
        <v>1.09W, CSD17307Q5A, SON5X6, $0.20</v>
      </c>
      <c r="AT10" t="s">
        <v>845</v>
      </c>
      <c r="AW10"/>
    </row>
    <row r="11" spans="1:54" ht="15" customHeight="1" x14ac:dyDescent="0.25">
      <c r="A11" s="35" t="str">
        <f>IF(OR(AND(FET_config3="Dual/Power Block",LEFT(Logic!B11,4)="CSD8"),AND(FET_config3="Single Discrete",LEFT(Logic!B11,4)="CSD1")),Logic!B11,"")</f>
        <v>CSD17308Q3</v>
      </c>
      <c r="B11" s="37" t="str">
        <f>IF(OR($A11=0,$A11=""),"0",IF(LOOKUP($A11,Discrete_NFET[PARTNUMBER],Discrete_NFET[RDSON25])="(NULL)","0","1"))</f>
        <v>0</v>
      </c>
      <c r="C11" s="38" t="str">
        <f>IF(OR($A11=0,$A11=""),"0",IF(LOOKUP($A11,Discrete_NFET[PARTNUMBER],Discrete_NFET[RDSON3])="(NULL)","0","1"))</f>
        <v>1</v>
      </c>
      <c r="D11" s="40" t="str">
        <f>IF(OR($A11=0,$A11=""),"0",IF(LOOKUP($A11,Discrete_NFET[PARTNUMBER],Discrete_NFET[RDSON45])="(NULL)","0","1"))</f>
        <v>1</v>
      </c>
      <c r="E11" s="45" t="str">
        <f>IF(OR($A11=0,$A11=""),"0",IF(LOOKUP($A11,Discrete_NFET[PARTNUMBER],Discrete_NFET[RDSON6])="(NULL)","0","1"))</f>
        <v>0</v>
      </c>
      <c r="F11" s="34" t="str">
        <f>IF(OR($A11=0,$A11=""),"0",IF(LOOKUP($A11,Discrete_NFET[PARTNUMBER],Discrete_NFET[RDSON8])="(NULL)","0","1"))</f>
        <v>1</v>
      </c>
      <c r="G11" s="43" t="str">
        <f>IF(OR($A11=0,$A11=""),"0",IF(LOOKUP($A11,Discrete_NFET[PARTNUMBER],Discrete_NFET[RDSON10])="(NULL)","0","1"))</f>
        <v>0</v>
      </c>
      <c r="H11" s="36" t="b">
        <f t="shared" si="12"/>
        <v>0</v>
      </c>
      <c r="I11" s="39" t="b">
        <f t="shared" si="13"/>
        <v>1</v>
      </c>
      <c r="J11" s="41" t="b">
        <f t="shared" si="14"/>
        <v>1</v>
      </c>
      <c r="K11" s="46" t="b">
        <f t="shared" si="15"/>
        <v>0</v>
      </c>
      <c r="L11" s="42" t="b">
        <f t="shared" si="16"/>
        <v>1</v>
      </c>
      <c r="M11" s="44" t="b">
        <f t="shared" si="17"/>
        <v>0</v>
      </c>
      <c r="N11" s="47" t="b">
        <f t="shared" si="18"/>
        <v>1</v>
      </c>
      <c r="O11" s="36" t="b">
        <f t="shared" si="19"/>
        <v>0</v>
      </c>
      <c r="P11" s="39" t="b">
        <f t="shared" si="20"/>
        <v>1</v>
      </c>
      <c r="Q11" s="41" t="b">
        <f t="shared" si="21"/>
        <v>1</v>
      </c>
      <c r="R11" s="46" t="b">
        <f t="shared" si="22"/>
        <v>0</v>
      </c>
      <c r="S11" s="42" t="b">
        <f t="shared" si="23"/>
        <v>1</v>
      </c>
      <c r="T11" s="44" t="b">
        <f t="shared" si="24"/>
        <v>0</v>
      </c>
      <c r="U11" s="148">
        <f>IF(T11,LOOKUP(A11,Discrete_NFET[PARTNUMBER],Discrete_NFET[RDSON10])*1000,IF(S11,LOOKUP(A11,Discrete_NFET[PARTNUMBER],Discrete_NFET[RDSON8])*1000,IF(R11,LOOKUP(A11,Discrete_NFET[PARTNUMBER],Discrete_NFET[RDSON6])*1000,IF(Q11,LOOKUP(A11,Discrete_NFET[PARTNUMBER],Discrete_NFET[RDSON45])*1000,IF(P11,LOOKUP(A11,Discrete_NFET[PARTNUMBER],Discrete_NFET[RDSON3])*1000,IF(O11,LOOKUP(A11,Discrete_NFET[PARTNUMBER],Discrete_NFET[RDSON25])*1000,""))))))</f>
        <v>10.3</v>
      </c>
      <c r="V11" s="48">
        <f>IF(AND(A11&lt;&gt;0,A11&lt;&gt;""),U11*(1+(Tj-25)*(LOOKUP(A11,Discrete_NFET[PARTNUMBER],Discrete_NFET[RDSDELTA])/((LOOKUP(A11,Discrete_NFET[PARTNUMBER],Discrete_NFET[TJMAX])-25)))),"")</f>
        <v>11.144600000000002</v>
      </c>
      <c r="W11" s="35">
        <f>IF(AND($A11&lt;&gt;0,$A11&lt;&gt;""),LOOKUP($A11,Discrete_NFET[PARTNUMBER],Discrete_NFET[QGS]),"")</f>
        <v>1.3</v>
      </c>
      <c r="X11" s="35">
        <f>IF(AND($A11&lt;&gt;0,$A11&lt;&gt;""),LOOKUP($A11,Discrete_NFET[PARTNUMBER],Discrete_NFET[QGD]),"")</f>
        <v>0.8</v>
      </c>
      <c r="Y11" s="35">
        <f>IF(AND($A11&lt;&gt;0,$A11&lt;&gt;""),LOOKUP($A11,Discrete_NFET[PARTNUMBER],Discrete_NFET[QGTH]),"")</f>
        <v>0.7</v>
      </c>
      <c r="Z11" s="35">
        <f t="shared" si="25"/>
        <v>1.4000000000000001</v>
      </c>
      <c r="AA11" s="35">
        <f>IF(AND($A11&lt;&gt;0,$A11&lt;&gt;""),LOOKUP($A11,Discrete_NFET[PARTNUMBER],Discrete_NFET[QOSSTYP]),"")</f>
        <v>7.4</v>
      </c>
      <c r="AB11" s="35">
        <f>IF(AND($A11&lt;&gt;0,$A11&lt;&gt;""),LOOKUP($A11,Discrete_NFET[PARTNUMBER],Discrete_NFET[QRR]),"")</f>
        <v>9.3000000000000007</v>
      </c>
      <c r="AC11" s="35">
        <f>IF(AND(A11&lt;&gt;0,A11&lt;&gt;""),LOOKUP(A11,Discrete_NFET[PARTNUMBER],Discrete_NFET[VF_TYP]),"")</f>
        <v>0.85</v>
      </c>
      <c r="AD11" s="127">
        <f>IF(AND($A11&lt;&gt;0,$A11&lt;&gt;"",OR(RIGHT(Logic!B11,2)="C)",LEFT(Logic!B11,4)="CSD1")),(1+(1-DUTY))*IM_RMS_120^2*V11*m/3/Num_FETS3,"")</f>
        <v>0.46896761503539547</v>
      </c>
      <c r="AE11" s="127">
        <f>IF(AND($A11&lt;&gt;0,$A11&lt;&gt;"",OR(RIGHT(Logic!B11,2)="C)",LEFT(Logic!B11,4)="CSD1")),Num_FETS3*0.5*IM_RMS_120*VDC_AVG*Z11*n*MOT_ELEC_FREQ/GDR_SRC,"")</f>
        <v>4.5149638802889579E-6</v>
      </c>
      <c r="AF11" s="127">
        <f>IF(AND($A11&lt;&gt;0,$A11&lt;&gt;"",OR(RIGHT(Logic!B11,2)="C)",LEFT(Logic!B11,4)="CSD1")),Num_FETS3*0.5*IM_RMS_120*VDC_AVG*Z11*n*MOT_ELEC_FREQ/GDR_SINK,"")</f>
        <v>3.0701754385964915E-6</v>
      </c>
      <c r="AG11" s="127">
        <f>IF(AND($A11&lt;&gt;0,$A11&lt;&gt;"",OR(RIGHT(Logic!B11,2)="T)",LEFT(Logic!B11,4)="CSD1")),DUTY*IM_RMS_120^2*V11*m/3/Num_FETS3,"")</f>
        <v>0.42430403265107208</v>
      </c>
      <c r="AH11" s="127">
        <f>IF(AND($A11&lt;&gt;0,$A11&lt;&gt;"",OR(RIGHT(Logic!B11,2)="T)",LEFT(Logic!B11,4)="CSD1")),Num_FETS3*0.5*IM_RMS_120*VDC_AVG*Z11*n*FSW*k/GDR_SRC/3,"")</f>
        <v>9.0299277605779152E-4</v>
      </c>
      <c r="AI11" s="127">
        <f>IF(AND($A11&lt;&gt;0,$A11&lt;&gt;"",OR(RIGHT(Logic!B11,2)="T)",LEFT(Logic!B11,4)="CSD1")),Num_FETS3*0.5*IM_RMS_120*VDC_AVG*Z11*n*FSW*k/GDR_SINK/3,"")</f>
        <v>6.1403508771929827E-4</v>
      </c>
      <c r="AJ11" s="127">
        <f t="shared" si="7"/>
        <v>8.8800000000000023E-4</v>
      </c>
      <c r="AK11" s="127">
        <f t="shared" si="8"/>
        <v>1.3190478390718382E-2</v>
      </c>
      <c r="AL11" s="127">
        <f t="shared" si="9"/>
        <v>2.2357200000000001E-3</v>
      </c>
      <c r="AM11" s="127">
        <f t="shared" si="26"/>
        <v>0.39571435172155139</v>
      </c>
      <c r="AN11" s="127">
        <f>IF(AND($A11&lt;&gt;0,$A11&lt;&gt;"",OR(RIGHT(Logic!B11,2)="C)",LEFT(Logic!B11,4)="CSD1")),SUM(AD11:AF11)+(AJ11/3)+AK11+AL11/6+AM11/6,AN12)</f>
        <v>0.54878669051902462</v>
      </c>
      <c r="AO11" s="127">
        <f>IF(AND($A11&lt;&gt;0,$A11&lt;&gt;"",OR(RIGHT(Logic!B11,2)="T)",LEFT(Logic!B11,4)="CSD1")),SUM(AG11:AI11)+(AJ11/3)+AL11/6+AM11/6,AO10)</f>
        <v>0.49244207246844107</v>
      </c>
      <c r="AP11" s="48">
        <f t="shared" si="27"/>
        <v>1.04</v>
      </c>
      <c r="AQ11" s="35" t="str">
        <f>IF(AND(A11&lt;&gt;0,A11&lt;&gt;""),LOOKUP(A11,Discrete_NFET[PARTNUMBER],Discrete_NFET[TI_EQ_PACKAGE]),"")</f>
        <v>SON3X3</v>
      </c>
      <c r="AR11" s="49">
        <f>IF(AND(A11&lt;&gt;0,A11&lt;&gt;""),LOOKUP(A11,Discrete_NFET[PARTNUMBER],Discrete_NFET[1KPRICE]),"")</f>
        <v>0.22</v>
      </c>
      <c r="AS11" s="35" t="str">
        <f>IF(AND($A11&lt;&gt;0,$A11&lt;&gt;""),CONCATENATE(TEXT(AP11,"0.00"),"W, ",IF('User Input'!H$11="Single Discrete",A11,IF('User Input'!H$11="Dual/Power Block",LEFT(A11,FIND(")",A11)-7),A11)),", ",AQ11,", ",TEXT(AR11,"$0.00")),"Invalid Part")</f>
        <v>1.04W, CSD17308Q3, SON3X3, $0.22</v>
      </c>
      <c r="AT11" t="s">
        <v>846</v>
      </c>
      <c r="AW11"/>
    </row>
    <row r="12" spans="1:54" ht="15" customHeight="1" x14ac:dyDescent="0.25">
      <c r="A12" s="35" t="str">
        <f>IF(OR(AND(FET_config3="Dual/Power Block",LEFT(Logic!B12,4)="CSD8"),AND(FET_config3="Single Discrete",LEFT(Logic!B12,4)="CSD1")),Logic!B12,"")</f>
        <v>CSD17309Q3</v>
      </c>
      <c r="B12" s="37" t="str">
        <f>IF(OR($A12=0,$A12=""),"0",IF(LOOKUP($A12,Discrete_NFET[PARTNUMBER],Discrete_NFET[RDSON25])="(NULL)","0","1"))</f>
        <v>0</v>
      </c>
      <c r="C12" s="38" t="str">
        <f>IF(OR($A12=0,$A12=""),"0",IF(LOOKUP($A12,Discrete_NFET[PARTNUMBER],Discrete_NFET[RDSON3])="(NULL)","0","1"))</f>
        <v>1</v>
      </c>
      <c r="D12" s="40" t="str">
        <f>IF(OR($A12=0,$A12=""),"0",IF(LOOKUP($A12,Discrete_NFET[PARTNUMBER],Discrete_NFET[RDSON45])="(NULL)","0","1"))</f>
        <v>1</v>
      </c>
      <c r="E12" s="45" t="str">
        <f>IF(OR($A12=0,$A12=""),"0",IF(LOOKUP($A12,Discrete_NFET[PARTNUMBER],Discrete_NFET[RDSON6])="(NULL)","0","1"))</f>
        <v>0</v>
      </c>
      <c r="F12" s="34" t="str">
        <f>IF(OR($A12=0,$A12=""),"0",IF(LOOKUP($A12,Discrete_NFET[PARTNUMBER],Discrete_NFET[RDSON8])="(NULL)","0","1"))</f>
        <v>1</v>
      </c>
      <c r="G12" s="43" t="str">
        <f>IF(OR($A12=0,$A12=""),"0",IF(LOOKUP($A12,Discrete_NFET[PARTNUMBER],Discrete_NFET[RDSON10])="(NULL)","0","1"))</f>
        <v>0</v>
      </c>
      <c r="H12" s="36" t="b">
        <f t="shared" si="12"/>
        <v>0</v>
      </c>
      <c r="I12" s="39" t="b">
        <f t="shared" si="13"/>
        <v>1</v>
      </c>
      <c r="J12" s="41" t="b">
        <f t="shared" si="14"/>
        <v>1</v>
      </c>
      <c r="K12" s="46" t="b">
        <f t="shared" si="15"/>
        <v>0</v>
      </c>
      <c r="L12" s="42" t="b">
        <f t="shared" si="16"/>
        <v>1</v>
      </c>
      <c r="M12" s="44" t="b">
        <f t="shared" si="17"/>
        <v>0</v>
      </c>
      <c r="N12" s="47" t="b">
        <f t="shared" si="18"/>
        <v>1</v>
      </c>
      <c r="O12" s="36" t="b">
        <f t="shared" si="19"/>
        <v>0</v>
      </c>
      <c r="P12" s="39" t="b">
        <f t="shared" si="20"/>
        <v>1</v>
      </c>
      <c r="Q12" s="41" t="b">
        <f t="shared" si="21"/>
        <v>1</v>
      </c>
      <c r="R12" s="46" t="b">
        <f t="shared" si="22"/>
        <v>0</v>
      </c>
      <c r="S12" s="42" t="b">
        <f t="shared" si="23"/>
        <v>1</v>
      </c>
      <c r="T12" s="44" t="b">
        <f t="shared" si="24"/>
        <v>0</v>
      </c>
      <c r="U12" s="148">
        <f>IF(T12,LOOKUP(A12,Discrete_NFET[PARTNUMBER],Discrete_NFET[RDSON10])*1000,IF(S12,LOOKUP(A12,Discrete_NFET[PARTNUMBER],Discrete_NFET[RDSON8])*1000,IF(R12,LOOKUP(A12,Discrete_NFET[PARTNUMBER],Discrete_NFET[RDSON6])*1000,IF(Q12,LOOKUP(A12,Discrete_NFET[PARTNUMBER],Discrete_NFET[RDSON45])*1000,IF(P12,LOOKUP(A12,Discrete_NFET[PARTNUMBER],Discrete_NFET[RDSON3])*1000,IF(O12,LOOKUP(A12,Discrete_NFET[PARTNUMBER],Discrete_NFET[RDSON25])*1000,""))))))</f>
        <v>5.4</v>
      </c>
      <c r="V12" s="48">
        <f>IF(AND(A12&lt;&gt;0,A12&lt;&gt;""),U12*(1+(Tj-25)*(LOOKUP(A12,Discrete_NFET[PARTNUMBER],Discrete_NFET[RDSDELTA])/((LOOKUP(A12,Discrete_NFET[PARTNUMBER],Discrete_NFET[TJMAX])-25)))),"")</f>
        <v>5.821200000000001</v>
      </c>
      <c r="W12" s="35">
        <f>IF(AND($A12&lt;&gt;0,$A12&lt;&gt;""),LOOKUP($A12,Discrete_NFET[PARTNUMBER],Discrete_NFET[QGS]),"")</f>
        <v>2.5</v>
      </c>
      <c r="X12" s="35">
        <f>IF(AND($A12&lt;&gt;0,$A12&lt;&gt;""),LOOKUP($A12,Discrete_NFET[PARTNUMBER],Discrete_NFET[QGD]),"")</f>
        <v>1.7</v>
      </c>
      <c r="Y12" s="35">
        <f>IF(AND($A12&lt;&gt;0,$A12&lt;&gt;""),LOOKUP($A12,Discrete_NFET[PARTNUMBER],Discrete_NFET[QGTH]),"")</f>
        <v>1.3</v>
      </c>
      <c r="Z12" s="35">
        <f t="shared" si="25"/>
        <v>2.9000000000000004</v>
      </c>
      <c r="AA12" s="35">
        <f>IF(AND($A12&lt;&gt;0,$A12&lt;&gt;""),LOOKUP($A12,Discrete_NFET[PARTNUMBER],Discrete_NFET[QOSSTYP]),"")</f>
        <v>15</v>
      </c>
      <c r="AB12" s="35">
        <f>IF(AND($A12&lt;&gt;0,$A12&lt;&gt;""),LOOKUP($A12,Discrete_NFET[PARTNUMBER],Discrete_NFET[QRR]),"")</f>
        <v>30</v>
      </c>
      <c r="AC12" s="35">
        <f>IF(AND(A12&lt;&gt;0,A12&lt;&gt;""),LOOKUP(A12,Discrete_NFET[PARTNUMBER],Discrete_NFET[VF_TYP]),"")</f>
        <v>0.85</v>
      </c>
      <c r="AD12" s="127">
        <f>IF(AND($A12&lt;&gt;0,$A12&lt;&gt;"",OR(RIGHT(Logic!B12,2)="C)",LEFT(Logic!B12,4)="CSD1")),(1+(1-DUTY))*IM_RMS_120^2*V12*m/3/Num_FETS3,"")</f>
        <v>0.24495758310249308</v>
      </c>
      <c r="AE12" s="127">
        <f>IF(AND($A12&lt;&gt;0,$A12&lt;&gt;"",OR(RIGHT(Logic!B12,2)="C)",LEFT(Logic!B12,4)="CSD1")),Num_FETS3*0.5*IM_RMS_120*VDC_AVG*Z12*n*MOT_ELEC_FREQ/GDR_SRC,"")</f>
        <v>9.3524251805985566E-6</v>
      </c>
      <c r="AF12" s="127">
        <f>IF(AND($A12&lt;&gt;0,$A12&lt;&gt;"",OR(RIGHT(Logic!B12,2)="C)",LEFT(Logic!B12,4)="CSD1")),Num_FETS3*0.5*IM_RMS_120*VDC_AVG*Z12*n*MOT_ELEC_FREQ/GDR_SINK,"")</f>
        <v>6.3596491228070184E-6</v>
      </c>
      <c r="AG12" s="127">
        <f>IF(AND($A12&lt;&gt;0,$A12&lt;&gt;"",OR(RIGHT(Logic!B12,2)="T)",LEFT(Logic!B12,4)="CSD1")),DUTY*IM_RMS_120^2*V12*m/3/Num_FETS3,"")</f>
        <v>0.22162828947368421</v>
      </c>
      <c r="AH12" s="127">
        <f>IF(AND($A12&lt;&gt;0,$A12&lt;&gt;"",OR(RIGHT(Logic!B12,2)="T)",LEFT(Logic!B12,4)="CSD1")),Num_FETS3*0.5*IM_RMS_120*VDC_AVG*Z12*n*FSW*k/GDR_SRC/3,"")</f>
        <v>1.870485036119711E-3</v>
      </c>
      <c r="AI12" s="127">
        <f>IF(AND($A12&lt;&gt;0,$A12&lt;&gt;"",OR(RIGHT(Logic!B12,2)="T)",LEFT(Logic!B12,4)="CSD1")),Num_FETS3*0.5*IM_RMS_120*VDC_AVG*Z12*n*FSW*k/GDR_SINK/3,"")</f>
        <v>1.2719298245614035E-3</v>
      </c>
      <c r="AJ12" s="127">
        <f t="shared" si="7"/>
        <v>1.8000000000000002E-3</v>
      </c>
      <c r="AK12" s="127">
        <f t="shared" si="8"/>
        <v>1.3190478390718382E-2</v>
      </c>
      <c r="AL12" s="127">
        <f t="shared" si="9"/>
        <v>7.2120000000000005E-3</v>
      </c>
      <c r="AM12" s="127">
        <f t="shared" si="26"/>
        <v>0.39571435172155139</v>
      </c>
      <c r="AN12" s="127">
        <f>IF(AND($A12&lt;&gt;0,$A12&lt;&gt;"",OR(RIGHT(Logic!B12,2)="C)",LEFT(Logic!B12,4)="CSD1")),SUM(AD12:AF12)+(AJ12/3)+AK12+AL12/6+AM12/6,AN13)</f>
        <v>0.32591816552110675</v>
      </c>
      <c r="AO12" s="127">
        <f>IF(AND($A12&lt;&gt;0,$A12&lt;&gt;"",OR(RIGHT(Logic!B12,2)="T)",LEFT(Logic!B12,4)="CSD1")),SUM(AG12:AI12)+(AJ12/3)+AL12/6+AM12/6,AO11)</f>
        <v>0.2925250962879572</v>
      </c>
      <c r="AP12" s="48">
        <f t="shared" si="27"/>
        <v>0.62</v>
      </c>
      <c r="AQ12" s="35" t="str">
        <f>IF(AND(A12&lt;&gt;0,A12&lt;&gt;""),LOOKUP(A12,Discrete_NFET[PARTNUMBER],Discrete_NFET[TI_EQ_PACKAGE]),"")</f>
        <v>SON3X3</v>
      </c>
      <c r="AR12" s="49">
        <f>IF(AND(A12&lt;&gt;0,A12&lt;&gt;""),LOOKUP(A12,Discrete_NFET[PARTNUMBER],Discrete_NFET[1KPRICE]),"")</f>
        <v>0.33</v>
      </c>
      <c r="AS12" s="35" t="str">
        <f>IF(AND($A12&lt;&gt;0,$A12&lt;&gt;""),CONCATENATE(TEXT(AP12,"0.00"),"W, ",IF('User Input'!H$11="Single Discrete",A12,IF('User Input'!H$11="Dual/Power Block",LEFT(A12,FIND(")",A12)-7),A12)),", ",AQ12,", ",TEXT(AR12,"$0.00")),"Invalid Part")</f>
        <v>0.62W, CSD17309Q3, SON3X3, $0.33</v>
      </c>
      <c r="AT12" t="s">
        <v>827</v>
      </c>
      <c r="AW12"/>
    </row>
    <row r="13" spans="1:54" ht="15" customHeight="1" x14ac:dyDescent="0.25">
      <c r="A13" s="35" t="str">
        <f>IF(OR(AND(FET_config3="Dual/Power Block",LEFT(Logic!B13,4)="CSD8"),AND(FET_config3="Single Discrete",LEFT(Logic!B13,4)="CSD1")),Logic!B13,"")</f>
        <v>CSD17310Q5A</v>
      </c>
      <c r="B13" s="37" t="str">
        <f>IF(OR($A13=0,$A13=""),"0",IF(LOOKUP($A13,Discrete_NFET[PARTNUMBER],Discrete_NFET[RDSON25])="(NULL)","0","1"))</f>
        <v>0</v>
      </c>
      <c r="C13" s="38" t="str">
        <f>IF(OR($A13=0,$A13=""),"0",IF(LOOKUP($A13,Discrete_NFET[PARTNUMBER],Discrete_NFET[RDSON3])="(NULL)","0","1"))</f>
        <v>1</v>
      </c>
      <c r="D13" s="40" t="str">
        <f>IF(OR($A13=0,$A13=""),"0",IF(LOOKUP($A13,Discrete_NFET[PARTNUMBER],Discrete_NFET[RDSON45])="(NULL)","0","1"))</f>
        <v>1</v>
      </c>
      <c r="E13" s="45" t="str">
        <f>IF(OR($A13=0,$A13=""),"0",IF(LOOKUP($A13,Discrete_NFET[PARTNUMBER],Discrete_NFET[RDSON6])="(NULL)","0","1"))</f>
        <v>0</v>
      </c>
      <c r="F13" s="34" t="str">
        <f>IF(OR($A13=0,$A13=""),"0",IF(LOOKUP($A13,Discrete_NFET[PARTNUMBER],Discrete_NFET[RDSON8])="(NULL)","0","1"))</f>
        <v>1</v>
      </c>
      <c r="G13" s="43" t="str">
        <f>IF(OR($A13=0,$A13=""),"0",IF(LOOKUP($A13,Discrete_NFET[PARTNUMBER],Discrete_NFET[RDSON10])="(NULL)","0","1"))</f>
        <v>0</v>
      </c>
      <c r="H13" s="36" t="b">
        <f t="shared" si="12"/>
        <v>0</v>
      </c>
      <c r="I13" s="39" t="b">
        <f t="shared" si="13"/>
        <v>1</v>
      </c>
      <c r="J13" s="41" t="b">
        <f t="shared" si="14"/>
        <v>1</v>
      </c>
      <c r="K13" s="46" t="b">
        <f t="shared" si="15"/>
        <v>0</v>
      </c>
      <c r="L13" s="42" t="b">
        <f t="shared" si="16"/>
        <v>1</v>
      </c>
      <c r="M13" s="44" t="b">
        <f t="shared" si="17"/>
        <v>0</v>
      </c>
      <c r="N13" s="47" t="b">
        <f t="shared" si="18"/>
        <v>1</v>
      </c>
      <c r="O13" s="36" t="b">
        <f t="shared" si="19"/>
        <v>0</v>
      </c>
      <c r="P13" s="39" t="b">
        <f t="shared" si="20"/>
        <v>1</v>
      </c>
      <c r="Q13" s="41" t="b">
        <f t="shared" si="21"/>
        <v>1</v>
      </c>
      <c r="R13" s="46" t="b">
        <f t="shared" si="22"/>
        <v>0</v>
      </c>
      <c r="S13" s="42" t="b">
        <f t="shared" si="23"/>
        <v>1</v>
      </c>
      <c r="T13" s="44" t="b">
        <f t="shared" si="24"/>
        <v>0</v>
      </c>
      <c r="U13" s="148">
        <f>IF(T13,LOOKUP(A13,Discrete_NFET[PARTNUMBER],Discrete_NFET[RDSON10])*1000,IF(S13,LOOKUP(A13,Discrete_NFET[PARTNUMBER],Discrete_NFET[RDSON8])*1000,IF(R13,LOOKUP(A13,Discrete_NFET[PARTNUMBER],Discrete_NFET[RDSON6])*1000,IF(Q13,LOOKUP(A13,Discrete_NFET[PARTNUMBER],Discrete_NFET[RDSON45])*1000,IF(P13,LOOKUP(A13,Discrete_NFET[PARTNUMBER],Discrete_NFET[RDSON3])*1000,IF(O13,LOOKUP(A13,Discrete_NFET[PARTNUMBER],Discrete_NFET[RDSON25])*1000,""))))))</f>
        <v>5.1000000000000005</v>
      </c>
      <c r="V13" s="48">
        <f>IF(AND(A13&lt;&gt;0,A13&lt;&gt;""),U13*(1+(Tj-25)*(LOOKUP(A13,Discrete_NFET[PARTNUMBER],Discrete_NFET[RDSDELTA])/((LOOKUP(A13,Discrete_NFET[PARTNUMBER],Discrete_NFET[TJMAX])-25)))),"")</f>
        <v>5.5080000000000009</v>
      </c>
      <c r="W13" s="35">
        <f>IF(AND($A13&lt;&gt;0,$A13&lt;&gt;""),LOOKUP($A13,Discrete_NFET[PARTNUMBER],Discrete_NFET[QGS]),"")</f>
        <v>2.7</v>
      </c>
      <c r="X13" s="35">
        <f>IF(AND($A13&lt;&gt;0,$A13&lt;&gt;""),LOOKUP($A13,Discrete_NFET[PARTNUMBER],Discrete_NFET[QGD]),"")</f>
        <v>2.1</v>
      </c>
      <c r="Y13" s="35">
        <f>IF(AND($A13&lt;&gt;0,$A13&lt;&gt;""),LOOKUP($A13,Discrete_NFET[PARTNUMBER],Discrete_NFET[QGTH]),"")</f>
        <v>1.4</v>
      </c>
      <c r="Z13" s="35">
        <f t="shared" si="25"/>
        <v>3.4000000000000008</v>
      </c>
      <c r="AA13" s="35">
        <f>IF(AND($A13&lt;&gt;0,$A13&lt;&gt;""),LOOKUP($A13,Discrete_NFET[PARTNUMBER],Discrete_NFET[QOSSTYP]),"")</f>
        <v>15.9</v>
      </c>
      <c r="AB13" s="35">
        <f>IF(AND($A13&lt;&gt;0,$A13&lt;&gt;""),LOOKUP($A13,Discrete_NFET[PARTNUMBER],Discrete_NFET[QRR]),"")</f>
        <v>21</v>
      </c>
      <c r="AC13" s="35">
        <f>IF(AND(A13&lt;&gt;0,A13&lt;&gt;""),LOOKUP(A13,Discrete_NFET[PARTNUMBER],Discrete_NFET[VF_TYP]),"")</f>
        <v>0.85</v>
      </c>
      <c r="AD13" s="127">
        <f>IF(AND($A13&lt;&gt;0,$A13&lt;&gt;"",OR(RIGHT(Logic!B13,2)="C)",LEFT(Logic!B13,4)="CSD1")),(1+(1-DUTY))*IM_RMS_120^2*V13*m/3/Num_FETS3,"")</f>
        <v>0.23177804709141273</v>
      </c>
      <c r="AE13" s="127">
        <f>IF(AND($A13&lt;&gt;0,$A13&lt;&gt;"",OR(RIGHT(Logic!B13,2)="C)",LEFT(Logic!B13,4)="CSD1")),Num_FETS3*0.5*IM_RMS_120*VDC_AVG*Z13*n*MOT_ELEC_FREQ/GDR_SRC,"")</f>
        <v>1.0964912280701755E-5</v>
      </c>
      <c r="AF13" s="127">
        <f>IF(AND($A13&lt;&gt;0,$A13&lt;&gt;"",OR(RIGHT(Logic!B13,2)="C)",LEFT(Logic!B13,4)="CSD1")),Num_FETS3*0.5*IM_RMS_120*VDC_AVG*Z13*n*MOT_ELEC_FREQ/GDR_SINK,"")</f>
        <v>7.4561403508771946E-6</v>
      </c>
      <c r="AG13" s="127">
        <f>IF(AND($A13&lt;&gt;0,$A13&lt;&gt;"",OR(RIGHT(Logic!B13,2)="T)",LEFT(Logic!B13,4)="CSD1")),DUTY*IM_RMS_120^2*V13*m/3/Num_FETS3,"")</f>
        <v>0.20970394736842105</v>
      </c>
      <c r="AH13" s="127">
        <f>IF(AND($A13&lt;&gt;0,$A13&lt;&gt;"",OR(RIGHT(Logic!B13,2)="T)",LEFT(Logic!B13,4)="CSD1")),Num_FETS3*0.5*IM_RMS_120*VDC_AVG*Z13*n*FSW*k/GDR_SRC/3,"")</f>
        <v>2.1929824561403512E-3</v>
      </c>
      <c r="AI13" s="127">
        <f>IF(AND($A13&lt;&gt;0,$A13&lt;&gt;"",OR(RIGHT(Logic!B13,2)="T)",LEFT(Logic!B13,4)="CSD1")),Num_FETS3*0.5*IM_RMS_120*VDC_AVG*Z13*n*FSW*k/GDR_SINK/3,"")</f>
        <v>1.4912280701754391E-3</v>
      </c>
      <c r="AJ13" s="127">
        <f t="shared" si="7"/>
        <v>1.9080000000000002E-3</v>
      </c>
      <c r="AK13" s="127">
        <f t="shared" si="8"/>
        <v>1.3190478390718382E-2</v>
      </c>
      <c r="AL13" s="127">
        <f t="shared" si="9"/>
        <v>5.0484000000000006E-3</v>
      </c>
      <c r="AM13" s="127">
        <f t="shared" si="26"/>
        <v>0.39571435172155139</v>
      </c>
      <c r="AN13" s="127">
        <f>IF(AND($A13&lt;&gt;0,$A13&lt;&gt;"",OR(RIGHT(Logic!B13,2)="C)",LEFT(Logic!B13,4)="CSD1")),SUM(AD13:AF13)+(AJ13/3)+AK13+AL13/6+AM13/6,AN14)</f>
        <v>0.31241673848835461</v>
      </c>
      <c r="AO13" s="127">
        <f>IF(AND($A13&lt;&gt;0,$A13&lt;&gt;"",OR(RIGHT(Logic!B13,2)="T)",LEFT(Logic!B13,4)="CSD1")),SUM(AG13:AI13)+(AJ13/3)+AL13/6+AM13/6,AO12)</f>
        <v>0.28081794984832875</v>
      </c>
      <c r="AP13" s="48">
        <f t="shared" si="27"/>
        <v>0.59</v>
      </c>
      <c r="AQ13" s="35" t="str">
        <f>IF(AND(A13&lt;&gt;0,A13&lt;&gt;""),LOOKUP(A13,Discrete_NFET[PARTNUMBER],Discrete_NFET[TI_EQ_PACKAGE]),"")</f>
        <v>SON5X6</v>
      </c>
      <c r="AR13" s="49">
        <f>IF(AND(A13&lt;&gt;0,A13&lt;&gt;""),LOOKUP(A13,Discrete_NFET[PARTNUMBER],Discrete_NFET[1KPRICE]),"")</f>
        <v>0.28000000000000003</v>
      </c>
      <c r="AS13" s="35" t="str">
        <f>IF(AND($A13&lt;&gt;0,$A13&lt;&gt;""),CONCATENATE(TEXT(AP13,"0.00"),"W, ",IF('User Input'!H$11="Single Discrete",A13,IF('User Input'!H$11="Dual/Power Block",LEFT(A13,FIND(")",A13)-7),A13)),", ",AQ13,", ",TEXT(AR13,"$0.00")),"Invalid Part")</f>
        <v>0.59W, CSD17310Q5A, SON5X6, $0.28</v>
      </c>
      <c r="AT13" t="s">
        <v>804</v>
      </c>
      <c r="AW13"/>
    </row>
    <row r="14" spans="1:54" ht="15" customHeight="1" x14ac:dyDescent="0.25">
      <c r="A14" s="35" t="str">
        <f>IF(OR(AND(FET_config3="Dual/Power Block",LEFT(Logic!B14,4)="CSD8"),AND(FET_config3="Single Discrete",LEFT(Logic!B14,4)="CSD1")),Logic!B14,"")</f>
        <v>CSD17311Q5</v>
      </c>
      <c r="B14" s="37" t="str">
        <f>IF(OR($A14=0,$A14=""),"0",IF(LOOKUP($A14,Discrete_NFET[PARTNUMBER],Discrete_NFET[RDSON25])="(NULL)","0","1"))</f>
        <v>0</v>
      </c>
      <c r="C14" s="38" t="str">
        <f>IF(OR($A14=0,$A14=""),"0",IF(LOOKUP($A14,Discrete_NFET[PARTNUMBER],Discrete_NFET[RDSON3])="(NULL)","0","1"))</f>
        <v>1</v>
      </c>
      <c r="D14" s="40" t="str">
        <f>IF(OR($A14=0,$A14=""),"0",IF(LOOKUP($A14,Discrete_NFET[PARTNUMBER],Discrete_NFET[RDSON45])="(NULL)","0","1"))</f>
        <v>1</v>
      </c>
      <c r="E14" s="45" t="str">
        <f>IF(OR($A14=0,$A14=""),"0",IF(LOOKUP($A14,Discrete_NFET[PARTNUMBER],Discrete_NFET[RDSON6])="(NULL)","0","1"))</f>
        <v>0</v>
      </c>
      <c r="F14" s="34" t="str">
        <f>IF(OR($A14=0,$A14=""),"0",IF(LOOKUP($A14,Discrete_NFET[PARTNUMBER],Discrete_NFET[RDSON8])="(NULL)","0","1"))</f>
        <v>1</v>
      </c>
      <c r="G14" s="43" t="str">
        <f>IF(OR($A14=0,$A14=""),"0",IF(LOOKUP($A14,Discrete_NFET[PARTNUMBER],Discrete_NFET[RDSON10])="(NULL)","0","1"))</f>
        <v>0</v>
      </c>
      <c r="H14" s="36" t="b">
        <f t="shared" si="12"/>
        <v>0</v>
      </c>
      <c r="I14" s="39" t="b">
        <f t="shared" si="13"/>
        <v>1</v>
      </c>
      <c r="J14" s="41" t="b">
        <f t="shared" si="14"/>
        <v>1</v>
      </c>
      <c r="K14" s="46" t="b">
        <f t="shared" si="15"/>
        <v>0</v>
      </c>
      <c r="L14" s="42" t="b">
        <f t="shared" si="16"/>
        <v>1</v>
      </c>
      <c r="M14" s="44" t="b">
        <f t="shared" si="17"/>
        <v>0</v>
      </c>
      <c r="N14" s="47" t="b">
        <f t="shared" si="18"/>
        <v>1</v>
      </c>
      <c r="O14" s="36" t="b">
        <f t="shared" si="19"/>
        <v>0</v>
      </c>
      <c r="P14" s="39" t="b">
        <f t="shared" si="20"/>
        <v>1</v>
      </c>
      <c r="Q14" s="41" t="b">
        <f t="shared" si="21"/>
        <v>1</v>
      </c>
      <c r="R14" s="46" t="b">
        <f t="shared" si="22"/>
        <v>0</v>
      </c>
      <c r="S14" s="42" t="b">
        <f t="shared" si="23"/>
        <v>1</v>
      </c>
      <c r="T14" s="44" t="b">
        <f t="shared" si="24"/>
        <v>0</v>
      </c>
      <c r="U14" s="148">
        <f>IF(T14,LOOKUP(A14,Discrete_NFET[PARTNUMBER],Discrete_NFET[RDSON10])*1000,IF(S14,LOOKUP(A14,Discrete_NFET[PARTNUMBER],Discrete_NFET[RDSON8])*1000,IF(R14,LOOKUP(A14,Discrete_NFET[PARTNUMBER],Discrete_NFET[RDSON6])*1000,IF(Q14,LOOKUP(A14,Discrete_NFET[PARTNUMBER],Discrete_NFET[RDSON45])*1000,IF(P14,LOOKUP(A14,Discrete_NFET[PARTNUMBER],Discrete_NFET[RDSON3])*1000,IF(O14,LOOKUP(A14,Discrete_NFET[PARTNUMBER],Discrete_NFET[RDSON25])*1000,""))))))</f>
        <v>2</v>
      </c>
      <c r="V14" s="48">
        <f>IF(AND(A14&lt;&gt;0,A14&lt;&gt;""),U14*(1+(Tj-25)*(LOOKUP(A14,Discrete_NFET[PARTNUMBER],Discrete_NFET[RDSDELTA])/((LOOKUP(A14,Discrete_NFET[PARTNUMBER],Discrete_NFET[TJMAX])-25)))),"")</f>
        <v>2.2395999999999998</v>
      </c>
      <c r="W14" s="35">
        <f>IF(AND($A14&lt;&gt;0,$A14&lt;&gt;""),LOOKUP($A14,Discrete_NFET[PARTNUMBER],Discrete_NFET[QGS]),"")</f>
        <v>6.6</v>
      </c>
      <c r="X14" s="35">
        <f>IF(AND($A14&lt;&gt;0,$A14&lt;&gt;""),LOOKUP($A14,Discrete_NFET[PARTNUMBER],Discrete_NFET[QGD]),"")</f>
        <v>5.2</v>
      </c>
      <c r="Y14" s="35">
        <f>IF(AND($A14&lt;&gt;0,$A14&lt;&gt;""),LOOKUP($A14,Discrete_NFET[PARTNUMBER],Discrete_NFET[QGTH]),"")</f>
        <v>3.9</v>
      </c>
      <c r="Z14" s="35">
        <f t="shared" si="25"/>
        <v>7.9</v>
      </c>
      <c r="AA14" s="35">
        <f>IF(AND($A14&lt;&gt;0,$A14&lt;&gt;""),LOOKUP($A14,Discrete_NFET[PARTNUMBER],Discrete_NFET[QOSSTYP]),"")</f>
        <v>47</v>
      </c>
      <c r="AB14" s="35">
        <f>IF(AND($A14&lt;&gt;0,$A14&lt;&gt;""),LOOKUP($A14,Discrete_NFET[PARTNUMBER],Discrete_NFET[QRR]),"")</f>
        <v>74</v>
      </c>
      <c r="AC14" s="35">
        <f>IF(AND(A14&lt;&gt;0,A14&lt;&gt;""),LOOKUP(A14,Discrete_NFET[PARTNUMBER],Discrete_NFET[VF_TYP]),"")</f>
        <v>0.85</v>
      </c>
      <c r="AD14" s="127">
        <f>IF(AND($A14&lt;&gt;0,$A14&lt;&gt;"",OR(RIGHT(Logic!B14,2)="C)",LEFT(Logic!B14,4)="CSD1")),(1+(1-DUTY))*IM_RMS_120^2*V14*m/3/Num_FETS3,"")</f>
        <v>9.4242940135426265E-2</v>
      </c>
      <c r="AE14" s="127">
        <f>IF(AND($A14&lt;&gt;0,$A14&lt;&gt;"",OR(RIGHT(Logic!B14,2)="C)",LEFT(Logic!B14,4)="CSD1")),Num_FETS3*0.5*IM_RMS_120*VDC_AVG*Z14*n*MOT_ELEC_FREQ/GDR_SRC,"")</f>
        <v>2.5477296181630545E-5</v>
      </c>
      <c r="AF14" s="127">
        <f>IF(AND($A14&lt;&gt;0,$A14&lt;&gt;"",OR(RIGHT(Logic!B14,2)="C)",LEFT(Logic!B14,4)="CSD1")),Num_FETS3*0.5*IM_RMS_120*VDC_AVG*Z14*n*MOT_ELEC_FREQ/GDR_SINK,"")</f>
        <v>1.7324561403508773E-5</v>
      </c>
      <c r="AG14" s="127">
        <f>IF(AND($A14&lt;&gt;0,$A14&lt;&gt;"",OR(RIGHT(Logic!B14,2)="T)",LEFT(Logic!B14,4)="CSD1")),DUTY*IM_RMS_120^2*V14*m/3/Num_FETS3,"")</f>
        <v>8.5267422027290429E-2</v>
      </c>
      <c r="AH14" s="127">
        <f>IF(AND($A14&lt;&gt;0,$A14&lt;&gt;"",OR(RIGHT(Logic!B14,2)="T)",LEFT(Logic!B14,4)="CSD1")),Num_FETS3*0.5*IM_RMS_120*VDC_AVG*Z14*n*FSW*k/GDR_SRC/3,"")</f>
        <v>5.095459236326109E-3</v>
      </c>
      <c r="AI14" s="127">
        <f>IF(AND($A14&lt;&gt;0,$A14&lt;&gt;"",OR(RIGHT(Logic!B14,2)="T)",LEFT(Logic!B14,4)="CSD1")),Num_FETS3*0.5*IM_RMS_120*VDC_AVG*Z14*n*FSW*k/GDR_SINK/3,"")</f>
        <v>3.4649122807017541E-3</v>
      </c>
      <c r="AJ14" s="127">
        <f t="shared" si="7"/>
        <v>5.64E-3</v>
      </c>
      <c r="AK14" s="127">
        <f t="shared" si="8"/>
        <v>1.3190478390718382E-2</v>
      </c>
      <c r="AL14" s="127">
        <f t="shared" si="9"/>
        <v>1.7789600000000003E-2</v>
      </c>
      <c r="AM14" s="127">
        <f t="shared" si="26"/>
        <v>0.39571435172155139</v>
      </c>
      <c r="AN14" s="127">
        <f>IF(AND($A14&lt;&gt;0,$A14&lt;&gt;"",OR(RIGHT(Logic!B14,2)="C)",LEFT(Logic!B14,4)="CSD1")),SUM(AD14:AF14)+(AJ14/3)+AK14+AL14/6+AM14/6,AN15)</f>
        <v>0.17827354567065501</v>
      </c>
      <c r="AO14" s="127">
        <f>IF(AND($A14&lt;&gt;0,$A14&lt;&gt;"",OR(RIGHT(Logic!B14,2)="T)",LEFT(Logic!B14,4)="CSD1")),SUM(AG14:AI14)+(AJ14/3)+AL14/6+AM14/6,AO13)</f>
        <v>0.16462511883124353</v>
      </c>
      <c r="AP14" s="48">
        <f t="shared" si="27"/>
        <v>0.34</v>
      </c>
      <c r="AQ14" s="35" t="str">
        <f>IF(AND(A14&lt;&gt;0,A14&lt;&gt;""),LOOKUP(A14,Discrete_NFET[PARTNUMBER],Discrete_NFET[TI_EQ_PACKAGE]),"")</f>
        <v>SON5X6</v>
      </c>
      <c r="AR14" s="49">
        <f>IF(AND(A14&lt;&gt;0,A14&lt;&gt;""),LOOKUP(A14,Discrete_NFET[PARTNUMBER],Discrete_NFET[1KPRICE]),"")</f>
        <v>0.64</v>
      </c>
      <c r="AS14" s="35" t="str">
        <f>IF(AND($A14&lt;&gt;0,$A14&lt;&gt;""),CONCATENATE(TEXT(AP14,"0.00"),"W, ",IF('User Input'!H$11="Single Discrete",A14,IF('User Input'!H$11="Dual/Power Block",LEFT(A14,FIND(")",A14)-7),A14)),", ",AQ14,", ",TEXT(AR14,"$0.00")),"Invalid Part")</f>
        <v>0.34W, CSD17311Q5, SON5X6, $0.64</v>
      </c>
      <c r="AT14" t="s">
        <v>828</v>
      </c>
      <c r="AW14"/>
    </row>
    <row r="15" spans="1:54" ht="15" customHeight="1" x14ac:dyDescent="0.25">
      <c r="A15" s="35" t="str">
        <f>IF(OR(AND(FET_config3="Dual/Power Block",LEFT(Logic!B15,4)="CSD8"),AND(FET_config3="Single Discrete",LEFT(Logic!B15,4)="CSD1")),Logic!B15,"")</f>
        <v>CSD17312Q5</v>
      </c>
      <c r="B15" s="37" t="str">
        <f>IF(OR($A15=0,$A15=""),"0",IF(LOOKUP($A15,Discrete_NFET[PARTNUMBER],Discrete_NFET[RDSON25])="(NULL)","0","1"))</f>
        <v>0</v>
      </c>
      <c r="C15" s="38" t="str">
        <f>IF(OR($A15=0,$A15=""),"0",IF(LOOKUP($A15,Discrete_NFET[PARTNUMBER],Discrete_NFET[RDSON3])="(NULL)","0","1"))</f>
        <v>1</v>
      </c>
      <c r="D15" s="40" t="str">
        <f>IF(OR($A15=0,$A15=""),"0",IF(LOOKUP($A15,Discrete_NFET[PARTNUMBER],Discrete_NFET[RDSON45])="(NULL)","0","1"))</f>
        <v>1</v>
      </c>
      <c r="E15" s="45" t="str">
        <f>IF(OR($A15=0,$A15=""),"0",IF(LOOKUP($A15,Discrete_NFET[PARTNUMBER],Discrete_NFET[RDSON6])="(NULL)","0","1"))</f>
        <v>0</v>
      </c>
      <c r="F15" s="34" t="str">
        <f>IF(OR($A15=0,$A15=""),"0",IF(LOOKUP($A15,Discrete_NFET[PARTNUMBER],Discrete_NFET[RDSON8])="(NULL)","0","1"))</f>
        <v>1</v>
      </c>
      <c r="G15" s="43" t="str">
        <f>IF(OR($A15=0,$A15=""),"0",IF(LOOKUP($A15,Discrete_NFET[PARTNUMBER],Discrete_NFET[RDSON10])="(NULL)","0","1"))</f>
        <v>0</v>
      </c>
      <c r="H15" s="36" t="b">
        <f t="shared" si="12"/>
        <v>0</v>
      </c>
      <c r="I15" s="39" t="b">
        <f t="shared" si="13"/>
        <v>1</v>
      </c>
      <c r="J15" s="41" t="b">
        <f t="shared" si="14"/>
        <v>1</v>
      </c>
      <c r="K15" s="46" t="b">
        <f t="shared" si="15"/>
        <v>0</v>
      </c>
      <c r="L15" s="42" t="b">
        <f t="shared" si="16"/>
        <v>1</v>
      </c>
      <c r="M15" s="44" t="b">
        <f t="shared" si="17"/>
        <v>0</v>
      </c>
      <c r="N15" s="47" t="b">
        <f t="shared" si="18"/>
        <v>1</v>
      </c>
      <c r="O15" s="36" t="b">
        <f t="shared" si="19"/>
        <v>0</v>
      </c>
      <c r="P15" s="39" t="b">
        <f t="shared" si="20"/>
        <v>1</v>
      </c>
      <c r="Q15" s="41" t="b">
        <f t="shared" si="21"/>
        <v>1</v>
      </c>
      <c r="R15" s="46" t="b">
        <f t="shared" si="22"/>
        <v>0</v>
      </c>
      <c r="S15" s="42" t="b">
        <f t="shared" si="23"/>
        <v>1</v>
      </c>
      <c r="T15" s="44" t="b">
        <f t="shared" si="24"/>
        <v>0</v>
      </c>
      <c r="U15" s="148">
        <f>IF(T15,LOOKUP(A15,Discrete_NFET[PARTNUMBER],Discrete_NFET[RDSON10])*1000,IF(S15,LOOKUP(A15,Discrete_NFET[PARTNUMBER],Discrete_NFET[RDSON8])*1000,IF(R15,LOOKUP(A15,Discrete_NFET[PARTNUMBER],Discrete_NFET[RDSON6])*1000,IF(Q15,LOOKUP(A15,Discrete_NFET[PARTNUMBER],Discrete_NFET[RDSON45])*1000,IF(P15,LOOKUP(A15,Discrete_NFET[PARTNUMBER],Discrete_NFET[RDSON3])*1000,IF(O15,LOOKUP(A15,Discrete_NFET[PARTNUMBER],Discrete_NFET[RDSON25])*1000,""))))))</f>
        <v>1.5</v>
      </c>
      <c r="V15" s="48">
        <f>IF(AND(A15&lt;&gt;0,A15&lt;&gt;""),U15*(1+(Tj-25)*(LOOKUP(A15,Discrete_NFET[PARTNUMBER],Discrete_NFET[RDSDELTA])/((LOOKUP(A15,Discrete_NFET[PARTNUMBER],Discrete_NFET[TJMAX])-25)))),"")</f>
        <v>1.6797</v>
      </c>
      <c r="W15" s="35">
        <f>IF(AND($A15&lt;&gt;0,$A15&lt;&gt;""),LOOKUP($A15,Discrete_NFET[PARTNUMBER],Discrete_NFET[QGS]),"")</f>
        <v>8.4</v>
      </c>
      <c r="X15" s="35">
        <f>IF(AND($A15&lt;&gt;0,$A15&lt;&gt;""),LOOKUP($A15,Discrete_NFET[PARTNUMBER],Discrete_NFET[QGD]),"")</f>
        <v>6</v>
      </c>
      <c r="Y15" s="35">
        <f>IF(AND($A15&lt;&gt;0,$A15&lt;&gt;""),LOOKUP($A15,Discrete_NFET[PARTNUMBER],Discrete_NFET[QGTH]),"")</f>
        <v>4.4000000000000004</v>
      </c>
      <c r="Z15" s="35">
        <f t="shared" si="25"/>
        <v>10</v>
      </c>
      <c r="AA15" s="35">
        <f>IF(AND($A15&lt;&gt;0,$A15&lt;&gt;""),LOOKUP($A15,Discrete_NFET[PARTNUMBER],Discrete_NFET[QOSSTYP]),"")</f>
        <v>57</v>
      </c>
      <c r="AB15" s="35">
        <f>IF(AND($A15&lt;&gt;0,$A15&lt;&gt;""),LOOKUP($A15,Discrete_NFET[PARTNUMBER],Discrete_NFET[QRR]),"")</f>
        <v>88</v>
      </c>
      <c r="AC15" s="35">
        <f>IF(AND(A15&lt;&gt;0,A15&lt;&gt;""),LOOKUP(A15,Discrete_NFET[PARTNUMBER],Discrete_NFET[VF_TYP]),"")</f>
        <v>0.8</v>
      </c>
      <c r="AD15" s="127">
        <f>IF(AND($A15&lt;&gt;0,$A15&lt;&gt;"",OR(RIGHT(Logic!B15,2)="C)",LEFT(Logic!B15,4)="CSD1")),(1+(1-DUTY))*IM_RMS_120^2*V15*m/3/Num_FETS3,"")</f>
        <v>7.0682205101569695E-2</v>
      </c>
      <c r="AE15" s="127">
        <f>IF(AND($A15&lt;&gt;0,$A15&lt;&gt;"",OR(RIGHT(Logic!B15,2)="C)",LEFT(Logic!B15,4)="CSD1")),Num_FETS3*0.5*IM_RMS_120*VDC_AVG*Z15*n*MOT_ELEC_FREQ/GDR_SRC,"")</f>
        <v>3.2249742002063981E-5</v>
      </c>
      <c r="AF15" s="127">
        <f>IF(AND($A15&lt;&gt;0,$A15&lt;&gt;"",OR(RIGHT(Logic!B15,2)="C)",LEFT(Logic!B15,4)="CSD1")),Num_FETS3*0.5*IM_RMS_120*VDC_AVG*Z15*n*MOT_ELEC_FREQ/GDR_SINK,"")</f>
        <v>2.1929824561403511E-5</v>
      </c>
      <c r="AG15" s="127">
        <f>IF(AND($A15&lt;&gt;0,$A15&lt;&gt;"",OR(RIGHT(Logic!B15,2)="T)",LEFT(Logic!B15,4)="CSD1")),DUTY*IM_RMS_120^2*V15*m/3/Num_FETS3,"")</f>
        <v>6.3950566520467822E-2</v>
      </c>
      <c r="AH15" s="127">
        <f>IF(AND($A15&lt;&gt;0,$A15&lt;&gt;"",OR(RIGHT(Logic!B15,2)="T)",LEFT(Logic!B15,4)="CSD1")),Num_FETS3*0.5*IM_RMS_120*VDC_AVG*Z15*n*FSW*k/GDR_SRC/3,"")</f>
        <v>6.4499484004127972E-3</v>
      </c>
      <c r="AI15" s="127">
        <f>IF(AND($A15&lt;&gt;0,$A15&lt;&gt;"",OR(RIGHT(Logic!B15,2)="T)",LEFT(Logic!B15,4)="CSD1")),Num_FETS3*0.5*IM_RMS_120*VDC_AVG*Z15*n*FSW*k/GDR_SINK/3,"")</f>
        <v>4.3859649122807024E-3</v>
      </c>
      <c r="AJ15" s="127">
        <f t="shared" si="7"/>
        <v>6.8400000000000006E-3</v>
      </c>
      <c r="AK15" s="127">
        <f t="shared" si="8"/>
        <v>1.2414567897146714E-2</v>
      </c>
      <c r="AL15" s="127">
        <f t="shared" si="9"/>
        <v>2.1155200000000002E-2</v>
      </c>
      <c r="AM15" s="127">
        <f t="shared" si="26"/>
        <v>0.37243703691440144</v>
      </c>
      <c r="AN15" s="127">
        <f>IF(AND($A15&lt;&gt;0,$A15&lt;&gt;"",OR(RIGHT(Logic!B15,2)="C)",LEFT(Logic!B15,4)="CSD1")),SUM(AD15:AF15)+(AJ15/3)+AK15+AL15/6+AM15/6,AN16)</f>
        <v>0.15102965871768015</v>
      </c>
      <c r="AO15" s="127">
        <f>IF(AND($A15&lt;&gt;0,$A15&lt;&gt;"",OR(RIGHT(Logic!B15,2)="T)",LEFT(Logic!B15,4)="CSD1")),SUM(AG15:AI15)+(AJ15/3)+AL15/6+AM15/6,AO14)</f>
        <v>0.14266518598556158</v>
      </c>
      <c r="AP15" s="48">
        <f t="shared" si="27"/>
        <v>0.28999999999999998</v>
      </c>
      <c r="AQ15" s="35" t="str">
        <f>IF(AND(A15&lt;&gt;0,A15&lt;&gt;""),LOOKUP(A15,Discrete_NFET[PARTNUMBER],Discrete_NFET[TI_EQ_PACKAGE]),"")</f>
        <v>SON5X6</v>
      </c>
      <c r="AR15" s="49">
        <f>IF(AND(A15&lt;&gt;0,A15&lt;&gt;""),LOOKUP(A15,Discrete_NFET[PARTNUMBER],Discrete_NFET[1KPRICE]),"")</f>
        <v>0.73</v>
      </c>
      <c r="AS15" s="35" t="str">
        <f>IF(AND($A15&lt;&gt;0,$A15&lt;&gt;""),CONCATENATE(TEXT(AP15,"0.00"),"W, ",IF('User Input'!H$11="Single Discrete",A15,IF('User Input'!H$11="Dual/Power Block",LEFT(A15,FIND(")",A15)-7),A15)),", ",AQ15,", ",TEXT(AR15,"$0.00")),"Invalid Part")</f>
        <v>0.29W, CSD17312Q5, SON5X6, $0.73</v>
      </c>
      <c r="AT15" t="s">
        <v>851</v>
      </c>
      <c r="AW15"/>
    </row>
    <row r="16" spans="1:54" ht="15" customHeight="1" x14ac:dyDescent="0.25">
      <c r="A16" s="35" t="str">
        <f>IF(OR(AND(FET_config3="Dual/Power Block",LEFT(Logic!B16,4)="CSD8"),AND(FET_config3="Single Discrete",LEFT(Logic!B16,4)="CSD1")),Logic!B16,"")</f>
        <v>CSD17313Q2</v>
      </c>
      <c r="B16" s="37" t="str">
        <f>IF(OR($A16=0,$A16=""),"0",IF(LOOKUP($A16,Discrete_NFET[PARTNUMBER],Discrete_NFET[RDSON25])="(NULL)","0","1"))</f>
        <v>0</v>
      </c>
      <c r="C16" s="38" t="str">
        <f>IF(OR($A16=0,$A16=""),"0",IF(LOOKUP($A16,Discrete_NFET[PARTNUMBER],Discrete_NFET[RDSON3])="(NULL)","0","1"))</f>
        <v>1</v>
      </c>
      <c r="D16" s="40" t="str">
        <f>IF(OR($A16=0,$A16=""),"0",IF(LOOKUP($A16,Discrete_NFET[PARTNUMBER],Discrete_NFET[RDSON45])="(NULL)","0","1"))</f>
        <v>1</v>
      </c>
      <c r="E16" s="45" t="str">
        <f>IF(OR($A16=0,$A16=""),"0",IF(LOOKUP($A16,Discrete_NFET[PARTNUMBER],Discrete_NFET[RDSON6])="(NULL)","0","1"))</f>
        <v>0</v>
      </c>
      <c r="F16" s="34" t="str">
        <f>IF(OR($A16=0,$A16=""),"0",IF(LOOKUP($A16,Discrete_NFET[PARTNUMBER],Discrete_NFET[RDSON8])="(NULL)","0","1"))</f>
        <v>1</v>
      </c>
      <c r="G16" s="43" t="str">
        <f>IF(OR($A16=0,$A16=""),"0",IF(LOOKUP($A16,Discrete_NFET[PARTNUMBER],Discrete_NFET[RDSON10])="(NULL)","0","1"))</f>
        <v>0</v>
      </c>
      <c r="H16" s="36" t="b">
        <f t="shared" si="12"/>
        <v>0</v>
      </c>
      <c r="I16" s="39" t="b">
        <f t="shared" si="13"/>
        <v>1</v>
      </c>
      <c r="J16" s="41" t="b">
        <f t="shared" si="14"/>
        <v>1</v>
      </c>
      <c r="K16" s="46" t="b">
        <f t="shared" si="15"/>
        <v>0</v>
      </c>
      <c r="L16" s="42" t="b">
        <f t="shared" si="16"/>
        <v>1</v>
      </c>
      <c r="M16" s="44" t="b">
        <f t="shared" si="17"/>
        <v>0</v>
      </c>
      <c r="N16" s="47" t="b">
        <f t="shared" si="18"/>
        <v>1</v>
      </c>
      <c r="O16" s="36" t="b">
        <f t="shared" si="19"/>
        <v>0</v>
      </c>
      <c r="P16" s="39" t="b">
        <f t="shared" si="20"/>
        <v>1</v>
      </c>
      <c r="Q16" s="41" t="b">
        <f t="shared" si="21"/>
        <v>1</v>
      </c>
      <c r="R16" s="46" t="b">
        <f t="shared" si="22"/>
        <v>0</v>
      </c>
      <c r="S16" s="42" t="b">
        <f t="shared" si="23"/>
        <v>1</v>
      </c>
      <c r="T16" s="44" t="b">
        <f t="shared" si="24"/>
        <v>0</v>
      </c>
      <c r="U16" s="148">
        <f>IF(T16,LOOKUP(A16,Discrete_NFET[PARTNUMBER],Discrete_NFET[RDSON10])*1000,IF(S16,LOOKUP(A16,Discrete_NFET[PARTNUMBER],Discrete_NFET[RDSON8])*1000,IF(R16,LOOKUP(A16,Discrete_NFET[PARTNUMBER],Discrete_NFET[RDSON6])*1000,IF(Q16,LOOKUP(A16,Discrete_NFET[PARTNUMBER],Discrete_NFET[RDSON45])*1000,IF(P16,LOOKUP(A16,Discrete_NFET[PARTNUMBER],Discrete_NFET[RDSON3])*1000,IF(O16,LOOKUP(A16,Discrete_NFET[PARTNUMBER],Discrete_NFET[RDSON25])*1000,""))))))</f>
        <v>30</v>
      </c>
      <c r="V16" s="48">
        <f>IF(AND(A16&lt;&gt;0,A16&lt;&gt;""),U16*(1+(Tj-25)*(LOOKUP(A16,Discrete_NFET[PARTNUMBER],Discrete_NFET[RDSDELTA])/((LOOKUP(A16,Discrete_NFET[PARTNUMBER],Discrete_NFET[TJMAX])-25)))),"")</f>
        <v>32.880000000000003</v>
      </c>
      <c r="W16" s="35">
        <f>IF(AND($A16&lt;&gt;0,$A16&lt;&gt;""),LOOKUP($A16,Discrete_NFET[PARTNUMBER],Discrete_NFET[QGS]),"")</f>
        <v>0.7</v>
      </c>
      <c r="X16" s="35">
        <f>IF(AND($A16&lt;&gt;0,$A16&lt;&gt;""),LOOKUP($A16,Discrete_NFET[PARTNUMBER],Discrete_NFET[QGD]),"")</f>
        <v>0.4</v>
      </c>
      <c r="Y16" s="35">
        <f>IF(AND($A16&lt;&gt;0,$A16&lt;&gt;""),LOOKUP($A16,Discrete_NFET[PARTNUMBER],Discrete_NFET[QGTH]),"")</f>
        <v>0.3</v>
      </c>
      <c r="Z16" s="35">
        <f t="shared" si="25"/>
        <v>0.8</v>
      </c>
      <c r="AA16" s="35">
        <f>IF(AND($A16&lt;&gt;0,$A16&lt;&gt;""),LOOKUP($A16,Discrete_NFET[PARTNUMBER],Discrete_NFET[QOSSTYP]),"")</f>
        <v>3.8</v>
      </c>
      <c r="AB16" s="35">
        <f>IF(AND($A16&lt;&gt;0,$A16&lt;&gt;""),LOOKUP($A16,Discrete_NFET[PARTNUMBER],Discrete_NFET[QRR]),"")</f>
        <v>6.4</v>
      </c>
      <c r="AC16" s="35">
        <f>IF(AND(A16&lt;&gt;0,A16&lt;&gt;""),LOOKUP(A16,Discrete_NFET[PARTNUMBER],Discrete_NFET[VF_TYP]),"")</f>
        <v>0.85</v>
      </c>
      <c r="AD16" s="127">
        <f>IF(AND($A16&lt;&gt;0,$A16&lt;&gt;"",OR(RIGHT(Logic!B16,2)="C)",LEFT(Logic!B16,4)="CSD1")),(1+(1-DUTY))*IM_RMS_120^2*V16*m/3/Num_FETS3,"")</f>
        <v>1.3835987996306554</v>
      </c>
      <c r="AE16" s="127">
        <f>IF(AND($A16&lt;&gt;0,$A16&lt;&gt;"",OR(RIGHT(Logic!B16,2)="C)",LEFT(Logic!B16,4)="CSD1")),Num_FETS3*0.5*IM_RMS_120*VDC_AVG*Z16*n*MOT_ELEC_FREQ/GDR_SRC,"")</f>
        <v>2.5799793601651189E-6</v>
      </c>
      <c r="AF16" s="127">
        <f>IF(AND($A16&lt;&gt;0,$A16&lt;&gt;"",OR(RIGHT(Logic!B16,2)="C)",LEFT(Logic!B16,4)="CSD1")),Num_FETS3*0.5*IM_RMS_120*VDC_AVG*Z16*n*MOT_ELEC_FREQ/GDR_SINK,"")</f>
        <v>1.754385964912281E-6</v>
      </c>
      <c r="AG16" s="127">
        <f>IF(AND($A16&lt;&gt;0,$A16&lt;&gt;"",OR(RIGHT(Logic!B16,2)="T)",LEFT(Logic!B16,4)="CSD1")),DUTY*IM_RMS_120^2*V16*m/3/Num_FETS3,"")</f>
        <v>1.2518274853801168</v>
      </c>
      <c r="AH16" s="127">
        <f>IF(AND($A16&lt;&gt;0,$A16&lt;&gt;"",OR(RIGHT(Logic!B16,2)="T)",LEFT(Logic!B16,4)="CSD1")),Num_FETS3*0.5*IM_RMS_120*VDC_AVG*Z16*n*FSW*k/GDR_SRC/3,"")</f>
        <v>5.159958720330238E-4</v>
      </c>
      <c r="AI16" s="127">
        <f>IF(AND($A16&lt;&gt;0,$A16&lt;&gt;"",OR(RIGHT(Logic!B16,2)="T)",LEFT(Logic!B16,4)="CSD1")),Num_FETS3*0.5*IM_RMS_120*VDC_AVG*Z16*n*FSW*k/GDR_SINK/3,"")</f>
        <v>3.5087719298245622E-4</v>
      </c>
      <c r="AJ16" s="127">
        <f t="shared" si="7"/>
        <v>4.5599999999999997E-4</v>
      </c>
      <c r="AK16" s="127">
        <f t="shared" si="8"/>
        <v>1.3190478390718382E-2</v>
      </c>
      <c r="AL16" s="127">
        <f t="shared" si="9"/>
        <v>1.5385600000000002E-3</v>
      </c>
      <c r="AM16" s="127">
        <f t="shared" si="26"/>
        <v>0.39571435172155139</v>
      </c>
      <c r="AN16" s="127">
        <f>IF(AND($A16&lt;&gt;0,$A16&lt;&gt;"",OR(RIGHT(Logic!B16,2)="C)",LEFT(Logic!B16,4)="CSD1")),SUM(AD16:AF16)+(AJ16/3)+AK16+AL16/6+AM16/6,AN17)</f>
        <v>1.4631544310069573</v>
      </c>
      <c r="AO16" s="127">
        <f>IF(AND($A16&lt;&gt;0,$A16&lt;&gt;"",OR(RIGHT(Logic!B16,2)="T)",LEFT(Logic!B16,4)="CSD1")),SUM(AG16:AI16)+(AJ16/3)+AL16/6+AM16/6,AO15)</f>
        <v>1.3190551770653909</v>
      </c>
      <c r="AP16" s="48">
        <f t="shared" si="27"/>
        <v>2.78</v>
      </c>
      <c r="AQ16" s="35" t="str">
        <f>IF(AND(A16&lt;&gt;0,A16&lt;&gt;""),LOOKUP(A16,Discrete_NFET[PARTNUMBER],Discrete_NFET[TI_EQ_PACKAGE]),"")</f>
        <v>SON2X2</v>
      </c>
      <c r="AR16" s="49">
        <f>IF(AND(A16&lt;&gt;0,A16&lt;&gt;""),LOOKUP(A16,Discrete_NFET[PARTNUMBER],Discrete_NFET[1KPRICE]),"")</f>
        <v>0.13</v>
      </c>
      <c r="AS16" s="35" t="str">
        <f>IF(AND($A16&lt;&gt;0,$A16&lt;&gt;""),CONCATENATE(TEXT(AP16,"0.00"),"W, ",IF('User Input'!H$11="Single Discrete",A16,IF('User Input'!H$11="Dual/Power Block",LEFT(A16,FIND(")",A16)-7),A16)),", ",AQ16,", ",TEXT(AR16,"$0.00")),"Invalid Part")</f>
        <v>2.78W, CSD17313Q2, SON2X2, $0.13</v>
      </c>
      <c r="AT16" t="s">
        <v>796</v>
      </c>
      <c r="AW16"/>
    </row>
    <row r="17" spans="1:50" ht="15" customHeight="1" x14ac:dyDescent="0.25">
      <c r="A17" s="35" t="str">
        <f>IF(OR(AND(FET_config3="Dual/Power Block",LEFT(Logic!B17,4)="CSD8"),AND(FET_config3="Single Discrete",LEFT(Logic!B17,4)="CSD1")),Logic!B17,"")</f>
        <v>CSD17318Q2</v>
      </c>
      <c r="B17" s="37" t="str">
        <f>IF(OR($A17=0,$A17=""),"0",IF(LOOKUP($A17,Discrete_NFET[PARTNUMBER],Discrete_NFET[RDSON25])="(NULL)","0","1"))</f>
        <v>1</v>
      </c>
      <c r="C17" s="38" t="str">
        <f>IF(OR($A17=0,$A17=""),"0",IF(LOOKUP($A17,Discrete_NFET[PARTNUMBER],Discrete_NFET[RDSON3])="(NULL)","0","1"))</f>
        <v>0</v>
      </c>
      <c r="D17" s="40" t="str">
        <f>IF(OR($A17=0,$A17=""),"0",IF(LOOKUP($A17,Discrete_NFET[PARTNUMBER],Discrete_NFET[RDSON45])="(NULL)","0","1"))</f>
        <v>1</v>
      </c>
      <c r="E17" s="45" t="str">
        <f>IF(OR($A17=0,$A17=""),"0",IF(LOOKUP($A17,Discrete_NFET[PARTNUMBER],Discrete_NFET[RDSON6])="(NULL)","0","1"))</f>
        <v>0</v>
      </c>
      <c r="F17" s="34" t="str">
        <f>IF(OR($A17=0,$A17=""),"0",IF(LOOKUP($A17,Discrete_NFET[PARTNUMBER],Discrete_NFET[RDSON8])="(NULL)","0","1"))</f>
        <v>1</v>
      </c>
      <c r="G17" s="43" t="str">
        <f>IF(OR($A17=0,$A17=""),"0",IF(LOOKUP($A17,Discrete_NFET[PARTNUMBER],Discrete_NFET[RDSON10])="(NULL)","0","1"))</f>
        <v>0</v>
      </c>
      <c r="H17" s="36" t="b">
        <f t="shared" si="12"/>
        <v>1</v>
      </c>
      <c r="I17" s="39" t="b">
        <f t="shared" si="13"/>
        <v>0</v>
      </c>
      <c r="J17" s="41" t="b">
        <f t="shared" si="14"/>
        <v>1</v>
      </c>
      <c r="K17" s="46" t="b">
        <f t="shared" si="15"/>
        <v>0</v>
      </c>
      <c r="L17" s="42" t="b">
        <f t="shared" si="16"/>
        <v>1</v>
      </c>
      <c r="M17" s="44" t="b">
        <f t="shared" si="17"/>
        <v>0</v>
      </c>
      <c r="N17" s="47" t="b">
        <f t="shared" si="18"/>
        <v>1</v>
      </c>
      <c r="O17" s="36" t="b">
        <f t="shared" si="19"/>
        <v>1</v>
      </c>
      <c r="P17" s="39" t="b">
        <f t="shared" si="20"/>
        <v>0</v>
      </c>
      <c r="Q17" s="41" t="b">
        <f t="shared" si="21"/>
        <v>1</v>
      </c>
      <c r="R17" s="46" t="b">
        <f t="shared" si="22"/>
        <v>0</v>
      </c>
      <c r="S17" s="42" t="b">
        <f t="shared" si="23"/>
        <v>1</v>
      </c>
      <c r="T17" s="44" t="b">
        <f t="shared" si="24"/>
        <v>0</v>
      </c>
      <c r="U17" s="148">
        <f>IF(T17,LOOKUP(A17,Discrete_NFET[PARTNUMBER],Discrete_NFET[RDSON10])*1000,IF(S17,LOOKUP(A17,Discrete_NFET[PARTNUMBER],Discrete_NFET[RDSON8])*1000,IF(R17,LOOKUP(A17,Discrete_NFET[PARTNUMBER],Discrete_NFET[RDSON6])*1000,IF(Q17,LOOKUP(A17,Discrete_NFET[PARTNUMBER],Discrete_NFET[RDSON45])*1000,IF(P17,LOOKUP(A17,Discrete_NFET[PARTNUMBER],Discrete_NFET[RDSON3])*1000,IF(O17,LOOKUP(A17,Discrete_NFET[PARTNUMBER],Discrete_NFET[RDSON25])*1000,""))))))</f>
        <v>15.100000000000001</v>
      </c>
      <c r="V17" s="48">
        <f>IF(AND(A17&lt;&gt;0,A17&lt;&gt;""),U17*(1+(Tj-25)*(LOOKUP(A17,Discrete_NFET[PARTNUMBER],Discrete_NFET[RDSDELTA])/((LOOKUP(A17,Discrete_NFET[PARTNUMBER],Discrete_NFET[TJMAX])-25)))),"")</f>
        <v>17.062999999999999</v>
      </c>
      <c r="W17" s="35">
        <f>IF(AND($A17&lt;&gt;0,$A17&lt;&gt;""),LOOKUP($A17,Discrete_NFET[PARTNUMBER],Discrete_NFET[QGS]),"")</f>
        <v>1.5</v>
      </c>
      <c r="X17" s="35">
        <f>IF(AND($A17&lt;&gt;0,$A17&lt;&gt;""),LOOKUP($A17,Discrete_NFET[PARTNUMBER],Discrete_NFET[QGD]),"")</f>
        <v>1.3</v>
      </c>
      <c r="Y17" s="35">
        <f>IF(AND($A17&lt;&gt;0,$A17&lt;&gt;""),LOOKUP($A17,Discrete_NFET[PARTNUMBER],Discrete_NFET[QGTH]),"")</f>
        <v>0.7</v>
      </c>
      <c r="Z17" s="35">
        <f t="shared" si="25"/>
        <v>2.0999999999999996</v>
      </c>
      <c r="AA17" s="35">
        <f>IF(AND($A17&lt;&gt;0,$A17&lt;&gt;""),LOOKUP($A17,Discrete_NFET[PARTNUMBER],Discrete_NFET[QOSSTYP]),"")</f>
        <v>2.7</v>
      </c>
      <c r="AB17" s="35">
        <f>IF(AND($A17&lt;&gt;0,$A17&lt;&gt;""),LOOKUP($A17,Discrete_NFET[PARTNUMBER],Discrete_NFET[QRR]),"")</f>
        <v>2.9</v>
      </c>
      <c r="AC17" s="35">
        <f>IF(AND(A17&lt;&gt;0,A17&lt;&gt;""),LOOKUP(A17,Discrete_NFET[PARTNUMBER],Discrete_NFET[VF_TYP]),"")</f>
        <v>0.8</v>
      </c>
      <c r="AD17" s="127">
        <f>IF(AND($A17&lt;&gt;0,$A17&lt;&gt;"",OR(RIGHT(Logic!B17,2)="C)",LEFT(Logic!B17,4)="CSD1")),(1+(1-DUTY))*IM_RMS_120^2*V17*m/3/Num_FETS3,"")</f>
        <v>0.71801539896891331</v>
      </c>
      <c r="AE17" s="127">
        <f>IF(AND($A17&lt;&gt;0,$A17&lt;&gt;"",OR(RIGHT(Logic!B17,2)="C)",LEFT(Logic!B17,4)="CSD1")),Num_FETS3*0.5*IM_RMS_120*VDC_AVG*Z17*n*MOT_ELEC_FREQ/GDR_SRC,"")</f>
        <v>6.7724458204334364E-6</v>
      </c>
      <c r="AF17" s="127">
        <f>IF(AND($A17&lt;&gt;0,$A17&lt;&gt;"",OR(RIGHT(Logic!B17,2)="C)",LEFT(Logic!B17,4)="CSD1")),Num_FETS3*0.5*IM_RMS_120*VDC_AVG*Z17*n*MOT_ELEC_FREQ/GDR_SINK,"")</f>
        <v>4.6052631578947368E-6</v>
      </c>
      <c r="AG17" s="127">
        <f>IF(AND($A17&lt;&gt;0,$A17&lt;&gt;"",OR(RIGHT(Logic!B17,2)="T)",LEFT(Logic!B17,4)="CSD1")),DUTY*IM_RMS_120^2*V17*m/3/Num_FETS3,"")</f>
        <v>0.64963298001949299</v>
      </c>
      <c r="AH17" s="127">
        <f>IF(AND($A17&lt;&gt;0,$A17&lt;&gt;"",OR(RIGHT(Logic!B17,2)="T)",LEFT(Logic!B17,4)="CSD1")),Num_FETS3*0.5*IM_RMS_120*VDC_AVG*Z17*n*FSW*k/GDR_SRC/3,"")</f>
        <v>1.3544891640866871E-3</v>
      </c>
      <c r="AI17" s="127">
        <f>IF(AND($A17&lt;&gt;0,$A17&lt;&gt;"",OR(RIGHT(Logic!B17,2)="T)",LEFT(Logic!B17,4)="CSD1")),Num_FETS3*0.5*IM_RMS_120*VDC_AVG*Z17*n*FSW*k/GDR_SINK/3,"")</f>
        <v>9.2105263157894713E-4</v>
      </c>
      <c r="AJ17" s="127">
        <f t="shared" si="7"/>
        <v>3.2400000000000007E-4</v>
      </c>
      <c r="AK17" s="127">
        <f t="shared" si="8"/>
        <v>1.2414567897146714E-2</v>
      </c>
      <c r="AL17" s="127">
        <f t="shared" si="9"/>
        <v>6.9715999999999995E-4</v>
      </c>
      <c r="AM17" s="127">
        <f t="shared" si="26"/>
        <v>0.37243703691440144</v>
      </c>
      <c r="AN17" s="127">
        <f>IF(AND($A17&lt;&gt;0,$A17&lt;&gt;"",OR(RIGHT(Logic!B17,2)="C)",LEFT(Logic!B17,4)="CSD1")),SUM(AD17:AF17)+(AJ17/3)+AK17+AL17/6+AM17/6,AN18)</f>
        <v>0.79273837739410535</v>
      </c>
      <c r="AO17" s="127">
        <f>IF(AND($A17&lt;&gt;0,$A17&lt;&gt;"",OR(RIGHT(Logic!B17,2)="T)",LEFT(Logic!B17,4)="CSD1")),SUM(AG17:AI17)+(AJ17/3)+AL17/6+AM17/6,AO16)</f>
        <v>0.71420555463422553</v>
      </c>
      <c r="AP17" s="48">
        <f t="shared" si="27"/>
        <v>1.51</v>
      </c>
      <c r="AQ17" s="35" t="str">
        <f>IF(AND(A17&lt;&gt;0,A17&lt;&gt;""),LOOKUP(A17,Discrete_NFET[PARTNUMBER],Discrete_NFET[TI_EQ_PACKAGE]),"")</f>
        <v>SON2X2</v>
      </c>
      <c r="AR17" s="49">
        <f>IF(AND(A17&lt;&gt;0,A17&lt;&gt;""),LOOKUP(A17,Discrete_NFET[PARTNUMBER],Discrete_NFET[1KPRICE]),"")</f>
        <v>0.11</v>
      </c>
      <c r="AS17" s="35" t="str">
        <f>IF(AND($A17&lt;&gt;0,$A17&lt;&gt;""),CONCATENATE(TEXT(AP17,"0.00"),"W, ",IF('User Input'!H$11="Single Discrete",A17,IF('User Input'!H$11="Dual/Power Block",LEFT(A17,FIND(")",A17)-7),A17)),", ",AQ17,", ",TEXT(AR17,"$0.00")),"Invalid Part")</f>
        <v>1.51W, CSD17318Q2, SON2X2, $0.11</v>
      </c>
      <c r="AT17" t="s">
        <v>850</v>
      </c>
      <c r="AW17"/>
    </row>
    <row r="18" spans="1:50" ht="15" customHeight="1" x14ac:dyDescent="0.25">
      <c r="A18" s="35" t="str">
        <f>IF(OR(AND(FET_config3="Dual/Power Block",LEFT(Logic!B18,4)="CSD8"),AND(FET_config3="Single Discrete",LEFT(Logic!B18,4)="CSD1")),Logic!B18,"")</f>
        <v>CSD17322Q5A</v>
      </c>
      <c r="B18" s="37" t="str">
        <f>IF(OR($A18=0,$A18=""),"0",IF(LOOKUP($A18,Discrete_NFET[PARTNUMBER],Discrete_NFET[RDSON25])="(NULL)","0","1"))</f>
        <v>0</v>
      </c>
      <c r="C18" s="38" t="str">
        <f>IF(OR($A18=0,$A18=""),"0",IF(LOOKUP($A18,Discrete_NFET[PARTNUMBER],Discrete_NFET[RDSON3])="(NULL)","0","1"))</f>
        <v>0</v>
      </c>
      <c r="D18" s="40" t="str">
        <f>IF(OR($A18=0,$A18=""),"0",IF(LOOKUP($A18,Discrete_NFET[PARTNUMBER],Discrete_NFET[RDSON45])="(NULL)","0","1"))</f>
        <v>1</v>
      </c>
      <c r="E18" s="45" t="str">
        <f>IF(OR($A18=0,$A18=""),"0",IF(LOOKUP($A18,Discrete_NFET[PARTNUMBER],Discrete_NFET[RDSON6])="(NULL)","0","1"))</f>
        <v>0</v>
      </c>
      <c r="F18" s="34" t="str">
        <f>IF(OR($A18=0,$A18=""),"0",IF(LOOKUP($A18,Discrete_NFET[PARTNUMBER],Discrete_NFET[RDSON8])="(NULL)","0","1"))</f>
        <v>1</v>
      </c>
      <c r="G18" s="43" t="str">
        <f>IF(OR($A18=0,$A18=""),"0",IF(LOOKUP($A18,Discrete_NFET[PARTNUMBER],Discrete_NFET[RDSON10])="(NULL)","0","1"))</f>
        <v>0</v>
      </c>
      <c r="H18" s="36" t="b">
        <f t="shared" si="12"/>
        <v>0</v>
      </c>
      <c r="I18" s="39" t="b">
        <f t="shared" si="13"/>
        <v>0</v>
      </c>
      <c r="J18" s="41" t="b">
        <f t="shared" si="14"/>
        <v>1</v>
      </c>
      <c r="K18" s="46" t="b">
        <f t="shared" si="15"/>
        <v>0</v>
      </c>
      <c r="L18" s="42" t="b">
        <f t="shared" si="16"/>
        <v>1</v>
      </c>
      <c r="M18" s="44" t="b">
        <f t="shared" si="17"/>
        <v>0</v>
      </c>
      <c r="N18" s="47" t="b">
        <f t="shared" si="18"/>
        <v>1</v>
      </c>
      <c r="O18" s="36" t="b">
        <f t="shared" si="19"/>
        <v>0</v>
      </c>
      <c r="P18" s="39" t="b">
        <f t="shared" si="20"/>
        <v>0</v>
      </c>
      <c r="Q18" s="41" t="b">
        <f t="shared" si="21"/>
        <v>1</v>
      </c>
      <c r="R18" s="46" t="b">
        <f t="shared" si="22"/>
        <v>0</v>
      </c>
      <c r="S18" s="42" t="b">
        <f t="shared" si="23"/>
        <v>1</v>
      </c>
      <c r="T18" s="44" t="b">
        <f t="shared" si="24"/>
        <v>0</v>
      </c>
      <c r="U18" s="148">
        <f>IF(T18,LOOKUP(A18,Discrete_NFET[PARTNUMBER],Discrete_NFET[RDSON10])*1000,IF(S18,LOOKUP(A18,Discrete_NFET[PARTNUMBER],Discrete_NFET[RDSON8])*1000,IF(R18,LOOKUP(A18,Discrete_NFET[PARTNUMBER],Discrete_NFET[RDSON6])*1000,IF(Q18,LOOKUP(A18,Discrete_NFET[PARTNUMBER],Discrete_NFET[RDSON45])*1000,IF(P18,LOOKUP(A18,Discrete_NFET[PARTNUMBER],Discrete_NFET[RDSON3])*1000,IF(O18,LOOKUP(A18,Discrete_NFET[PARTNUMBER],Discrete_NFET[RDSON25])*1000,""))))))</f>
        <v>8.8000000000000007</v>
      </c>
      <c r="V18" s="48">
        <f>IF(AND(A18&lt;&gt;0,A18&lt;&gt;""),U18*(1+(Tj-25)*(LOOKUP(A18,Discrete_NFET[PARTNUMBER],Discrete_NFET[RDSDELTA])/((LOOKUP(A18,Discrete_NFET[PARTNUMBER],Discrete_NFET[TJMAX])-25)))),"")</f>
        <v>9.6800000000000015</v>
      </c>
      <c r="W18" s="35">
        <f>IF(AND($A18&lt;&gt;0,$A18&lt;&gt;""),LOOKUP($A18,Discrete_NFET[PARTNUMBER],Discrete_NFET[QGS]),"")</f>
        <v>1.6</v>
      </c>
      <c r="X18" s="35">
        <f>IF(AND($A18&lt;&gt;0,$A18&lt;&gt;""),LOOKUP($A18,Discrete_NFET[PARTNUMBER],Discrete_NFET[QGD]),"")</f>
        <v>1.1000000000000001</v>
      </c>
      <c r="Y18" s="35">
        <f>IF(AND($A18&lt;&gt;0,$A18&lt;&gt;""),LOOKUP($A18,Discrete_NFET[PARTNUMBER],Discrete_NFET[QGTH]),"")</f>
        <v>0.9</v>
      </c>
      <c r="Z18" s="35">
        <f t="shared" si="25"/>
        <v>1.8000000000000003</v>
      </c>
      <c r="AA18" s="35">
        <f>IF(AND($A18&lt;&gt;0,$A18&lt;&gt;""),LOOKUP($A18,Discrete_NFET[PARTNUMBER],Discrete_NFET[QOSSTYP]),"")</f>
        <v>8.6</v>
      </c>
      <c r="AB18" s="35">
        <f>IF(AND($A18&lt;&gt;0,$A18&lt;&gt;""),LOOKUP($A18,Discrete_NFET[PARTNUMBER],Discrete_NFET[QRR]),"")</f>
        <v>19.600000000000001</v>
      </c>
      <c r="AC18" s="35">
        <f>IF(AND(A18&lt;&gt;0,A18&lt;&gt;""),LOOKUP(A18,Discrete_NFET[PARTNUMBER],Discrete_NFET[VF_TYP]),"")</f>
        <v>0.85</v>
      </c>
      <c r="AD18" s="127">
        <f>IF(AND($A18&lt;&gt;0,$A18&lt;&gt;"",OR(RIGHT(Logic!B18,2)="C)",LEFT(Logic!B18,4)="CSD1")),(1+(1-DUTY))*IM_RMS_120^2*V18*m/3/Num_FETS3,"")</f>
        <v>0.40733687288396431</v>
      </c>
      <c r="AE18" s="127">
        <f>IF(AND($A18&lt;&gt;0,$A18&lt;&gt;"",OR(RIGHT(Logic!B18,2)="C)",LEFT(Logic!B18,4)="CSD1")),Num_FETS3*0.5*IM_RMS_120*VDC_AVG*Z18*n*MOT_ELEC_FREQ/GDR_SRC,"")</f>
        <v>5.8049535603715175E-6</v>
      </c>
      <c r="AF18" s="127">
        <f>IF(AND($A18&lt;&gt;0,$A18&lt;&gt;"",OR(RIGHT(Logic!B18,2)="C)",LEFT(Logic!B18,4)="CSD1")),Num_FETS3*0.5*IM_RMS_120*VDC_AVG*Z18*n*MOT_ELEC_FREQ/GDR_SINK,"")</f>
        <v>3.9473684210526323E-6</v>
      </c>
      <c r="AG18" s="127">
        <f>IF(AND($A18&lt;&gt;0,$A18&lt;&gt;"",OR(RIGHT(Logic!B18,2)="T)",LEFT(Logic!B18,4)="CSD1")),DUTY*IM_RMS_120^2*V18*m/3/Num_FETS3,"")</f>
        <v>0.36854288499025339</v>
      </c>
      <c r="AH18" s="127">
        <f>IF(AND($A18&lt;&gt;0,$A18&lt;&gt;"",OR(RIGHT(Logic!B18,2)="T)",LEFT(Logic!B18,4)="CSD1")),Num_FETS3*0.5*IM_RMS_120*VDC_AVG*Z18*n*FSW*k/GDR_SRC/3,"")</f>
        <v>1.1609907120743034E-3</v>
      </c>
      <c r="AI18" s="127">
        <f>IF(AND($A18&lt;&gt;0,$A18&lt;&gt;"",OR(RIGHT(Logic!B18,2)="T)",LEFT(Logic!B18,4)="CSD1")),Num_FETS3*0.5*IM_RMS_120*VDC_AVG*Z18*n*FSW*k/GDR_SINK/3,"")</f>
        <v>7.8947368421052641E-4</v>
      </c>
      <c r="AJ18" s="127">
        <f t="shared" si="7"/>
        <v>1.0319999999999999E-3</v>
      </c>
      <c r="AK18" s="127">
        <f t="shared" si="8"/>
        <v>1.3190478390718382E-2</v>
      </c>
      <c r="AL18" s="127">
        <f t="shared" si="9"/>
        <v>4.7118400000000001E-3</v>
      </c>
      <c r="AM18" s="127">
        <f t="shared" si="26"/>
        <v>0.39571435172155139</v>
      </c>
      <c r="AN18" s="127">
        <f>IF(AND($A18&lt;&gt;0,$A18&lt;&gt;"",OR(RIGHT(Logic!B18,2)="C)",LEFT(Logic!B18,4)="CSD1")),SUM(AD18:AF18)+(AJ18/3)+AK18+AL18/6+AM18/6,AN19)</f>
        <v>0.48761880221692278</v>
      </c>
      <c r="AO18" s="127">
        <f>IF(AND($A18&lt;&gt;0,$A18&lt;&gt;"",OR(RIGHT(Logic!B18,2)="T)",LEFT(Logic!B18,4)="CSD1")),SUM(AG18:AI18)+(AJ18/3)+AL18/6+AM18/6,AO17)</f>
        <v>0.43757504800679681</v>
      </c>
      <c r="AP18" s="48">
        <f t="shared" si="27"/>
        <v>0.93</v>
      </c>
      <c r="AQ18" s="35" t="str">
        <f>IF(AND(A18&lt;&gt;0,A18&lt;&gt;""),LOOKUP(A18,Discrete_NFET[PARTNUMBER],Discrete_NFET[TI_EQ_PACKAGE]),"")</f>
        <v>SON5X6</v>
      </c>
      <c r="AR18" s="49">
        <f>IF(AND(A18&lt;&gt;0,A18&lt;&gt;""),LOOKUP(A18,Discrete_NFET[PARTNUMBER],Discrete_NFET[1KPRICE]),"")</f>
        <v>0.3</v>
      </c>
      <c r="AS18" s="35" t="str">
        <f>IF(AND($A18&lt;&gt;0,$A18&lt;&gt;""),CONCATENATE(TEXT(AP18,"0.00"),"W, ",IF('User Input'!H$11="Single Discrete",A18,IF('User Input'!H$11="Dual/Power Block",LEFT(A18,FIND(")",A18)-7),A18)),", ",AQ18,", ",TEXT(AR18,"$0.00")),"Invalid Part")</f>
        <v>0.93W, CSD17322Q5A, SON5X6, $0.30</v>
      </c>
      <c r="AT18" t="s">
        <v>864</v>
      </c>
      <c r="AW18"/>
    </row>
    <row r="19" spans="1:50" ht="15" customHeight="1" x14ac:dyDescent="0.25">
      <c r="A19" s="35" t="str">
        <f>IF(OR(AND(FET_config3="Dual/Power Block",LEFT(Logic!B19,4)="CSD8"),AND(FET_config3="Single Discrete",LEFT(Logic!B19,4)="CSD1")),Logic!B19,"")</f>
        <v>CSD17327Q5A</v>
      </c>
      <c r="B19" s="37" t="str">
        <f>IF(OR($A19=0,$A19=""),"0",IF(LOOKUP($A19,Discrete_NFET[PARTNUMBER],Discrete_NFET[RDSON25])="(NULL)","0","1"))</f>
        <v>0</v>
      </c>
      <c r="C19" s="38" t="str">
        <f>IF(OR($A19=0,$A19=""),"0",IF(LOOKUP($A19,Discrete_NFET[PARTNUMBER],Discrete_NFET[RDSON3])="(NULL)","0","1"))</f>
        <v>0</v>
      </c>
      <c r="D19" s="40" t="str">
        <f>IF(OR($A19=0,$A19=""),"0",IF(LOOKUP($A19,Discrete_NFET[PARTNUMBER],Discrete_NFET[RDSON45])="(NULL)","0","1"))</f>
        <v>1</v>
      </c>
      <c r="E19" s="45" t="str">
        <f>IF(OR($A19=0,$A19=""),"0",IF(LOOKUP($A19,Discrete_NFET[PARTNUMBER],Discrete_NFET[RDSON6])="(NULL)","0","1"))</f>
        <v>0</v>
      </c>
      <c r="F19" s="34" t="str">
        <f>IF(OR($A19=0,$A19=""),"0",IF(LOOKUP($A19,Discrete_NFET[PARTNUMBER],Discrete_NFET[RDSON8])="(NULL)","0","1"))</f>
        <v>1</v>
      </c>
      <c r="G19" s="43" t="str">
        <f>IF(OR($A19=0,$A19=""),"0",IF(LOOKUP($A19,Discrete_NFET[PARTNUMBER],Discrete_NFET[RDSON10])="(NULL)","0","1"))</f>
        <v>0</v>
      </c>
      <c r="H19" s="36" t="b">
        <f t="shared" si="12"/>
        <v>0</v>
      </c>
      <c r="I19" s="39" t="b">
        <f t="shared" si="13"/>
        <v>0</v>
      </c>
      <c r="J19" s="41" t="b">
        <f t="shared" si="14"/>
        <v>1</v>
      </c>
      <c r="K19" s="46" t="b">
        <f t="shared" si="15"/>
        <v>0</v>
      </c>
      <c r="L19" s="42" t="b">
        <f t="shared" si="16"/>
        <v>1</v>
      </c>
      <c r="M19" s="44" t="b">
        <f t="shared" si="17"/>
        <v>0</v>
      </c>
      <c r="N19" s="47" t="b">
        <f t="shared" si="18"/>
        <v>1</v>
      </c>
      <c r="O19" s="36" t="b">
        <f t="shared" si="19"/>
        <v>0</v>
      </c>
      <c r="P19" s="39" t="b">
        <f t="shared" si="20"/>
        <v>0</v>
      </c>
      <c r="Q19" s="41" t="b">
        <f t="shared" si="21"/>
        <v>1</v>
      </c>
      <c r="R19" s="46" t="b">
        <f t="shared" si="22"/>
        <v>0</v>
      </c>
      <c r="S19" s="42" t="b">
        <f t="shared" si="23"/>
        <v>1</v>
      </c>
      <c r="T19" s="44" t="b">
        <f t="shared" si="24"/>
        <v>0</v>
      </c>
      <c r="U19" s="148">
        <f>IF(T19,LOOKUP(A19,Discrete_NFET[PARTNUMBER],Discrete_NFET[RDSON10])*1000,IF(S19,LOOKUP(A19,Discrete_NFET[PARTNUMBER],Discrete_NFET[RDSON8])*1000,IF(R19,LOOKUP(A19,Discrete_NFET[PARTNUMBER],Discrete_NFET[RDSON6])*1000,IF(Q19,LOOKUP(A19,Discrete_NFET[PARTNUMBER],Discrete_NFET[RDSON45])*1000,IF(P19,LOOKUP(A19,Discrete_NFET[PARTNUMBER],Discrete_NFET[RDSON3])*1000,IF(O19,LOOKUP(A19,Discrete_NFET[PARTNUMBER],Discrete_NFET[RDSON25])*1000,""))))))</f>
        <v>12.200000000000001</v>
      </c>
      <c r="V19" s="48">
        <f>IF(AND(A19&lt;&gt;0,A19&lt;&gt;""),U19*(1+(Tj-25)*(LOOKUP(A19,Discrete_NFET[PARTNUMBER],Discrete_NFET[RDSDELTA])/((LOOKUP(A19,Discrete_NFET[PARTNUMBER],Discrete_NFET[TJMAX])-25)))),"")</f>
        <v>13.371200000000002</v>
      </c>
      <c r="W19" s="35">
        <f>IF(AND($A19&lt;&gt;0,$A19&lt;&gt;""),LOOKUP($A19,Discrete_NFET[PARTNUMBER],Discrete_NFET[QGS]),"")</f>
        <v>1.2</v>
      </c>
      <c r="X19" s="35">
        <f>IF(AND($A19&lt;&gt;0,$A19&lt;&gt;""),LOOKUP($A19,Discrete_NFET[PARTNUMBER],Discrete_NFET[QGD]),"")</f>
        <v>0.8</v>
      </c>
      <c r="Y19" s="35">
        <f>IF(AND($A19&lt;&gt;0,$A19&lt;&gt;""),LOOKUP($A19,Discrete_NFET[PARTNUMBER],Discrete_NFET[QGTH]),"")</f>
        <v>0.6</v>
      </c>
      <c r="Z19" s="35">
        <f t="shared" si="25"/>
        <v>1.4</v>
      </c>
      <c r="AA19" s="35">
        <f>IF(AND($A19&lt;&gt;0,$A19&lt;&gt;""),LOOKUP($A19,Discrete_NFET[PARTNUMBER],Discrete_NFET[QOSSTYP]),"")</f>
        <v>6.8</v>
      </c>
      <c r="AB19" s="35">
        <f>IF(AND($A19&lt;&gt;0,$A19&lt;&gt;""),LOOKUP($A19,Discrete_NFET[PARTNUMBER],Discrete_NFET[QRR]),"")</f>
        <v>10.5</v>
      </c>
      <c r="AC19" s="35">
        <f>IF(AND(A19&lt;&gt;0,A19&lt;&gt;""),LOOKUP(A19,Discrete_NFET[PARTNUMBER],Discrete_NFET[VF_TYP]),"")</f>
        <v>0.85</v>
      </c>
      <c r="AD19" s="127">
        <f>IF(AND($A19&lt;&gt;0,$A19&lt;&gt;"",OR(RIGHT(Logic!B19,2)="C)",LEFT(Logic!B19,4)="CSD1")),(1+(1-DUTY))*IM_RMS_120^2*V19*m/3/Num_FETS3,"")</f>
        <v>0.5626635118497999</v>
      </c>
      <c r="AE19" s="127">
        <f>IF(AND($A19&lt;&gt;0,$A19&lt;&gt;"",OR(RIGHT(Logic!B19,2)="C)",LEFT(Logic!B19,4)="CSD1")),Num_FETS3*0.5*IM_RMS_120*VDC_AVG*Z19*n*MOT_ELEC_FREQ/GDR_SRC,"")</f>
        <v>4.5149638802889571E-6</v>
      </c>
      <c r="AF19" s="127">
        <f>IF(AND($A19&lt;&gt;0,$A19&lt;&gt;"",OR(RIGHT(Logic!B19,2)="C)",LEFT(Logic!B19,4)="CSD1")),Num_FETS3*0.5*IM_RMS_120*VDC_AVG*Z19*n*MOT_ELEC_FREQ/GDR_SINK,"")</f>
        <v>3.0701754385964911E-6</v>
      </c>
      <c r="AG19" s="127">
        <f>IF(AND($A19&lt;&gt;0,$A19&lt;&gt;"",OR(RIGHT(Logic!B19,2)="T)",LEFT(Logic!B19,4)="CSD1")),DUTY*IM_RMS_120^2*V19*m/3/Num_FETS3,"")</f>
        <v>0.50907651072124749</v>
      </c>
      <c r="AH19" s="127">
        <f>IF(AND($A19&lt;&gt;0,$A19&lt;&gt;"",OR(RIGHT(Logic!B19,2)="T)",LEFT(Logic!B19,4)="CSD1")),Num_FETS3*0.5*IM_RMS_120*VDC_AVG*Z19*n*FSW*k/GDR_SRC/3,"")</f>
        <v>9.0299277605779141E-4</v>
      </c>
      <c r="AI19" s="127">
        <f>IF(AND($A19&lt;&gt;0,$A19&lt;&gt;"",OR(RIGHT(Logic!B19,2)="T)",LEFT(Logic!B19,4)="CSD1")),Num_FETS3*0.5*IM_RMS_120*VDC_AVG*Z19*n*FSW*k/GDR_SINK/3,"")</f>
        <v>6.1403508771929827E-4</v>
      </c>
      <c r="AJ19" s="127">
        <f t="shared" si="7"/>
        <v>8.160000000000001E-4</v>
      </c>
      <c r="AK19" s="127">
        <f t="shared" si="8"/>
        <v>1.3190478390718382E-2</v>
      </c>
      <c r="AL19" s="127">
        <f t="shared" si="9"/>
        <v>2.5242000000000003E-3</v>
      </c>
      <c r="AM19" s="127">
        <f t="shared" si="26"/>
        <v>0.39571435172155139</v>
      </c>
      <c r="AN19" s="127">
        <f>IF(AND($A19&lt;&gt;0,$A19&lt;&gt;"",OR(RIGHT(Logic!B19,2)="C)",LEFT(Logic!B19,4)="CSD1")),SUM(AD19:AF19)+(AJ19/3)+AK19+AL19/6+AM19/6,AN20)</f>
        <v>0.6425066673334292</v>
      </c>
      <c r="AO19" s="127">
        <f>IF(AND($A19&lt;&gt;0,$A19&lt;&gt;"",OR(RIGHT(Logic!B19,2)="T)",LEFT(Logic!B19,4)="CSD1")),SUM(AG19:AI19)+(AJ19/3)+AL19/6+AM19/6,AO18)</f>
        <v>0.57723863053861657</v>
      </c>
      <c r="AP19" s="48">
        <f t="shared" si="27"/>
        <v>1.22</v>
      </c>
      <c r="AQ19" s="35" t="str">
        <f>IF(AND(A19&lt;&gt;0,A19&lt;&gt;""),LOOKUP(A19,Discrete_NFET[PARTNUMBER],Discrete_NFET[TI_EQ_PACKAGE]),"")</f>
        <v>SON5X6</v>
      </c>
      <c r="AR19" s="49">
        <f>IF(AND(A19&lt;&gt;0,A19&lt;&gt;""),LOOKUP(A19,Discrete_NFET[PARTNUMBER],Discrete_NFET[1KPRICE]),"")</f>
        <v>0.28000000000000003</v>
      </c>
      <c r="AS19" s="35" t="str">
        <f>IF(AND($A19&lt;&gt;0,$A19&lt;&gt;""),CONCATENATE(TEXT(AP19,"0.00"),"W, ",IF('User Input'!H$11="Single Discrete",A19,IF('User Input'!H$11="Dual/Power Block",LEFT(A19,FIND(")",A19)-7),A19)),", ",AQ19,", ",TEXT(AR19,"$0.00")),"Invalid Part")</f>
        <v>1.22W, CSD17327Q5A, SON5X6, $0.28</v>
      </c>
      <c r="AT19" t="s">
        <v>865</v>
      </c>
      <c r="AW19"/>
    </row>
    <row r="20" spans="1:50" ht="15" customHeight="1" x14ac:dyDescent="0.25">
      <c r="A20" s="35" t="str">
        <f>IF(OR(AND(FET_config3="Dual/Power Block",LEFT(Logic!B20,4)="CSD8"),AND(FET_config3="Single Discrete",LEFT(Logic!B20,4)="CSD1")),Logic!B20,"")</f>
        <v>CSD17501Q5A</v>
      </c>
      <c r="B20" s="37" t="str">
        <f>IF(OR($A20=0,$A20=""),"0",IF(LOOKUP($A20,Discrete_NFET[PARTNUMBER],Discrete_NFET[RDSON25])="(NULL)","0","1"))</f>
        <v>0</v>
      </c>
      <c r="C20" s="38" t="str">
        <f>IF(OR($A20=0,$A20=""),"0",IF(LOOKUP($A20,Discrete_NFET[PARTNUMBER],Discrete_NFET[RDSON3])="(NULL)","0","1"))</f>
        <v>0</v>
      </c>
      <c r="D20" s="40" t="str">
        <f>IF(OR($A20=0,$A20=""),"0",IF(LOOKUP($A20,Discrete_NFET[PARTNUMBER],Discrete_NFET[RDSON45])="(NULL)","0","1"))</f>
        <v>1</v>
      </c>
      <c r="E20" s="45" t="str">
        <f>IF(OR($A20=0,$A20=""),"0",IF(LOOKUP($A20,Discrete_NFET[PARTNUMBER],Discrete_NFET[RDSON6])="(NULL)","0","1"))</f>
        <v>0</v>
      </c>
      <c r="F20" s="34" t="str">
        <f>IF(OR($A20=0,$A20=""),"0",IF(LOOKUP($A20,Discrete_NFET[PARTNUMBER],Discrete_NFET[RDSON8])="(NULL)","0","1"))</f>
        <v>0</v>
      </c>
      <c r="G20" s="43" t="str">
        <f>IF(OR($A20=0,$A20=""),"0",IF(LOOKUP($A20,Discrete_NFET[PARTNUMBER],Discrete_NFET[RDSON10])="(NULL)","0","1"))</f>
        <v>1</v>
      </c>
      <c r="H20" s="36" t="b">
        <f t="shared" si="12"/>
        <v>0</v>
      </c>
      <c r="I20" s="39" t="b">
        <f t="shared" si="13"/>
        <v>0</v>
      </c>
      <c r="J20" s="41" t="b">
        <f t="shared" si="14"/>
        <v>1</v>
      </c>
      <c r="K20" s="46" t="b">
        <f t="shared" si="15"/>
        <v>0</v>
      </c>
      <c r="L20" s="42" t="b">
        <f t="shared" si="16"/>
        <v>0</v>
      </c>
      <c r="M20" s="44" t="b">
        <f t="shared" si="17"/>
        <v>1</v>
      </c>
      <c r="N20" s="47" t="b">
        <f t="shared" si="18"/>
        <v>1</v>
      </c>
      <c r="O20" s="36" t="b">
        <f t="shared" si="19"/>
        <v>0</v>
      </c>
      <c r="P20" s="39" t="b">
        <f t="shared" si="20"/>
        <v>0</v>
      </c>
      <c r="Q20" s="41" t="b">
        <f t="shared" si="21"/>
        <v>1</v>
      </c>
      <c r="R20" s="46" t="b">
        <f t="shared" si="22"/>
        <v>0</v>
      </c>
      <c r="S20" s="42" t="b">
        <f t="shared" si="23"/>
        <v>0</v>
      </c>
      <c r="T20" s="44" t="b">
        <f t="shared" si="24"/>
        <v>1</v>
      </c>
      <c r="U20" s="148">
        <f>IF(T20,LOOKUP(A20,Discrete_NFET[PARTNUMBER],Discrete_NFET[RDSON10])*1000,IF(S20,LOOKUP(A20,Discrete_NFET[PARTNUMBER],Discrete_NFET[RDSON8])*1000,IF(R20,LOOKUP(A20,Discrete_NFET[PARTNUMBER],Discrete_NFET[RDSON6])*1000,IF(Q20,LOOKUP(A20,Discrete_NFET[PARTNUMBER],Discrete_NFET[RDSON45])*1000,IF(P20,LOOKUP(A20,Discrete_NFET[PARTNUMBER],Discrete_NFET[RDSON3])*1000,IF(O20,LOOKUP(A20,Discrete_NFET[PARTNUMBER],Discrete_NFET[RDSON25])*1000,""))))))</f>
        <v>2.9</v>
      </c>
      <c r="V20" s="48">
        <f>IF(AND(A20&lt;&gt;0,A20&lt;&gt;""),U20*(1+(Tj-25)*(LOOKUP(A20,Discrete_NFET[PARTNUMBER],Discrete_NFET[RDSDELTA])/((LOOKUP(A20,Discrete_NFET[PARTNUMBER],Discrete_NFET[TJMAX])-25)))),"")</f>
        <v>3.161</v>
      </c>
      <c r="W20" s="35">
        <f>IF(AND($A20&lt;&gt;0,$A20&lt;&gt;""),LOOKUP($A20,Discrete_NFET[PARTNUMBER],Discrete_NFET[QGS]),"")</f>
        <v>5.4</v>
      </c>
      <c r="X20" s="35">
        <f>IF(AND($A20&lt;&gt;0,$A20&lt;&gt;""),LOOKUP($A20,Discrete_NFET[PARTNUMBER],Discrete_NFET[QGD]),"")</f>
        <v>3.5</v>
      </c>
      <c r="Y20" s="35">
        <f>IF(AND($A20&lt;&gt;0,$A20&lt;&gt;""),LOOKUP($A20,Discrete_NFET[PARTNUMBER],Discrete_NFET[QGTH]),"")</f>
        <v>2.9</v>
      </c>
      <c r="Z20" s="35">
        <f t="shared" si="25"/>
        <v>6</v>
      </c>
      <c r="AA20" s="35">
        <f>IF(AND($A20&lt;&gt;0,$A20&lt;&gt;""),LOOKUP($A20,Discrete_NFET[PARTNUMBER],Discrete_NFET[QOSSTYP]),"")</f>
        <v>35</v>
      </c>
      <c r="AB20" s="35">
        <f>IF(AND($A20&lt;&gt;0,$A20&lt;&gt;""),LOOKUP($A20,Discrete_NFET[PARTNUMBER],Discrete_NFET[QRR]),"")</f>
        <v>46</v>
      </c>
      <c r="AC20" s="35">
        <f>IF(AND(A20&lt;&gt;0,A20&lt;&gt;""),LOOKUP(A20,Discrete_NFET[PARTNUMBER],Discrete_NFET[VF_TYP]),"")</f>
        <v>0.8</v>
      </c>
      <c r="AD20" s="127">
        <f>IF(AND($A20&lt;&gt;0,$A20&lt;&gt;"",OR(RIGHT(Logic!B20,2)="C)",LEFT(Logic!B20,4)="CSD1")),(1+(1-DUTY))*IM_RMS_120^2*V20*m/3/Num_FETS3,"")</f>
        <v>0.13301568751923667</v>
      </c>
      <c r="AE20" s="127">
        <f>IF(AND($A20&lt;&gt;0,$A20&lt;&gt;"",OR(RIGHT(Logic!B20,2)="C)",LEFT(Logic!B20,4)="CSD1")),Num_FETS3*0.5*IM_RMS_120*VDC_AVG*Z20*n*MOT_ELEC_FREQ/GDR_SRC,"")</f>
        <v>1.9349845201238391E-5</v>
      </c>
      <c r="AF20" s="127">
        <f>IF(AND($A20&lt;&gt;0,$A20&lt;&gt;"",OR(RIGHT(Logic!B20,2)="C)",LEFT(Logic!B20,4)="CSD1")),Num_FETS3*0.5*IM_RMS_120*VDC_AVG*Z20*n*MOT_ELEC_FREQ/GDR_SINK,"")</f>
        <v>1.3157894736842106E-5</v>
      </c>
      <c r="AG20" s="127">
        <f>IF(AND($A20&lt;&gt;0,$A20&lt;&gt;"",OR(RIGHT(Logic!B20,2)="T)",LEFT(Logic!B20,4)="CSD1")),DUTY*IM_RMS_120^2*V20*m/3/Num_FETS3,"")</f>
        <v>0.12034752680311887</v>
      </c>
      <c r="AH20" s="127">
        <f>IF(AND($A20&lt;&gt;0,$A20&lt;&gt;"",OR(RIGHT(Logic!B20,2)="T)",LEFT(Logic!B20,4)="CSD1")),Num_FETS3*0.5*IM_RMS_120*VDC_AVG*Z20*n*FSW*k/GDR_SRC/3,"")</f>
        <v>3.8699690402476776E-3</v>
      </c>
      <c r="AI20" s="127">
        <f>IF(AND($A20&lt;&gt;0,$A20&lt;&gt;"",OR(RIGHT(Logic!B20,2)="T)",LEFT(Logic!B20,4)="CSD1")),Num_FETS3*0.5*IM_RMS_120*VDC_AVG*Z20*n*FSW*k/GDR_SINK/3,"")</f>
        <v>2.631578947368421E-3</v>
      </c>
      <c r="AJ20" s="127">
        <f t="shared" si="7"/>
        <v>4.2000000000000006E-3</v>
      </c>
      <c r="AK20" s="127">
        <f t="shared" si="8"/>
        <v>1.2414567897146714E-2</v>
      </c>
      <c r="AL20" s="127">
        <f t="shared" si="9"/>
        <v>1.1058400000000001E-2</v>
      </c>
      <c r="AM20" s="127">
        <f t="shared" si="26"/>
        <v>0.37243703691440144</v>
      </c>
      <c r="AN20" s="127">
        <f>IF(AND($A20&lt;&gt;0,$A20&lt;&gt;"",OR(RIGHT(Logic!B20,2)="C)",LEFT(Logic!B20,4)="CSD1")),SUM(AD20:AF20)+(AJ20/3)+AK20+AL20/6+AM20/6,AN21)</f>
        <v>0.21077866930872174</v>
      </c>
      <c r="AO20" s="127">
        <f>IF(AND($A20&lt;&gt;0,$A20&lt;&gt;"",OR(RIGHT(Logic!B20,2)="T)",LEFT(Logic!B20,4)="CSD1")),SUM(AG20:AI20)+(AJ20/3)+AL20/6+AM20/6,AO19)</f>
        <v>0.19216498094313525</v>
      </c>
      <c r="AP20" s="48">
        <f t="shared" si="27"/>
        <v>0.4</v>
      </c>
      <c r="AQ20" s="35" t="str">
        <f>IF(AND(A20&lt;&gt;0,A20&lt;&gt;""),LOOKUP(A20,Discrete_NFET[PARTNUMBER],Discrete_NFET[TI_EQ_PACKAGE]),"")</f>
        <v>SON5x6</v>
      </c>
      <c r="AR20" s="49">
        <f>IF(AND(A20&lt;&gt;0,A20&lt;&gt;""),LOOKUP(A20,Discrete_NFET[PARTNUMBER],Discrete_NFET[1KPRICE]),"")</f>
        <v>0.6</v>
      </c>
      <c r="AS20" s="35" t="str">
        <f>IF(AND($A20&lt;&gt;0,$A20&lt;&gt;""),CONCATENATE(TEXT(AP20,"0.00"),"W, ",IF('User Input'!H$11="Single Discrete",A20,IF('User Input'!H$11="Dual/Power Block",LEFT(A20,FIND(")",A20)-7),A20)),", ",AQ20,", ",TEXT(AR20,"$0.00")),"Invalid Part")</f>
        <v>0.40W, CSD17501Q5A, SON5x6, $0.60</v>
      </c>
      <c r="AT20" t="s">
        <v>868</v>
      </c>
      <c r="AW20"/>
      <c r="AX20" s="35" t="e">
        <f>LEFT(A91,FIND("L",A91)-1)</f>
        <v>#VALUE!</v>
      </c>
    </row>
    <row r="21" spans="1:50" ht="15" customHeight="1" x14ac:dyDescent="0.25">
      <c r="A21" s="35" t="str">
        <f>IF(OR(AND(FET_config3="Dual/Power Block",LEFT(Logic!B21,4)="CSD8"),AND(FET_config3="Single Discrete",LEFT(Logic!B21,4)="CSD1")),Logic!B21,"")</f>
        <v>CSD17505Q5A</v>
      </c>
      <c r="B21" s="37" t="str">
        <f>IF(OR($A21=0,$A21=""),"0",IF(LOOKUP($A21,Discrete_NFET[PARTNUMBER],Discrete_NFET[RDSON25])="(NULL)","0","1"))</f>
        <v>0</v>
      </c>
      <c r="C21" s="38" t="str">
        <f>IF(OR($A21=0,$A21=""),"0",IF(LOOKUP($A21,Discrete_NFET[PARTNUMBER],Discrete_NFET[RDSON3])="(NULL)","0","1"))</f>
        <v>0</v>
      </c>
      <c r="D21" s="40" t="str">
        <f>IF(OR($A21=0,$A21=""),"0",IF(LOOKUP($A21,Discrete_NFET[PARTNUMBER],Discrete_NFET[RDSON45])="(NULL)","0","1"))</f>
        <v>1</v>
      </c>
      <c r="E21" s="45" t="str">
        <f>IF(OR($A21=0,$A21=""),"0",IF(LOOKUP($A21,Discrete_NFET[PARTNUMBER],Discrete_NFET[RDSON6])="(NULL)","0","1"))</f>
        <v>0</v>
      </c>
      <c r="F21" s="34" t="str">
        <f>IF(OR($A21=0,$A21=""),"0",IF(LOOKUP($A21,Discrete_NFET[PARTNUMBER],Discrete_NFET[RDSON8])="(NULL)","0","1"))</f>
        <v>0</v>
      </c>
      <c r="G21" s="43" t="str">
        <f>IF(OR($A21=0,$A21=""),"0",IF(LOOKUP($A21,Discrete_NFET[PARTNUMBER],Discrete_NFET[RDSON10])="(NULL)","0","1"))</f>
        <v>1</v>
      </c>
      <c r="H21" s="36" t="b">
        <f t="shared" si="12"/>
        <v>0</v>
      </c>
      <c r="I21" s="39" t="b">
        <f t="shared" si="13"/>
        <v>0</v>
      </c>
      <c r="J21" s="41" t="b">
        <f t="shared" si="14"/>
        <v>1</v>
      </c>
      <c r="K21" s="46" t="b">
        <f t="shared" si="15"/>
        <v>0</v>
      </c>
      <c r="L21" s="42" t="b">
        <f t="shared" si="16"/>
        <v>0</v>
      </c>
      <c r="M21" s="44" t="b">
        <f t="shared" si="17"/>
        <v>1</v>
      </c>
      <c r="N21" s="47" t="b">
        <f t="shared" si="18"/>
        <v>1</v>
      </c>
      <c r="O21" s="36" t="b">
        <f t="shared" si="19"/>
        <v>0</v>
      </c>
      <c r="P21" s="39" t="b">
        <f t="shared" si="20"/>
        <v>0</v>
      </c>
      <c r="Q21" s="41" t="b">
        <f t="shared" si="21"/>
        <v>1</v>
      </c>
      <c r="R21" s="46" t="b">
        <f t="shared" si="22"/>
        <v>0</v>
      </c>
      <c r="S21" s="42" t="b">
        <f t="shared" si="23"/>
        <v>0</v>
      </c>
      <c r="T21" s="44" t="b">
        <f t="shared" si="24"/>
        <v>1</v>
      </c>
      <c r="U21" s="148">
        <f>IF(T21,LOOKUP(A21,Discrete_NFET[PARTNUMBER],Discrete_NFET[RDSON10])*1000,IF(S21,LOOKUP(A21,Discrete_NFET[PARTNUMBER],Discrete_NFET[RDSON8])*1000,IF(R21,LOOKUP(A21,Discrete_NFET[PARTNUMBER],Discrete_NFET[RDSON6])*1000,IF(Q21,LOOKUP(A21,Discrete_NFET[PARTNUMBER],Discrete_NFET[RDSON45])*1000,IF(P21,LOOKUP(A21,Discrete_NFET[PARTNUMBER],Discrete_NFET[RDSON3])*1000,IF(O21,LOOKUP(A21,Discrete_NFET[PARTNUMBER],Discrete_NFET[RDSON25])*1000,""))))))</f>
        <v>3.5</v>
      </c>
      <c r="V21" s="48">
        <f>IF(AND(A21&lt;&gt;0,A21&lt;&gt;""),U21*(1+(Tj-25)*(LOOKUP(A21,Discrete_NFET[PARTNUMBER],Discrete_NFET[RDSDELTA])/((LOOKUP(A21,Discrete_NFET[PARTNUMBER],Discrete_NFET[TJMAX])-25)))),"")</f>
        <v>3.8500000000000005</v>
      </c>
      <c r="W21" s="35">
        <f>IF(AND($A21&lt;&gt;0,$A21&lt;&gt;""),LOOKUP($A21,Discrete_NFET[PARTNUMBER],Discrete_NFET[QGS]),"")</f>
        <v>3.5</v>
      </c>
      <c r="X21" s="35">
        <f>IF(AND($A21&lt;&gt;0,$A21&lt;&gt;""),LOOKUP($A21,Discrete_NFET[PARTNUMBER],Discrete_NFET[QGD]),"")</f>
        <v>2.7</v>
      </c>
      <c r="Y21" s="35">
        <f>IF(AND($A21&lt;&gt;0,$A21&lt;&gt;""),LOOKUP($A21,Discrete_NFET[PARTNUMBER],Discrete_NFET[QGTH]),"")</f>
        <v>1.9</v>
      </c>
      <c r="Z21" s="35">
        <f t="shared" si="25"/>
        <v>4.3000000000000007</v>
      </c>
      <c r="AA21" s="35">
        <f>IF(AND($A21&lt;&gt;0,$A21&lt;&gt;""),LOOKUP($A21,Discrete_NFET[PARTNUMBER],Discrete_NFET[QOSSTYP]),"")</f>
        <v>26</v>
      </c>
      <c r="AB21" s="35">
        <f>IF(AND($A21&lt;&gt;0,$A21&lt;&gt;""),LOOKUP($A21,Discrete_NFET[PARTNUMBER],Discrete_NFET[QRR]),"")</f>
        <v>30</v>
      </c>
      <c r="AC21" s="35">
        <f>IF(AND(A21&lt;&gt;0,A21&lt;&gt;""),LOOKUP(A21,Discrete_NFET[PARTNUMBER],Discrete_NFET[VF_TYP]),"")</f>
        <v>0.8</v>
      </c>
      <c r="AD21" s="127">
        <f>IF(AND($A21&lt;&gt;0,$A21&lt;&gt;"",OR(RIGHT(Logic!B21,2)="C)",LEFT(Logic!B21,4)="CSD1")),(1+(1-DUTY))*IM_RMS_120^2*V21*m/3/Num_FETS3,"")</f>
        <v>0.16200898353339488</v>
      </c>
      <c r="AE21" s="127">
        <f>IF(AND($A21&lt;&gt;0,$A21&lt;&gt;"",OR(RIGHT(Logic!B21,2)="C)",LEFT(Logic!B21,4)="CSD1")),Num_FETS3*0.5*IM_RMS_120*VDC_AVG*Z21*n*MOT_ELEC_FREQ/GDR_SRC,"")</f>
        <v>1.3867389060887514E-5</v>
      </c>
      <c r="AF21" s="127">
        <f>IF(AND($A21&lt;&gt;0,$A21&lt;&gt;"",OR(RIGHT(Logic!B21,2)="C)",LEFT(Logic!B21,4)="CSD1")),Num_FETS3*0.5*IM_RMS_120*VDC_AVG*Z21*n*MOT_ELEC_FREQ/GDR_SINK,"")</f>
        <v>9.4298245614035099E-6</v>
      </c>
      <c r="AG21" s="127">
        <f>IF(AND($A21&lt;&gt;0,$A21&lt;&gt;"",OR(RIGHT(Logic!B21,2)="T)",LEFT(Logic!B21,4)="CSD1")),DUTY*IM_RMS_120^2*V21*m/3/Num_FETS3,"")</f>
        <v>0.1465795565302144</v>
      </c>
      <c r="AH21" s="127">
        <f>IF(AND($A21&lt;&gt;0,$A21&lt;&gt;"",OR(RIGHT(Logic!B21,2)="T)",LEFT(Logic!B21,4)="CSD1")),Num_FETS3*0.5*IM_RMS_120*VDC_AVG*Z21*n*FSW*k/GDR_SRC/3,"")</f>
        <v>2.7734778121775022E-3</v>
      </c>
      <c r="AI21" s="127">
        <f>IF(AND($A21&lt;&gt;0,$A21&lt;&gt;"",OR(RIGHT(Logic!B21,2)="T)",LEFT(Logic!B21,4)="CSD1")),Num_FETS3*0.5*IM_RMS_120*VDC_AVG*Z21*n*FSW*k/GDR_SINK/3,"")</f>
        <v>1.8859649122807017E-3</v>
      </c>
      <c r="AJ21" s="127">
        <f t="shared" si="7"/>
        <v>3.1200000000000004E-3</v>
      </c>
      <c r="AK21" s="127">
        <f t="shared" si="8"/>
        <v>1.2414567897146714E-2</v>
      </c>
      <c r="AL21" s="127">
        <f t="shared" si="9"/>
        <v>7.2120000000000005E-3</v>
      </c>
      <c r="AM21" s="127">
        <f t="shared" si="26"/>
        <v>0.37243703691440144</v>
      </c>
      <c r="AN21" s="127">
        <f>IF(AND($A21&lt;&gt;0,$A21&lt;&gt;"",OR(RIGHT(Logic!B21,2)="C)",LEFT(Logic!B21,4)="CSD1")),SUM(AD21:AF21)+(AJ21/3)+AK21+AL21/6+AM21/6,AN22)</f>
        <v>0.23876168812989748</v>
      </c>
      <c r="AO21" s="127">
        <f>IF(AND($A21&lt;&gt;0,$A21&lt;&gt;"",OR(RIGHT(Logic!B21,2)="T)",LEFT(Logic!B21,4)="CSD1")),SUM(AG21:AI21)+(AJ21/3)+AL21/6+AM21/6,AO20)</f>
        <v>0.21555383874040621</v>
      </c>
      <c r="AP21" s="48">
        <f t="shared" si="27"/>
        <v>0.45</v>
      </c>
      <c r="AQ21" s="35" t="str">
        <f>IF(AND(A21&lt;&gt;0,A21&lt;&gt;""),LOOKUP(A21,Discrete_NFET[PARTNUMBER],Discrete_NFET[TI_EQ_PACKAGE]),"")</f>
        <v>SON5x6</v>
      </c>
      <c r="AR21" s="49">
        <f>IF(AND(A21&lt;&gt;0,A21&lt;&gt;""),LOOKUP(A21,Discrete_NFET[PARTNUMBER],Discrete_NFET[1KPRICE]),"")</f>
        <v>0.54</v>
      </c>
      <c r="AS21" s="35" t="str">
        <f>IF(AND($A21&lt;&gt;0,$A21&lt;&gt;""),CONCATENATE(TEXT(AP21,"0.00"),"W, ",IF('User Input'!H$11="Single Discrete",A21,IF('User Input'!H$11="Dual/Power Block",LEFT(A21,FIND(")",A21)-7),A21)),", ",AQ21,", ",TEXT(AR21,"$0.00")),"Invalid Part")</f>
        <v>0.45W, CSD17505Q5A, SON5x6, $0.54</v>
      </c>
      <c r="AT21" t="s">
        <v>794</v>
      </c>
      <c r="AW21"/>
    </row>
    <row r="22" spans="1:50" ht="15" customHeight="1" x14ac:dyDescent="0.25">
      <c r="A22" s="35" t="str">
        <f>IF(OR(AND(FET_config3="Dual/Power Block",LEFT(Logic!B22,4)="CSD8"),AND(FET_config3="Single Discrete",LEFT(Logic!B22,4)="CSD1")),Logic!B22,"")</f>
        <v>CSD17506Q5A</v>
      </c>
      <c r="B22" s="37" t="str">
        <f>IF(OR($A22=0,$A22=""),"0",IF(LOOKUP($A22,Discrete_NFET[PARTNUMBER],Discrete_NFET[RDSON25])="(NULL)","0","1"))</f>
        <v>0</v>
      </c>
      <c r="C22" s="38" t="str">
        <f>IF(OR($A22=0,$A22=""),"0",IF(LOOKUP($A22,Discrete_NFET[PARTNUMBER],Discrete_NFET[RDSON3])="(NULL)","0","1"))</f>
        <v>0</v>
      </c>
      <c r="D22" s="40" t="str">
        <f>IF(OR($A22=0,$A22=""),"0",IF(LOOKUP($A22,Discrete_NFET[PARTNUMBER],Discrete_NFET[RDSON45])="(NULL)","0","1"))</f>
        <v>1</v>
      </c>
      <c r="E22" s="45" t="str">
        <f>IF(OR($A22=0,$A22=""),"0",IF(LOOKUP($A22,Discrete_NFET[PARTNUMBER],Discrete_NFET[RDSON6])="(NULL)","0","1"))</f>
        <v>0</v>
      </c>
      <c r="F22" s="34" t="str">
        <f>IF(OR($A22=0,$A22=""),"0",IF(LOOKUP($A22,Discrete_NFET[PARTNUMBER],Discrete_NFET[RDSON8])="(NULL)","0","1"))</f>
        <v>0</v>
      </c>
      <c r="G22" s="43" t="str">
        <f>IF(OR($A22=0,$A22=""),"0",IF(LOOKUP($A22,Discrete_NFET[PARTNUMBER],Discrete_NFET[RDSON10])="(NULL)","0","1"))</f>
        <v>1</v>
      </c>
      <c r="H22" s="36" t="b">
        <f t="shared" si="12"/>
        <v>0</v>
      </c>
      <c r="I22" s="39" t="b">
        <f t="shared" si="13"/>
        <v>0</v>
      </c>
      <c r="J22" s="41" t="b">
        <f t="shared" si="14"/>
        <v>1</v>
      </c>
      <c r="K22" s="46" t="b">
        <f t="shared" si="15"/>
        <v>0</v>
      </c>
      <c r="L22" s="42" t="b">
        <f t="shared" si="16"/>
        <v>0</v>
      </c>
      <c r="M22" s="44" t="b">
        <f t="shared" si="17"/>
        <v>1</v>
      </c>
      <c r="N22" s="47" t="b">
        <f t="shared" si="18"/>
        <v>1</v>
      </c>
      <c r="O22" s="36" t="b">
        <f t="shared" si="19"/>
        <v>0</v>
      </c>
      <c r="P22" s="39" t="b">
        <f t="shared" si="20"/>
        <v>0</v>
      </c>
      <c r="Q22" s="41" t="b">
        <f t="shared" si="21"/>
        <v>1</v>
      </c>
      <c r="R22" s="46" t="b">
        <f t="shared" si="22"/>
        <v>0</v>
      </c>
      <c r="S22" s="42" t="b">
        <f t="shared" si="23"/>
        <v>0</v>
      </c>
      <c r="T22" s="44" t="b">
        <f t="shared" si="24"/>
        <v>1</v>
      </c>
      <c r="U22" s="148">
        <f>IF(T22,LOOKUP(A22,Discrete_NFET[PARTNUMBER],Discrete_NFET[RDSON10])*1000,IF(S22,LOOKUP(A22,Discrete_NFET[PARTNUMBER],Discrete_NFET[RDSON8])*1000,IF(R22,LOOKUP(A22,Discrete_NFET[PARTNUMBER],Discrete_NFET[RDSON6])*1000,IF(Q22,LOOKUP(A22,Discrete_NFET[PARTNUMBER],Discrete_NFET[RDSON45])*1000,IF(P22,LOOKUP(A22,Discrete_NFET[PARTNUMBER],Discrete_NFET[RDSON3])*1000,IF(O22,LOOKUP(A22,Discrete_NFET[PARTNUMBER],Discrete_NFET[RDSON25])*1000,""))))))</f>
        <v>4</v>
      </c>
      <c r="V22" s="48">
        <f>IF(AND(A22&lt;&gt;0,A22&lt;&gt;""),U22*(1+(Tj-25)*(LOOKUP(A22,Discrete_NFET[PARTNUMBER],Discrete_NFET[RDSDELTA])/((LOOKUP(A22,Discrete_NFET[PARTNUMBER],Discrete_NFET[TJMAX])-25)))),"")</f>
        <v>4.3600000000000003</v>
      </c>
      <c r="W22" s="35">
        <f>IF(AND($A22&lt;&gt;0,$A22&lt;&gt;""),LOOKUP($A22,Discrete_NFET[PARTNUMBER],Discrete_NFET[QGS]),"")</f>
        <v>3.1</v>
      </c>
      <c r="X22" s="35">
        <f>IF(AND($A22&lt;&gt;0,$A22&lt;&gt;""),LOOKUP($A22,Discrete_NFET[PARTNUMBER],Discrete_NFET[QGD]),"")</f>
        <v>2.2999999999999998</v>
      </c>
      <c r="Y22" s="35">
        <f>IF(AND($A22&lt;&gt;0,$A22&lt;&gt;""),LOOKUP($A22,Discrete_NFET[PARTNUMBER],Discrete_NFET[QGTH]),"")</f>
        <v>1.6</v>
      </c>
      <c r="Z22" s="35">
        <f t="shared" si="25"/>
        <v>3.8000000000000003</v>
      </c>
      <c r="AA22" s="35">
        <f>IF(AND($A22&lt;&gt;0,$A22&lt;&gt;""),LOOKUP($A22,Discrete_NFET[PARTNUMBER],Discrete_NFET[QOSSTYP]),"")</f>
        <v>23</v>
      </c>
      <c r="AB22" s="35">
        <f>IF(AND($A22&lt;&gt;0,$A22&lt;&gt;""),LOOKUP($A22,Discrete_NFET[PARTNUMBER],Discrete_NFET[QRR]),"")</f>
        <v>33</v>
      </c>
      <c r="AC22" s="35">
        <f>IF(AND(A22&lt;&gt;0,A22&lt;&gt;""),LOOKUP(A22,Discrete_NFET[PARTNUMBER],Discrete_NFET[VF_TYP]),"")</f>
        <v>0.8</v>
      </c>
      <c r="AD22" s="127">
        <f>IF(AND($A22&lt;&gt;0,$A22&lt;&gt;"",OR(RIGHT(Logic!B22,2)="C)",LEFT(Logic!B22,4)="CSD1")),(1+(1-DUTY))*IM_RMS_120^2*V22*m/3/Num_FETS3,"")</f>
        <v>0.18346991381963682</v>
      </c>
      <c r="AE22" s="127">
        <f>IF(AND($A22&lt;&gt;0,$A22&lt;&gt;"",OR(RIGHT(Logic!B22,2)="C)",LEFT(Logic!B22,4)="CSD1")),Num_FETS3*0.5*IM_RMS_120*VDC_AVG*Z22*n*MOT_ELEC_FREQ/GDR_SRC,"")</f>
        <v>1.2254901960784317E-5</v>
      </c>
      <c r="AF22" s="127">
        <f>IF(AND($A22&lt;&gt;0,$A22&lt;&gt;"",OR(RIGHT(Logic!B22,2)="C)",LEFT(Logic!B22,4)="CSD1")),Num_FETS3*0.5*IM_RMS_120*VDC_AVG*Z22*n*MOT_ELEC_FREQ/GDR_SINK,"")</f>
        <v>8.3333333333333354E-6</v>
      </c>
      <c r="AG22" s="127">
        <f>IF(AND($A22&lt;&gt;0,$A22&lt;&gt;"",OR(RIGHT(Logic!B22,2)="T)",LEFT(Logic!B22,4)="CSD1")),DUTY*IM_RMS_120^2*V22*m/3/Num_FETS3,"")</f>
        <v>0.16599658869395709</v>
      </c>
      <c r="AH22" s="127">
        <f>IF(AND($A22&lt;&gt;0,$A22&lt;&gt;"",OR(RIGHT(Logic!B22,2)="T)",LEFT(Logic!B22,4)="CSD1")),Num_FETS3*0.5*IM_RMS_120*VDC_AVG*Z22*n*FSW*k/GDR_SRC/3,"")</f>
        <v>2.4509803921568631E-3</v>
      </c>
      <c r="AI22" s="127">
        <f>IF(AND($A22&lt;&gt;0,$A22&lt;&gt;"",OR(RIGHT(Logic!B22,2)="T)",LEFT(Logic!B22,4)="CSD1")),Num_FETS3*0.5*IM_RMS_120*VDC_AVG*Z22*n*FSW*k/GDR_SINK/3,"")</f>
        <v>1.666666666666667E-3</v>
      </c>
      <c r="AJ22" s="127">
        <f t="shared" si="7"/>
        <v>2.7600000000000003E-3</v>
      </c>
      <c r="AK22" s="127">
        <f t="shared" si="8"/>
        <v>1.2414567897146714E-2</v>
      </c>
      <c r="AL22" s="127">
        <f t="shared" si="9"/>
        <v>7.9331999999999996E-3</v>
      </c>
      <c r="AM22" s="127">
        <f t="shared" si="26"/>
        <v>0.37243703691440144</v>
      </c>
      <c r="AN22" s="127">
        <f>IF(AND($A22&lt;&gt;0,$A22&lt;&gt;"",OR(RIGHT(Logic!B22,2)="C)",LEFT(Logic!B22,4)="CSD1")),SUM(AD22:AF22)+(AJ22/3)+AK22+AL22/6+AM22/6,AN23)</f>
        <v>0.26022010943781121</v>
      </c>
      <c r="AO22" s="127">
        <f>IF(AND($A22&lt;&gt;0,$A22&lt;&gt;"",OR(RIGHT(Logic!B22,2)="T)",LEFT(Logic!B22,4)="CSD1")),SUM(AG22:AI22)+(AJ22/3)+AL22/6+AM22/6,AO21)</f>
        <v>0.2344292752385142</v>
      </c>
      <c r="AP22" s="48">
        <f t="shared" si="27"/>
        <v>0.49</v>
      </c>
      <c r="AQ22" s="35" t="str">
        <f>IF(AND(A22&lt;&gt;0,A22&lt;&gt;""),LOOKUP(A22,Discrete_NFET[PARTNUMBER],Discrete_NFET[TI_EQ_PACKAGE]),"")</f>
        <v>SON5x6</v>
      </c>
      <c r="AR22" s="49">
        <f>IF(AND(A22&lt;&gt;0,A22&lt;&gt;""),LOOKUP(A22,Discrete_NFET[PARTNUMBER],Discrete_NFET[1KPRICE]),"")</f>
        <v>0.47</v>
      </c>
      <c r="AS22" s="35" t="str">
        <f>IF(AND($A22&lt;&gt;0,$A22&lt;&gt;""),CONCATENATE(TEXT(AP22,"0.00"),"W, ",IF('User Input'!H$11="Single Discrete",A22,IF('User Input'!H$11="Dual/Power Block",LEFT(A22,FIND(")",A22)-7),A22)),", ",AQ22,", ",TEXT(AR22,"$0.00")),"Invalid Part")</f>
        <v>0.49W, CSD17506Q5A, SON5x6, $0.47</v>
      </c>
      <c r="AT22" t="s">
        <v>839</v>
      </c>
      <c r="AW22"/>
      <c r="AX22" s="35" t="str">
        <f>IF('User Input'!F13="Dual/Power Block",LEFT(A4,FIND("L",A4)-1),A4)</f>
        <v>CSD17301Q5A</v>
      </c>
    </row>
    <row r="23" spans="1:50" ht="15" customHeight="1" x14ac:dyDescent="0.25">
      <c r="A23" s="35" t="str">
        <f>IF(OR(AND(FET_config3="Dual/Power Block",LEFT(Logic!B23,4)="CSD8"),AND(FET_config3="Single Discrete",LEFT(Logic!B23,4)="CSD1")),Logic!B23,"")</f>
        <v>CSD17507Q5A</v>
      </c>
      <c r="B23" s="37" t="str">
        <f>IF(OR($A23=0,$A23=""),"0",IF(LOOKUP($A23,Discrete_NFET[PARTNUMBER],Discrete_NFET[RDSON25])="(NULL)","0","1"))</f>
        <v>0</v>
      </c>
      <c r="C23" s="38" t="str">
        <f>IF(OR($A23=0,$A23=""),"0",IF(LOOKUP($A23,Discrete_NFET[PARTNUMBER],Discrete_NFET[RDSON3])="(NULL)","0","1"))</f>
        <v>0</v>
      </c>
      <c r="D23" s="40" t="str">
        <f>IF(OR($A23=0,$A23=""),"0",IF(LOOKUP($A23,Discrete_NFET[PARTNUMBER],Discrete_NFET[RDSON45])="(NULL)","0","1"))</f>
        <v>1</v>
      </c>
      <c r="E23" s="45" t="str">
        <f>IF(OR($A23=0,$A23=""),"0",IF(LOOKUP($A23,Discrete_NFET[PARTNUMBER],Discrete_NFET[RDSON6])="(NULL)","0","1"))</f>
        <v>0</v>
      </c>
      <c r="F23" s="34" t="str">
        <f>IF(OR($A23=0,$A23=""),"0",IF(LOOKUP($A23,Discrete_NFET[PARTNUMBER],Discrete_NFET[RDSON8])="(NULL)","0","1"))</f>
        <v>0</v>
      </c>
      <c r="G23" s="43" t="str">
        <f>IF(OR($A23=0,$A23=""),"0",IF(LOOKUP($A23,Discrete_NFET[PARTNUMBER],Discrete_NFET[RDSON10])="(NULL)","0","1"))</f>
        <v>1</v>
      </c>
      <c r="H23" s="36" t="b">
        <f t="shared" si="12"/>
        <v>0</v>
      </c>
      <c r="I23" s="39" t="b">
        <f t="shared" si="13"/>
        <v>0</v>
      </c>
      <c r="J23" s="41" t="b">
        <f t="shared" si="14"/>
        <v>1</v>
      </c>
      <c r="K23" s="46" t="b">
        <f t="shared" si="15"/>
        <v>0</v>
      </c>
      <c r="L23" s="42" t="b">
        <f t="shared" si="16"/>
        <v>0</v>
      </c>
      <c r="M23" s="44" t="b">
        <f t="shared" si="17"/>
        <v>1</v>
      </c>
      <c r="N23" s="47" t="b">
        <f t="shared" si="18"/>
        <v>1</v>
      </c>
      <c r="O23" s="36" t="b">
        <f t="shared" si="19"/>
        <v>0</v>
      </c>
      <c r="P23" s="39" t="b">
        <f t="shared" si="20"/>
        <v>0</v>
      </c>
      <c r="Q23" s="41" t="b">
        <f t="shared" si="21"/>
        <v>1</v>
      </c>
      <c r="R23" s="46" t="b">
        <f t="shared" si="22"/>
        <v>0</v>
      </c>
      <c r="S23" s="42" t="b">
        <f t="shared" si="23"/>
        <v>0</v>
      </c>
      <c r="T23" s="44" t="b">
        <f t="shared" si="24"/>
        <v>1</v>
      </c>
      <c r="U23" s="148">
        <f>IF(T23,LOOKUP(A23,Discrete_NFET[PARTNUMBER],Discrete_NFET[RDSON10])*1000,IF(S23,LOOKUP(A23,Discrete_NFET[PARTNUMBER],Discrete_NFET[RDSON8])*1000,IF(R23,LOOKUP(A23,Discrete_NFET[PARTNUMBER],Discrete_NFET[RDSON6])*1000,IF(Q23,LOOKUP(A23,Discrete_NFET[PARTNUMBER],Discrete_NFET[RDSON45])*1000,IF(P23,LOOKUP(A23,Discrete_NFET[PARTNUMBER],Discrete_NFET[RDSON3])*1000,IF(O23,LOOKUP(A23,Discrete_NFET[PARTNUMBER],Discrete_NFET[RDSON25])*1000,""))))))</f>
        <v>10.8</v>
      </c>
      <c r="V23" s="48">
        <f>IF(AND(A23&lt;&gt;0,A23&lt;&gt;""),U23*(1+(Tj-25)*(LOOKUP(A23,Discrete_NFET[PARTNUMBER],Discrete_NFET[RDSDELTA])/((LOOKUP(A23,Discrete_NFET[PARTNUMBER],Discrete_NFET[TJMAX])-25)))),"")</f>
        <v>11.815200000000001</v>
      </c>
      <c r="W23" s="35">
        <f>IF(AND($A23&lt;&gt;0,$A23&lt;&gt;""),LOOKUP($A23,Discrete_NFET[PARTNUMBER],Discrete_NFET[QGS]),"")</f>
        <v>1.3</v>
      </c>
      <c r="X23" s="35">
        <f>IF(AND($A23&lt;&gt;0,$A23&lt;&gt;""),LOOKUP($A23,Discrete_NFET[PARTNUMBER],Discrete_NFET[QGD]),"")</f>
        <v>0.7</v>
      </c>
      <c r="Y23" s="35">
        <f>IF(AND($A23&lt;&gt;0,$A23&lt;&gt;""),LOOKUP($A23,Discrete_NFET[PARTNUMBER],Discrete_NFET[QGTH]),"")</f>
        <v>0.7</v>
      </c>
      <c r="Z23" s="35">
        <f t="shared" si="25"/>
        <v>1.3</v>
      </c>
      <c r="AA23" s="35">
        <f>IF(AND($A23&lt;&gt;0,$A23&lt;&gt;""),LOOKUP($A23,Discrete_NFET[PARTNUMBER],Discrete_NFET[QOSSTYP]),"")</f>
        <v>7.2</v>
      </c>
      <c r="AB23" s="35">
        <f>IF(AND($A23&lt;&gt;0,$A23&lt;&gt;""),LOOKUP($A23,Discrete_NFET[PARTNUMBER],Discrete_NFET[QRR]),"")</f>
        <v>11</v>
      </c>
      <c r="AC23" s="35">
        <f>IF(AND(A23&lt;&gt;0,A23&lt;&gt;""),LOOKUP(A23,Discrete_NFET[PARTNUMBER],Discrete_NFET[VF_TYP]),"")</f>
        <v>0.85</v>
      </c>
      <c r="AD23" s="127">
        <f>IF(AND($A23&lt;&gt;0,$A23&lt;&gt;"",OR(RIGHT(Logic!B23,2)="C)",LEFT(Logic!B23,4)="CSD1")),(1+(1-DUTY))*IM_RMS_120^2*V23*m/3/Num_FETS3,"")</f>
        <v>0.49718663434903038</v>
      </c>
      <c r="AE23" s="127">
        <f>IF(AND($A23&lt;&gt;0,$A23&lt;&gt;"",OR(RIGHT(Logic!B23,2)="C)",LEFT(Logic!B23,4)="CSD1")),Num_FETS3*0.5*IM_RMS_120*VDC_AVG*Z23*n*MOT_ELEC_FREQ/GDR_SRC,"")</f>
        <v>4.192466460268318E-6</v>
      </c>
      <c r="AF23" s="127">
        <f>IF(AND($A23&lt;&gt;0,$A23&lt;&gt;"",OR(RIGHT(Logic!B23,2)="C)",LEFT(Logic!B23,4)="CSD1")),Num_FETS3*0.5*IM_RMS_120*VDC_AVG*Z23*n*MOT_ELEC_FREQ/GDR_SINK,"")</f>
        <v>2.8508771929824565E-6</v>
      </c>
      <c r="AG23" s="127">
        <f>IF(AND($A23&lt;&gt;0,$A23&lt;&gt;"",OR(RIGHT(Logic!B23,2)="T)",LEFT(Logic!B23,4)="CSD1")),DUTY*IM_RMS_120^2*V23*m/3/Num_FETS3,"")</f>
        <v>0.44983552631578938</v>
      </c>
      <c r="AH23" s="127">
        <f>IF(AND($A23&lt;&gt;0,$A23&lt;&gt;"",OR(RIGHT(Logic!B23,2)="T)",LEFT(Logic!B23,4)="CSD1")),Num_FETS3*0.5*IM_RMS_120*VDC_AVG*Z23*n*FSW*k/GDR_SRC/3,"")</f>
        <v>8.3849329205366375E-4</v>
      </c>
      <c r="AI23" s="127">
        <f>IF(AND($A23&lt;&gt;0,$A23&lt;&gt;"",OR(RIGHT(Logic!B23,2)="T)",LEFT(Logic!B23,4)="CSD1")),Num_FETS3*0.5*IM_RMS_120*VDC_AVG*Z23*n*FSW*k/GDR_SINK/3,"")</f>
        <v>5.7017543859649129E-4</v>
      </c>
      <c r="AJ23" s="127">
        <f t="shared" si="7"/>
        <v>8.6400000000000008E-4</v>
      </c>
      <c r="AK23" s="127">
        <f t="shared" si="8"/>
        <v>1.3190478390718382E-2</v>
      </c>
      <c r="AL23" s="127">
        <f t="shared" si="9"/>
        <v>2.6444000000000003E-3</v>
      </c>
      <c r="AM23" s="127">
        <f t="shared" si="26"/>
        <v>0.39571435172155139</v>
      </c>
      <c r="AN23" s="127">
        <f>IF(AND($A23&lt;&gt;0,$A23&lt;&gt;"",OR(RIGHT(Logic!B23,2)="C)",LEFT(Logic!B23,4)="CSD1")),SUM(AD23:AF23)+(AJ23/3)+AK23+AL23/6+AM23/6,AN24)</f>
        <v>0.57706528137032731</v>
      </c>
      <c r="AO23" s="127">
        <f>IF(AND($A23&lt;&gt;0,$A23&lt;&gt;"",OR(RIGHT(Logic!B23,2)="T)",LEFT(Logic!B23,4)="CSD1")),SUM(AG23:AI23)+(AJ23/3)+AL23/6+AM23/6,AO22)</f>
        <v>0.5179253203333648</v>
      </c>
      <c r="AP23" s="48">
        <f t="shared" si="27"/>
        <v>1.0900000000000001</v>
      </c>
      <c r="AQ23" s="35" t="str">
        <f>IF(AND(A23&lt;&gt;0,A23&lt;&gt;""),LOOKUP(A23,Discrete_NFET[PARTNUMBER],Discrete_NFET[TI_EQ_PACKAGE]),"")</f>
        <v>SON5x6</v>
      </c>
      <c r="AR23" s="49">
        <f>IF(AND(A23&lt;&gt;0,A23&lt;&gt;""),LOOKUP(A23,Discrete_NFET[PARTNUMBER],Discrete_NFET[1KPRICE]),"")</f>
        <v>0.23</v>
      </c>
      <c r="AS23" s="35" t="str">
        <f>IF(AND($A23&lt;&gt;0,$A23&lt;&gt;""),CONCATENATE(TEXT(AP23,"0.00"),"W, ",IF('User Input'!H$11="Single Discrete",A23,IF('User Input'!H$11="Dual/Power Block",LEFT(A23,FIND(")",A23)-7),A23)),", ",AQ23,", ",TEXT(AR23,"$0.00")),"Invalid Part")</f>
        <v>1.09W, CSD17507Q5A, SON5x6, $0.23</v>
      </c>
      <c r="AT23" t="s">
        <v>862</v>
      </c>
      <c r="AW23"/>
    </row>
    <row r="24" spans="1:50" ht="15" customHeight="1" x14ac:dyDescent="0.25">
      <c r="A24" s="35" t="str">
        <f>IF(OR(AND(FET_config3="Dual/Power Block",LEFT(Logic!B24,4)="CSD8"),AND(FET_config3="Single Discrete",LEFT(Logic!B24,4)="CSD1")),Logic!B24,"")</f>
        <v>CSD17510Q5A</v>
      </c>
      <c r="B24" s="37" t="str">
        <f>IF(OR($A24=0,$A24=""),"0",IF(LOOKUP($A24,Discrete_NFET[PARTNUMBER],Discrete_NFET[RDSON25])="(NULL)","0","1"))</f>
        <v>0</v>
      </c>
      <c r="C24" s="38" t="str">
        <f>IF(OR($A24=0,$A24=""),"0",IF(LOOKUP($A24,Discrete_NFET[PARTNUMBER],Discrete_NFET[RDSON3])="(NULL)","0","1"))</f>
        <v>0</v>
      </c>
      <c r="D24" s="40" t="str">
        <f>IF(OR($A24=0,$A24=""),"0",IF(LOOKUP($A24,Discrete_NFET[PARTNUMBER],Discrete_NFET[RDSON45])="(NULL)","0","1"))</f>
        <v>1</v>
      </c>
      <c r="E24" s="45" t="str">
        <f>IF(OR($A24=0,$A24=""),"0",IF(LOOKUP($A24,Discrete_NFET[PARTNUMBER],Discrete_NFET[RDSON6])="(NULL)","0","1"))</f>
        <v>0</v>
      </c>
      <c r="F24" s="34" t="str">
        <f>IF(OR($A24=0,$A24=""),"0",IF(LOOKUP($A24,Discrete_NFET[PARTNUMBER],Discrete_NFET[RDSON8])="(NULL)","0","1"))</f>
        <v>0</v>
      </c>
      <c r="G24" s="43" t="str">
        <f>IF(OR($A24=0,$A24=""),"0",IF(LOOKUP($A24,Discrete_NFET[PARTNUMBER],Discrete_NFET[RDSON10])="(NULL)","0","1"))</f>
        <v>1</v>
      </c>
      <c r="H24" s="36" t="b">
        <f t="shared" si="12"/>
        <v>0</v>
      </c>
      <c r="I24" s="39" t="b">
        <f t="shared" si="13"/>
        <v>0</v>
      </c>
      <c r="J24" s="41" t="b">
        <f t="shared" si="14"/>
        <v>1</v>
      </c>
      <c r="K24" s="46" t="b">
        <f t="shared" si="15"/>
        <v>0</v>
      </c>
      <c r="L24" s="42" t="b">
        <f t="shared" si="16"/>
        <v>0</v>
      </c>
      <c r="M24" s="44" t="b">
        <f t="shared" si="17"/>
        <v>1</v>
      </c>
      <c r="N24" s="47" t="b">
        <f t="shared" si="18"/>
        <v>1</v>
      </c>
      <c r="O24" s="36" t="b">
        <f t="shared" si="19"/>
        <v>0</v>
      </c>
      <c r="P24" s="39" t="b">
        <f t="shared" si="20"/>
        <v>0</v>
      </c>
      <c r="Q24" s="41" t="b">
        <f t="shared" si="21"/>
        <v>1</v>
      </c>
      <c r="R24" s="46" t="b">
        <f t="shared" si="22"/>
        <v>0</v>
      </c>
      <c r="S24" s="42" t="b">
        <f t="shared" si="23"/>
        <v>0</v>
      </c>
      <c r="T24" s="44" t="b">
        <f t="shared" si="24"/>
        <v>1</v>
      </c>
      <c r="U24" s="148">
        <f>IF(T24,LOOKUP(A24,Discrete_NFET[PARTNUMBER],Discrete_NFET[RDSON10])*1000,IF(S24,LOOKUP(A24,Discrete_NFET[PARTNUMBER],Discrete_NFET[RDSON8])*1000,IF(R24,LOOKUP(A24,Discrete_NFET[PARTNUMBER],Discrete_NFET[RDSON6])*1000,IF(Q24,LOOKUP(A24,Discrete_NFET[PARTNUMBER],Discrete_NFET[RDSON45])*1000,IF(P24,LOOKUP(A24,Discrete_NFET[PARTNUMBER],Discrete_NFET[RDSON3])*1000,IF(O24,LOOKUP(A24,Discrete_NFET[PARTNUMBER],Discrete_NFET[RDSON25])*1000,""))))))</f>
        <v>5.2</v>
      </c>
      <c r="V24" s="48">
        <f>IF(AND(A24&lt;&gt;0,A24&lt;&gt;""),U24*(1+(Tj-25)*(LOOKUP(A24,Discrete_NFET[PARTNUMBER],Discrete_NFET[RDSDELTA])/((LOOKUP(A24,Discrete_NFET[PARTNUMBER],Discrete_NFET[TJMAX])-25)))),"")</f>
        <v>5.6888000000000005</v>
      </c>
      <c r="W24" s="35">
        <f>IF(AND($A24&lt;&gt;0,$A24&lt;&gt;""),LOOKUP($A24,Discrete_NFET[PARTNUMBER],Discrete_NFET[QGS]),"")</f>
        <v>2.7</v>
      </c>
      <c r="X24" s="35">
        <f>IF(AND($A24&lt;&gt;0,$A24&lt;&gt;""),LOOKUP($A24,Discrete_NFET[PARTNUMBER],Discrete_NFET[QGD]),"")</f>
        <v>1.9</v>
      </c>
      <c r="Y24" s="35">
        <f>IF(AND($A24&lt;&gt;0,$A24&lt;&gt;""),LOOKUP($A24,Discrete_NFET[PARTNUMBER],Discrete_NFET[QGTH]),"")</f>
        <v>1.5</v>
      </c>
      <c r="Z24" s="35">
        <f t="shared" si="25"/>
        <v>3.0999999999999996</v>
      </c>
      <c r="AA24" s="35">
        <f>IF(AND($A24&lt;&gt;0,$A24&lt;&gt;""),LOOKUP($A24,Discrete_NFET[PARTNUMBER],Discrete_NFET[QOSSTYP]),"")</f>
        <v>16</v>
      </c>
      <c r="AB24" s="35">
        <f>IF(AND($A24&lt;&gt;0,$A24&lt;&gt;""),LOOKUP($A24,Discrete_NFET[PARTNUMBER],Discrete_NFET[QRR]),"")</f>
        <v>25</v>
      </c>
      <c r="AC24" s="35">
        <f>IF(AND(A24&lt;&gt;0,A24&lt;&gt;""),LOOKUP(A24,Discrete_NFET[PARTNUMBER],Discrete_NFET[VF_TYP]),"")</f>
        <v>0.85</v>
      </c>
      <c r="AD24" s="127">
        <f>IF(AND($A24&lt;&gt;0,$A24&lt;&gt;"",OR(RIGHT(Logic!B24,2)="C)",LEFT(Logic!B24,4)="CSD1")),(1+(1-DUTY))*IM_RMS_120^2*V24*m/3/Num_FETS3,"")</f>
        <v>0.23938615727916279</v>
      </c>
      <c r="AE24" s="127">
        <f>IF(AND($A24&lt;&gt;0,$A24&lt;&gt;"",OR(RIGHT(Logic!B24,2)="C)",LEFT(Logic!B24,4)="CSD1")),Num_FETS3*0.5*IM_RMS_120*VDC_AVG*Z24*n*MOT_ELEC_FREQ/GDR_SRC,"")</f>
        <v>9.9974200206398347E-6</v>
      </c>
      <c r="AF24" s="127">
        <f>IF(AND($A24&lt;&gt;0,$A24&lt;&gt;"",OR(RIGHT(Logic!B24,2)="C)",LEFT(Logic!B24,4)="CSD1")),Num_FETS3*0.5*IM_RMS_120*VDC_AVG*Z24*n*MOT_ELEC_FREQ/GDR_SINK,"")</f>
        <v>6.7982456140350876E-6</v>
      </c>
      <c r="AG24" s="127">
        <f>IF(AND($A24&lt;&gt;0,$A24&lt;&gt;"",OR(RIGHT(Logic!B24,2)="T)",LEFT(Logic!B24,4)="CSD1")),DUTY*IM_RMS_120^2*V24*m/3/Num_FETS3,"")</f>
        <v>0.21658747563352823</v>
      </c>
      <c r="AH24" s="127">
        <f>IF(AND($A24&lt;&gt;0,$A24&lt;&gt;"",OR(RIGHT(Logic!B24,2)="T)",LEFT(Logic!B24,4)="CSD1")),Num_FETS3*0.5*IM_RMS_120*VDC_AVG*Z24*n*FSW*k/GDR_SRC/3,"")</f>
        <v>1.9994840041279668E-3</v>
      </c>
      <c r="AI24" s="127">
        <f>IF(AND($A24&lt;&gt;0,$A24&lt;&gt;"",OR(RIGHT(Logic!B24,2)="T)",LEFT(Logic!B24,4)="CSD1")),Num_FETS3*0.5*IM_RMS_120*VDC_AVG*Z24*n*FSW*k/GDR_SINK/3,"")</f>
        <v>1.3596491228070175E-3</v>
      </c>
      <c r="AJ24" s="127">
        <f t="shared" si="7"/>
        <v>1.92E-3</v>
      </c>
      <c r="AK24" s="127">
        <f t="shared" si="8"/>
        <v>1.3190478390718382E-2</v>
      </c>
      <c r="AL24" s="127">
        <f t="shared" si="9"/>
        <v>6.0100000000000006E-3</v>
      </c>
      <c r="AM24" s="127">
        <f t="shared" si="26"/>
        <v>0.39571435172155139</v>
      </c>
      <c r="AN24" s="127">
        <f>IF(AND($A24&lt;&gt;0,$A24&lt;&gt;"",OR(RIGHT(Logic!B24,2)="C)",LEFT(Logic!B24,4)="CSD1")),SUM(AD24:AF24)+(AJ24/3)+AK24+AL24/6+AM24/6,AN25)</f>
        <v>0.3201874899557744</v>
      </c>
      <c r="AO24" s="127">
        <f>IF(AND($A24&lt;&gt;0,$A24&lt;&gt;"",OR(RIGHT(Logic!B24,2)="T)",LEFT(Logic!B24,4)="CSD1")),SUM(AG24:AI24)+(AJ24/3)+AL24/6+AM24/6,AO23)</f>
        <v>0.28754066738072181</v>
      </c>
      <c r="AP24" s="48">
        <f t="shared" si="27"/>
        <v>0.61</v>
      </c>
      <c r="AQ24" s="35" t="str">
        <f>IF(AND(A24&lt;&gt;0,A24&lt;&gt;""),LOOKUP(A24,Discrete_NFET[PARTNUMBER],Discrete_NFET[TI_EQ_PACKAGE]),"")</f>
        <v>SON5x6</v>
      </c>
      <c r="AR24" s="49">
        <f>IF(AND(A24&lt;&gt;0,A24&lt;&gt;""),LOOKUP(A24,Discrete_NFET[PARTNUMBER],Discrete_NFET[1KPRICE]),"")</f>
        <v>0.34</v>
      </c>
      <c r="AS24" s="35" t="str">
        <f>IF(AND($A24&lt;&gt;0,$A24&lt;&gt;""),CONCATENATE(TEXT(AP24,"0.00"),"W, ",IF('User Input'!H$11="Single Discrete",A24,IF('User Input'!H$11="Dual/Power Block",LEFT(A24,FIND(")",A24)-7),A24)),", ",AQ24,", ",TEXT(AR24,"$0.00")),"Invalid Part")</f>
        <v>0.61W, CSD17510Q5A, SON5x6, $0.34</v>
      </c>
      <c r="AT24" t="s">
        <v>863</v>
      </c>
      <c r="AW24"/>
    </row>
    <row r="25" spans="1:50" ht="15" customHeight="1" x14ac:dyDescent="0.25">
      <c r="A25" s="35" t="str">
        <f>IF(OR(AND(FET_config3="Dual/Power Block",LEFT(Logic!B25,4)="CSD8"),AND(FET_config3="Single Discrete",LEFT(Logic!B25,4)="CSD1")),Logic!B25,"")</f>
        <v>CSD17522Q5A</v>
      </c>
      <c r="B25" s="37" t="str">
        <f>IF(OR($A25=0,$A25=""),"0",IF(LOOKUP($A25,Discrete_NFET[PARTNUMBER],Discrete_NFET[RDSON25])="(NULL)","0","1"))</f>
        <v>0</v>
      </c>
      <c r="C25" s="38" t="str">
        <f>IF(OR($A25=0,$A25=""),"0",IF(LOOKUP($A25,Discrete_NFET[PARTNUMBER],Discrete_NFET[RDSON3])="(NULL)","0","1"))</f>
        <v>0</v>
      </c>
      <c r="D25" s="40" t="str">
        <f>IF(OR($A25=0,$A25=""),"0",IF(LOOKUP($A25,Discrete_NFET[PARTNUMBER],Discrete_NFET[RDSON45])="(NULL)","0","1"))</f>
        <v>1</v>
      </c>
      <c r="E25" s="45" t="str">
        <f>IF(OR($A25=0,$A25=""),"0",IF(LOOKUP($A25,Discrete_NFET[PARTNUMBER],Discrete_NFET[RDSON6])="(NULL)","0","1"))</f>
        <v>0</v>
      </c>
      <c r="F25" s="34" t="str">
        <f>IF(OR($A25=0,$A25=""),"0",IF(LOOKUP($A25,Discrete_NFET[PARTNUMBER],Discrete_NFET[RDSON8])="(NULL)","0","1"))</f>
        <v>0</v>
      </c>
      <c r="G25" s="43" t="str">
        <f>IF(OR($A25=0,$A25=""),"0",IF(LOOKUP($A25,Discrete_NFET[PARTNUMBER],Discrete_NFET[RDSON10])="(NULL)","0","1"))</f>
        <v>1</v>
      </c>
      <c r="H25" s="36" t="b">
        <f t="shared" si="12"/>
        <v>0</v>
      </c>
      <c r="I25" s="39" t="b">
        <f t="shared" si="13"/>
        <v>0</v>
      </c>
      <c r="J25" s="41" t="b">
        <f t="shared" si="14"/>
        <v>1</v>
      </c>
      <c r="K25" s="46" t="b">
        <f t="shared" si="15"/>
        <v>0</v>
      </c>
      <c r="L25" s="42" t="b">
        <f t="shared" si="16"/>
        <v>0</v>
      </c>
      <c r="M25" s="44" t="b">
        <f t="shared" si="17"/>
        <v>1</v>
      </c>
      <c r="N25" s="47" t="b">
        <f t="shared" si="18"/>
        <v>1</v>
      </c>
      <c r="O25" s="36" t="b">
        <f t="shared" si="19"/>
        <v>0</v>
      </c>
      <c r="P25" s="39" t="b">
        <f t="shared" si="20"/>
        <v>0</v>
      </c>
      <c r="Q25" s="41" t="b">
        <f t="shared" si="21"/>
        <v>1</v>
      </c>
      <c r="R25" s="46" t="b">
        <f t="shared" si="22"/>
        <v>0</v>
      </c>
      <c r="S25" s="42" t="b">
        <f t="shared" si="23"/>
        <v>0</v>
      </c>
      <c r="T25" s="44" t="b">
        <f t="shared" si="24"/>
        <v>1</v>
      </c>
      <c r="U25" s="148">
        <f>IF(T25,LOOKUP(A25,Discrete_NFET[PARTNUMBER],Discrete_NFET[RDSON10])*1000,IF(S25,LOOKUP(A25,Discrete_NFET[PARTNUMBER],Discrete_NFET[RDSON8])*1000,IF(R25,LOOKUP(A25,Discrete_NFET[PARTNUMBER],Discrete_NFET[RDSON6])*1000,IF(Q25,LOOKUP(A25,Discrete_NFET[PARTNUMBER],Discrete_NFET[RDSON45])*1000,IF(P25,LOOKUP(A25,Discrete_NFET[PARTNUMBER],Discrete_NFET[RDSON3])*1000,IF(O25,LOOKUP(A25,Discrete_NFET[PARTNUMBER],Discrete_NFET[RDSON25])*1000,""))))))</f>
        <v>8.1</v>
      </c>
      <c r="V25" s="48">
        <f>IF(AND(A25&lt;&gt;0,A25&lt;&gt;""),U25*(1+(Tj-25)*(LOOKUP(A25,Discrete_NFET[PARTNUMBER],Discrete_NFET[RDSDELTA])/((LOOKUP(A25,Discrete_NFET[PARTNUMBER],Discrete_NFET[TJMAX])-25)))),"")</f>
        <v>8.7804000000000002</v>
      </c>
      <c r="W25" s="35">
        <f>IF(AND($A25&lt;&gt;0,$A25&lt;&gt;""),LOOKUP($A25,Discrete_NFET[PARTNUMBER],Discrete_NFET[QGS]),"")</f>
        <v>1.6</v>
      </c>
      <c r="X25" s="35">
        <f>IF(AND($A25&lt;&gt;0,$A25&lt;&gt;""),LOOKUP($A25,Discrete_NFET[PARTNUMBER],Discrete_NFET[QGD]),"")</f>
        <v>1.1000000000000001</v>
      </c>
      <c r="Y25" s="35">
        <f>IF(AND($A25&lt;&gt;0,$A25&lt;&gt;""),LOOKUP($A25,Discrete_NFET[PARTNUMBER],Discrete_NFET[QGTH]),"")</f>
        <v>0.9</v>
      </c>
      <c r="Z25" s="35">
        <f t="shared" si="25"/>
        <v>1.8000000000000003</v>
      </c>
      <c r="AA25" s="35">
        <f>IF(AND($A25&lt;&gt;0,$A25&lt;&gt;""),LOOKUP($A25,Discrete_NFET[PARTNUMBER],Discrete_NFET[QOSSTYP]),"")</f>
        <v>8.6</v>
      </c>
      <c r="AB25" s="35">
        <f>IF(AND($A25&lt;&gt;0,$A25&lt;&gt;""),LOOKUP($A25,Discrete_NFET[PARTNUMBER],Discrete_NFET[QRR]),"")</f>
        <v>19.600000000000001</v>
      </c>
      <c r="AC25" s="35">
        <f>IF(AND(A25&lt;&gt;0,A25&lt;&gt;""),LOOKUP(A25,Discrete_NFET[PARTNUMBER],Discrete_NFET[VF_TYP]),"")</f>
        <v>0.85</v>
      </c>
      <c r="AD25" s="127">
        <f>IF(AND($A25&lt;&gt;0,$A25&lt;&gt;"",OR(RIGHT(Logic!B25,2)="C)",LEFT(Logic!B25,4)="CSD1")),(1+(1-DUTY))*IM_RMS_120^2*V25*m/3/Num_FETS3,"")</f>
        <v>0.36948147506925205</v>
      </c>
      <c r="AE25" s="127">
        <f>IF(AND($A25&lt;&gt;0,$A25&lt;&gt;"",OR(RIGHT(Logic!B25,2)="C)",LEFT(Logic!B25,4)="CSD1")),Num_FETS3*0.5*IM_RMS_120*VDC_AVG*Z25*n*MOT_ELEC_FREQ/GDR_SRC,"")</f>
        <v>5.8049535603715175E-6</v>
      </c>
      <c r="AF25" s="127">
        <f>IF(AND($A25&lt;&gt;0,$A25&lt;&gt;"",OR(RIGHT(Logic!B25,2)="C)",LEFT(Logic!B25,4)="CSD1")),Num_FETS3*0.5*IM_RMS_120*VDC_AVG*Z25*n*MOT_ELEC_FREQ/GDR_SINK,"")</f>
        <v>3.9473684210526323E-6</v>
      </c>
      <c r="AG25" s="127">
        <f>IF(AND($A25&lt;&gt;0,$A25&lt;&gt;"",OR(RIGHT(Logic!B25,2)="T)",LEFT(Logic!B25,4)="CSD1")),DUTY*IM_RMS_120^2*V25*m/3/Num_FETS3,"")</f>
        <v>0.33429276315789463</v>
      </c>
      <c r="AH25" s="127">
        <f>IF(AND($A25&lt;&gt;0,$A25&lt;&gt;"",OR(RIGHT(Logic!B25,2)="T)",LEFT(Logic!B25,4)="CSD1")),Num_FETS3*0.5*IM_RMS_120*VDC_AVG*Z25*n*FSW*k/GDR_SRC/3,"")</f>
        <v>1.1609907120743034E-3</v>
      </c>
      <c r="AI25" s="127">
        <f>IF(AND($A25&lt;&gt;0,$A25&lt;&gt;"",OR(RIGHT(Logic!B25,2)="T)",LEFT(Logic!B25,4)="CSD1")),Num_FETS3*0.5*IM_RMS_120*VDC_AVG*Z25*n*FSW*k/GDR_SINK/3,"")</f>
        <v>7.8947368421052641E-4</v>
      </c>
      <c r="AJ25" s="127">
        <f t="shared" si="7"/>
        <v>1.0319999999999999E-3</v>
      </c>
      <c r="AK25" s="127">
        <f t="shared" si="8"/>
        <v>1.3190478390718382E-2</v>
      </c>
      <c r="AL25" s="127">
        <f t="shared" si="9"/>
        <v>4.7118400000000001E-3</v>
      </c>
      <c r="AM25" s="127">
        <f t="shared" si="26"/>
        <v>0.39571435172155139</v>
      </c>
      <c r="AN25" s="127">
        <f>IF(AND($A25&lt;&gt;0,$A25&lt;&gt;"",OR(RIGHT(Logic!B25,2)="C)",LEFT(Logic!B25,4)="CSD1")),SUM(AD25:AF25)+(AJ25/3)+AK25+AL25/6+AM25/6,AN26)</f>
        <v>0.44976340440221052</v>
      </c>
      <c r="AO25" s="127">
        <f>IF(AND($A25&lt;&gt;0,$A25&lt;&gt;"",OR(RIGHT(Logic!B25,2)="T)",LEFT(Logic!B25,4)="CSD1")),SUM(AG25:AI25)+(AJ25/3)+AL25/6+AM25/6,AO24)</f>
        <v>0.40332492617443805</v>
      </c>
      <c r="AP25" s="48">
        <f t="shared" si="27"/>
        <v>0.85</v>
      </c>
      <c r="AQ25" s="35" t="str">
        <f>IF(AND(A25&lt;&gt;0,A25&lt;&gt;""),LOOKUP(A25,Discrete_NFET[PARTNUMBER],Discrete_NFET[TI_EQ_PACKAGE]),"")</f>
        <v>SON5x6</v>
      </c>
      <c r="AR25" s="49">
        <f>IF(AND(A25&lt;&gt;0,A25&lt;&gt;""),LOOKUP(A25,Discrete_NFET[PARTNUMBER],Discrete_NFET[1KPRICE]),"")</f>
        <v>0.36</v>
      </c>
      <c r="AS25" s="35" t="str">
        <f>IF(AND($A25&lt;&gt;0,$A25&lt;&gt;""),CONCATENATE(TEXT(AP25,"0.00"),"W, ",IF('User Input'!H$11="Single Discrete",A25,IF('User Input'!H$11="Dual/Power Block",LEFT(A25,FIND(")",A25)-7),A25)),", ",AQ25,", ",TEXT(AR25,"$0.00")),"Invalid Part")</f>
        <v>0.85W, CSD17522Q5A, SON5x6, $0.36</v>
      </c>
      <c r="AT25" t="s">
        <v>810</v>
      </c>
      <c r="AW25"/>
    </row>
    <row r="26" spans="1:50" ht="15" customHeight="1" x14ac:dyDescent="0.25">
      <c r="A26" s="35" t="str">
        <f>IF(OR(AND(FET_config3="Dual/Power Block",LEFT(Logic!B26,4)="CSD8"),AND(FET_config3="Single Discrete",LEFT(Logic!B26,4)="CSD1")),Logic!B26,"")</f>
        <v>CSD17527Q5A</v>
      </c>
      <c r="B26" s="37" t="str">
        <f>IF(OR($A26=0,$A26=""),"0",IF(LOOKUP($A26,Discrete_NFET[PARTNUMBER],Discrete_NFET[RDSON25])="(NULL)","0","1"))</f>
        <v>0</v>
      </c>
      <c r="C26" s="38" t="str">
        <f>IF(OR($A26=0,$A26=""),"0",IF(LOOKUP($A26,Discrete_NFET[PARTNUMBER],Discrete_NFET[RDSON3])="(NULL)","0","1"))</f>
        <v>0</v>
      </c>
      <c r="D26" s="40" t="str">
        <f>IF(OR($A26=0,$A26=""),"0",IF(LOOKUP($A26,Discrete_NFET[PARTNUMBER],Discrete_NFET[RDSON45])="(NULL)","0","1"))</f>
        <v>1</v>
      </c>
      <c r="E26" s="45" t="str">
        <f>IF(OR($A26=0,$A26=""),"0",IF(LOOKUP($A26,Discrete_NFET[PARTNUMBER],Discrete_NFET[RDSON6])="(NULL)","0","1"))</f>
        <v>0</v>
      </c>
      <c r="F26" s="34" t="str">
        <f>IF(OR($A26=0,$A26=""),"0",IF(LOOKUP($A26,Discrete_NFET[PARTNUMBER],Discrete_NFET[RDSON8])="(NULL)","0","1"))</f>
        <v>0</v>
      </c>
      <c r="G26" s="43" t="str">
        <f>IF(OR($A26=0,$A26=""),"0",IF(LOOKUP($A26,Discrete_NFET[PARTNUMBER],Discrete_NFET[RDSON10])="(NULL)","0","1"))</f>
        <v>1</v>
      </c>
      <c r="H26" s="36" t="b">
        <f t="shared" si="12"/>
        <v>0</v>
      </c>
      <c r="I26" s="39" t="b">
        <f t="shared" si="13"/>
        <v>0</v>
      </c>
      <c r="J26" s="41" t="b">
        <f t="shared" si="14"/>
        <v>1</v>
      </c>
      <c r="K26" s="46" t="b">
        <f t="shared" si="15"/>
        <v>0</v>
      </c>
      <c r="L26" s="42" t="b">
        <f t="shared" si="16"/>
        <v>0</v>
      </c>
      <c r="M26" s="44" t="b">
        <f t="shared" si="17"/>
        <v>1</v>
      </c>
      <c r="N26" s="47" t="b">
        <f t="shared" si="18"/>
        <v>1</v>
      </c>
      <c r="O26" s="36" t="b">
        <f t="shared" si="19"/>
        <v>0</v>
      </c>
      <c r="P26" s="39" t="b">
        <f t="shared" si="20"/>
        <v>0</v>
      </c>
      <c r="Q26" s="41" t="b">
        <f t="shared" si="21"/>
        <v>1</v>
      </c>
      <c r="R26" s="46" t="b">
        <f t="shared" si="22"/>
        <v>0</v>
      </c>
      <c r="S26" s="42" t="b">
        <f t="shared" si="23"/>
        <v>0</v>
      </c>
      <c r="T26" s="44" t="b">
        <f t="shared" si="24"/>
        <v>1</v>
      </c>
      <c r="U26" s="148">
        <f>IF(T26,LOOKUP(A26,Discrete_NFET[PARTNUMBER],Discrete_NFET[RDSON10])*1000,IF(S26,LOOKUP(A26,Discrete_NFET[PARTNUMBER],Discrete_NFET[RDSON8])*1000,IF(R26,LOOKUP(A26,Discrete_NFET[PARTNUMBER],Discrete_NFET[RDSON6])*1000,IF(Q26,LOOKUP(A26,Discrete_NFET[PARTNUMBER],Discrete_NFET[RDSON45])*1000,IF(P26,LOOKUP(A26,Discrete_NFET[PARTNUMBER],Discrete_NFET[RDSON3])*1000,IF(O26,LOOKUP(A26,Discrete_NFET[PARTNUMBER],Discrete_NFET[RDSON25])*1000,""))))))</f>
        <v>10.8</v>
      </c>
      <c r="V26" s="48">
        <f>IF(AND(A26&lt;&gt;0,A26&lt;&gt;""),U26*(1+(Tj-25)*(LOOKUP(A26,Discrete_NFET[PARTNUMBER],Discrete_NFET[RDSDELTA])/((LOOKUP(A26,Discrete_NFET[PARTNUMBER],Discrete_NFET[TJMAX])-25)))),"")</f>
        <v>11.880000000000003</v>
      </c>
      <c r="W26" s="35">
        <f>IF(AND($A26&lt;&gt;0,$A26&lt;&gt;""),LOOKUP($A26,Discrete_NFET[PARTNUMBER],Discrete_NFET[QGS]),"")</f>
        <v>1.2</v>
      </c>
      <c r="X26" s="35">
        <f>IF(AND($A26&lt;&gt;0,$A26&lt;&gt;""),LOOKUP($A26,Discrete_NFET[PARTNUMBER],Discrete_NFET[QGD]),"")</f>
        <v>0.8</v>
      </c>
      <c r="Y26" s="35">
        <f>IF(AND($A26&lt;&gt;0,$A26&lt;&gt;""),LOOKUP($A26,Discrete_NFET[PARTNUMBER],Discrete_NFET[QGTH]),"")</f>
        <v>0.6</v>
      </c>
      <c r="Z26" s="35">
        <f t="shared" si="25"/>
        <v>1.4</v>
      </c>
      <c r="AA26" s="35">
        <f>IF(AND($A26&lt;&gt;0,$A26&lt;&gt;""),LOOKUP($A26,Discrete_NFET[PARTNUMBER],Discrete_NFET[QOSSTYP]),"")</f>
        <v>6.8</v>
      </c>
      <c r="AB26" s="35">
        <f>IF(AND($A26&lt;&gt;0,$A26&lt;&gt;""),LOOKUP($A26,Discrete_NFET[PARTNUMBER],Discrete_NFET[QRR]),"")</f>
        <v>10.5</v>
      </c>
      <c r="AC26" s="35">
        <f>IF(AND(A26&lt;&gt;0,A26&lt;&gt;""),LOOKUP(A26,Discrete_NFET[PARTNUMBER],Discrete_NFET[VF_TYP]),"")</f>
        <v>0.85</v>
      </c>
      <c r="AD26" s="127">
        <f>IF(AND($A26&lt;&gt;0,$A26&lt;&gt;"",OR(RIGHT(Logic!B26,2)="C)",LEFT(Logic!B26,4)="CSD1")),(1+(1-DUTY))*IM_RMS_120^2*V26*m/3/Num_FETS3,"")</f>
        <v>0.49991343490304713</v>
      </c>
      <c r="AE26" s="127">
        <f>IF(AND($A26&lt;&gt;0,$A26&lt;&gt;"",OR(RIGHT(Logic!B26,2)="C)",LEFT(Logic!B26,4)="CSD1")),Num_FETS3*0.5*IM_RMS_120*VDC_AVG*Z26*n*MOT_ELEC_FREQ/GDR_SRC,"")</f>
        <v>4.5149638802889571E-6</v>
      </c>
      <c r="AF26" s="127">
        <f>IF(AND($A26&lt;&gt;0,$A26&lt;&gt;"",OR(RIGHT(Logic!B26,2)="C)",LEFT(Logic!B26,4)="CSD1")),Num_FETS3*0.5*IM_RMS_120*VDC_AVG*Z26*n*MOT_ELEC_FREQ/GDR_SINK,"")</f>
        <v>3.0701754385964911E-6</v>
      </c>
      <c r="AG26" s="127">
        <f>IF(AND($A26&lt;&gt;0,$A26&lt;&gt;"",OR(RIGHT(Logic!B26,2)="T)",LEFT(Logic!B26,4)="CSD1")),DUTY*IM_RMS_120^2*V26*m/3/Num_FETS3,"")</f>
        <v>0.45230263157894735</v>
      </c>
      <c r="AH26" s="127">
        <f>IF(AND($A26&lt;&gt;0,$A26&lt;&gt;"",OR(RIGHT(Logic!B26,2)="T)",LEFT(Logic!B26,4)="CSD1")),Num_FETS3*0.5*IM_RMS_120*VDC_AVG*Z26*n*FSW*k/GDR_SRC/3,"")</f>
        <v>9.0299277605779141E-4</v>
      </c>
      <c r="AI26" s="127">
        <f>IF(AND($A26&lt;&gt;0,$A26&lt;&gt;"",OR(RIGHT(Logic!B26,2)="T)",LEFT(Logic!B26,4)="CSD1")),Num_FETS3*0.5*IM_RMS_120*VDC_AVG*Z26*n*FSW*k/GDR_SINK/3,"")</f>
        <v>6.1403508771929827E-4</v>
      </c>
      <c r="AJ26" s="127">
        <f t="shared" si="7"/>
        <v>8.160000000000001E-4</v>
      </c>
      <c r="AK26" s="127">
        <f t="shared" si="8"/>
        <v>1.3190478390718382E-2</v>
      </c>
      <c r="AL26" s="127">
        <f t="shared" si="9"/>
        <v>2.5242000000000003E-3</v>
      </c>
      <c r="AM26" s="127">
        <f t="shared" si="26"/>
        <v>0.39571435172155139</v>
      </c>
      <c r="AN26" s="127">
        <f>IF(AND($A26&lt;&gt;0,$A26&lt;&gt;"",OR(RIGHT(Logic!B26,2)="C)",LEFT(Logic!B26,4)="CSD1")),SUM(AD26:AF26)+(AJ26/3)+AK26+AL26/6+AM26/6,AN27)</f>
        <v>0.57975659038667637</v>
      </c>
      <c r="AO26" s="127">
        <f>IF(AND($A26&lt;&gt;0,$A26&lt;&gt;"",OR(RIGHT(Logic!B26,2)="T)",LEFT(Logic!B26,4)="CSD1")),SUM(AG26:AI26)+(AJ26/3)+AL26/6+AM26/6,AO25)</f>
        <v>0.52046475139631632</v>
      </c>
      <c r="AP26" s="48">
        <f t="shared" si="27"/>
        <v>1.1000000000000001</v>
      </c>
      <c r="AQ26" s="35" t="str">
        <f>IF(AND(A26&lt;&gt;0,A26&lt;&gt;""),LOOKUP(A26,Discrete_NFET[PARTNUMBER],Discrete_NFET[TI_EQ_PACKAGE]),"")</f>
        <v>SON5x6</v>
      </c>
      <c r="AR26" s="49">
        <f>IF(AND(A26&lt;&gt;0,A26&lt;&gt;""),LOOKUP(A26,Discrete_NFET[PARTNUMBER],Discrete_NFET[1KPRICE]),"")</f>
        <v>0.33</v>
      </c>
      <c r="AS26" s="35" t="str">
        <f>IF(AND($A26&lt;&gt;0,$A26&lt;&gt;""),CONCATENATE(TEXT(AP26,"0.00"),"W, ",IF('User Input'!H$11="Single Discrete",A26,IF('User Input'!H$11="Dual/Power Block",LEFT(A26,FIND(")",A26)-7),A26)),", ",AQ26,", ",TEXT(AR26,"$0.00")),"Invalid Part")</f>
        <v>1.10W, CSD17527Q5A, SON5x6, $0.33</v>
      </c>
      <c r="AT26" t="s">
        <v>822</v>
      </c>
      <c r="AW26"/>
    </row>
    <row r="27" spans="1:50" ht="15" customHeight="1" x14ac:dyDescent="0.25">
      <c r="A27" s="35" t="str">
        <f>IF(OR(AND(FET_config3="Dual/Power Block",LEFT(Logic!B27,4)="CSD8"),AND(FET_config3="Single Discrete",LEFT(Logic!B27,4)="CSD1")),Logic!B27,"")</f>
        <v>CSD17551Q3A</v>
      </c>
      <c r="B27" s="37" t="str">
        <f>IF(OR($A27=0,$A27=""),"0",IF(LOOKUP($A27,Discrete_NFET[PARTNUMBER],Discrete_NFET[RDSON25])="(NULL)","0","1"))</f>
        <v>0</v>
      </c>
      <c r="C27" s="38" t="str">
        <f>IF(OR($A27=0,$A27=""),"0",IF(LOOKUP($A27,Discrete_NFET[PARTNUMBER],Discrete_NFET[RDSON3])="(NULL)","0","1"))</f>
        <v>0</v>
      </c>
      <c r="D27" s="40" t="str">
        <f>IF(OR($A27=0,$A27=""),"0",IF(LOOKUP($A27,Discrete_NFET[PARTNUMBER],Discrete_NFET[RDSON45])="(NULL)","0","1"))</f>
        <v>1</v>
      </c>
      <c r="E27" s="45" t="str">
        <f>IF(OR($A27=0,$A27=""),"0",IF(LOOKUP($A27,Discrete_NFET[PARTNUMBER],Discrete_NFET[RDSON6])="(NULL)","0","1"))</f>
        <v>0</v>
      </c>
      <c r="F27" s="34" t="str">
        <f>IF(OR($A27=0,$A27=""),"0",IF(LOOKUP($A27,Discrete_NFET[PARTNUMBER],Discrete_NFET[RDSON8])="(NULL)","0","1"))</f>
        <v>0</v>
      </c>
      <c r="G27" s="43" t="str">
        <f>IF(OR($A27=0,$A27=""),"0",IF(LOOKUP($A27,Discrete_NFET[PARTNUMBER],Discrete_NFET[RDSON10])="(NULL)","0","1"))</f>
        <v>1</v>
      </c>
      <c r="H27" s="36" t="b">
        <f t="shared" si="12"/>
        <v>0</v>
      </c>
      <c r="I27" s="39" t="b">
        <f t="shared" si="13"/>
        <v>0</v>
      </c>
      <c r="J27" s="41" t="b">
        <f t="shared" si="14"/>
        <v>1</v>
      </c>
      <c r="K27" s="46" t="b">
        <f t="shared" si="15"/>
        <v>0</v>
      </c>
      <c r="L27" s="42" t="b">
        <f t="shared" si="16"/>
        <v>0</v>
      </c>
      <c r="M27" s="44" t="b">
        <f t="shared" si="17"/>
        <v>1</v>
      </c>
      <c r="N27" s="47" t="b">
        <f t="shared" si="18"/>
        <v>1</v>
      </c>
      <c r="O27" s="36" t="b">
        <f t="shared" si="19"/>
        <v>0</v>
      </c>
      <c r="P27" s="39" t="b">
        <f t="shared" si="20"/>
        <v>0</v>
      </c>
      <c r="Q27" s="41" t="b">
        <f t="shared" si="21"/>
        <v>1</v>
      </c>
      <c r="R27" s="46" t="b">
        <f t="shared" si="22"/>
        <v>0</v>
      </c>
      <c r="S27" s="42" t="b">
        <f t="shared" si="23"/>
        <v>0</v>
      </c>
      <c r="T27" s="44" t="b">
        <f t="shared" si="24"/>
        <v>1</v>
      </c>
      <c r="U27" s="148">
        <f>IF(T27,LOOKUP(A27,Discrete_NFET[PARTNUMBER],Discrete_NFET[RDSON10])*1000,IF(S27,LOOKUP(A27,Discrete_NFET[PARTNUMBER],Discrete_NFET[RDSON8])*1000,IF(R27,LOOKUP(A27,Discrete_NFET[PARTNUMBER],Discrete_NFET[RDSON6])*1000,IF(Q27,LOOKUP(A27,Discrete_NFET[PARTNUMBER],Discrete_NFET[RDSON45])*1000,IF(P27,LOOKUP(A27,Discrete_NFET[PARTNUMBER],Discrete_NFET[RDSON3])*1000,IF(O27,LOOKUP(A27,Discrete_NFET[PARTNUMBER],Discrete_NFET[RDSON25])*1000,""))))))</f>
        <v>9</v>
      </c>
      <c r="V27" s="48">
        <f>IF(AND(A27&lt;&gt;0,A27&lt;&gt;""),U27*(1+(Tj-25)*(LOOKUP(A27,Discrete_NFET[PARTNUMBER],Discrete_NFET[RDSDELTA])/((LOOKUP(A27,Discrete_NFET[PARTNUMBER],Discrete_NFET[TJMAX])-25)))),"")</f>
        <v>10.26</v>
      </c>
      <c r="W27" s="35">
        <f>IF(AND($A27&lt;&gt;0,$A27&lt;&gt;""),LOOKUP($A27,Discrete_NFET[PARTNUMBER],Discrete_NFET[QGS]),"")</f>
        <v>2.2999999999999998</v>
      </c>
      <c r="X27" s="35">
        <f>IF(AND($A27&lt;&gt;0,$A27&lt;&gt;""),LOOKUP($A27,Discrete_NFET[PARTNUMBER],Discrete_NFET[QGD]),"")</f>
        <v>1.5</v>
      </c>
      <c r="Y27" s="35">
        <f>IF(AND($A27&lt;&gt;0,$A27&lt;&gt;""),LOOKUP($A27,Discrete_NFET[PARTNUMBER],Discrete_NFET[QGTH]),"")</f>
        <v>1.4</v>
      </c>
      <c r="Z27" s="35">
        <f t="shared" si="25"/>
        <v>2.4</v>
      </c>
      <c r="AA27" s="35">
        <f>IF(AND($A27&lt;&gt;0,$A27&lt;&gt;""),LOOKUP($A27,Discrete_NFET[PARTNUMBER],Discrete_NFET[QOSSTYP]),"")</f>
        <v>7.4</v>
      </c>
      <c r="AB27" s="35">
        <f>IF(AND($A27&lt;&gt;0,$A27&lt;&gt;""),LOOKUP($A27,Discrete_NFET[PARTNUMBER],Discrete_NFET[QRR]),"")</f>
        <v>13</v>
      </c>
      <c r="AC27" s="35">
        <f>IF(AND(A27&lt;&gt;0,A27&lt;&gt;""),LOOKUP(A27,Discrete_NFET[PARTNUMBER],Discrete_NFET[VF_TYP]),"")</f>
        <v>0.8</v>
      </c>
      <c r="AD27" s="127">
        <f>IF(AND($A27&lt;&gt;0,$A27&lt;&gt;"",OR(RIGHT(Logic!B27,2)="C)",LEFT(Logic!B27,4)="CSD1")),(1+(1-DUTY))*IM_RMS_120^2*V27*m/3/Num_FETS3,"")</f>
        <v>0.43174342105263158</v>
      </c>
      <c r="AE27" s="127">
        <f>IF(AND($A27&lt;&gt;0,$A27&lt;&gt;"",OR(RIGHT(Logic!B27,2)="C)",LEFT(Logic!B27,4)="CSD1")),Num_FETS3*0.5*IM_RMS_120*VDC_AVG*Z27*n*MOT_ELEC_FREQ/GDR_SRC,"")</f>
        <v>7.7399380804953562E-6</v>
      </c>
      <c r="AF27" s="127">
        <f>IF(AND($A27&lt;&gt;0,$A27&lt;&gt;"",OR(RIGHT(Logic!B27,2)="C)",LEFT(Logic!B27,4)="CSD1")),Num_FETS3*0.5*IM_RMS_120*VDC_AVG*Z27*n*MOT_ELEC_FREQ/GDR_SINK,"")</f>
        <v>5.2631578947368422E-6</v>
      </c>
      <c r="AG27" s="127">
        <f>IF(AND($A27&lt;&gt;0,$A27&lt;&gt;"",OR(RIGHT(Logic!B27,2)="T)",LEFT(Logic!B27,4)="CSD1")),DUTY*IM_RMS_120^2*V27*m/3/Num_FETS3,"")</f>
        <v>0.39062499999999994</v>
      </c>
      <c r="AH27" s="127">
        <f>IF(AND($A27&lt;&gt;0,$A27&lt;&gt;"",OR(RIGHT(Logic!B27,2)="T)",LEFT(Logic!B27,4)="CSD1")),Num_FETS3*0.5*IM_RMS_120*VDC_AVG*Z27*n*FSW*k/GDR_SRC/3,"")</f>
        <v>1.5479876160990711E-3</v>
      </c>
      <c r="AI27" s="127">
        <f>IF(AND($A27&lt;&gt;0,$A27&lt;&gt;"",OR(RIGHT(Logic!B27,2)="T)",LEFT(Logic!B27,4)="CSD1")),Num_FETS3*0.5*IM_RMS_120*VDC_AVG*Z27*n*FSW*k/GDR_SINK/3,"")</f>
        <v>1.0526315789473684E-3</v>
      </c>
      <c r="AJ27" s="127">
        <f t="shared" si="7"/>
        <v>8.8800000000000023E-4</v>
      </c>
      <c r="AK27" s="127">
        <f t="shared" si="8"/>
        <v>1.2414567897146714E-2</v>
      </c>
      <c r="AL27" s="127">
        <f t="shared" si="9"/>
        <v>3.1252000000000003E-3</v>
      </c>
      <c r="AM27" s="127">
        <f t="shared" si="26"/>
        <v>0.37243703691440144</v>
      </c>
      <c r="AN27" s="127">
        <f>IF(AND($A27&lt;&gt;0,$A27&lt;&gt;"",OR(RIGHT(Logic!B27,2)="C)",LEFT(Logic!B27,4)="CSD1")),SUM(AD27:AF27)+(AJ27/3)+AK27+AL27/6+AM27/6,AN28)</f>
        <v>0.5070606981981538</v>
      </c>
      <c r="AO27" s="127">
        <f>IF(AND($A27&lt;&gt;0,$A27&lt;&gt;"",OR(RIGHT(Logic!B27,2)="T)",LEFT(Logic!B27,4)="CSD1")),SUM(AG27:AI27)+(AJ27/3)+AL27/6+AM27/6,AO26)</f>
        <v>0.45611532534744664</v>
      </c>
      <c r="AP27" s="48">
        <f t="shared" si="27"/>
        <v>0.96</v>
      </c>
      <c r="AQ27" s="35" t="str">
        <f>IF(AND(A27&lt;&gt;0,A27&lt;&gt;""),LOOKUP(A27,Discrete_NFET[PARTNUMBER],Discrete_NFET[TI_EQ_PACKAGE]),"")</f>
        <v>SON3X3</v>
      </c>
      <c r="AR27" s="49">
        <f>IF(AND(A27&lt;&gt;0,A27&lt;&gt;""),LOOKUP(A27,Discrete_NFET[PARTNUMBER],Discrete_NFET[1KPRICE]),"")</f>
        <v>0.23</v>
      </c>
      <c r="AS27" s="35" t="str">
        <f>IF(AND($A27&lt;&gt;0,$A27&lt;&gt;""),CONCATENATE(TEXT(AP27,"0.00"),"W, ",IF('User Input'!H$11="Single Discrete",A27,IF('User Input'!H$11="Dual/Power Block",LEFT(A27,FIND(")",A27)-7),A27)),", ",AQ27,", ",TEXT(AR27,"$0.00")),"Invalid Part")</f>
        <v>0.96W, CSD17551Q3A, SON3X3, $0.23</v>
      </c>
      <c r="AT27" t="s">
        <v>848</v>
      </c>
      <c r="AW27"/>
    </row>
    <row r="28" spans="1:50" ht="15" customHeight="1" x14ac:dyDescent="0.25">
      <c r="A28" s="35" t="str">
        <f>IF(OR(AND(FET_config3="Dual/Power Block",LEFT(Logic!B28,4)="CSD8"),AND(FET_config3="Single Discrete",LEFT(Logic!B28,4)="CSD1")),Logic!B28,"")</f>
        <v>CSD17551Q5A</v>
      </c>
      <c r="B28" s="37" t="str">
        <f>IF(OR($A28=0,$A28=""),"0",IF(LOOKUP($A28,Discrete_NFET[PARTNUMBER],Discrete_NFET[RDSON25])="(NULL)","0","1"))</f>
        <v>0</v>
      </c>
      <c r="C28" s="38" t="str">
        <f>IF(OR($A28=0,$A28=""),"0",IF(LOOKUP($A28,Discrete_NFET[PARTNUMBER],Discrete_NFET[RDSON3])="(NULL)","0","1"))</f>
        <v>0</v>
      </c>
      <c r="D28" s="40" t="str">
        <f>IF(OR($A28=0,$A28=""),"0",IF(LOOKUP($A28,Discrete_NFET[PARTNUMBER],Discrete_NFET[RDSON45])="(NULL)","0","1"))</f>
        <v>1</v>
      </c>
      <c r="E28" s="45" t="str">
        <f>IF(OR($A28=0,$A28=""),"0",IF(LOOKUP($A28,Discrete_NFET[PARTNUMBER],Discrete_NFET[RDSON6])="(NULL)","0","1"))</f>
        <v>0</v>
      </c>
      <c r="F28" s="34" t="str">
        <f>IF(OR($A28=0,$A28=""),"0",IF(LOOKUP($A28,Discrete_NFET[PARTNUMBER],Discrete_NFET[RDSON8])="(NULL)","0","1"))</f>
        <v>0</v>
      </c>
      <c r="G28" s="43" t="str">
        <f>IF(OR($A28=0,$A28=""),"0",IF(LOOKUP($A28,Discrete_NFET[PARTNUMBER],Discrete_NFET[RDSON10])="(NULL)","0","1"))</f>
        <v>1</v>
      </c>
      <c r="H28" s="36" t="b">
        <f t="shared" si="12"/>
        <v>0</v>
      </c>
      <c r="I28" s="39" t="b">
        <f t="shared" si="13"/>
        <v>0</v>
      </c>
      <c r="J28" s="41" t="b">
        <f t="shared" si="14"/>
        <v>1</v>
      </c>
      <c r="K28" s="46" t="b">
        <f t="shared" si="15"/>
        <v>0</v>
      </c>
      <c r="L28" s="42" t="b">
        <f t="shared" si="16"/>
        <v>0</v>
      </c>
      <c r="M28" s="44" t="b">
        <f t="shared" si="17"/>
        <v>1</v>
      </c>
      <c r="N28" s="47" t="b">
        <f t="shared" si="18"/>
        <v>1</v>
      </c>
      <c r="O28" s="36" t="b">
        <f t="shared" si="19"/>
        <v>0</v>
      </c>
      <c r="P28" s="39" t="b">
        <f t="shared" si="20"/>
        <v>0</v>
      </c>
      <c r="Q28" s="41" t="b">
        <f t="shared" si="21"/>
        <v>1</v>
      </c>
      <c r="R28" s="46" t="b">
        <f t="shared" si="22"/>
        <v>0</v>
      </c>
      <c r="S28" s="42" t="b">
        <f t="shared" si="23"/>
        <v>0</v>
      </c>
      <c r="T28" s="44" t="b">
        <f t="shared" si="24"/>
        <v>1</v>
      </c>
      <c r="U28" s="148">
        <f>IF(T28,LOOKUP(A28,Discrete_NFET[PARTNUMBER],Discrete_NFET[RDSON10])*1000,IF(S28,LOOKUP(A28,Discrete_NFET[PARTNUMBER],Discrete_NFET[RDSON8])*1000,IF(R28,LOOKUP(A28,Discrete_NFET[PARTNUMBER],Discrete_NFET[RDSON6])*1000,IF(Q28,LOOKUP(A28,Discrete_NFET[PARTNUMBER],Discrete_NFET[RDSON45])*1000,IF(P28,LOOKUP(A28,Discrete_NFET[PARTNUMBER],Discrete_NFET[RDSON3])*1000,IF(O28,LOOKUP(A28,Discrete_NFET[PARTNUMBER],Discrete_NFET[RDSON25])*1000,""))))))</f>
        <v>8.8000000000000007</v>
      </c>
      <c r="V28" s="48">
        <f>IF(AND(A28&lt;&gt;0,A28&lt;&gt;""),U28*(1+(Tj-25)*(LOOKUP(A28,Discrete_NFET[PARTNUMBER],Discrete_NFET[RDSDELTA])/((LOOKUP(A28,Discrete_NFET[PARTNUMBER],Discrete_NFET[TJMAX])-25)))),"")</f>
        <v>10.119999999999999</v>
      </c>
      <c r="W28" s="35">
        <f>IF(AND($A28&lt;&gt;0,$A28&lt;&gt;""),LOOKUP($A28,Discrete_NFET[PARTNUMBER],Discrete_NFET[QGS]),"")</f>
        <v>2.8</v>
      </c>
      <c r="X28" s="35">
        <f>IF(AND($A28&lt;&gt;0,$A28&lt;&gt;""),LOOKUP($A28,Discrete_NFET[PARTNUMBER],Discrete_NFET[QGD]),"")</f>
        <v>1.4</v>
      </c>
      <c r="Y28" s="35">
        <f>IF(AND($A28&lt;&gt;0,$A28&lt;&gt;""),LOOKUP($A28,Discrete_NFET[PARTNUMBER],Discrete_NFET[QGTH]),"")</f>
        <v>1.4</v>
      </c>
      <c r="Z28" s="35">
        <f t="shared" si="25"/>
        <v>2.7999999999999994</v>
      </c>
      <c r="AA28" s="35">
        <f>IF(AND($A28&lt;&gt;0,$A28&lt;&gt;""),LOOKUP($A28,Discrete_NFET[PARTNUMBER],Discrete_NFET[QOSSTYP]),"")</f>
        <v>7.2</v>
      </c>
      <c r="AB28" s="35">
        <f>IF(AND($A28&lt;&gt;0,$A28&lt;&gt;""),LOOKUP($A28,Discrete_NFET[PARTNUMBER],Discrete_NFET[QRR]),"")</f>
        <v>8.6999999999999993</v>
      </c>
      <c r="AC28" s="35">
        <f>IF(AND(A28&lt;&gt;0,A28&lt;&gt;""),LOOKUP(A28,Discrete_NFET[PARTNUMBER],Discrete_NFET[VF_TYP]),"")</f>
        <v>0.8</v>
      </c>
      <c r="AD28" s="127">
        <f>IF(AND($A28&lt;&gt;0,$A28&lt;&gt;"",OR(RIGHT(Logic!B28,2)="C)",LEFT(Logic!B28,4)="CSD1")),(1+(1-DUTY))*IM_RMS_120^2*V28*m/3/Num_FETS3,"")</f>
        <v>0.42585218528778079</v>
      </c>
      <c r="AE28" s="127">
        <f>IF(AND($A28&lt;&gt;0,$A28&lt;&gt;"",OR(RIGHT(Logic!B28,2)="C)",LEFT(Logic!B28,4)="CSD1")),Num_FETS3*0.5*IM_RMS_120*VDC_AVG*Z28*n*MOT_ELEC_FREQ/GDR_SRC,"")</f>
        <v>9.0299277605779124E-6</v>
      </c>
      <c r="AF28" s="127">
        <f>IF(AND($A28&lt;&gt;0,$A28&lt;&gt;"",OR(RIGHT(Logic!B28,2)="C)",LEFT(Logic!B28,4)="CSD1")),Num_FETS3*0.5*IM_RMS_120*VDC_AVG*Z28*n*MOT_ELEC_FREQ/GDR_SINK,"")</f>
        <v>6.1403508771929813E-6</v>
      </c>
      <c r="AG28" s="127">
        <f>IF(AND($A28&lt;&gt;0,$A28&lt;&gt;"",OR(RIGHT(Logic!B28,2)="T)",LEFT(Logic!B28,4)="CSD1")),DUTY*IM_RMS_120^2*V28*m/3/Num_FETS3,"")</f>
        <v>0.38529483430799211</v>
      </c>
      <c r="AH28" s="127">
        <f>IF(AND($A28&lt;&gt;0,$A28&lt;&gt;"",OR(RIGHT(Logic!B28,2)="T)",LEFT(Logic!B28,4)="CSD1")),Num_FETS3*0.5*IM_RMS_120*VDC_AVG*Z28*n*FSW*k/GDR_SRC/3,"")</f>
        <v>1.8059855521155828E-3</v>
      </c>
      <c r="AI28" s="127">
        <f>IF(AND($A28&lt;&gt;0,$A28&lt;&gt;"",OR(RIGHT(Logic!B28,2)="T)",LEFT(Logic!B28,4)="CSD1")),Num_FETS3*0.5*IM_RMS_120*VDC_AVG*Z28*n*FSW*k/GDR_SINK/3,"")</f>
        <v>1.2280701754385963E-3</v>
      </c>
      <c r="AJ28" s="127">
        <f t="shared" si="7"/>
        <v>8.6400000000000008E-4</v>
      </c>
      <c r="AK28" s="127">
        <f t="shared" si="8"/>
        <v>1.2414567897146714E-2</v>
      </c>
      <c r="AL28" s="127">
        <f t="shared" si="9"/>
        <v>2.0914799999999997E-3</v>
      </c>
      <c r="AM28" s="127">
        <f t="shared" si="26"/>
        <v>0.37243703691440144</v>
      </c>
      <c r="AN28" s="127">
        <f>IF(AND($A28&lt;&gt;0,$A28&lt;&gt;"",OR(RIGHT(Logic!B28,2)="C)",LEFT(Logic!B28,4)="CSD1")),SUM(AD28:AF28)+(AJ28/3)+AK28+AL28/6+AM28/6,AN29)</f>
        <v>0.50099134294929892</v>
      </c>
      <c r="AO28" s="127">
        <f>IF(AND($A28&lt;&gt;0,$A28&lt;&gt;"",OR(RIGHT(Logic!B28,2)="T)",LEFT(Logic!B28,4)="CSD1")),SUM(AG28:AI28)+(AJ28/3)+AL28/6+AM28/6,AO27)</f>
        <v>0.45103830952127982</v>
      </c>
      <c r="AP28" s="48">
        <f t="shared" si="27"/>
        <v>0.95</v>
      </c>
      <c r="AQ28" s="35" t="str">
        <f>IF(AND(A28&lt;&gt;0,A28&lt;&gt;""),LOOKUP(A28,Discrete_NFET[PARTNUMBER],Discrete_NFET[TI_EQ_PACKAGE]),"")</f>
        <v>SON5X6</v>
      </c>
      <c r="AR28" s="49">
        <f>IF(AND(A28&lt;&gt;0,A28&lt;&gt;""),LOOKUP(A28,Discrete_NFET[PARTNUMBER],Discrete_NFET[1KPRICE]),"")</f>
        <v>0.28999999999999998</v>
      </c>
      <c r="AS28" s="35" t="str">
        <f>IF(AND($A28&lt;&gt;0,$A28&lt;&gt;""),CONCATENATE(TEXT(AP28,"0.00"),"W, ",IF('User Input'!H$11="Single Discrete",A28,IF('User Input'!H$11="Dual/Power Block",LEFT(A28,FIND(")",A28)-7),A28)),", ",AQ28,", ",TEXT(AR28,"$0.00")),"Invalid Part")</f>
        <v>0.95W, CSD17551Q5A, SON5X6, $0.29</v>
      </c>
      <c r="AT28" t="s">
        <v>849</v>
      </c>
      <c r="AW28"/>
    </row>
    <row r="29" spans="1:50" ht="15" customHeight="1" x14ac:dyDescent="0.25">
      <c r="A29" s="35" t="str">
        <f>IF(OR(AND(FET_config3="Dual/Power Block",LEFT(Logic!B29,4)="CSD8"),AND(FET_config3="Single Discrete",LEFT(Logic!B29,4)="CSD1")),Logic!B29,"")</f>
        <v>CSD17552Q3A</v>
      </c>
      <c r="B29" s="37" t="str">
        <f>IF(OR($A29=0,$A29=""),"0",IF(LOOKUP($A29,Discrete_NFET[PARTNUMBER],Discrete_NFET[RDSON25])="(NULL)","0","1"))</f>
        <v>0</v>
      </c>
      <c r="C29" s="38" t="str">
        <f>IF(OR($A29=0,$A29=""),"0",IF(LOOKUP($A29,Discrete_NFET[PARTNUMBER],Discrete_NFET[RDSON3])="(NULL)","0","1"))</f>
        <v>0</v>
      </c>
      <c r="D29" s="40" t="str">
        <f>IF(OR($A29=0,$A29=""),"0",IF(LOOKUP($A29,Discrete_NFET[PARTNUMBER],Discrete_NFET[RDSON45])="(NULL)","0","1"))</f>
        <v>1</v>
      </c>
      <c r="E29" s="45" t="str">
        <f>IF(OR($A29=0,$A29=""),"0",IF(LOOKUP($A29,Discrete_NFET[PARTNUMBER],Discrete_NFET[RDSON6])="(NULL)","0","1"))</f>
        <v>0</v>
      </c>
      <c r="F29" s="34" t="str">
        <f>IF(OR($A29=0,$A29=""),"0",IF(LOOKUP($A29,Discrete_NFET[PARTNUMBER],Discrete_NFET[RDSON8])="(NULL)","0","1"))</f>
        <v>0</v>
      </c>
      <c r="G29" s="43" t="str">
        <f>IF(OR($A29=0,$A29=""),"0",IF(LOOKUP($A29,Discrete_NFET[PARTNUMBER],Discrete_NFET[RDSON10])="(NULL)","0","1"))</f>
        <v>1</v>
      </c>
      <c r="H29" s="36" t="b">
        <f t="shared" si="12"/>
        <v>0</v>
      </c>
      <c r="I29" s="39" t="b">
        <f t="shared" si="13"/>
        <v>0</v>
      </c>
      <c r="J29" s="41" t="b">
        <f t="shared" si="14"/>
        <v>1</v>
      </c>
      <c r="K29" s="46" t="b">
        <f t="shared" si="15"/>
        <v>0</v>
      </c>
      <c r="L29" s="42" t="b">
        <f t="shared" si="16"/>
        <v>0</v>
      </c>
      <c r="M29" s="44" t="b">
        <f t="shared" si="17"/>
        <v>1</v>
      </c>
      <c r="N29" s="47" t="b">
        <f t="shared" si="18"/>
        <v>1</v>
      </c>
      <c r="O29" s="36" t="b">
        <f t="shared" si="19"/>
        <v>0</v>
      </c>
      <c r="P29" s="39" t="b">
        <f t="shared" si="20"/>
        <v>0</v>
      </c>
      <c r="Q29" s="41" t="b">
        <f t="shared" si="21"/>
        <v>1</v>
      </c>
      <c r="R29" s="46" t="b">
        <f t="shared" si="22"/>
        <v>0</v>
      </c>
      <c r="S29" s="42" t="b">
        <f t="shared" si="23"/>
        <v>0</v>
      </c>
      <c r="T29" s="44" t="b">
        <f t="shared" si="24"/>
        <v>1</v>
      </c>
      <c r="U29" s="148">
        <f>IF(T29,LOOKUP(A29,Discrete_NFET[PARTNUMBER],Discrete_NFET[RDSON10])*1000,IF(S29,LOOKUP(A29,Discrete_NFET[PARTNUMBER],Discrete_NFET[RDSON8])*1000,IF(R29,LOOKUP(A29,Discrete_NFET[PARTNUMBER],Discrete_NFET[RDSON6])*1000,IF(Q29,LOOKUP(A29,Discrete_NFET[PARTNUMBER],Discrete_NFET[RDSON45])*1000,IF(P29,LOOKUP(A29,Discrete_NFET[PARTNUMBER],Discrete_NFET[RDSON3])*1000,IF(O29,LOOKUP(A29,Discrete_NFET[PARTNUMBER],Discrete_NFET[RDSON25])*1000,""))))))</f>
        <v>6</v>
      </c>
      <c r="V29" s="48">
        <f>IF(AND(A29&lt;&gt;0,A29&lt;&gt;""),U29*(1+(Tj-25)*(LOOKUP(A29,Discrete_NFET[PARTNUMBER],Discrete_NFET[RDSDELTA])/((LOOKUP(A29,Discrete_NFET[PARTNUMBER],Discrete_NFET[TJMAX])-25)))),"")</f>
        <v>6.84</v>
      </c>
      <c r="W29" s="35">
        <f>IF(AND($A29&lt;&gt;0,$A29&lt;&gt;""),LOOKUP($A29,Discrete_NFET[PARTNUMBER],Discrete_NFET[QGS]),"")</f>
        <v>3.6</v>
      </c>
      <c r="X29" s="35">
        <f>IF(AND($A29&lt;&gt;0,$A29&lt;&gt;""),LOOKUP($A29,Discrete_NFET[PARTNUMBER],Discrete_NFET[QGD]),"")</f>
        <v>2.2999999999999998</v>
      </c>
      <c r="Y29" s="35">
        <f>IF(AND($A29&lt;&gt;0,$A29&lt;&gt;""),LOOKUP($A29,Discrete_NFET[PARTNUMBER],Discrete_NFET[QGTH]),"")</f>
        <v>1.8</v>
      </c>
      <c r="Z29" s="35">
        <f t="shared" si="25"/>
        <v>4.1000000000000005</v>
      </c>
      <c r="AA29" s="35">
        <f>IF(AND($A29&lt;&gt;0,$A29&lt;&gt;""),LOOKUP($A29,Discrete_NFET[PARTNUMBER],Discrete_NFET[QOSSTYP]),"")</f>
        <v>11</v>
      </c>
      <c r="AB29" s="35">
        <f>IF(AND($A29&lt;&gt;0,$A29&lt;&gt;""),LOOKUP($A29,Discrete_NFET[PARTNUMBER],Discrete_NFET[QRR]),"")</f>
        <v>17</v>
      </c>
      <c r="AC29" s="35">
        <f>IF(AND(A29&lt;&gt;0,A29&lt;&gt;""),LOOKUP(A29,Discrete_NFET[PARTNUMBER],Discrete_NFET[VF_TYP]),"")</f>
        <v>0.8</v>
      </c>
      <c r="AD29" s="127">
        <f>IF(AND($A29&lt;&gt;0,$A29&lt;&gt;"",OR(RIGHT(Logic!B29,2)="C)",LEFT(Logic!B29,4)="CSD1")),(1+(1-DUTY))*IM_RMS_120^2*V29*m/3/Num_FETS3,"")</f>
        <v>0.28782894736842102</v>
      </c>
      <c r="AE29" s="127">
        <f>IF(AND($A29&lt;&gt;0,$A29&lt;&gt;"",OR(RIGHT(Logic!B29,2)="C)",LEFT(Logic!B29,4)="CSD1")),Num_FETS3*0.5*IM_RMS_120*VDC_AVG*Z29*n*MOT_ELEC_FREQ/GDR_SRC,"")</f>
        <v>1.3222394220846234E-5</v>
      </c>
      <c r="AF29" s="127">
        <f>IF(AND($A29&lt;&gt;0,$A29&lt;&gt;"",OR(RIGHT(Logic!B29,2)="C)",LEFT(Logic!B29,4)="CSD1")),Num_FETS3*0.5*IM_RMS_120*VDC_AVG*Z29*n*MOT_ELEC_FREQ/GDR_SINK,"")</f>
        <v>8.9912280701754391E-6</v>
      </c>
      <c r="AG29" s="127">
        <f>IF(AND($A29&lt;&gt;0,$A29&lt;&gt;"",OR(RIGHT(Logic!B29,2)="T)",LEFT(Logic!B29,4)="CSD1")),DUTY*IM_RMS_120^2*V29*m/3/Num_FETS3,"")</f>
        <v>0.26041666666666657</v>
      </c>
      <c r="AH29" s="127">
        <f>IF(AND($A29&lt;&gt;0,$A29&lt;&gt;"",OR(RIGHT(Logic!B29,2)="T)",LEFT(Logic!B29,4)="CSD1")),Num_FETS3*0.5*IM_RMS_120*VDC_AVG*Z29*n*FSW*k/GDR_SRC/3,"")</f>
        <v>2.6444788441692467E-3</v>
      </c>
      <c r="AI29" s="127">
        <f>IF(AND($A29&lt;&gt;0,$A29&lt;&gt;"",OR(RIGHT(Logic!B29,2)="T)",LEFT(Logic!B29,4)="CSD1")),Num_FETS3*0.5*IM_RMS_120*VDC_AVG*Z29*n*FSW*k/GDR_SINK/3,"")</f>
        <v>1.7982456140350877E-3</v>
      </c>
      <c r="AJ29" s="127">
        <f t="shared" si="7"/>
        <v>1.32E-3</v>
      </c>
      <c r="AK29" s="127">
        <f t="shared" si="8"/>
        <v>1.2414567897146714E-2</v>
      </c>
      <c r="AL29" s="127">
        <f t="shared" si="9"/>
        <v>4.0867999999999998E-3</v>
      </c>
      <c r="AM29" s="127">
        <f t="shared" si="26"/>
        <v>0.37243703691440144</v>
      </c>
      <c r="AN29" s="127">
        <f>IF(AND($A29&lt;&gt;0,$A29&lt;&gt;"",OR(RIGHT(Logic!B29,2)="C)",LEFT(Logic!B29,4)="CSD1")),SUM(AD29:AF29)+(AJ29/3)+AK29+AL29/6+AM29/6,AN30)</f>
        <v>0.36345970170692565</v>
      </c>
      <c r="AO29" s="127">
        <f>IF(AND($A29&lt;&gt;0,$A29&lt;&gt;"",OR(RIGHT(Logic!B29,2)="T)",LEFT(Logic!B29,4)="CSD1")),SUM(AG29:AI29)+(AJ29/3)+AL29/6+AM29/6,AO28)</f>
        <v>0.32805336394393775</v>
      </c>
      <c r="AP29" s="48">
        <f t="shared" si="27"/>
        <v>0.69</v>
      </c>
      <c r="AQ29" s="35" t="str">
        <f>IF(AND(A29&lt;&gt;0,A29&lt;&gt;""),LOOKUP(A29,Discrete_NFET[PARTNUMBER],Discrete_NFET[TI_EQ_PACKAGE]),"")</f>
        <v>SON3X3</v>
      </c>
      <c r="AR29" s="49">
        <f>IF(AND(A29&lt;&gt;0,A29&lt;&gt;""),LOOKUP(A29,Discrete_NFET[PARTNUMBER],Discrete_NFET[1KPRICE]),"")</f>
        <v>0.28000000000000003</v>
      </c>
      <c r="AS29" s="35" t="str">
        <f>IF(AND($A29&lt;&gt;0,$A29&lt;&gt;""),CONCATENATE(TEXT(AP29,"0.00"),"W, ",IF('User Input'!H$11="Single Discrete",A29,IF('User Input'!H$11="Dual/Power Block",LEFT(A29,FIND(")",A29)-7),A29)),", ",AQ29,", ",TEXT(AR29,"$0.00")),"Invalid Part")</f>
        <v>0.69W, CSD17552Q3A, SON3X3, $0.28</v>
      </c>
      <c r="AT29" t="s">
        <v>838</v>
      </c>
      <c r="AW29"/>
    </row>
    <row r="30" spans="1:50" ht="15" customHeight="1" x14ac:dyDescent="0.25">
      <c r="A30" s="35" t="str">
        <f>IF(OR(AND(FET_config3="Dual/Power Block",LEFT(Logic!B30,4)="CSD8"),AND(FET_config3="Single Discrete",LEFT(Logic!B30,4)="CSD1")),Logic!B30,"")</f>
        <v>CSD17552Q5A</v>
      </c>
      <c r="B30" s="37" t="str">
        <f>IF(OR($A30=0,$A30=""),"0",IF(LOOKUP($A30,Discrete_NFET[PARTNUMBER],Discrete_NFET[RDSON25])="(NULL)","0","1"))</f>
        <v>0</v>
      </c>
      <c r="C30" s="38" t="str">
        <f>IF(OR($A30=0,$A30=""),"0",IF(LOOKUP($A30,Discrete_NFET[PARTNUMBER],Discrete_NFET[RDSON3])="(NULL)","0","1"))</f>
        <v>0</v>
      </c>
      <c r="D30" s="40" t="str">
        <f>IF(OR($A30=0,$A30=""),"0",IF(LOOKUP($A30,Discrete_NFET[PARTNUMBER],Discrete_NFET[RDSON45])="(NULL)","0","1"))</f>
        <v>1</v>
      </c>
      <c r="E30" s="45" t="str">
        <f>IF(OR($A30=0,$A30=""),"0",IF(LOOKUP($A30,Discrete_NFET[PARTNUMBER],Discrete_NFET[RDSON6])="(NULL)","0","1"))</f>
        <v>0</v>
      </c>
      <c r="F30" s="34" t="str">
        <f>IF(OR($A30=0,$A30=""),"0",IF(LOOKUP($A30,Discrete_NFET[PARTNUMBER],Discrete_NFET[RDSON8])="(NULL)","0","1"))</f>
        <v>0</v>
      </c>
      <c r="G30" s="43" t="str">
        <f>IF(OR($A30=0,$A30=""),"0",IF(LOOKUP($A30,Discrete_NFET[PARTNUMBER],Discrete_NFET[RDSON10])="(NULL)","0","1"))</f>
        <v>1</v>
      </c>
      <c r="H30" s="36" t="b">
        <f t="shared" si="12"/>
        <v>0</v>
      </c>
      <c r="I30" s="39" t="b">
        <f t="shared" si="13"/>
        <v>0</v>
      </c>
      <c r="J30" s="41" t="b">
        <f t="shared" si="14"/>
        <v>1</v>
      </c>
      <c r="K30" s="46" t="b">
        <f t="shared" si="15"/>
        <v>0</v>
      </c>
      <c r="L30" s="42" t="b">
        <f t="shared" si="16"/>
        <v>0</v>
      </c>
      <c r="M30" s="44" t="b">
        <f t="shared" si="17"/>
        <v>1</v>
      </c>
      <c r="N30" s="47" t="b">
        <f t="shared" si="18"/>
        <v>1</v>
      </c>
      <c r="O30" s="36" t="b">
        <f t="shared" si="19"/>
        <v>0</v>
      </c>
      <c r="P30" s="39" t="b">
        <f t="shared" si="20"/>
        <v>0</v>
      </c>
      <c r="Q30" s="41" t="b">
        <f t="shared" si="21"/>
        <v>1</v>
      </c>
      <c r="R30" s="46" t="b">
        <f t="shared" si="22"/>
        <v>0</v>
      </c>
      <c r="S30" s="42" t="b">
        <f t="shared" si="23"/>
        <v>0</v>
      </c>
      <c r="T30" s="44" t="b">
        <f t="shared" si="24"/>
        <v>1</v>
      </c>
      <c r="U30" s="148">
        <f>IF(T30,LOOKUP(A30,Discrete_NFET[PARTNUMBER],Discrete_NFET[RDSON10])*1000,IF(S30,LOOKUP(A30,Discrete_NFET[PARTNUMBER],Discrete_NFET[RDSON8])*1000,IF(R30,LOOKUP(A30,Discrete_NFET[PARTNUMBER],Discrete_NFET[RDSON6])*1000,IF(Q30,LOOKUP(A30,Discrete_NFET[PARTNUMBER],Discrete_NFET[RDSON45])*1000,IF(P30,LOOKUP(A30,Discrete_NFET[PARTNUMBER],Discrete_NFET[RDSON3])*1000,IF(O30,LOOKUP(A30,Discrete_NFET[PARTNUMBER],Discrete_NFET[RDSON25])*1000,""))))))</f>
        <v>6.2</v>
      </c>
      <c r="V30" s="48">
        <f>IF(AND(A30&lt;&gt;0,A30&lt;&gt;""),U30*(1+(Tj-25)*(LOOKUP(A30,Discrete_NFET[PARTNUMBER],Discrete_NFET[RDSDELTA])/((LOOKUP(A30,Discrete_NFET[PARTNUMBER],Discrete_NFET[TJMAX])-25)))),"")</f>
        <v>7.13</v>
      </c>
      <c r="W30" s="35">
        <f>IF(AND($A30&lt;&gt;0,$A30&lt;&gt;""),LOOKUP($A30,Discrete_NFET[PARTNUMBER],Discrete_NFET[QGS]),"")</f>
        <v>3.6</v>
      </c>
      <c r="X30" s="35">
        <f>IF(AND($A30&lt;&gt;0,$A30&lt;&gt;""),LOOKUP($A30,Discrete_NFET[PARTNUMBER],Discrete_NFET[QGD]),"")</f>
        <v>2</v>
      </c>
      <c r="Y30" s="35">
        <f>IF(AND($A30&lt;&gt;0,$A30&lt;&gt;""),LOOKUP($A30,Discrete_NFET[PARTNUMBER],Discrete_NFET[QGTH]),"")</f>
        <v>2.1</v>
      </c>
      <c r="Z30" s="35">
        <f t="shared" si="25"/>
        <v>3.4999999999999996</v>
      </c>
      <c r="AA30" s="35">
        <f>IF(AND($A30&lt;&gt;0,$A30&lt;&gt;""),LOOKUP($A30,Discrete_NFET[PARTNUMBER],Discrete_NFET[QOSSTYP]),"")</f>
        <v>11</v>
      </c>
      <c r="AB30" s="35">
        <f>IF(AND($A30&lt;&gt;0,$A30&lt;&gt;""),LOOKUP($A30,Discrete_NFET[PARTNUMBER],Discrete_NFET[QRR]),"")</f>
        <v>20</v>
      </c>
      <c r="AC30" s="35">
        <f>IF(AND(A30&lt;&gt;0,A30&lt;&gt;""),LOOKUP(A30,Discrete_NFET[PARTNUMBER],Discrete_NFET[VF_TYP]),"")</f>
        <v>0.8</v>
      </c>
      <c r="AD30" s="127">
        <f>IF(AND($A30&lt;&gt;0,$A30&lt;&gt;"",OR(RIGHT(Logic!B30,2)="C)",LEFT(Logic!B30,4)="CSD1")),(1+(1-DUTY))*IM_RMS_120^2*V30*m/3/Num_FETS3,"")</f>
        <v>0.3000322214527546</v>
      </c>
      <c r="AE30" s="127">
        <f>IF(AND($A30&lt;&gt;0,$A30&lt;&gt;"",OR(RIGHT(Logic!B30,2)="C)",LEFT(Logic!B30,4)="CSD1")),Num_FETS3*0.5*IM_RMS_120*VDC_AVG*Z30*n*MOT_ELEC_FREQ/GDR_SRC,"")</f>
        <v>1.1287409700722391E-5</v>
      </c>
      <c r="AF30" s="127">
        <f>IF(AND($A30&lt;&gt;0,$A30&lt;&gt;"",OR(RIGHT(Logic!B30,2)="C)",LEFT(Logic!B30,4)="CSD1")),Num_FETS3*0.5*IM_RMS_120*VDC_AVG*Z30*n*MOT_ELEC_FREQ/GDR_SINK,"")</f>
        <v>7.6754385964912267E-6</v>
      </c>
      <c r="AG30" s="127">
        <f>IF(AND($A30&lt;&gt;0,$A30&lt;&gt;"",OR(RIGHT(Logic!B30,2)="T)",LEFT(Logic!B30,4)="CSD1")),DUTY*IM_RMS_120^2*V30*m/3/Num_FETS3,"")</f>
        <v>0.2714577241715399</v>
      </c>
      <c r="AH30" s="127">
        <f>IF(AND($A30&lt;&gt;0,$A30&lt;&gt;"",OR(RIGHT(Logic!B30,2)="T)",LEFT(Logic!B30,4)="CSD1")),Num_FETS3*0.5*IM_RMS_120*VDC_AVG*Z30*n*FSW*k/GDR_SRC/3,"")</f>
        <v>2.2574819401444787E-3</v>
      </c>
      <c r="AI30" s="127">
        <f>IF(AND($A30&lt;&gt;0,$A30&lt;&gt;"",OR(RIGHT(Logic!B30,2)="T)",LEFT(Logic!B30,4)="CSD1")),Num_FETS3*0.5*IM_RMS_120*VDC_AVG*Z30*n*FSW*k/GDR_SINK/3,"")</f>
        <v>1.5350877192982454E-3</v>
      </c>
      <c r="AJ30" s="127">
        <f t="shared" si="7"/>
        <v>1.32E-3</v>
      </c>
      <c r="AK30" s="127">
        <f t="shared" si="8"/>
        <v>1.2414567897146714E-2</v>
      </c>
      <c r="AL30" s="127">
        <f t="shared" si="9"/>
        <v>4.8080000000000006E-3</v>
      </c>
      <c r="AM30" s="127">
        <f t="shared" si="26"/>
        <v>0.37243703691440144</v>
      </c>
      <c r="AN30" s="127">
        <f>IF(AND($A30&lt;&gt;0,$A30&lt;&gt;"",OR(RIGHT(Logic!B30,2)="C)",LEFT(Logic!B30,4)="CSD1")),SUM(AD30:AF30)+(AJ30/3)+AK30+AL30/6+AM30/6,AN31)</f>
        <v>0.37577992501726543</v>
      </c>
      <c r="AO30" s="127">
        <f>IF(AND($A30&lt;&gt;0,$A30&lt;&gt;"",OR(RIGHT(Logic!B30,2)="T)",LEFT(Logic!B30,4)="CSD1")),SUM(AG30:AI30)+(AJ30/3)+AL30/6+AM30/6,AO29)</f>
        <v>0.33856446665004947</v>
      </c>
      <c r="AP30" s="48">
        <f t="shared" si="27"/>
        <v>0.71</v>
      </c>
      <c r="AQ30" s="35" t="str">
        <f>IF(AND(A30&lt;&gt;0,A30&lt;&gt;""),LOOKUP(A30,Discrete_NFET[PARTNUMBER],Discrete_NFET[TI_EQ_PACKAGE]),"")</f>
        <v>SON5X6</v>
      </c>
      <c r="AR30" s="49">
        <f>IF(AND(A30&lt;&gt;0,A30&lt;&gt;""),LOOKUP(A30,Discrete_NFET[PARTNUMBER],Discrete_NFET[1KPRICE]),"")</f>
        <v>0.3</v>
      </c>
      <c r="AS30" s="35" t="str">
        <f>IF(AND($A30&lt;&gt;0,$A30&lt;&gt;""),CONCATENATE(TEXT(AP30,"0.00"),"W, ",IF('User Input'!H$11="Single Discrete",A30,IF('User Input'!H$11="Dual/Power Block",LEFT(A30,FIND(")",A30)-7),A30)),", ",AQ30,", ",TEXT(AR30,"$0.00")),"Invalid Part")</f>
        <v>0.71W, CSD17552Q5A, SON5X6, $0.30</v>
      </c>
      <c r="AT30" t="s">
        <v>821</v>
      </c>
      <c r="AW30"/>
    </row>
    <row r="31" spans="1:50" ht="15" customHeight="1" x14ac:dyDescent="0.25">
      <c r="A31" s="35" t="str">
        <f>IF(OR(AND(FET_config3="Dual/Power Block",LEFT(Logic!B31,4)="CSD8"),AND(FET_config3="Single Discrete",LEFT(Logic!B31,4)="CSD1")),Logic!B31,"")</f>
        <v>CSD17553Q5A</v>
      </c>
      <c r="B31" s="37" t="str">
        <f>IF(OR($A31=0,$A31=""),"0",IF(LOOKUP($A31,Discrete_NFET[PARTNUMBER],Discrete_NFET[RDSON25])="(NULL)","0","1"))</f>
        <v>0</v>
      </c>
      <c r="C31" s="38" t="str">
        <f>IF(OR($A31=0,$A31=""),"0",IF(LOOKUP($A31,Discrete_NFET[PARTNUMBER],Discrete_NFET[RDSON3])="(NULL)","0","1"))</f>
        <v>0</v>
      </c>
      <c r="D31" s="40" t="str">
        <f>IF(OR($A31=0,$A31=""),"0",IF(LOOKUP($A31,Discrete_NFET[PARTNUMBER],Discrete_NFET[RDSON45])="(NULL)","0","1"))</f>
        <v>1</v>
      </c>
      <c r="E31" s="45" t="str">
        <f>IF(OR($A31=0,$A31=""),"0",IF(LOOKUP($A31,Discrete_NFET[PARTNUMBER],Discrete_NFET[RDSON6])="(NULL)","0","1"))</f>
        <v>0</v>
      </c>
      <c r="F31" s="34" t="str">
        <f>IF(OR($A31=0,$A31=""),"0",IF(LOOKUP($A31,Discrete_NFET[PARTNUMBER],Discrete_NFET[RDSON8])="(NULL)","0","1"))</f>
        <v>0</v>
      </c>
      <c r="G31" s="43" t="str">
        <f>IF(OR($A31=0,$A31=""),"0",IF(LOOKUP($A31,Discrete_NFET[PARTNUMBER],Discrete_NFET[RDSON10])="(NULL)","0","1"))</f>
        <v>1</v>
      </c>
      <c r="H31" s="36" t="b">
        <f t="shared" si="12"/>
        <v>0</v>
      </c>
      <c r="I31" s="39" t="b">
        <f t="shared" si="13"/>
        <v>0</v>
      </c>
      <c r="J31" s="41" t="b">
        <f t="shared" si="14"/>
        <v>1</v>
      </c>
      <c r="K31" s="46" t="b">
        <f t="shared" si="15"/>
        <v>0</v>
      </c>
      <c r="L31" s="42" t="b">
        <f t="shared" si="16"/>
        <v>0</v>
      </c>
      <c r="M31" s="44" t="b">
        <f t="shared" si="17"/>
        <v>1</v>
      </c>
      <c r="N31" s="47" t="b">
        <f t="shared" si="18"/>
        <v>1</v>
      </c>
      <c r="O31" s="36" t="b">
        <f t="shared" si="19"/>
        <v>0</v>
      </c>
      <c r="P31" s="39" t="b">
        <f t="shared" si="20"/>
        <v>0</v>
      </c>
      <c r="Q31" s="41" t="b">
        <f t="shared" si="21"/>
        <v>1</v>
      </c>
      <c r="R31" s="46" t="b">
        <f t="shared" si="22"/>
        <v>0</v>
      </c>
      <c r="S31" s="42" t="b">
        <f t="shared" si="23"/>
        <v>0</v>
      </c>
      <c r="T31" s="44" t="b">
        <f t="shared" si="24"/>
        <v>1</v>
      </c>
      <c r="U31" s="148">
        <f>IF(T31,LOOKUP(A31,Discrete_NFET[PARTNUMBER],Discrete_NFET[RDSON10])*1000,IF(S31,LOOKUP(A31,Discrete_NFET[PARTNUMBER],Discrete_NFET[RDSON8])*1000,IF(R31,LOOKUP(A31,Discrete_NFET[PARTNUMBER],Discrete_NFET[RDSON6])*1000,IF(Q31,LOOKUP(A31,Discrete_NFET[PARTNUMBER],Discrete_NFET[RDSON45])*1000,IF(P31,LOOKUP(A31,Discrete_NFET[PARTNUMBER],Discrete_NFET[RDSON3])*1000,IF(O31,LOOKUP(A31,Discrete_NFET[PARTNUMBER],Discrete_NFET[RDSON25])*1000,""))))))</f>
        <v>3.1</v>
      </c>
      <c r="V31" s="48">
        <f>IF(AND(A31&lt;&gt;0,A31&lt;&gt;""),U31*(1+(Tj-25)*(LOOKUP(A31,Discrete_NFET[PARTNUMBER],Discrete_NFET[RDSDELTA])/((LOOKUP(A31,Discrete_NFET[PARTNUMBER],Discrete_NFET[TJMAX])-25)))),"")</f>
        <v>3.5339999999999998</v>
      </c>
      <c r="W31" s="35">
        <f>IF(AND($A31&lt;&gt;0,$A31&lt;&gt;""),LOOKUP($A31,Discrete_NFET[PARTNUMBER],Discrete_NFET[QGS]),"")</f>
        <v>5.8</v>
      </c>
      <c r="X31" s="35">
        <f>IF(AND($A31&lt;&gt;0,$A31&lt;&gt;""),LOOKUP($A31,Discrete_NFET[PARTNUMBER],Discrete_NFET[QGD]),"")</f>
        <v>4.7</v>
      </c>
      <c r="Y31" s="35">
        <f>IF(AND($A31&lt;&gt;0,$A31&lt;&gt;""),LOOKUP($A31,Discrete_NFET[PARTNUMBER],Discrete_NFET[QGTH]),"")</f>
        <v>4.0999999999999996</v>
      </c>
      <c r="Z31" s="35">
        <f t="shared" si="25"/>
        <v>6.4</v>
      </c>
      <c r="AA31" s="35">
        <f>IF(AND($A31&lt;&gt;0,$A31&lt;&gt;""),LOOKUP($A31,Discrete_NFET[PARTNUMBER],Discrete_NFET[QOSSTYP]),"")</f>
        <v>19.600000000000001</v>
      </c>
      <c r="AB31" s="35">
        <f>IF(AND($A31&lt;&gt;0,$A31&lt;&gt;""),LOOKUP($A31,Discrete_NFET[PARTNUMBER],Discrete_NFET[QRR]),"")</f>
        <v>23.8</v>
      </c>
      <c r="AC31" s="35">
        <f>IF(AND(A31&lt;&gt;0,A31&lt;&gt;""),LOOKUP(A31,Discrete_NFET[PARTNUMBER],Discrete_NFET[VF_TYP]),"")</f>
        <v>0.8</v>
      </c>
      <c r="AD31" s="127">
        <f>IF(AND($A31&lt;&gt;0,$A31&lt;&gt;"",OR(RIGHT(Logic!B31,2)="C)",LEFT(Logic!B31,4)="CSD1")),(1+(1-DUTY))*IM_RMS_120^2*V31*m/3/Num_FETS3,"")</f>
        <v>0.14871162280701752</v>
      </c>
      <c r="AE31" s="127">
        <f>IF(AND($A31&lt;&gt;0,$A31&lt;&gt;"",OR(RIGHT(Logic!B31,2)="C)",LEFT(Logic!B31,4)="CSD1")),Num_FETS3*0.5*IM_RMS_120*VDC_AVG*Z31*n*MOT_ELEC_FREQ/GDR_SRC,"")</f>
        <v>2.0639834881320951E-5</v>
      </c>
      <c r="AF31" s="127">
        <f>IF(AND($A31&lt;&gt;0,$A31&lt;&gt;"",OR(RIGHT(Logic!B31,2)="C)",LEFT(Logic!B31,4)="CSD1")),Num_FETS3*0.5*IM_RMS_120*VDC_AVG*Z31*n*MOT_ELEC_FREQ/GDR_SINK,"")</f>
        <v>1.4035087719298248E-5</v>
      </c>
      <c r="AG31" s="127">
        <f>IF(AND($A31&lt;&gt;0,$A31&lt;&gt;"",OR(RIGHT(Logic!B31,2)="T)",LEFT(Logic!B31,4)="CSD1")),DUTY*IM_RMS_120^2*V31*m/3/Num_FETS3,"")</f>
        <v>0.13454861111111108</v>
      </c>
      <c r="AH31" s="127">
        <f>IF(AND($A31&lt;&gt;0,$A31&lt;&gt;"",OR(RIGHT(Logic!B31,2)="T)",LEFT(Logic!B31,4)="CSD1")),Num_FETS3*0.5*IM_RMS_120*VDC_AVG*Z31*n*FSW*k/GDR_SRC/3,"")</f>
        <v>4.1279669762641904E-3</v>
      </c>
      <c r="AI31" s="127">
        <f>IF(AND($A31&lt;&gt;0,$A31&lt;&gt;"",OR(RIGHT(Logic!B31,2)="T)",LEFT(Logic!B31,4)="CSD1")),Num_FETS3*0.5*IM_RMS_120*VDC_AVG*Z31*n*FSW*k/GDR_SINK/3,"")</f>
        <v>2.8070175438596498E-3</v>
      </c>
      <c r="AJ31" s="127">
        <f t="shared" si="7"/>
        <v>2.3520000000000004E-3</v>
      </c>
      <c r="AK31" s="127">
        <f t="shared" si="8"/>
        <v>1.2414567897146714E-2</v>
      </c>
      <c r="AL31" s="127">
        <f t="shared" si="9"/>
        <v>5.7215200000000008E-3</v>
      </c>
      <c r="AM31" s="127">
        <f t="shared" si="26"/>
        <v>0.37243703691440144</v>
      </c>
      <c r="AN31" s="127">
        <f>IF(AND($A31&lt;&gt;0,$A31&lt;&gt;"",OR(RIGHT(Logic!B31,2)="C)",LEFT(Logic!B31,4)="CSD1")),SUM(AD31:AF31)+(AJ31/3)+AK31+AL31/6+AM31/6,AN32)</f>
        <v>0.22497129177916511</v>
      </c>
      <c r="AO31" s="127">
        <f>IF(AND($A31&lt;&gt;0,$A31&lt;&gt;"",OR(RIGHT(Logic!B31,2)="T)",LEFT(Logic!B31,4)="CSD1")),SUM(AG31:AI31)+(AJ31/3)+AL31/6+AM31/6,AO30)</f>
        <v>0.20529402178363518</v>
      </c>
      <c r="AP31" s="48">
        <f t="shared" si="27"/>
        <v>0.43</v>
      </c>
      <c r="AQ31" s="35" t="str">
        <f>IF(AND(A31&lt;&gt;0,A31&lt;&gt;""),LOOKUP(A31,Discrete_NFET[PARTNUMBER],Discrete_NFET[TI_EQ_PACKAGE]),"")</f>
        <v>SON5X6</v>
      </c>
      <c r="AR31" s="49">
        <f>IF(AND(A31&lt;&gt;0,A31&lt;&gt;""),LOOKUP(A31,Discrete_NFET[PARTNUMBER],Discrete_NFET[1KPRICE]),"")</f>
        <v>0.42</v>
      </c>
      <c r="AS31" s="35" t="str">
        <f>IF(AND($A31&lt;&gt;0,$A31&lt;&gt;""),CONCATENATE(TEXT(AP31,"0.00"),"W, ",IF('User Input'!H$11="Single Discrete",A31,IF('User Input'!H$11="Dual/Power Block",LEFT(A31,FIND(")",A31)-7),A31)),", ",AQ31,", ",TEXT(AR31,"$0.00")),"Invalid Part")</f>
        <v>0.43W, CSD17553Q5A, SON5X6, $0.42</v>
      </c>
      <c r="AT31" t="s">
        <v>811</v>
      </c>
      <c r="AW31"/>
    </row>
    <row r="32" spans="1:50" ht="15" customHeight="1" x14ac:dyDescent="0.25">
      <c r="A32" s="35" t="str">
        <f>IF(OR(AND(FET_config3="Dual/Power Block",LEFT(Logic!B32,4)="CSD8"),AND(FET_config3="Single Discrete",LEFT(Logic!B32,4)="CSD1")),Logic!B32,"")</f>
        <v>CSD17555Q5A</v>
      </c>
      <c r="B32" s="37" t="str">
        <f>IF(OR($A32=0,$A32=""),"0",IF(LOOKUP($A32,Discrete_NFET[PARTNUMBER],Discrete_NFET[RDSON25])="(NULL)","0","1"))</f>
        <v>0</v>
      </c>
      <c r="C32" s="38" t="str">
        <f>IF(OR($A32=0,$A32=""),"0",IF(LOOKUP($A32,Discrete_NFET[PARTNUMBER],Discrete_NFET[RDSON3])="(NULL)","0","1"))</f>
        <v>0</v>
      </c>
      <c r="D32" s="40" t="str">
        <f>IF(OR($A32=0,$A32=""),"0",IF(LOOKUP($A32,Discrete_NFET[PARTNUMBER],Discrete_NFET[RDSON45])="(NULL)","0","1"))</f>
        <v>1</v>
      </c>
      <c r="E32" s="45" t="str">
        <f>IF(OR($A32=0,$A32=""),"0",IF(LOOKUP($A32,Discrete_NFET[PARTNUMBER],Discrete_NFET[RDSON6])="(NULL)","0","1"))</f>
        <v>0</v>
      </c>
      <c r="F32" s="34" t="str">
        <f>IF(OR($A32=0,$A32=""),"0",IF(LOOKUP($A32,Discrete_NFET[PARTNUMBER],Discrete_NFET[RDSON8])="(NULL)","0","1"))</f>
        <v>0</v>
      </c>
      <c r="G32" s="43" t="str">
        <f>IF(OR($A32=0,$A32=""),"0",IF(LOOKUP($A32,Discrete_NFET[PARTNUMBER],Discrete_NFET[RDSON10])="(NULL)","0","1"))</f>
        <v>1</v>
      </c>
      <c r="H32" s="36" t="b">
        <f t="shared" si="12"/>
        <v>0</v>
      </c>
      <c r="I32" s="39" t="b">
        <f t="shared" si="13"/>
        <v>0</v>
      </c>
      <c r="J32" s="41" t="b">
        <f t="shared" si="14"/>
        <v>1</v>
      </c>
      <c r="K32" s="46" t="b">
        <f t="shared" si="15"/>
        <v>0</v>
      </c>
      <c r="L32" s="42" t="b">
        <f t="shared" si="16"/>
        <v>0</v>
      </c>
      <c r="M32" s="44" t="b">
        <f t="shared" si="17"/>
        <v>1</v>
      </c>
      <c r="N32" s="47" t="b">
        <f t="shared" si="18"/>
        <v>1</v>
      </c>
      <c r="O32" s="36" t="b">
        <f t="shared" si="19"/>
        <v>0</v>
      </c>
      <c r="P32" s="39" t="b">
        <f t="shared" si="20"/>
        <v>0</v>
      </c>
      <c r="Q32" s="41" t="b">
        <f t="shared" si="21"/>
        <v>1</v>
      </c>
      <c r="R32" s="46" t="b">
        <f t="shared" si="22"/>
        <v>0</v>
      </c>
      <c r="S32" s="42" t="b">
        <f t="shared" si="23"/>
        <v>0</v>
      </c>
      <c r="T32" s="44" t="b">
        <f t="shared" si="24"/>
        <v>1</v>
      </c>
      <c r="U32" s="148">
        <f>IF(T32,LOOKUP(A32,Discrete_NFET[PARTNUMBER],Discrete_NFET[RDSON10])*1000,IF(S32,LOOKUP(A32,Discrete_NFET[PARTNUMBER],Discrete_NFET[RDSON8])*1000,IF(R32,LOOKUP(A32,Discrete_NFET[PARTNUMBER],Discrete_NFET[RDSON6])*1000,IF(Q32,LOOKUP(A32,Discrete_NFET[PARTNUMBER],Discrete_NFET[RDSON45])*1000,IF(P32,LOOKUP(A32,Discrete_NFET[PARTNUMBER],Discrete_NFET[RDSON3])*1000,IF(O32,LOOKUP(A32,Discrete_NFET[PARTNUMBER],Discrete_NFET[RDSON25])*1000,""))))))</f>
        <v>2.7</v>
      </c>
      <c r="V32" s="48">
        <f>IF(AND(A32&lt;&gt;0,A32&lt;&gt;""),U32*(1+(Tj-25)*(LOOKUP(A32,Discrete_NFET[PARTNUMBER],Discrete_NFET[RDSDELTA])/((LOOKUP(A32,Discrete_NFET[PARTNUMBER],Discrete_NFET[TJMAX])-25)))),"")</f>
        <v>3.0779999999999998</v>
      </c>
      <c r="W32" s="35">
        <f>IF(AND($A32&lt;&gt;0,$A32&lt;&gt;""),LOOKUP($A32,Discrete_NFET[PARTNUMBER],Discrete_NFET[QGS]),"")</f>
        <v>7.5</v>
      </c>
      <c r="X32" s="35">
        <f>IF(AND($A32&lt;&gt;0,$A32&lt;&gt;""),LOOKUP($A32,Discrete_NFET[PARTNUMBER],Discrete_NFET[QGD]),"")</f>
        <v>5</v>
      </c>
      <c r="Y32" s="35">
        <f>IF(AND($A32&lt;&gt;0,$A32&lt;&gt;""),LOOKUP($A32,Discrete_NFET[PARTNUMBER],Discrete_NFET[QGTH]),"")</f>
        <v>5</v>
      </c>
      <c r="Z32" s="35">
        <f t="shared" si="25"/>
        <v>7.5</v>
      </c>
      <c r="AA32" s="35">
        <f>IF(AND($A32&lt;&gt;0,$A32&lt;&gt;""),LOOKUP($A32,Discrete_NFET[PARTNUMBER],Discrete_NFET[QOSSTYP]),"")</f>
        <v>25</v>
      </c>
      <c r="AB32" s="35">
        <f>IF(AND($A32&lt;&gt;0,$A32&lt;&gt;""),LOOKUP($A32,Discrete_NFET[PARTNUMBER],Discrete_NFET[QRR]),"")</f>
        <v>31</v>
      </c>
      <c r="AC32" s="35">
        <f>IF(AND(A32&lt;&gt;0,A32&lt;&gt;""),LOOKUP(A32,Discrete_NFET[PARTNUMBER],Discrete_NFET[VF_TYP]),"")</f>
        <v>0.8</v>
      </c>
      <c r="AD32" s="127">
        <f>IF(AND($A32&lt;&gt;0,$A32&lt;&gt;"",OR(RIGHT(Logic!B32,2)="C)",LEFT(Logic!B32,4)="CSD1")),(1+(1-DUTY))*IM_RMS_120^2*V32*m/3/Num_FETS3,"")</f>
        <v>0.12952302631578944</v>
      </c>
      <c r="AE32" s="127">
        <f>IF(AND($A32&lt;&gt;0,$A32&lt;&gt;"",OR(RIGHT(Logic!B32,2)="C)",LEFT(Logic!B32,4)="CSD1")),Num_FETS3*0.5*IM_RMS_120*VDC_AVG*Z32*n*MOT_ELEC_FREQ/GDR_SRC,"")</f>
        <v>2.4187306501547986E-5</v>
      </c>
      <c r="AF32" s="127">
        <f>IF(AND($A32&lt;&gt;0,$A32&lt;&gt;"",OR(RIGHT(Logic!B32,2)="C)",LEFT(Logic!B32,4)="CSD1")),Num_FETS3*0.5*IM_RMS_120*VDC_AVG*Z32*n*MOT_ELEC_FREQ/GDR_SINK,"")</f>
        <v>1.6447368421052631E-5</v>
      </c>
      <c r="AG32" s="127">
        <f>IF(AND($A32&lt;&gt;0,$A32&lt;&gt;"",OR(RIGHT(Logic!B32,2)="T)",LEFT(Logic!B32,4)="CSD1")),DUTY*IM_RMS_120^2*V32*m/3/Num_FETS3,"")</f>
        <v>0.11718749999999996</v>
      </c>
      <c r="AH32" s="127">
        <f>IF(AND($A32&lt;&gt;0,$A32&lt;&gt;"",OR(RIGHT(Logic!B32,2)="T)",LEFT(Logic!B32,4)="CSD1")),Num_FETS3*0.5*IM_RMS_120*VDC_AVG*Z32*n*FSW*k/GDR_SRC/3,"")</f>
        <v>4.837461300309597E-3</v>
      </c>
      <c r="AI32" s="127">
        <f>IF(AND($A32&lt;&gt;0,$A32&lt;&gt;"",OR(RIGHT(Logic!B32,2)="T)",LEFT(Logic!B32,4)="CSD1")),Num_FETS3*0.5*IM_RMS_120*VDC_AVG*Z32*n*FSW*k/GDR_SINK/3,"")</f>
        <v>3.2894736842105261E-3</v>
      </c>
      <c r="AJ32" s="127">
        <f t="shared" si="7"/>
        <v>3.0000000000000001E-3</v>
      </c>
      <c r="AK32" s="127">
        <f t="shared" si="8"/>
        <v>1.2414567897146714E-2</v>
      </c>
      <c r="AL32" s="127">
        <f t="shared" si="9"/>
        <v>7.4524000000000005E-3</v>
      </c>
      <c r="AM32" s="127">
        <f t="shared" si="26"/>
        <v>0.37243703691440144</v>
      </c>
      <c r="AN32" s="127">
        <f>IF(AND($A32&lt;&gt;0,$A32&lt;&gt;"",OR(RIGHT(Logic!B32,2)="C)",LEFT(Logic!B32,4)="CSD1")),SUM(AD32:AF32)+(AJ32/3)+AK32+AL32/6+AM32/6,AN33)</f>
        <v>0.20629313504025901</v>
      </c>
      <c r="AO32" s="127">
        <f>IF(AND($A32&lt;&gt;0,$A32&lt;&gt;"",OR(RIGHT(Logic!B32,2)="T)",LEFT(Logic!B32,4)="CSD1")),SUM(AG32:AI32)+(AJ32/3)+AL32/6+AM32/6,AO31)</f>
        <v>0.18962934113692034</v>
      </c>
      <c r="AP32" s="48">
        <f t="shared" si="27"/>
        <v>0.4</v>
      </c>
      <c r="AQ32" s="35" t="str">
        <f>IF(AND(A32&lt;&gt;0,A32&lt;&gt;""),LOOKUP(A32,Discrete_NFET[PARTNUMBER],Discrete_NFET[TI_EQ_PACKAGE]),"")</f>
        <v>SON5X6</v>
      </c>
      <c r="AR32" s="49">
        <f>IF(AND(A32&lt;&gt;0,A32&lt;&gt;""),LOOKUP(A32,Discrete_NFET[PARTNUMBER],Discrete_NFET[1KPRICE]),"")</f>
        <v>0.54</v>
      </c>
      <c r="AS32" s="35" t="str">
        <f>IF(AND($A32&lt;&gt;0,$A32&lt;&gt;""),CONCATENATE(TEXT(AP32,"0.00"),"W, ",IF('User Input'!H$11="Single Discrete",A32,IF('User Input'!H$11="Dual/Power Block",LEFT(A32,FIND(")",A32)-7),A32)),", ",AQ32,", ",TEXT(AR32,"$0.00")),"Invalid Part")</f>
        <v>0.40W, CSD17555Q5A, SON5X6, $0.54</v>
      </c>
      <c r="AT32" t="s">
        <v>836</v>
      </c>
      <c r="AW32"/>
    </row>
    <row r="33" spans="1:49" ht="15" customHeight="1" x14ac:dyDescent="0.25">
      <c r="A33" s="35" t="str">
        <f>IF(OR(AND(FET_config3="Dual/Power Block",LEFT(Logic!B33,4)="CSD8"),AND(FET_config3="Single Discrete",LEFT(Logic!B33,4)="CSD1")),Logic!B33,"")</f>
        <v>CSD17556Q5B</v>
      </c>
      <c r="B33" s="37" t="str">
        <f>IF(OR($A33=0,$A33=""),"0",IF(LOOKUP($A33,Discrete_NFET[PARTNUMBER],Discrete_NFET[RDSON25])="(NULL)","0","1"))</f>
        <v>0</v>
      </c>
      <c r="C33" s="38" t="str">
        <f>IF(OR($A33=0,$A33=""),"0",IF(LOOKUP($A33,Discrete_NFET[PARTNUMBER],Discrete_NFET[RDSON3])="(NULL)","0","1"))</f>
        <v>0</v>
      </c>
      <c r="D33" s="40" t="str">
        <f>IF(OR($A33=0,$A33=""),"0",IF(LOOKUP($A33,Discrete_NFET[PARTNUMBER],Discrete_NFET[RDSON45])="(NULL)","0","1"))</f>
        <v>1</v>
      </c>
      <c r="E33" s="45" t="str">
        <f>IF(OR($A33=0,$A33=""),"0",IF(LOOKUP($A33,Discrete_NFET[PARTNUMBER],Discrete_NFET[RDSON6])="(NULL)","0","1"))</f>
        <v>0</v>
      </c>
      <c r="F33" s="34" t="str">
        <f>IF(OR($A33=0,$A33=""),"0",IF(LOOKUP($A33,Discrete_NFET[PARTNUMBER],Discrete_NFET[RDSON8])="(NULL)","0","1"))</f>
        <v>0</v>
      </c>
      <c r="G33" s="43" t="str">
        <f>IF(OR($A33=0,$A33=""),"0",IF(LOOKUP($A33,Discrete_NFET[PARTNUMBER],Discrete_NFET[RDSON10])="(NULL)","0","1"))</f>
        <v>1</v>
      </c>
      <c r="H33" s="36" t="b">
        <f t="shared" si="12"/>
        <v>0</v>
      </c>
      <c r="I33" s="39" t="b">
        <f t="shared" si="13"/>
        <v>0</v>
      </c>
      <c r="J33" s="41" t="b">
        <f t="shared" si="14"/>
        <v>1</v>
      </c>
      <c r="K33" s="46" t="b">
        <f t="shared" si="15"/>
        <v>0</v>
      </c>
      <c r="L33" s="42" t="b">
        <f t="shared" si="16"/>
        <v>0</v>
      </c>
      <c r="M33" s="44" t="b">
        <f t="shared" si="17"/>
        <v>1</v>
      </c>
      <c r="N33" s="47" t="b">
        <f t="shared" si="18"/>
        <v>1</v>
      </c>
      <c r="O33" s="36" t="b">
        <f t="shared" si="19"/>
        <v>0</v>
      </c>
      <c r="P33" s="39" t="b">
        <f t="shared" si="20"/>
        <v>0</v>
      </c>
      <c r="Q33" s="41" t="b">
        <f t="shared" si="21"/>
        <v>1</v>
      </c>
      <c r="R33" s="46" t="b">
        <f t="shared" si="22"/>
        <v>0</v>
      </c>
      <c r="S33" s="42" t="b">
        <f t="shared" si="23"/>
        <v>0</v>
      </c>
      <c r="T33" s="44" t="b">
        <f t="shared" si="24"/>
        <v>1</v>
      </c>
      <c r="U33" s="148">
        <f>IF(T33,LOOKUP(A33,Discrete_NFET[PARTNUMBER],Discrete_NFET[RDSON10])*1000,IF(S33,LOOKUP(A33,Discrete_NFET[PARTNUMBER],Discrete_NFET[RDSON8])*1000,IF(R33,LOOKUP(A33,Discrete_NFET[PARTNUMBER],Discrete_NFET[RDSON6])*1000,IF(Q33,LOOKUP(A33,Discrete_NFET[PARTNUMBER],Discrete_NFET[RDSON45])*1000,IF(P33,LOOKUP(A33,Discrete_NFET[PARTNUMBER],Discrete_NFET[RDSON3])*1000,IF(O33,LOOKUP(A33,Discrete_NFET[PARTNUMBER],Discrete_NFET[RDSON25])*1000,""))))))</f>
        <v>1.4</v>
      </c>
      <c r="V33" s="48">
        <f>IF(AND(A33&lt;&gt;0,A33&lt;&gt;""),U33*(1+(Tj-25)*(LOOKUP(A33,Discrete_NFET[PARTNUMBER],Discrete_NFET[RDSDELTA])/((LOOKUP(A33,Discrete_NFET[PARTNUMBER],Discrete_NFET[TJMAX])-25)))),"")</f>
        <v>1.6099999999999999</v>
      </c>
      <c r="W33" s="35">
        <f>IF(AND($A33&lt;&gt;0,$A33&lt;&gt;""),LOOKUP($A33,Discrete_NFET[PARTNUMBER],Discrete_NFET[QGS]),"")</f>
        <v>11</v>
      </c>
      <c r="X33" s="35">
        <f>IF(AND($A33&lt;&gt;0,$A33&lt;&gt;""),LOOKUP($A33,Discrete_NFET[PARTNUMBER],Discrete_NFET[QGD]),"")</f>
        <v>7.5</v>
      </c>
      <c r="Y33" s="35">
        <f>IF(AND($A33&lt;&gt;0,$A33&lt;&gt;""),LOOKUP($A33,Discrete_NFET[PARTNUMBER],Discrete_NFET[QGTH]),"")</f>
        <v>6.1</v>
      </c>
      <c r="Z33" s="35">
        <f t="shared" si="25"/>
        <v>12.4</v>
      </c>
      <c r="AA33" s="35">
        <f>IF(AND($A33&lt;&gt;0,$A33&lt;&gt;""),LOOKUP($A33,Discrete_NFET[PARTNUMBER],Discrete_NFET[QOSSTYP]),"")</f>
        <v>48</v>
      </c>
      <c r="AB33" s="35">
        <f>IF(AND($A33&lt;&gt;0,$A33&lt;&gt;""),LOOKUP($A33,Discrete_NFET[PARTNUMBER],Discrete_NFET[QRR]),"")</f>
        <v>68</v>
      </c>
      <c r="AC33" s="35">
        <f>IF(AND(A33&lt;&gt;0,A33&lt;&gt;""),LOOKUP(A33,Discrete_NFET[PARTNUMBER],Discrete_NFET[VF_TYP]),"")</f>
        <v>0.8</v>
      </c>
      <c r="AD33" s="127">
        <f>IF(AND($A33&lt;&gt;0,$A33&lt;&gt;"",OR(RIGHT(Logic!B33,2)="C)",LEFT(Logic!B33,4)="CSD1")),(1+(1-DUTY))*IM_RMS_120^2*V33*m/3/Num_FETS3,"")</f>
        <v>6.7749211295783304E-2</v>
      </c>
      <c r="AE33" s="127">
        <f>IF(AND($A33&lt;&gt;0,$A33&lt;&gt;"",OR(RIGHT(Logic!B33,2)="C)",LEFT(Logic!B33,4)="CSD1")),Num_FETS3*0.5*IM_RMS_120*VDC_AVG*Z33*n*MOT_ELEC_FREQ/GDR_SRC,"")</f>
        <v>3.9989680082559339E-5</v>
      </c>
      <c r="AF33" s="127">
        <f>IF(AND($A33&lt;&gt;0,$A33&lt;&gt;"",OR(RIGHT(Logic!B33,2)="C)",LEFT(Logic!B33,4)="CSD1")),Num_FETS3*0.5*IM_RMS_120*VDC_AVG*Z33*n*MOT_ELEC_FREQ/GDR_SINK,"")</f>
        <v>2.7192982456140354E-5</v>
      </c>
      <c r="AG33" s="127">
        <f>IF(AND($A33&lt;&gt;0,$A33&lt;&gt;"",OR(RIGHT(Logic!B33,2)="T)",LEFT(Logic!B33,4)="CSD1")),DUTY*IM_RMS_120^2*V33*m/3/Num_FETS3,"")</f>
        <v>6.1296905458089655E-2</v>
      </c>
      <c r="AH33" s="127">
        <f>IF(AND($A33&lt;&gt;0,$A33&lt;&gt;"",OR(RIGHT(Logic!B33,2)="T)",LEFT(Logic!B33,4)="CSD1")),Num_FETS3*0.5*IM_RMS_120*VDC_AVG*Z33*n*FSW*k/GDR_SRC/3,"")</f>
        <v>7.9979360165118689E-3</v>
      </c>
      <c r="AI33" s="127">
        <f>IF(AND($A33&lt;&gt;0,$A33&lt;&gt;"",OR(RIGHT(Logic!B33,2)="T)",LEFT(Logic!B33,4)="CSD1")),Num_FETS3*0.5*IM_RMS_120*VDC_AVG*Z33*n*FSW*k/GDR_SINK/3,"")</f>
        <v>5.4385964912280716E-3</v>
      </c>
      <c r="AJ33" s="127">
        <f t="shared" si="7"/>
        <v>5.7600000000000004E-3</v>
      </c>
      <c r="AK33" s="127">
        <f t="shared" si="8"/>
        <v>1.2414567897146714E-2</v>
      </c>
      <c r="AL33" s="127">
        <f t="shared" si="9"/>
        <v>1.6347199999999999E-2</v>
      </c>
      <c r="AM33" s="127">
        <f t="shared" si="26"/>
        <v>0.37243703691440144</v>
      </c>
      <c r="AN33" s="127">
        <f>IF(AND($A33&lt;&gt;0,$A33&lt;&gt;"",OR(RIGHT(Logic!B33,2)="C)",LEFT(Logic!B33,4)="CSD1")),SUM(AD33:AF33)+(AJ33/3)+AK33+AL33/6+AM33/6,AN34)</f>
        <v>0.14694833467453564</v>
      </c>
      <c r="AO33" s="127">
        <f>IF(AND($A33&lt;&gt;0,$A33&lt;&gt;"",OR(RIGHT(Logic!B33,2)="T)",LEFT(Logic!B33,4)="CSD1")),SUM(AG33:AI33)+(AJ33/3)+AL33/6+AM33/6,AO32)</f>
        <v>0.14145081078489652</v>
      </c>
      <c r="AP33" s="48">
        <f t="shared" si="27"/>
        <v>0.28999999999999998</v>
      </c>
      <c r="AQ33" s="35" t="str">
        <f>IF(AND(A33&lt;&gt;0,A33&lt;&gt;""),LOOKUP(A33,Discrete_NFET[PARTNUMBER],Discrete_NFET[TI_EQ_PACKAGE]),"")</f>
        <v>SON5x6</v>
      </c>
      <c r="AR33" s="49">
        <f>IF(AND(A33&lt;&gt;0,A33&lt;&gt;""),LOOKUP(A33,Discrete_NFET[PARTNUMBER],Discrete_NFET[1KPRICE]),"")</f>
        <v>0.77</v>
      </c>
      <c r="AS33" s="35" t="str">
        <f>IF(AND($A33&lt;&gt;0,$A33&lt;&gt;""),CONCATENATE(TEXT(AP33,"0.00"),"W, ",IF('User Input'!H$11="Single Discrete",A33,IF('User Input'!H$11="Dual/Power Block",LEFT(A33,FIND(")",A33)-7),A33)),", ",AQ33,", ",TEXT(AR33,"$0.00")),"Invalid Part")</f>
        <v>0.29W, CSD17556Q5B, SON5x6, $0.77</v>
      </c>
      <c r="AT33" t="s">
        <v>837</v>
      </c>
      <c r="AW33"/>
    </row>
    <row r="34" spans="1:49" ht="15" customHeight="1" x14ac:dyDescent="0.25">
      <c r="A34" s="35" t="str">
        <f>IF(OR(AND(FET_config3="Dual/Power Block",LEFT(Logic!B34,4)="CSD8"),AND(FET_config3="Single Discrete",LEFT(Logic!B34,4)="CSD1")),Logic!B34,"")</f>
        <v>CSD17559Q5</v>
      </c>
      <c r="B34" s="37" t="str">
        <f>IF(OR($A34=0,$A34=""),"0",IF(LOOKUP($A34,Discrete_NFET[PARTNUMBER],Discrete_NFET[RDSON25])="(NULL)","0","1"))</f>
        <v>0</v>
      </c>
      <c r="C34" s="38" t="str">
        <f>IF(OR($A34=0,$A34=""),"0",IF(LOOKUP($A34,Discrete_NFET[PARTNUMBER],Discrete_NFET[RDSON3])="(NULL)","0","1"))</f>
        <v>0</v>
      </c>
      <c r="D34" s="40" t="str">
        <f>IF(OR($A34=0,$A34=""),"0",IF(LOOKUP($A34,Discrete_NFET[PARTNUMBER],Discrete_NFET[RDSON45])="(NULL)","0","1"))</f>
        <v>1</v>
      </c>
      <c r="E34" s="45" t="str">
        <f>IF(OR($A34=0,$A34=""),"0",IF(LOOKUP($A34,Discrete_NFET[PARTNUMBER],Discrete_NFET[RDSON6])="(NULL)","0","1"))</f>
        <v>0</v>
      </c>
      <c r="F34" s="34" t="str">
        <f>IF(OR($A34=0,$A34=""),"0",IF(LOOKUP($A34,Discrete_NFET[PARTNUMBER],Discrete_NFET[RDSON8])="(NULL)","0","1"))</f>
        <v>0</v>
      </c>
      <c r="G34" s="43" t="str">
        <f>IF(OR($A34=0,$A34=""),"0",IF(LOOKUP($A34,Discrete_NFET[PARTNUMBER],Discrete_NFET[RDSON10])="(NULL)","0","1"))</f>
        <v>1</v>
      </c>
      <c r="H34" s="36" t="b">
        <f t="shared" si="12"/>
        <v>0</v>
      </c>
      <c r="I34" s="39" t="b">
        <f t="shared" si="13"/>
        <v>0</v>
      </c>
      <c r="J34" s="41" t="b">
        <f t="shared" si="14"/>
        <v>1</v>
      </c>
      <c r="K34" s="46" t="b">
        <f t="shared" si="15"/>
        <v>0</v>
      </c>
      <c r="L34" s="42" t="b">
        <f t="shared" si="16"/>
        <v>0</v>
      </c>
      <c r="M34" s="44" t="b">
        <f t="shared" si="17"/>
        <v>1</v>
      </c>
      <c r="N34" s="47" t="b">
        <f t="shared" si="18"/>
        <v>1</v>
      </c>
      <c r="O34" s="36" t="b">
        <f t="shared" si="19"/>
        <v>0</v>
      </c>
      <c r="P34" s="39" t="b">
        <f t="shared" si="20"/>
        <v>0</v>
      </c>
      <c r="Q34" s="41" t="b">
        <f t="shared" si="21"/>
        <v>1</v>
      </c>
      <c r="R34" s="46" t="b">
        <f t="shared" si="22"/>
        <v>0</v>
      </c>
      <c r="S34" s="42" t="b">
        <f t="shared" si="23"/>
        <v>0</v>
      </c>
      <c r="T34" s="44" t="b">
        <f t="shared" si="24"/>
        <v>1</v>
      </c>
      <c r="U34" s="148">
        <f>IF(T34,LOOKUP(A34,Discrete_NFET[PARTNUMBER],Discrete_NFET[RDSON10])*1000,IF(S34,LOOKUP(A34,Discrete_NFET[PARTNUMBER],Discrete_NFET[RDSON8])*1000,IF(R34,LOOKUP(A34,Discrete_NFET[PARTNUMBER],Discrete_NFET[RDSON6])*1000,IF(Q34,LOOKUP(A34,Discrete_NFET[PARTNUMBER],Discrete_NFET[RDSON45])*1000,IF(P34,LOOKUP(A34,Discrete_NFET[PARTNUMBER],Discrete_NFET[RDSON3])*1000,IF(O34,LOOKUP(A34,Discrete_NFET[PARTNUMBER],Discrete_NFET[RDSON25])*1000,""))))))</f>
        <v>1.1000000000000001</v>
      </c>
      <c r="V34" s="48">
        <f>IF(AND(A34&lt;&gt;0,A34&lt;&gt;""),U34*(1+(Tj-25)*(LOOKUP(A34,Discrete_NFET[PARTNUMBER],Discrete_NFET[RDSDELTA])/((LOOKUP(A34,Discrete_NFET[PARTNUMBER],Discrete_NFET[TJMAX])-25)))),"")</f>
        <v>1.254</v>
      </c>
      <c r="W34" s="35">
        <f>IF(AND($A34&lt;&gt;0,$A34&lt;&gt;""),LOOKUP($A34,Discrete_NFET[PARTNUMBER],Discrete_NFET[QGS]),"")</f>
        <v>14.4</v>
      </c>
      <c r="X34" s="35">
        <f>IF(AND($A34&lt;&gt;0,$A34&lt;&gt;""),LOOKUP($A34,Discrete_NFET[PARTNUMBER],Discrete_NFET[QGD]),"")</f>
        <v>9.3000000000000007</v>
      </c>
      <c r="Y34" s="35">
        <f>IF(AND($A34&lt;&gt;0,$A34&lt;&gt;""),LOOKUP($A34,Discrete_NFET[PARTNUMBER],Discrete_NFET[QGTH]),"")</f>
        <v>8.3000000000000007</v>
      </c>
      <c r="Z34" s="35">
        <f t="shared" si="25"/>
        <v>15.400000000000002</v>
      </c>
      <c r="AA34" s="35">
        <f>IF(AND($A34&lt;&gt;0,$A34&lt;&gt;""),LOOKUP($A34,Discrete_NFET[PARTNUMBER],Discrete_NFET[QOSSTYP]),"")</f>
        <v>50</v>
      </c>
      <c r="AB34" s="35">
        <f>IF(AND($A34&lt;&gt;0,$A34&lt;&gt;""),LOOKUP($A34,Discrete_NFET[PARTNUMBER],Discrete_NFET[QRR]),"")</f>
        <v>80</v>
      </c>
      <c r="AC34" s="35">
        <f>IF(AND(A34&lt;&gt;0,A34&lt;&gt;""),LOOKUP(A34,Discrete_NFET[PARTNUMBER],Discrete_NFET[VF_TYP]),"")</f>
        <v>0.8</v>
      </c>
      <c r="AD34" s="127">
        <f>IF(AND($A34&lt;&gt;0,$A34&lt;&gt;"",OR(RIGHT(Logic!B34,2)="C)",LEFT(Logic!B34,4)="CSD1")),(1+(1-DUTY))*IM_RMS_120^2*V34*m/3/Num_FETS3,"")</f>
        <v>5.2768640350877187E-2</v>
      </c>
      <c r="AE34" s="127">
        <f>IF(AND($A34&lt;&gt;0,$A34&lt;&gt;"",OR(RIGHT(Logic!B34,2)="C)",LEFT(Logic!B34,4)="CSD1")),Num_FETS3*0.5*IM_RMS_120*VDC_AVG*Z34*n*MOT_ELEC_FREQ/GDR_SRC,"")</f>
        <v>4.9664602683178548E-5</v>
      </c>
      <c r="AF34" s="127">
        <f>IF(AND($A34&lt;&gt;0,$A34&lt;&gt;"",OR(RIGHT(Logic!B34,2)="C)",LEFT(Logic!B34,4)="CSD1")),Num_FETS3*0.5*IM_RMS_120*VDC_AVG*Z34*n*MOT_ELEC_FREQ/GDR_SINK,"")</f>
        <v>3.3771929824561414E-5</v>
      </c>
      <c r="AG34" s="127">
        <f>IF(AND($A34&lt;&gt;0,$A34&lt;&gt;"",OR(RIGHT(Logic!B34,2)="T)",LEFT(Logic!B34,4)="CSD1")),DUTY*IM_RMS_120^2*V34*m/3/Num_FETS3,"")</f>
        <v>4.7743055555555546E-2</v>
      </c>
      <c r="AH34" s="127">
        <f>IF(AND($A34&lt;&gt;0,$A34&lt;&gt;"",OR(RIGHT(Logic!B34,2)="T)",LEFT(Logic!B34,4)="CSD1")),Num_FETS3*0.5*IM_RMS_120*VDC_AVG*Z34*n*FSW*k/GDR_SRC/3,"")</f>
        <v>9.9329205366357077E-3</v>
      </c>
      <c r="AI34" s="127">
        <f>IF(AND($A34&lt;&gt;0,$A34&lt;&gt;"",OR(RIGHT(Logic!B34,2)="T)",LEFT(Logic!B34,4)="CSD1")),Num_FETS3*0.5*IM_RMS_120*VDC_AVG*Z34*n*FSW*k/GDR_SINK/3,"")</f>
        <v>6.7543859649122811E-3</v>
      </c>
      <c r="AJ34" s="127">
        <f t="shared" ref="AJ34:AJ65" si="28">IF(AND($A34&lt;&gt;0,$A34&lt;&gt;""),Num_FETS3*((AA34*VDC_AVG)*((FSW*k)))*n/2,"")</f>
        <v>6.0000000000000001E-3</v>
      </c>
      <c r="AK34" s="127">
        <f t="shared" ref="AK34:AK65" si="29">IF(AND($A34&lt;&gt;0,$A34&lt;&gt;""),2*T_DEAD*n*AC34*IM_PEAK*(FSW*k)/3,"")</f>
        <v>1.2414567897146714E-2</v>
      </c>
      <c r="AL34" s="127">
        <f t="shared" ref="AL34:AL65" si="30">IF(AND($A34&lt;&gt;0,$A34&lt;&gt;""),Num_FETS3*((AB34*VDC_AVG)*((MOT_ELEC_FREQ+FSW*k)))*n,"")</f>
        <v>1.9232000000000003E-2</v>
      </c>
      <c r="AM34" s="127">
        <f t="shared" si="26"/>
        <v>0.37243703691440144</v>
      </c>
      <c r="AN34" s="127">
        <f>IF(AND($A34&lt;&gt;0,$A34&lt;&gt;"",OR(RIGHT(Logic!B34,2)="C)",LEFT(Logic!B34,4)="CSD1")),SUM(AD34:AF34)+(AJ34/3)+AK34+AL34/6+AM34/6,AN35)</f>
        <v>0.13254481759959855</v>
      </c>
      <c r="AO34" s="127">
        <f>IF(AND($A34&lt;&gt;0,$A34&lt;&gt;"",OR(RIGHT(Logic!B34,2)="T)",LEFT(Logic!B34,4)="CSD1")),SUM(AG34:AI34)+(AJ34/3)+AL34/6+AM34/6,AO33)</f>
        <v>0.13170853487617046</v>
      </c>
      <c r="AP34" s="48">
        <f t="shared" si="27"/>
        <v>0.26</v>
      </c>
      <c r="AQ34" s="35" t="str">
        <f>IF(AND(A34&lt;&gt;0,A34&lt;&gt;""),LOOKUP(A34,Discrete_NFET[PARTNUMBER],Discrete_NFET[TI_EQ_PACKAGE]),"")</f>
        <v>SON5X6</v>
      </c>
      <c r="AR34" s="49">
        <f>IF(AND(A34&lt;&gt;0,A34&lt;&gt;""),LOOKUP(A34,Discrete_NFET[PARTNUMBER],Discrete_NFET[1KPRICE]),"")</f>
        <v>0.86</v>
      </c>
      <c r="AS34" s="35" t="str">
        <f>IF(AND($A34&lt;&gt;0,$A34&lt;&gt;""),CONCATENATE(TEXT(AP34,"0.00"),"W, ",IF('User Input'!H$11="Single Discrete",A34,IF('User Input'!H$11="Dual/Power Block",LEFT(A34,FIND(")",A34)-7),A34)),", ",AQ34,", ",TEXT(AR34,"$0.00")),"Invalid Part")</f>
        <v>0.26W, CSD17559Q5, SON5X6, $0.86</v>
      </c>
      <c r="AT34" t="s">
        <v>798</v>
      </c>
      <c r="AW34"/>
    </row>
    <row r="35" spans="1:49" ht="15" customHeight="1" x14ac:dyDescent="0.25">
      <c r="A35" s="35" t="str">
        <f>IF(OR(AND(FET_config3="Dual/Power Block",LEFT(Logic!B35,4)="CSD8"),AND(FET_config3="Single Discrete",LEFT(Logic!B35,4)="CSD1")),Logic!B35,"")</f>
        <v>CSD17571Q2</v>
      </c>
      <c r="B35" s="37" t="str">
        <f>IF(OR($A35=0,$A35=""),"0",IF(LOOKUP($A35,Discrete_NFET[PARTNUMBER],Discrete_NFET[RDSON25])="(NULL)","0","1"))</f>
        <v>0</v>
      </c>
      <c r="C35" s="38" t="str">
        <f>IF(OR($A35=0,$A35=""),"0",IF(LOOKUP($A35,Discrete_NFET[PARTNUMBER],Discrete_NFET[RDSON3])="(NULL)","0","1"))</f>
        <v>0</v>
      </c>
      <c r="D35" s="40" t="str">
        <f>IF(OR($A35=0,$A35=""),"0",IF(LOOKUP($A35,Discrete_NFET[PARTNUMBER],Discrete_NFET[RDSON45])="(NULL)","0","1"))</f>
        <v>1</v>
      </c>
      <c r="E35" s="45" t="str">
        <f>IF(OR($A35=0,$A35=""),"0",IF(LOOKUP($A35,Discrete_NFET[PARTNUMBER],Discrete_NFET[RDSON6])="(NULL)","0","1"))</f>
        <v>0</v>
      </c>
      <c r="F35" s="34" t="str">
        <f>IF(OR($A35=0,$A35=""),"0",IF(LOOKUP($A35,Discrete_NFET[PARTNUMBER],Discrete_NFET[RDSON8])="(NULL)","0","1"))</f>
        <v>0</v>
      </c>
      <c r="G35" s="43" t="str">
        <f>IF(OR($A35=0,$A35=""),"0",IF(LOOKUP($A35,Discrete_NFET[PARTNUMBER],Discrete_NFET[RDSON10])="(NULL)","0","1"))</f>
        <v>1</v>
      </c>
      <c r="H35" s="36" t="b">
        <f t="shared" si="12"/>
        <v>0</v>
      </c>
      <c r="I35" s="39" t="b">
        <f t="shared" si="13"/>
        <v>0</v>
      </c>
      <c r="J35" s="41" t="b">
        <f t="shared" si="14"/>
        <v>1</v>
      </c>
      <c r="K35" s="46" t="b">
        <f t="shared" si="15"/>
        <v>0</v>
      </c>
      <c r="L35" s="42" t="b">
        <f t="shared" si="16"/>
        <v>0</v>
      </c>
      <c r="M35" s="44" t="b">
        <f t="shared" si="17"/>
        <v>1</v>
      </c>
      <c r="N35" s="47" t="b">
        <f t="shared" si="18"/>
        <v>1</v>
      </c>
      <c r="O35" s="36" t="b">
        <f t="shared" si="19"/>
        <v>0</v>
      </c>
      <c r="P35" s="39" t="b">
        <f t="shared" si="20"/>
        <v>0</v>
      </c>
      <c r="Q35" s="41" t="b">
        <f t="shared" si="21"/>
        <v>1</v>
      </c>
      <c r="R35" s="46" t="b">
        <f t="shared" si="22"/>
        <v>0</v>
      </c>
      <c r="S35" s="42" t="b">
        <f t="shared" si="23"/>
        <v>0</v>
      </c>
      <c r="T35" s="44" t="b">
        <f t="shared" si="24"/>
        <v>1</v>
      </c>
      <c r="U35" s="148">
        <f>IF(T35,LOOKUP(A35,Discrete_NFET[PARTNUMBER],Discrete_NFET[RDSON10])*1000,IF(S35,LOOKUP(A35,Discrete_NFET[PARTNUMBER],Discrete_NFET[RDSON8])*1000,IF(R35,LOOKUP(A35,Discrete_NFET[PARTNUMBER],Discrete_NFET[RDSON6])*1000,IF(Q35,LOOKUP(A35,Discrete_NFET[PARTNUMBER],Discrete_NFET[RDSON45])*1000,IF(P35,LOOKUP(A35,Discrete_NFET[PARTNUMBER],Discrete_NFET[RDSON3])*1000,IF(O35,LOOKUP(A35,Discrete_NFET[PARTNUMBER],Discrete_NFET[RDSON25])*1000,""))))))</f>
        <v>24</v>
      </c>
      <c r="V35" s="48">
        <f>IF(AND(A35&lt;&gt;0,A35&lt;&gt;""),U35*(1+(Tj-25)*(LOOKUP(A35,Discrete_NFET[PARTNUMBER],Discrete_NFET[RDSDELTA])/((LOOKUP(A35,Discrete_NFET[PARTNUMBER],Discrete_NFET[TJMAX])-25)))),"")</f>
        <v>27.744</v>
      </c>
      <c r="W35" s="35">
        <f>IF(AND($A35&lt;&gt;0,$A35&lt;&gt;""),LOOKUP($A35,Discrete_NFET[PARTNUMBER],Discrete_NFET[QGS]),"")</f>
        <v>0.9</v>
      </c>
      <c r="X35" s="35">
        <f>IF(AND($A35&lt;&gt;0,$A35&lt;&gt;""),LOOKUP($A35,Discrete_NFET[PARTNUMBER],Discrete_NFET[QGD]),"")</f>
        <v>0.9</v>
      </c>
      <c r="Y35" s="35">
        <f>IF(AND($A35&lt;&gt;0,$A35&lt;&gt;""),LOOKUP($A35,Discrete_NFET[PARTNUMBER],Discrete_NFET[QGTH]),"")</f>
        <v>0.6</v>
      </c>
      <c r="Z35" s="35">
        <f t="shared" si="25"/>
        <v>1.2000000000000002</v>
      </c>
      <c r="AA35" s="35">
        <f>IF(AND($A35&lt;&gt;0,$A35&lt;&gt;""),LOOKUP($A35,Discrete_NFET[PARTNUMBER],Discrete_NFET[QOSSTYP]),"")</f>
        <v>3.4</v>
      </c>
      <c r="AB35" s="35">
        <f>IF(AND($A35&lt;&gt;0,$A35&lt;&gt;""),LOOKUP($A35,Discrete_NFET[PARTNUMBER],Discrete_NFET[QRR]),"")</f>
        <v>2.2999999999999998</v>
      </c>
      <c r="AC35" s="35">
        <f>IF(AND(A35&lt;&gt;0,A35&lt;&gt;""),LOOKUP(A35,Discrete_NFET[PARTNUMBER],Discrete_NFET[VF_TYP]),"")</f>
        <v>0.8</v>
      </c>
      <c r="AD35" s="127">
        <f>IF(AND($A35&lt;&gt;0,$A35&lt;&gt;"",OR(RIGHT(Logic!B35,2)="C)",LEFT(Logic!B35,4)="CSD1")),(1+(1-DUTY))*IM_RMS_120^2*V35*m/3/Num_FETS3,"")</f>
        <v>1.1674746075715603</v>
      </c>
      <c r="AE35" s="127">
        <f>IF(AND($A35&lt;&gt;0,$A35&lt;&gt;"",OR(RIGHT(Logic!B35,2)="C)",LEFT(Logic!B35,4)="CSD1")),Num_FETS3*0.5*IM_RMS_120*VDC_AVG*Z35*n*MOT_ELEC_FREQ/GDR_SRC,"")</f>
        <v>3.8699690402476781E-6</v>
      </c>
      <c r="AF35" s="127">
        <f>IF(AND($A35&lt;&gt;0,$A35&lt;&gt;"",OR(RIGHT(Logic!B35,2)="C)",LEFT(Logic!B35,4)="CSD1")),Num_FETS3*0.5*IM_RMS_120*VDC_AVG*Z35*n*MOT_ELEC_FREQ/GDR_SINK,"")</f>
        <v>2.6315789473684215E-6</v>
      </c>
      <c r="AG35" s="127">
        <f>IF(AND($A35&lt;&gt;0,$A35&lt;&gt;"",OR(RIGHT(Logic!B35,2)="T)",LEFT(Logic!B35,4)="CSD1")),DUTY*IM_RMS_120^2*V35*m/3/Num_FETS3,"")</f>
        <v>1.0562865497076022</v>
      </c>
      <c r="AH35" s="127">
        <f>IF(AND($A35&lt;&gt;0,$A35&lt;&gt;"",OR(RIGHT(Logic!B35,2)="T)",LEFT(Logic!B35,4)="CSD1")),Num_FETS3*0.5*IM_RMS_120*VDC_AVG*Z35*n*FSW*k/GDR_SRC/3,"")</f>
        <v>7.7399380804953554E-4</v>
      </c>
      <c r="AI35" s="127">
        <f>IF(AND($A35&lt;&gt;0,$A35&lt;&gt;"",OR(RIGHT(Logic!B35,2)="T)",LEFT(Logic!B35,4)="CSD1")),Num_FETS3*0.5*IM_RMS_120*VDC_AVG*Z35*n*FSW*k/GDR_SINK/3,"")</f>
        <v>5.2631578947368431E-4</v>
      </c>
      <c r="AJ35" s="127">
        <f t="shared" si="28"/>
        <v>4.0800000000000005E-4</v>
      </c>
      <c r="AK35" s="127">
        <f t="shared" si="29"/>
        <v>1.2414567897146714E-2</v>
      </c>
      <c r="AL35" s="127">
        <f t="shared" si="30"/>
        <v>5.5291999999999993E-4</v>
      </c>
      <c r="AM35" s="127">
        <f t="shared" si="26"/>
        <v>0.37243703691440144</v>
      </c>
      <c r="AN35" s="127">
        <f>IF(AND($A35&lt;&gt;0,$A35&lt;&gt;"",OR(RIGHT(Logic!B35,2)="C)",LEFT(Logic!B35,4)="CSD1")),SUM(AD35:AF35)+(AJ35/3)+AK35+AL35/6+AM35/6,AN36)</f>
        <v>1.2421966698357616</v>
      </c>
      <c r="AO35" s="127">
        <f>IF(AND($A35&lt;&gt;0,$A35&lt;&gt;"",OR(RIGHT(Logic!B35,2)="T)",LEFT(Logic!B35,4)="CSD1")),SUM(AG35:AI35)+(AJ35/3)+AL35/6+AM35/6,AO34)</f>
        <v>1.1198878521241922</v>
      </c>
      <c r="AP35" s="48">
        <f t="shared" si="27"/>
        <v>2.36</v>
      </c>
      <c r="AQ35" s="35" t="str">
        <f>IF(AND(A35&lt;&gt;0,A35&lt;&gt;""),LOOKUP(A35,Discrete_NFET[PARTNUMBER],Discrete_NFET[TI_EQ_PACKAGE]),"")</f>
        <v>SON2X2</v>
      </c>
      <c r="AR35" s="49">
        <f>IF(AND(A35&lt;&gt;0,A35&lt;&gt;""),LOOKUP(A35,Discrete_NFET[PARTNUMBER],Discrete_NFET[1KPRICE]),"")</f>
        <v>0.1</v>
      </c>
      <c r="AS35" s="35" t="str">
        <f>IF(AND($A35&lt;&gt;0,$A35&lt;&gt;""),CONCATENATE(TEXT(AP35,"0.00"),"W, ",IF('User Input'!H$11="Single Discrete",A35,IF('User Input'!H$11="Dual/Power Block",LEFT(A35,FIND(")",A35)-7),A35)),", ",AQ35,", ",TEXT(AR35,"$0.00")),"Invalid Part")</f>
        <v>2.36W, CSD17571Q2, SON2X2, $0.10</v>
      </c>
      <c r="AT35" t="s">
        <v>857</v>
      </c>
      <c r="AW35"/>
    </row>
    <row r="36" spans="1:49" ht="15" customHeight="1" x14ac:dyDescent="0.25">
      <c r="A36" s="35" t="str">
        <f>IF(OR(AND(FET_config3="Dual/Power Block",LEFT(Logic!B36,4)="CSD8"),AND(FET_config3="Single Discrete",LEFT(Logic!B36,4)="CSD1")),Logic!B36,"")</f>
        <v>CSD17573Q5B</v>
      </c>
      <c r="B36" s="37" t="str">
        <f>IF(OR($A36=0,$A36=""),"0",IF(LOOKUP($A36,Discrete_NFET[PARTNUMBER],Discrete_NFET[RDSON25])="(NULL)","0","1"))</f>
        <v>0</v>
      </c>
      <c r="C36" s="38" t="str">
        <f>IF(OR($A36=0,$A36=""),"0",IF(LOOKUP($A36,Discrete_NFET[PARTNUMBER],Discrete_NFET[RDSON3])="(NULL)","0","1"))</f>
        <v>0</v>
      </c>
      <c r="D36" s="40" t="str">
        <f>IF(OR($A36=0,$A36=""),"0",IF(LOOKUP($A36,Discrete_NFET[PARTNUMBER],Discrete_NFET[RDSON45])="(NULL)","0","1"))</f>
        <v>1</v>
      </c>
      <c r="E36" s="45" t="str">
        <f>IF(OR($A36=0,$A36=""),"0",IF(LOOKUP($A36,Discrete_NFET[PARTNUMBER],Discrete_NFET[RDSON6])="(NULL)","0","1"))</f>
        <v>0</v>
      </c>
      <c r="F36" s="34" t="str">
        <f>IF(OR($A36=0,$A36=""),"0",IF(LOOKUP($A36,Discrete_NFET[PARTNUMBER],Discrete_NFET[RDSON8])="(NULL)","0","1"))</f>
        <v>0</v>
      </c>
      <c r="G36" s="43" t="str">
        <f>IF(OR($A36=0,$A36=""),"0",IF(LOOKUP($A36,Discrete_NFET[PARTNUMBER],Discrete_NFET[RDSON10])="(NULL)","0","1"))</f>
        <v>1</v>
      </c>
      <c r="H36" s="36" t="b">
        <f t="shared" si="12"/>
        <v>0</v>
      </c>
      <c r="I36" s="39" t="b">
        <f t="shared" si="13"/>
        <v>0</v>
      </c>
      <c r="J36" s="41" t="b">
        <f t="shared" si="14"/>
        <v>1</v>
      </c>
      <c r="K36" s="46" t="b">
        <f t="shared" si="15"/>
        <v>0</v>
      </c>
      <c r="L36" s="42" t="b">
        <f t="shared" si="16"/>
        <v>0</v>
      </c>
      <c r="M36" s="44" t="b">
        <f t="shared" si="17"/>
        <v>1</v>
      </c>
      <c r="N36" s="47" t="b">
        <f t="shared" si="18"/>
        <v>1</v>
      </c>
      <c r="O36" s="36" t="b">
        <f t="shared" si="19"/>
        <v>0</v>
      </c>
      <c r="P36" s="39" t="b">
        <f t="shared" si="20"/>
        <v>0</v>
      </c>
      <c r="Q36" s="41" t="b">
        <f t="shared" si="21"/>
        <v>1</v>
      </c>
      <c r="R36" s="46" t="b">
        <f t="shared" si="22"/>
        <v>0</v>
      </c>
      <c r="S36" s="42" t="b">
        <f t="shared" si="23"/>
        <v>0</v>
      </c>
      <c r="T36" s="44" t="b">
        <f t="shared" si="24"/>
        <v>1</v>
      </c>
      <c r="U36" s="148">
        <f>IF(T36,LOOKUP(A36,Discrete_NFET[PARTNUMBER],Discrete_NFET[RDSON10])*1000,IF(S36,LOOKUP(A36,Discrete_NFET[PARTNUMBER],Discrete_NFET[RDSON8])*1000,IF(R36,LOOKUP(A36,Discrete_NFET[PARTNUMBER],Discrete_NFET[RDSON6])*1000,IF(Q36,LOOKUP(A36,Discrete_NFET[PARTNUMBER],Discrete_NFET[RDSON45])*1000,IF(P36,LOOKUP(A36,Discrete_NFET[PARTNUMBER],Discrete_NFET[RDSON3])*1000,IF(O36,LOOKUP(A36,Discrete_NFET[PARTNUMBER],Discrete_NFET[RDSON25])*1000,""))))))</f>
        <v>1</v>
      </c>
      <c r="V36" s="48">
        <f>IF(AND(A36&lt;&gt;0,A36&lt;&gt;""),U36*(1+(Tj-25)*(LOOKUP(A36,Discrete_NFET[PARTNUMBER],Discrete_NFET[RDSDELTA])/((LOOKUP(A36,Discrete_NFET[PARTNUMBER],Discrete_NFET[TJMAX])-25)))),"")</f>
        <v>1.1539999999999999</v>
      </c>
      <c r="W36" s="35">
        <f>IF(AND($A36&lt;&gt;0,$A36&lt;&gt;""),LOOKUP($A36,Discrete_NFET[PARTNUMBER],Discrete_NFET[QGS]),"")</f>
        <v>17.100000000000001</v>
      </c>
      <c r="X36" s="35">
        <f>IF(AND($A36&lt;&gt;0,$A36&lt;&gt;""),LOOKUP($A36,Discrete_NFET[PARTNUMBER],Discrete_NFET[QGD]),"")</f>
        <v>11.9</v>
      </c>
      <c r="Y36" s="35">
        <f>IF(AND($A36&lt;&gt;0,$A36&lt;&gt;""),LOOKUP($A36,Discrete_NFET[PARTNUMBER],Discrete_NFET[QGTH]),"")</f>
        <v>8.6</v>
      </c>
      <c r="Z36" s="35">
        <f t="shared" si="25"/>
        <v>20.399999999999999</v>
      </c>
      <c r="AA36" s="35">
        <f>IF(AND($A36&lt;&gt;0,$A36&lt;&gt;""),LOOKUP($A36,Discrete_NFET[PARTNUMBER],Discrete_NFET[QOSSTYP]),"")</f>
        <v>21</v>
      </c>
      <c r="AB36" s="35">
        <f>IF(AND($A36&lt;&gt;0,$A36&lt;&gt;""),LOOKUP($A36,Discrete_NFET[PARTNUMBER],Discrete_NFET[QRR]),"")</f>
        <v>29</v>
      </c>
      <c r="AC36" s="35">
        <f>IF(AND(A36&lt;&gt;0,A36&lt;&gt;""),LOOKUP(A36,Discrete_NFET[PARTNUMBER],Discrete_NFET[VF_TYP]),"")</f>
        <v>0.8</v>
      </c>
      <c r="AD36" s="127">
        <f>IF(AND($A36&lt;&gt;0,$A36&lt;&gt;"",OR(RIGHT(Logic!B36,2)="C)",LEFT(Logic!B36,4)="CSD1")),(1+(1-DUTY))*IM_RMS_120^2*V36*m/3/Num_FETS3,"")</f>
        <v>4.8560614804555237E-2</v>
      </c>
      <c r="AE36" s="127">
        <f>IF(AND($A36&lt;&gt;0,$A36&lt;&gt;"",OR(RIGHT(Logic!B36,2)="C)",LEFT(Logic!B36,4)="CSD1")),Num_FETS3*0.5*IM_RMS_120*VDC_AVG*Z36*n*MOT_ELEC_FREQ/GDR_SRC,"")</f>
        <v>6.5789473684210525E-5</v>
      </c>
      <c r="AF36" s="127">
        <f>IF(AND($A36&lt;&gt;0,$A36&lt;&gt;"",OR(RIGHT(Logic!B36,2)="C)",LEFT(Logic!B36,4)="CSD1")),Num_FETS3*0.5*IM_RMS_120*VDC_AVG*Z36*n*MOT_ELEC_FREQ/GDR_SINK,"")</f>
        <v>4.4736842105263159E-5</v>
      </c>
      <c r="AG36" s="127">
        <f>IF(AND($A36&lt;&gt;0,$A36&lt;&gt;"",OR(RIGHT(Logic!B36,2)="T)",LEFT(Logic!B36,4)="CSD1")),DUTY*IM_RMS_120^2*V36*m/3/Num_FETS3,"")</f>
        <v>4.393579434697855E-2</v>
      </c>
      <c r="AH36" s="127">
        <f>IF(AND($A36&lt;&gt;0,$A36&lt;&gt;"",OR(RIGHT(Logic!B36,2)="T)",LEFT(Logic!B36,4)="CSD1")),Num_FETS3*0.5*IM_RMS_120*VDC_AVG*Z36*n*FSW*k/GDR_SRC/3,"")</f>
        <v>1.3157894736842105E-2</v>
      </c>
      <c r="AI36" s="127">
        <f>IF(AND($A36&lt;&gt;0,$A36&lt;&gt;"",OR(RIGHT(Logic!B36,2)="T)",LEFT(Logic!B36,4)="CSD1")),Num_FETS3*0.5*IM_RMS_120*VDC_AVG*Z36*n*FSW*k/GDR_SINK/3,"")</f>
        <v>8.9473684210526327E-3</v>
      </c>
      <c r="AJ36" s="127">
        <f t="shared" si="28"/>
        <v>2.5200000000000001E-3</v>
      </c>
      <c r="AK36" s="127">
        <f t="shared" si="29"/>
        <v>1.2414567897146714E-2</v>
      </c>
      <c r="AL36" s="127">
        <f t="shared" si="30"/>
        <v>6.9716000000000005E-3</v>
      </c>
      <c r="AM36" s="127">
        <f t="shared" si="26"/>
        <v>0.37243703691440144</v>
      </c>
      <c r="AN36" s="127">
        <f>IF(AND($A36&lt;&gt;0,$A36&lt;&gt;"",OR(RIGHT(Logic!B36,2)="C)",LEFT(Logic!B36,4)="CSD1")),SUM(AD36:AF36)+(AJ36/3)+AK36+AL36/6+AM36/6,AN37)</f>
        <v>0.12516048183655834</v>
      </c>
      <c r="AO36" s="127">
        <f>IF(AND($A36&lt;&gt;0,$A36&lt;&gt;"",OR(RIGHT(Logic!B36,2)="T)",LEFT(Logic!B36,4)="CSD1")),SUM(AG36:AI36)+(AJ36/3)+AL36/6+AM36/6,AO35)</f>
        <v>0.1301158303239402</v>
      </c>
      <c r="AP36" s="48">
        <f t="shared" si="27"/>
        <v>0.26</v>
      </c>
      <c r="AQ36" s="35" t="str">
        <f>IF(AND(A36&lt;&gt;0,A36&lt;&gt;""),LOOKUP(A36,Discrete_NFET[PARTNUMBER],Discrete_NFET[TI_EQ_PACKAGE]),"")</f>
        <v>SON5x6</v>
      </c>
      <c r="AR36" s="49">
        <f>IF(AND(A36&lt;&gt;0,A36&lt;&gt;""),LOOKUP(A36,Discrete_NFET[PARTNUMBER],Discrete_NFET[1KPRICE]),"")</f>
        <v>0.52</v>
      </c>
      <c r="AS36" s="35" t="str">
        <f>IF(AND($A36&lt;&gt;0,$A36&lt;&gt;""),CONCATENATE(TEXT(AP36,"0.00"),"W, ",IF('User Input'!H$11="Single Discrete",A36,IF('User Input'!H$11="Dual/Power Block",LEFT(A36,FIND(")",A36)-7),A36)),", ",AQ36,", ",TEXT(AR36,"$0.00")),"Invalid Part")</f>
        <v>0.26W, CSD17573Q5B, SON5x6, $0.52</v>
      </c>
      <c r="AT36" t="s">
        <v>878</v>
      </c>
      <c r="AW36"/>
    </row>
    <row r="37" spans="1:49" ht="15" customHeight="1" x14ac:dyDescent="0.25">
      <c r="A37" s="35" t="str">
        <f>IF(OR(AND(FET_config3="Dual/Power Block",LEFT(Logic!B37,4)="CSD8"),AND(FET_config3="Single Discrete",LEFT(Logic!B37,4)="CSD1")),Logic!B37,"")</f>
        <v>CSD17575Q3</v>
      </c>
      <c r="B37" s="37" t="str">
        <f>IF(OR($A37=0,$A37=""),"0",IF(LOOKUP($A37,Discrete_NFET[PARTNUMBER],Discrete_NFET[RDSON25])="(NULL)","0","1"))</f>
        <v>0</v>
      </c>
      <c r="C37" s="38" t="str">
        <f>IF(OR($A37=0,$A37=""),"0",IF(LOOKUP($A37,Discrete_NFET[PARTNUMBER],Discrete_NFET[RDSON3])="(NULL)","0","1"))</f>
        <v>0</v>
      </c>
      <c r="D37" s="40" t="str">
        <f>IF(OR($A37=0,$A37=""),"0",IF(LOOKUP($A37,Discrete_NFET[PARTNUMBER],Discrete_NFET[RDSON45])="(NULL)","0","1"))</f>
        <v>1</v>
      </c>
      <c r="E37" s="45" t="str">
        <f>IF(OR($A37=0,$A37=""),"0",IF(LOOKUP($A37,Discrete_NFET[PARTNUMBER],Discrete_NFET[RDSON6])="(NULL)","0","1"))</f>
        <v>0</v>
      </c>
      <c r="F37" s="34" t="str">
        <f>IF(OR($A37=0,$A37=""),"0",IF(LOOKUP($A37,Discrete_NFET[PARTNUMBER],Discrete_NFET[RDSON8])="(NULL)","0","1"))</f>
        <v>0</v>
      </c>
      <c r="G37" s="43" t="str">
        <f>IF(OR($A37=0,$A37=""),"0",IF(LOOKUP($A37,Discrete_NFET[PARTNUMBER],Discrete_NFET[RDSON10])="(NULL)","0","1"))</f>
        <v>1</v>
      </c>
      <c r="H37" s="36" t="b">
        <f t="shared" si="12"/>
        <v>0</v>
      </c>
      <c r="I37" s="39" t="b">
        <f t="shared" si="13"/>
        <v>0</v>
      </c>
      <c r="J37" s="41" t="b">
        <f t="shared" si="14"/>
        <v>1</v>
      </c>
      <c r="K37" s="46" t="b">
        <f t="shared" si="15"/>
        <v>0</v>
      </c>
      <c r="L37" s="42" t="b">
        <f t="shared" si="16"/>
        <v>0</v>
      </c>
      <c r="M37" s="44" t="b">
        <f t="shared" si="17"/>
        <v>1</v>
      </c>
      <c r="N37" s="47" t="b">
        <f t="shared" si="18"/>
        <v>1</v>
      </c>
      <c r="O37" s="36" t="b">
        <f t="shared" si="19"/>
        <v>0</v>
      </c>
      <c r="P37" s="39" t="b">
        <f t="shared" si="20"/>
        <v>0</v>
      </c>
      <c r="Q37" s="41" t="b">
        <f t="shared" si="21"/>
        <v>1</v>
      </c>
      <c r="R37" s="46" t="b">
        <f t="shared" si="22"/>
        <v>0</v>
      </c>
      <c r="S37" s="42" t="b">
        <f t="shared" si="23"/>
        <v>0</v>
      </c>
      <c r="T37" s="44" t="b">
        <f t="shared" si="24"/>
        <v>1</v>
      </c>
      <c r="U37" s="148">
        <f>IF(T37,LOOKUP(A37,Discrete_NFET[PARTNUMBER],Discrete_NFET[RDSON10])*1000,IF(S37,LOOKUP(A37,Discrete_NFET[PARTNUMBER],Discrete_NFET[RDSON8])*1000,IF(R37,LOOKUP(A37,Discrete_NFET[PARTNUMBER],Discrete_NFET[RDSON6])*1000,IF(Q37,LOOKUP(A37,Discrete_NFET[PARTNUMBER],Discrete_NFET[RDSON45])*1000,IF(P37,LOOKUP(A37,Discrete_NFET[PARTNUMBER],Discrete_NFET[RDSON3])*1000,IF(O37,LOOKUP(A37,Discrete_NFET[PARTNUMBER],Discrete_NFET[RDSON25])*1000,""))))))</f>
        <v>2</v>
      </c>
      <c r="V37" s="48">
        <f>IF(AND(A37&lt;&gt;0,A37&lt;&gt;""),U37*(1+(Tj-25)*(LOOKUP(A37,Discrete_NFET[PARTNUMBER],Discrete_NFET[RDSDELTA])/((LOOKUP(A37,Discrete_NFET[PARTNUMBER],Discrete_NFET[TJMAX])-25)))),"")</f>
        <v>2.2999999999999998</v>
      </c>
      <c r="W37" s="35">
        <f>IF(AND($A37&lt;&gt;0,$A37&lt;&gt;""),LOOKUP($A37,Discrete_NFET[PARTNUMBER],Discrete_NFET[QGS]),"")</f>
        <v>8.5</v>
      </c>
      <c r="X37" s="35">
        <f>IF(AND($A37&lt;&gt;0,$A37&lt;&gt;""),LOOKUP($A37,Discrete_NFET[PARTNUMBER],Discrete_NFET[QGD]),"")</f>
        <v>5.4</v>
      </c>
      <c r="Y37" s="35">
        <f>IF(AND($A37&lt;&gt;0,$A37&lt;&gt;""),LOOKUP($A37,Discrete_NFET[PARTNUMBER],Discrete_NFET[QGTH]),"")</f>
        <v>4.5999999999999996</v>
      </c>
      <c r="Z37" s="35">
        <f t="shared" si="25"/>
        <v>9.3000000000000007</v>
      </c>
      <c r="AA37" s="35">
        <f>IF(AND($A37&lt;&gt;0,$A37&lt;&gt;""),LOOKUP($A37,Discrete_NFET[PARTNUMBER],Discrete_NFET[QOSSTYP]),"")</f>
        <v>11.6</v>
      </c>
      <c r="AB37" s="35">
        <f>IF(AND($A37&lt;&gt;0,$A37&lt;&gt;""),LOOKUP($A37,Discrete_NFET[PARTNUMBER],Discrete_NFET[QRR]),"")</f>
        <v>15</v>
      </c>
      <c r="AC37" s="35">
        <f>IF(AND(A37&lt;&gt;0,A37&lt;&gt;""),LOOKUP(A37,Discrete_NFET[PARTNUMBER],Discrete_NFET[VF_TYP]),"")</f>
        <v>0.8</v>
      </c>
      <c r="AD37" s="127">
        <f>IF(AND($A37&lt;&gt;0,$A37&lt;&gt;"",OR(RIGHT(Logic!B37,2)="C)",LEFT(Logic!B37,4)="CSD1")),(1+(1-DUTY))*IM_RMS_120^2*V37*m/3/Num_FETS3,"")</f>
        <v>9.6784587565404701E-2</v>
      </c>
      <c r="AE37" s="127">
        <f>IF(AND($A37&lt;&gt;0,$A37&lt;&gt;"",OR(RIGHT(Logic!B37,2)="C)",LEFT(Logic!B37,4)="CSD1")),Num_FETS3*0.5*IM_RMS_120*VDC_AVG*Z37*n*MOT_ELEC_FREQ/GDR_SRC,"")</f>
        <v>2.9992260061919509E-5</v>
      </c>
      <c r="AF37" s="127">
        <f>IF(AND($A37&lt;&gt;0,$A37&lt;&gt;"",OR(RIGHT(Logic!B37,2)="C)",LEFT(Logic!B37,4)="CSD1")),Num_FETS3*0.5*IM_RMS_120*VDC_AVG*Z37*n*MOT_ELEC_FREQ/GDR_SINK,"")</f>
        <v>2.0394736842105267E-5</v>
      </c>
      <c r="AG37" s="127">
        <f>IF(AND($A37&lt;&gt;0,$A37&lt;&gt;"",OR(RIGHT(Logic!B37,2)="T)",LEFT(Logic!B37,4)="CSD1")),DUTY*IM_RMS_120^2*V37*m/3/Num_FETS3,"")</f>
        <v>8.7567007797270932E-2</v>
      </c>
      <c r="AH37" s="127">
        <f>IF(AND($A37&lt;&gt;0,$A37&lt;&gt;"",OR(RIGHT(Logic!B37,2)="T)",LEFT(Logic!B37,4)="CSD1")),Num_FETS3*0.5*IM_RMS_120*VDC_AVG*Z37*n*FSW*k/GDR_SRC/3,"")</f>
        <v>5.9984520123839008E-3</v>
      </c>
      <c r="AI37" s="127">
        <f>IF(AND($A37&lt;&gt;0,$A37&lt;&gt;"",OR(RIGHT(Logic!B37,2)="T)",LEFT(Logic!B37,4)="CSD1")),Num_FETS3*0.5*IM_RMS_120*VDC_AVG*Z37*n*FSW*k/GDR_SINK/3,"")</f>
        <v>4.0789473684210526E-3</v>
      </c>
      <c r="AJ37" s="127">
        <f t="shared" si="28"/>
        <v>1.392E-3</v>
      </c>
      <c r="AK37" s="127">
        <f t="shared" si="29"/>
        <v>1.2414567897146714E-2</v>
      </c>
      <c r="AL37" s="127">
        <f t="shared" si="30"/>
        <v>3.6060000000000003E-3</v>
      </c>
      <c r="AM37" s="127">
        <f t="shared" si="26"/>
        <v>0.37243703691440144</v>
      </c>
      <c r="AN37" s="127">
        <f>IF(AND($A37&lt;&gt;0,$A37&lt;&gt;"",OR(RIGHT(Logic!B37,2)="C)",LEFT(Logic!B37,4)="CSD1")),SUM(AD37:AF37)+(AJ37/3)+AK37+AL37/6+AM37/6,AN38)</f>
        <v>0.17238738194518904</v>
      </c>
      <c r="AO37" s="127">
        <f>IF(AND($A37&lt;&gt;0,$A37&lt;&gt;"",OR(RIGHT(Logic!B37,2)="T)",LEFT(Logic!B37,4)="CSD1")),SUM(AG37:AI37)+(AJ37/3)+AL37/6+AM37/6,AO36)</f>
        <v>0.16078224666380947</v>
      </c>
      <c r="AP37" s="48">
        <f t="shared" si="27"/>
        <v>0.33</v>
      </c>
      <c r="AQ37" s="35" t="str">
        <f>IF(AND(A37&lt;&gt;0,A37&lt;&gt;""),LOOKUP(A37,Discrete_NFET[PARTNUMBER],Discrete_NFET[TI_EQ_PACKAGE]),"")</f>
        <v>SON3X3</v>
      </c>
      <c r="AR37" s="49">
        <f>IF(AND(A37&lt;&gt;0,A37&lt;&gt;""),LOOKUP(A37,Discrete_NFET[PARTNUMBER],Discrete_NFET[1KPRICE]),"")</f>
        <v>0.31</v>
      </c>
      <c r="AS37" s="35" t="str">
        <f>IF(AND($A37&lt;&gt;0,$A37&lt;&gt;""),CONCATENATE(TEXT(AP37,"0.00"),"W, ",IF('User Input'!H$11="Single Discrete",A37,IF('User Input'!H$11="Dual/Power Block",LEFT(A37,FIND(")",A37)-7),A37)),", ",AQ37,", ",TEXT(AR37,"$0.00")),"Invalid Part")</f>
        <v>0.33W, CSD17575Q3, SON3X3, $0.31</v>
      </c>
      <c r="AT37" t="s">
        <v>879</v>
      </c>
      <c r="AW37"/>
    </row>
    <row r="38" spans="1:49" ht="15" customHeight="1" x14ac:dyDescent="0.25">
      <c r="A38" s="35" t="str">
        <f>IF(OR(AND(FET_config3="Dual/Power Block",LEFT(Logic!B38,4)="CSD8"),AND(FET_config3="Single Discrete",LEFT(Logic!B38,4)="CSD1")),Logic!B38,"")</f>
        <v>CSD17576Q5B</v>
      </c>
      <c r="B38" s="37" t="str">
        <f>IF(OR($A38=0,$A38=""),"0",IF(LOOKUP($A38,Discrete_NFET[PARTNUMBER],Discrete_NFET[RDSON25])="(NULL)","0","1"))</f>
        <v>0</v>
      </c>
      <c r="C38" s="38" t="str">
        <f>IF(OR($A38=0,$A38=""),"0",IF(LOOKUP($A38,Discrete_NFET[PARTNUMBER],Discrete_NFET[RDSON3])="(NULL)","0","1"))</f>
        <v>0</v>
      </c>
      <c r="D38" s="40" t="str">
        <f>IF(OR($A38=0,$A38=""),"0",IF(LOOKUP($A38,Discrete_NFET[PARTNUMBER],Discrete_NFET[RDSON45])="(NULL)","0","1"))</f>
        <v>1</v>
      </c>
      <c r="E38" s="45" t="str">
        <f>IF(OR($A38=0,$A38=""),"0",IF(LOOKUP($A38,Discrete_NFET[PARTNUMBER],Discrete_NFET[RDSON6])="(NULL)","0","1"))</f>
        <v>0</v>
      </c>
      <c r="F38" s="34" t="str">
        <f>IF(OR($A38=0,$A38=""),"0",IF(LOOKUP($A38,Discrete_NFET[PARTNUMBER],Discrete_NFET[RDSON8])="(NULL)","0","1"))</f>
        <v>0</v>
      </c>
      <c r="G38" s="43" t="str">
        <f>IF(OR($A38=0,$A38=""),"0",IF(LOOKUP($A38,Discrete_NFET[PARTNUMBER],Discrete_NFET[RDSON10])="(NULL)","0","1"))</f>
        <v>1</v>
      </c>
      <c r="H38" s="36" t="b">
        <f t="shared" si="12"/>
        <v>0</v>
      </c>
      <c r="I38" s="39" t="b">
        <f t="shared" si="13"/>
        <v>0</v>
      </c>
      <c r="J38" s="41" t="b">
        <f t="shared" si="14"/>
        <v>1</v>
      </c>
      <c r="K38" s="46" t="b">
        <f t="shared" si="15"/>
        <v>0</v>
      </c>
      <c r="L38" s="42" t="b">
        <f t="shared" si="16"/>
        <v>0</v>
      </c>
      <c r="M38" s="44" t="b">
        <f t="shared" si="17"/>
        <v>1</v>
      </c>
      <c r="N38" s="47" t="b">
        <f t="shared" si="18"/>
        <v>1</v>
      </c>
      <c r="O38" s="36" t="b">
        <f t="shared" si="19"/>
        <v>0</v>
      </c>
      <c r="P38" s="39" t="b">
        <f t="shared" si="20"/>
        <v>0</v>
      </c>
      <c r="Q38" s="41" t="b">
        <f t="shared" si="21"/>
        <v>1</v>
      </c>
      <c r="R38" s="46" t="b">
        <f t="shared" si="22"/>
        <v>0</v>
      </c>
      <c r="S38" s="42" t="b">
        <f t="shared" si="23"/>
        <v>0</v>
      </c>
      <c r="T38" s="44" t="b">
        <f t="shared" si="24"/>
        <v>1</v>
      </c>
      <c r="U38" s="148">
        <f>IF(T38,LOOKUP(A38,Discrete_NFET[PARTNUMBER],Discrete_NFET[RDSON10])*1000,IF(S38,LOOKUP(A38,Discrete_NFET[PARTNUMBER],Discrete_NFET[RDSON8])*1000,IF(R38,LOOKUP(A38,Discrete_NFET[PARTNUMBER],Discrete_NFET[RDSON6])*1000,IF(Q38,LOOKUP(A38,Discrete_NFET[PARTNUMBER],Discrete_NFET[RDSON45])*1000,IF(P38,LOOKUP(A38,Discrete_NFET[PARTNUMBER],Discrete_NFET[RDSON3])*1000,IF(O38,LOOKUP(A38,Discrete_NFET[PARTNUMBER],Discrete_NFET[RDSON25])*1000,""))))))</f>
        <v>2</v>
      </c>
      <c r="V38" s="48">
        <f>IF(AND(A38&lt;&gt;0,A38&lt;&gt;""),U38*(1+(Tj-25)*(LOOKUP(A38,Discrete_NFET[PARTNUMBER],Discrete_NFET[RDSDELTA])/((LOOKUP(A38,Discrete_NFET[PARTNUMBER],Discrete_NFET[TJMAX])-25)))),"")</f>
        <v>2.34</v>
      </c>
      <c r="W38" s="35">
        <f>IF(AND($A38&lt;&gt;0,$A38&lt;&gt;""),LOOKUP($A38,Discrete_NFET[PARTNUMBER],Discrete_NFET[QGS]),"")</f>
        <v>8.9</v>
      </c>
      <c r="X38" s="35">
        <f>IF(AND($A38&lt;&gt;0,$A38&lt;&gt;""),LOOKUP($A38,Discrete_NFET[PARTNUMBER],Discrete_NFET[QGD]),"")</f>
        <v>5.4</v>
      </c>
      <c r="Y38" s="35">
        <f>IF(AND($A38&lt;&gt;0,$A38&lt;&gt;""),LOOKUP($A38,Discrete_NFET[PARTNUMBER],Discrete_NFET[QGTH]),"")</f>
        <v>4.7</v>
      </c>
      <c r="Z38" s="35">
        <f t="shared" si="25"/>
        <v>9.6000000000000014</v>
      </c>
      <c r="AA38" s="35">
        <f>IF(AND($A38&lt;&gt;0,$A38&lt;&gt;""),LOOKUP($A38,Discrete_NFET[PARTNUMBER],Discrete_NFET[QOSSTYP]),"")</f>
        <v>12.3</v>
      </c>
      <c r="AB38" s="35">
        <f>IF(AND($A38&lt;&gt;0,$A38&lt;&gt;""),LOOKUP($A38,Discrete_NFET[PARTNUMBER],Discrete_NFET[QRR]),"")</f>
        <v>14.7</v>
      </c>
      <c r="AC38" s="35">
        <f>IF(AND(A38&lt;&gt;0,A38&lt;&gt;""),LOOKUP(A38,Discrete_NFET[PARTNUMBER],Discrete_NFET[VF_TYP]),"")</f>
        <v>0.8</v>
      </c>
      <c r="AD38" s="127">
        <f>IF(AND($A38&lt;&gt;0,$A38&lt;&gt;"",OR(RIGHT(Logic!B38,2)="C)",LEFT(Logic!B38,4)="CSD1")),(1+(1-DUTY))*IM_RMS_120^2*V38*m/3/Num_FETS3,"")</f>
        <v>9.8467797783933497E-2</v>
      </c>
      <c r="AE38" s="127">
        <f>IF(AND($A38&lt;&gt;0,$A38&lt;&gt;"",OR(RIGHT(Logic!B38,2)="C)",LEFT(Logic!B38,4)="CSD1")),Num_FETS3*0.5*IM_RMS_120*VDC_AVG*Z38*n*MOT_ELEC_FREQ/GDR_SRC,"")</f>
        <v>3.0959752321981425E-5</v>
      </c>
      <c r="AF38" s="127">
        <f>IF(AND($A38&lt;&gt;0,$A38&lt;&gt;"",OR(RIGHT(Logic!B38,2)="C)",LEFT(Logic!B38,4)="CSD1")),Num_FETS3*0.5*IM_RMS_120*VDC_AVG*Z38*n*MOT_ELEC_FREQ/GDR_SINK,"")</f>
        <v>2.1052631578947372E-5</v>
      </c>
      <c r="AG38" s="127">
        <f>IF(AND($A38&lt;&gt;0,$A38&lt;&gt;"",OR(RIGHT(Logic!B38,2)="T)",LEFT(Logic!B38,4)="CSD1")),DUTY*IM_RMS_120^2*V38*m/3/Num_FETS3,"")</f>
        <v>8.9089912280701733E-2</v>
      </c>
      <c r="AH38" s="127">
        <f>IF(AND($A38&lt;&gt;0,$A38&lt;&gt;"",OR(RIGHT(Logic!B38,2)="T)",LEFT(Logic!B38,4)="CSD1")),Num_FETS3*0.5*IM_RMS_120*VDC_AVG*Z38*n*FSW*k/GDR_SRC/3,"")</f>
        <v>6.1919504643962843E-3</v>
      </c>
      <c r="AI38" s="127">
        <f>IF(AND($A38&lt;&gt;0,$A38&lt;&gt;"",OR(RIGHT(Logic!B38,2)="T)",LEFT(Logic!B38,4)="CSD1")),Num_FETS3*0.5*IM_RMS_120*VDC_AVG*Z38*n*FSW*k/GDR_SINK/3,"")</f>
        <v>4.2105263157894745E-3</v>
      </c>
      <c r="AJ38" s="127">
        <f t="shared" si="28"/>
        <v>1.4760000000000003E-3</v>
      </c>
      <c r="AK38" s="127">
        <f t="shared" si="29"/>
        <v>1.2414567897146714E-2</v>
      </c>
      <c r="AL38" s="127">
        <f t="shared" si="30"/>
        <v>3.5338799999999997E-3</v>
      </c>
      <c r="AM38" s="127">
        <f t="shared" si="26"/>
        <v>0.37243703691440144</v>
      </c>
      <c r="AN38" s="127">
        <f>IF(AND($A38&lt;&gt;0,$A38&lt;&gt;"",OR(RIGHT(Logic!B38,2)="C)",LEFT(Logic!B38,4)="CSD1")),SUM(AD38:AF38)+(AJ38/3)+AK38+AL38/6+AM38/6,AN39)</f>
        <v>0.17408819755071472</v>
      </c>
      <c r="AO38" s="127">
        <f>IF(AND($A38&lt;&gt;0,$A38&lt;&gt;"",OR(RIGHT(Logic!B38,2)="T)",LEFT(Logic!B38,4)="CSD1")),SUM(AG38:AI38)+(AJ38/3)+AL38/6+AM38/6,AO37)</f>
        <v>0.16264620854662107</v>
      </c>
      <c r="AP38" s="48">
        <f t="shared" si="27"/>
        <v>0.34</v>
      </c>
      <c r="AQ38" s="35" t="str">
        <f>IF(AND(A38&lt;&gt;0,A38&lt;&gt;""),LOOKUP(A38,Discrete_NFET[PARTNUMBER],Discrete_NFET[TI_EQ_PACKAGE]),"")</f>
        <v>SON5X6</v>
      </c>
      <c r="AR38" s="49">
        <f>IF(AND(A38&lt;&gt;0,A38&lt;&gt;""),LOOKUP(A38,Discrete_NFET[PARTNUMBER],Discrete_NFET[1KPRICE]),"")</f>
        <v>0.38</v>
      </c>
      <c r="AS38" s="35" t="str">
        <f>IF(AND($A38&lt;&gt;0,$A38&lt;&gt;""),CONCATENATE(TEXT(AP38,"0.00"),"W, ",IF('User Input'!H$11="Single Discrete",A38,IF('User Input'!H$11="Dual/Power Block",LEFT(A38,FIND(")",A38)-7),A38)),", ",AQ38,", ",TEXT(AR38,"$0.00")),"Invalid Part")</f>
        <v>0.34W, CSD17576Q5B, SON5X6, $0.38</v>
      </c>
      <c r="AT38" t="s">
        <v>799</v>
      </c>
      <c r="AW38"/>
    </row>
    <row r="39" spans="1:49" ht="15" customHeight="1" x14ac:dyDescent="0.25">
      <c r="A39" s="35" t="str">
        <f>IF(OR(AND(FET_config3="Dual/Power Block",LEFT(Logic!B39,4)="CSD8"),AND(FET_config3="Single Discrete",LEFT(Logic!B39,4)="CSD1")),Logic!B39,"")</f>
        <v>CSD17577Q3A</v>
      </c>
      <c r="B39" s="37" t="str">
        <f>IF(OR($A39=0,$A39=""),"0",IF(LOOKUP($A39,Discrete_NFET[PARTNUMBER],Discrete_NFET[RDSON25])="(NULL)","0","1"))</f>
        <v>0</v>
      </c>
      <c r="C39" s="38" t="str">
        <f>IF(OR($A39=0,$A39=""),"0",IF(LOOKUP($A39,Discrete_NFET[PARTNUMBER],Discrete_NFET[RDSON3])="(NULL)","0","1"))</f>
        <v>0</v>
      </c>
      <c r="D39" s="40" t="str">
        <f>IF(OR($A39=0,$A39=""),"0",IF(LOOKUP($A39,Discrete_NFET[PARTNUMBER],Discrete_NFET[RDSON45])="(NULL)","0","1"))</f>
        <v>1</v>
      </c>
      <c r="E39" s="45" t="str">
        <f>IF(OR($A39=0,$A39=""),"0",IF(LOOKUP($A39,Discrete_NFET[PARTNUMBER],Discrete_NFET[RDSON6])="(NULL)","0","1"))</f>
        <v>0</v>
      </c>
      <c r="F39" s="34" t="str">
        <f>IF(OR($A39=0,$A39=""),"0",IF(LOOKUP($A39,Discrete_NFET[PARTNUMBER],Discrete_NFET[RDSON8])="(NULL)","0","1"))</f>
        <v>0</v>
      </c>
      <c r="G39" s="43" t="str">
        <f>IF(OR($A39=0,$A39=""),"0",IF(LOOKUP($A39,Discrete_NFET[PARTNUMBER],Discrete_NFET[RDSON10])="(NULL)","0","1"))</f>
        <v>1</v>
      </c>
      <c r="H39" s="36" t="b">
        <f t="shared" si="12"/>
        <v>0</v>
      </c>
      <c r="I39" s="39" t="b">
        <f t="shared" si="13"/>
        <v>0</v>
      </c>
      <c r="J39" s="41" t="b">
        <f t="shared" si="14"/>
        <v>1</v>
      </c>
      <c r="K39" s="46" t="b">
        <f t="shared" si="15"/>
        <v>0</v>
      </c>
      <c r="L39" s="42" t="b">
        <f t="shared" si="16"/>
        <v>0</v>
      </c>
      <c r="M39" s="44" t="b">
        <f t="shared" si="17"/>
        <v>1</v>
      </c>
      <c r="N39" s="47" t="b">
        <f t="shared" si="18"/>
        <v>1</v>
      </c>
      <c r="O39" s="36" t="b">
        <f t="shared" si="19"/>
        <v>0</v>
      </c>
      <c r="P39" s="39" t="b">
        <f t="shared" si="20"/>
        <v>0</v>
      </c>
      <c r="Q39" s="41" t="b">
        <f t="shared" si="21"/>
        <v>1</v>
      </c>
      <c r="R39" s="46" t="b">
        <f t="shared" si="22"/>
        <v>0</v>
      </c>
      <c r="S39" s="42" t="b">
        <f t="shared" si="23"/>
        <v>0</v>
      </c>
      <c r="T39" s="44" t="b">
        <f t="shared" si="24"/>
        <v>1</v>
      </c>
      <c r="U39" s="148">
        <f>IF(T39,LOOKUP(A39,Discrete_NFET[PARTNUMBER],Discrete_NFET[RDSON10])*1000,IF(S39,LOOKUP(A39,Discrete_NFET[PARTNUMBER],Discrete_NFET[RDSON8])*1000,IF(R39,LOOKUP(A39,Discrete_NFET[PARTNUMBER],Discrete_NFET[RDSON6])*1000,IF(Q39,LOOKUP(A39,Discrete_NFET[PARTNUMBER],Discrete_NFET[RDSON45])*1000,IF(P39,LOOKUP(A39,Discrete_NFET[PARTNUMBER],Discrete_NFET[RDSON3])*1000,IF(O39,LOOKUP(A39,Discrete_NFET[PARTNUMBER],Discrete_NFET[RDSON25])*1000,""))))))</f>
        <v>4</v>
      </c>
      <c r="V39" s="48">
        <f>IF(AND(A39&lt;&gt;0,A39&lt;&gt;""),U39*(1+(Tj-25)*(LOOKUP(A39,Discrete_NFET[PARTNUMBER],Discrete_NFET[RDSDELTA])/((LOOKUP(A39,Discrete_NFET[PARTNUMBER],Discrete_NFET[TJMAX])-25)))),"")</f>
        <v>4.4800000000000004</v>
      </c>
      <c r="W39" s="35">
        <f>IF(AND($A39&lt;&gt;0,$A39&lt;&gt;""),LOOKUP($A39,Discrete_NFET[PARTNUMBER],Discrete_NFET[QGS]),"")</f>
        <v>5.0999999999999996</v>
      </c>
      <c r="X39" s="35">
        <f>IF(AND($A39&lt;&gt;0,$A39&lt;&gt;""),LOOKUP($A39,Discrete_NFET[PARTNUMBER],Discrete_NFET[QGD]),"")</f>
        <v>2.8</v>
      </c>
      <c r="Y39" s="35">
        <f>IF(AND($A39&lt;&gt;0,$A39&lt;&gt;""),LOOKUP($A39,Discrete_NFET[PARTNUMBER],Discrete_NFET[QGTH]),"")</f>
        <v>2.5</v>
      </c>
      <c r="Z39" s="35">
        <f t="shared" si="25"/>
        <v>5.3999999999999995</v>
      </c>
      <c r="AA39" s="35">
        <f>IF(AND($A39&lt;&gt;0,$A39&lt;&gt;""),LOOKUP($A39,Discrete_NFET[PARTNUMBER],Discrete_NFET[QOSSTYP]),"")</f>
        <v>6</v>
      </c>
      <c r="AB39" s="35">
        <f>IF(AND($A39&lt;&gt;0,$A39&lt;&gt;""),LOOKUP($A39,Discrete_NFET[PARTNUMBER],Discrete_NFET[QRR]),"")</f>
        <v>8.1999999999999993</v>
      </c>
      <c r="AC39" s="35">
        <f>IF(AND(A39&lt;&gt;0,A39&lt;&gt;""),LOOKUP(A39,Discrete_NFET[PARTNUMBER],Discrete_NFET[VF_TYP]),"")</f>
        <v>0.8</v>
      </c>
      <c r="AD39" s="127">
        <f>IF(AND($A39&lt;&gt;0,$A39&lt;&gt;"",OR(RIGHT(Logic!B39,2)="C)",LEFT(Logic!B39,4)="CSD1")),(1+(1-DUTY))*IM_RMS_120^2*V39*m/3/Num_FETS3,"")</f>
        <v>0.18851954447522315</v>
      </c>
      <c r="AE39" s="127">
        <f>IF(AND($A39&lt;&gt;0,$A39&lt;&gt;"",OR(RIGHT(Logic!B39,2)="C)",LEFT(Logic!B39,4)="CSD1")),Num_FETS3*0.5*IM_RMS_120*VDC_AVG*Z39*n*MOT_ELEC_FREQ/GDR_SRC,"")</f>
        <v>1.7414860681114547E-5</v>
      </c>
      <c r="AF39" s="127">
        <f>IF(AND($A39&lt;&gt;0,$A39&lt;&gt;"",OR(RIGHT(Logic!B39,2)="C)",LEFT(Logic!B39,4)="CSD1")),Num_FETS3*0.5*IM_RMS_120*VDC_AVG*Z39*n*MOT_ELEC_FREQ/GDR_SINK,"")</f>
        <v>1.1842105263157894E-5</v>
      </c>
      <c r="AG39" s="127">
        <f>IF(AND($A39&lt;&gt;0,$A39&lt;&gt;"",OR(RIGHT(Logic!B39,2)="T)",LEFT(Logic!B39,4)="CSD1")),DUTY*IM_RMS_120^2*V39*m/3/Num_FETS3,"")</f>
        <v>0.1705653021442495</v>
      </c>
      <c r="AH39" s="127">
        <f>IF(AND($A39&lt;&gt;0,$A39&lt;&gt;"",OR(RIGHT(Logic!B39,2)="T)",LEFT(Logic!B39,4)="CSD1")),Num_FETS3*0.5*IM_RMS_120*VDC_AVG*Z39*n*FSW*k/GDR_SRC/3,"")</f>
        <v>3.4829721362229092E-3</v>
      </c>
      <c r="AI39" s="127">
        <f>IF(AND($A39&lt;&gt;0,$A39&lt;&gt;"",OR(RIGHT(Logic!B39,2)="T)",LEFT(Logic!B39,4)="CSD1")),Num_FETS3*0.5*IM_RMS_120*VDC_AVG*Z39*n*FSW*k/GDR_SINK/3,"")</f>
        <v>2.3684210526315787E-3</v>
      </c>
      <c r="AJ39" s="127">
        <f t="shared" si="28"/>
        <v>7.2000000000000005E-4</v>
      </c>
      <c r="AK39" s="127">
        <f t="shared" si="29"/>
        <v>1.2414567897146714E-2</v>
      </c>
      <c r="AL39" s="127">
        <f t="shared" si="30"/>
        <v>1.9712799999999997E-3</v>
      </c>
      <c r="AM39" s="127">
        <f t="shared" si="26"/>
        <v>0.37243703691440144</v>
      </c>
      <c r="AN39" s="127">
        <f>IF(AND($A39&lt;&gt;0,$A39&lt;&gt;"",OR(RIGHT(Logic!B39,2)="C)",LEFT(Logic!B39,4)="CSD1")),SUM(AD39:AF39)+(AJ39/3)+AK39+AL39/6+AM39/6,AN40)</f>
        <v>0.26360475549071438</v>
      </c>
      <c r="AO39" s="127">
        <f>IF(AND($A39&lt;&gt;0,$A39&lt;&gt;"",OR(RIGHT(Logic!B39,2)="T)",LEFT(Logic!B39,4)="CSD1")),SUM(AG39:AI39)+(AJ39/3)+AL39/6+AM39/6,AO38)</f>
        <v>0.23905808148550425</v>
      </c>
      <c r="AP39" s="48">
        <f t="shared" si="27"/>
        <v>0.5</v>
      </c>
      <c r="AQ39" s="35" t="str">
        <f>IF(AND(A39&lt;&gt;0,A39&lt;&gt;""),LOOKUP(A39,Discrete_NFET[PARTNUMBER],Discrete_NFET[TI_EQ_PACKAGE]),"")</f>
        <v>SON3x3</v>
      </c>
      <c r="AR39" s="49">
        <f>IF(AND(A39&lt;&gt;0,A39&lt;&gt;""),LOOKUP(A39,Discrete_NFET[PARTNUMBER],Discrete_NFET[1KPRICE]),"")</f>
        <v>0.18</v>
      </c>
      <c r="AS39" s="35" t="str">
        <f>IF(AND($A39&lt;&gt;0,$A39&lt;&gt;""),CONCATENATE(TEXT(AP39,"0.00"),"W, ",IF('User Input'!H$11="Single Discrete",A39,IF('User Input'!H$11="Dual/Power Block",LEFT(A39,FIND(")",A39)-7),A39)),", ",AQ39,", ",TEXT(AR39,"$0.00")),"Invalid Part")</f>
        <v>0.50W, CSD17577Q3A, SON3x3, $0.18</v>
      </c>
      <c r="AT39" t="s">
        <v>812</v>
      </c>
      <c r="AW39"/>
    </row>
    <row r="40" spans="1:49" ht="15" customHeight="1" x14ac:dyDescent="0.25">
      <c r="A40" s="35" t="str">
        <f>IF(OR(AND(FET_config3="Dual/Power Block",LEFT(Logic!B40,4)="CSD8"),AND(FET_config3="Single Discrete",LEFT(Logic!B40,4)="CSD1")),Logic!B40,"")</f>
        <v>CSD17577Q5A</v>
      </c>
      <c r="B40" s="37" t="str">
        <f>IF(OR($A40=0,$A40=""),"0",IF(LOOKUP($A40,Discrete_NFET[PARTNUMBER],Discrete_NFET[RDSON25])="(NULL)","0","1"))</f>
        <v>0</v>
      </c>
      <c r="C40" s="38" t="str">
        <f>IF(OR($A40=0,$A40=""),"0",IF(LOOKUP($A40,Discrete_NFET[PARTNUMBER],Discrete_NFET[RDSON3])="(NULL)","0","1"))</f>
        <v>0</v>
      </c>
      <c r="D40" s="40" t="str">
        <f>IF(OR($A40=0,$A40=""),"0",IF(LOOKUP($A40,Discrete_NFET[PARTNUMBER],Discrete_NFET[RDSON45])="(NULL)","0","1"))</f>
        <v>1</v>
      </c>
      <c r="E40" s="45" t="str">
        <f>IF(OR($A40=0,$A40=""),"0",IF(LOOKUP($A40,Discrete_NFET[PARTNUMBER],Discrete_NFET[RDSON6])="(NULL)","0","1"))</f>
        <v>0</v>
      </c>
      <c r="F40" s="34" t="str">
        <f>IF(OR($A40=0,$A40=""),"0",IF(LOOKUP($A40,Discrete_NFET[PARTNUMBER],Discrete_NFET[RDSON8])="(NULL)","0","1"))</f>
        <v>0</v>
      </c>
      <c r="G40" s="43" t="str">
        <f>IF(OR($A40=0,$A40=""),"0",IF(LOOKUP($A40,Discrete_NFET[PARTNUMBER],Discrete_NFET[RDSON10])="(NULL)","0","1"))</f>
        <v>1</v>
      </c>
      <c r="H40" s="36" t="b">
        <f t="shared" si="12"/>
        <v>0</v>
      </c>
      <c r="I40" s="39" t="b">
        <f t="shared" si="13"/>
        <v>0</v>
      </c>
      <c r="J40" s="41" t="b">
        <f t="shared" si="14"/>
        <v>1</v>
      </c>
      <c r="K40" s="46" t="b">
        <f t="shared" si="15"/>
        <v>0</v>
      </c>
      <c r="L40" s="42" t="b">
        <f t="shared" si="16"/>
        <v>0</v>
      </c>
      <c r="M40" s="44" t="b">
        <f t="shared" si="17"/>
        <v>1</v>
      </c>
      <c r="N40" s="47" t="b">
        <f t="shared" si="18"/>
        <v>1</v>
      </c>
      <c r="O40" s="36" t="b">
        <f t="shared" si="19"/>
        <v>0</v>
      </c>
      <c r="P40" s="39" t="b">
        <f t="shared" si="20"/>
        <v>0</v>
      </c>
      <c r="Q40" s="41" t="b">
        <f t="shared" si="21"/>
        <v>1</v>
      </c>
      <c r="R40" s="46" t="b">
        <f t="shared" si="22"/>
        <v>0</v>
      </c>
      <c r="S40" s="42" t="b">
        <f t="shared" si="23"/>
        <v>0</v>
      </c>
      <c r="T40" s="44" t="b">
        <f t="shared" si="24"/>
        <v>1</v>
      </c>
      <c r="U40" s="148">
        <f>IF(T40,LOOKUP(A40,Discrete_NFET[PARTNUMBER],Discrete_NFET[RDSON10])*1000,IF(S40,LOOKUP(A40,Discrete_NFET[PARTNUMBER],Discrete_NFET[RDSON8])*1000,IF(R40,LOOKUP(A40,Discrete_NFET[PARTNUMBER],Discrete_NFET[RDSON6])*1000,IF(Q40,LOOKUP(A40,Discrete_NFET[PARTNUMBER],Discrete_NFET[RDSON45])*1000,IF(P40,LOOKUP(A40,Discrete_NFET[PARTNUMBER],Discrete_NFET[RDSON3])*1000,IF(O40,LOOKUP(A40,Discrete_NFET[PARTNUMBER],Discrete_NFET[RDSON25])*1000,""))))))</f>
        <v>4.2</v>
      </c>
      <c r="V40" s="48">
        <f>IF(AND(A40&lt;&gt;0,A40&lt;&gt;""),U40*(1+(Tj-25)*(LOOKUP(A40,Discrete_NFET[PARTNUMBER],Discrete_NFET[RDSDELTA])/((LOOKUP(A40,Discrete_NFET[PARTNUMBER],Discrete_NFET[TJMAX])-25)))),"")</f>
        <v>4.7040000000000006</v>
      </c>
      <c r="W40" s="35">
        <f>IF(AND($A40&lt;&gt;0,$A40&lt;&gt;""),LOOKUP($A40,Discrete_NFET[PARTNUMBER],Discrete_NFET[QGS]),"")</f>
        <v>5.0999999999999996</v>
      </c>
      <c r="X40" s="35">
        <f>IF(AND($A40&lt;&gt;0,$A40&lt;&gt;""),LOOKUP($A40,Discrete_NFET[PARTNUMBER],Discrete_NFET[QGD]),"")</f>
        <v>2.8</v>
      </c>
      <c r="Y40" s="35">
        <f>IF(AND($A40&lt;&gt;0,$A40&lt;&gt;""),LOOKUP($A40,Discrete_NFET[PARTNUMBER],Discrete_NFET[QGTH]),"")</f>
        <v>2.5</v>
      </c>
      <c r="Z40" s="35">
        <f t="shared" si="25"/>
        <v>5.3999999999999995</v>
      </c>
      <c r="AA40" s="35">
        <f>IF(AND($A40&lt;&gt;0,$A40&lt;&gt;""),LOOKUP($A40,Discrete_NFET[PARTNUMBER],Discrete_NFET[QOSSTYP]),"")</f>
        <v>6</v>
      </c>
      <c r="AB40" s="35">
        <f>IF(AND($A40&lt;&gt;0,$A40&lt;&gt;""),LOOKUP($A40,Discrete_NFET[PARTNUMBER],Discrete_NFET[QRR]),"")</f>
        <v>8.1999999999999993</v>
      </c>
      <c r="AC40" s="35">
        <f>IF(AND(A40&lt;&gt;0,A40&lt;&gt;""),LOOKUP(A40,Discrete_NFET[PARTNUMBER],Discrete_NFET[VF_TYP]),"")</f>
        <v>0.8</v>
      </c>
      <c r="AD40" s="127">
        <f>IF(AND($A40&lt;&gt;0,$A40&lt;&gt;"",OR(RIGHT(Logic!B40,2)="C)",LEFT(Logic!B40,4)="CSD1")),(1+(1-DUTY))*IM_RMS_120^2*V40*m/3/Num_FETS3,"")</f>
        <v>0.1979455216989843</v>
      </c>
      <c r="AE40" s="127">
        <f>IF(AND($A40&lt;&gt;0,$A40&lt;&gt;"",OR(RIGHT(Logic!B40,2)="C)",LEFT(Logic!B40,4)="CSD1")),Num_FETS3*0.5*IM_RMS_120*VDC_AVG*Z40*n*MOT_ELEC_FREQ/GDR_SRC,"")</f>
        <v>1.7414860681114547E-5</v>
      </c>
      <c r="AF40" s="127">
        <f>IF(AND($A40&lt;&gt;0,$A40&lt;&gt;"",OR(RIGHT(Logic!B40,2)="C)",LEFT(Logic!B40,4)="CSD1")),Num_FETS3*0.5*IM_RMS_120*VDC_AVG*Z40*n*MOT_ELEC_FREQ/GDR_SINK,"")</f>
        <v>1.1842105263157894E-5</v>
      </c>
      <c r="AG40" s="127">
        <f>IF(AND($A40&lt;&gt;0,$A40&lt;&gt;"",OR(RIGHT(Logic!B40,2)="T)",LEFT(Logic!B40,4)="CSD1")),DUTY*IM_RMS_120^2*V40*m/3/Num_FETS3,"")</f>
        <v>0.17909356725146197</v>
      </c>
      <c r="AH40" s="127">
        <f>IF(AND($A40&lt;&gt;0,$A40&lt;&gt;"",OR(RIGHT(Logic!B40,2)="T)",LEFT(Logic!B40,4)="CSD1")),Num_FETS3*0.5*IM_RMS_120*VDC_AVG*Z40*n*FSW*k/GDR_SRC/3,"")</f>
        <v>3.4829721362229092E-3</v>
      </c>
      <c r="AI40" s="127">
        <f>IF(AND($A40&lt;&gt;0,$A40&lt;&gt;"",OR(RIGHT(Logic!B40,2)="T)",LEFT(Logic!B40,4)="CSD1")),Num_FETS3*0.5*IM_RMS_120*VDC_AVG*Z40*n*FSW*k/GDR_SINK/3,"")</f>
        <v>2.3684210526315787E-3</v>
      </c>
      <c r="AJ40" s="127">
        <f t="shared" si="28"/>
        <v>7.2000000000000005E-4</v>
      </c>
      <c r="AK40" s="127">
        <f t="shared" si="29"/>
        <v>1.2414567897146714E-2</v>
      </c>
      <c r="AL40" s="127">
        <f t="shared" si="30"/>
        <v>1.9712799999999997E-3</v>
      </c>
      <c r="AM40" s="127">
        <f t="shared" si="26"/>
        <v>0.37243703691440144</v>
      </c>
      <c r="AN40" s="127">
        <f>IF(AND($A40&lt;&gt;0,$A40&lt;&gt;"",OR(RIGHT(Logic!B40,2)="C)",LEFT(Logic!B40,4)="CSD1")),SUM(AD40:AF40)+(AJ40/3)+AK40+AL40/6+AM40/6,AN41)</f>
        <v>0.27303073271447553</v>
      </c>
      <c r="AO40" s="127">
        <f>IF(AND($A40&lt;&gt;0,$A40&lt;&gt;"",OR(RIGHT(Logic!B40,2)="T)",LEFT(Logic!B40,4)="CSD1")),SUM(AG40:AI40)+(AJ40/3)+AL40/6+AM40/6,AO39)</f>
        <v>0.24758634659271672</v>
      </c>
      <c r="AP40" s="48">
        <f t="shared" si="27"/>
        <v>0.52</v>
      </c>
      <c r="AQ40" s="35" t="str">
        <f>IF(AND(A40&lt;&gt;0,A40&lt;&gt;""),LOOKUP(A40,Discrete_NFET[PARTNUMBER],Discrete_NFET[TI_EQ_PACKAGE]),"")</f>
        <v>SON5x6</v>
      </c>
      <c r="AR40" s="49">
        <f>IF(AND(A40&lt;&gt;0,A40&lt;&gt;""),LOOKUP(A40,Discrete_NFET[PARTNUMBER],Discrete_NFET[1KPRICE]),"")</f>
        <v>0.2</v>
      </c>
      <c r="AS40" s="35" t="str">
        <f>IF(AND($A40&lt;&gt;0,$A40&lt;&gt;""),CONCATENATE(TEXT(AP40,"0.00"),"W, ",IF('User Input'!H$11="Single Discrete",A40,IF('User Input'!H$11="Dual/Power Block",LEFT(A40,FIND(")",A40)-7),A40)),", ",AQ40,", ",TEXT(AR40,"$0.00")),"Invalid Part")</f>
        <v>0.52W, CSD17577Q5A, SON5x6, $0.20</v>
      </c>
      <c r="AT40" t="s">
        <v>835</v>
      </c>
      <c r="AW40"/>
    </row>
    <row r="41" spans="1:49" ht="15" customHeight="1" x14ac:dyDescent="0.25">
      <c r="A41" s="35" t="str">
        <f>IF(OR(AND(FET_config3="Dual/Power Block",LEFT(Logic!B41,4)="CSD8"),AND(FET_config3="Single Discrete",LEFT(Logic!B41,4)="CSD1")),Logic!B41,"")</f>
        <v>CSD17578Q3A</v>
      </c>
      <c r="B41" s="37" t="str">
        <f>IF(OR($A41=0,$A41=""),"0",IF(LOOKUP($A41,Discrete_NFET[PARTNUMBER],Discrete_NFET[RDSON25])="(NULL)","0","1"))</f>
        <v>0</v>
      </c>
      <c r="C41" s="38" t="str">
        <f>IF(OR($A41=0,$A41=""),"0",IF(LOOKUP($A41,Discrete_NFET[PARTNUMBER],Discrete_NFET[RDSON3])="(NULL)","0","1"))</f>
        <v>0</v>
      </c>
      <c r="D41" s="40" t="str">
        <f>IF(OR($A41=0,$A41=""),"0",IF(LOOKUP($A41,Discrete_NFET[PARTNUMBER],Discrete_NFET[RDSON45])="(NULL)","0","1"))</f>
        <v>1</v>
      </c>
      <c r="E41" s="45" t="str">
        <f>IF(OR($A41=0,$A41=""),"0",IF(LOOKUP($A41,Discrete_NFET[PARTNUMBER],Discrete_NFET[RDSON6])="(NULL)","0","1"))</f>
        <v>0</v>
      </c>
      <c r="F41" s="34" t="str">
        <f>IF(OR($A41=0,$A41=""),"0",IF(LOOKUP($A41,Discrete_NFET[PARTNUMBER],Discrete_NFET[RDSON8])="(NULL)","0","1"))</f>
        <v>0</v>
      </c>
      <c r="G41" s="43" t="str">
        <f>IF(OR($A41=0,$A41=""),"0",IF(LOOKUP($A41,Discrete_NFET[PARTNUMBER],Discrete_NFET[RDSON10])="(NULL)","0","1"))</f>
        <v>1</v>
      </c>
      <c r="H41" s="36" t="b">
        <f t="shared" si="12"/>
        <v>0</v>
      </c>
      <c r="I41" s="39" t="b">
        <f t="shared" si="13"/>
        <v>0</v>
      </c>
      <c r="J41" s="41" t="b">
        <f t="shared" si="14"/>
        <v>1</v>
      </c>
      <c r="K41" s="46" t="b">
        <f t="shared" si="15"/>
        <v>0</v>
      </c>
      <c r="L41" s="42" t="b">
        <f t="shared" si="16"/>
        <v>0</v>
      </c>
      <c r="M41" s="44" t="b">
        <f t="shared" si="17"/>
        <v>1</v>
      </c>
      <c r="N41" s="47" t="b">
        <f t="shared" si="18"/>
        <v>1</v>
      </c>
      <c r="O41" s="36" t="b">
        <f t="shared" si="19"/>
        <v>0</v>
      </c>
      <c r="P41" s="39" t="b">
        <f t="shared" si="20"/>
        <v>0</v>
      </c>
      <c r="Q41" s="41" t="b">
        <f t="shared" si="21"/>
        <v>1</v>
      </c>
      <c r="R41" s="46" t="b">
        <f t="shared" si="22"/>
        <v>0</v>
      </c>
      <c r="S41" s="42" t="b">
        <f t="shared" si="23"/>
        <v>0</v>
      </c>
      <c r="T41" s="44" t="b">
        <f t="shared" si="24"/>
        <v>1</v>
      </c>
      <c r="U41" s="148">
        <f>IF(T41,LOOKUP(A41,Discrete_NFET[PARTNUMBER],Discrete_NFET[RDSON10])*1000,IF(S41,LOOKUP(A41,Discrete_NFET[PARTNUMBER],Discrete_NFET[RDSON8])*1000,IF(R41,LOOKUP(A41,Discrete_NFET[PARTNUMBER],Discrete_NFET[RDSON6])*1000,IF(Q41,LOOKUP(A41,Discrete_NFET[PARTNUMBER],Discrete_NFET[RDSON45])*1000,IF(P41,LOOKUP(A41,Discrete_NFET[PARTNUMBER],Discrete_NFET[RDSON3])*1000,IF(O41,LOOKUP(A41,Discrete_NFET[PARTNUMBER],Discrete_NFET[RDSON25])*1000,""))))))</f>
        <v>6.2</v>
      </c>
      <c r="V41" s="48">
        <f>IF(AND(A41&lt;&gt;0,A41&lt;&gt;""),U41*(1+(Tj-25)*(LOOKUP(A41,Discrete_NFET[PARTNUMBER],Discrete_NFET[RDSDELTA])/((LOOKUP(A41,Discrete_NFET[PARTNUMBER],Discrete_NFET[TJMAX])-25)))),"")</f>
        <v>7.0679999999999996</v>
      </c>
      <c r="W41" s="35">
        <f>IF(AND($A41&lt;&gt;0,$A41&lt;&gt;""),LOOKUP($A41,Discrete_NFET[PARTNUMBER],Discrete_NFET[QGS]),"")</f>
        <v>3.3</v>
      </c>
      <c r="X41" s="35">
        <f>IF(AND($A41&lt;&gt;0,$A41&lt;&gt;""),LOOKUP($A41,Discrete_NFET[PARTNUMBER],Discrete_NFET[QGD]),"")</f>
        <v>1.7</v>
      </c>
      <c r="Y41" s="35">
        <f>IF(AND($A41&lt;&gt;0,$A41&lt;&gt;""),LOOKUP($A41,Discrete_NFET[PARTNUMBER],Discrete_NFET[QGTH]),"")</f>
        <v>1.7</v>
      </c>
      <c r="Z41" s="35">
        <f t="shared" si="25"/>
        <v>3.3</v>
      </c>
      <c r="AA41" s="35">
        <f>IF(AND($A41&lt;&gt;0,$A41&lt;&gt;""),LOOKUP($A41,Discrete_NFET[PARTNUMBER],Discrete_NFET[QOSSTYP]),"")</f>
        <v>4.2</v>
      </c>
      <c r="AB41" s="35">
        <f>IF(AND($A41&lt;&gt;0,$A41&lt;&gt;""),LOOKUP($A41,Discrete_NFET[PARTNUMBER],Discrete_NFET[QRR]),"")</f>
        <v>4.4000000000000004</v>
      </c>
      <c r="AC41" s="35">
        <f>IF(AND(A41&lt;&gt;0,A41&lt;&gt;""),LOOKUP(A41,Discrete_NFET[PARTNUMBER],Discrete_NFET[VF_TYP]),"")</f>
        <v>0.8</v>
      </c>
      <c r="AD41" s="127">
        <f>IF(AND($A41&lt;&gt;0,$A41&lt;&gt;"",OR(RIGHT(Logic!B41,2)="C)",LEFT(Logic!B41,4)="CSD1")),(1+(1-DUTY))*IM_RMS_120^2*V41*m/3/Num_FETS3,"")</f>
        <v>0.29742324561403505</v>
      </c>
      <c r="AE41" s="127">
        <f>IF(AND($A41&lt;&gt;0,$A41&lt;&gt;"",OR(RIGHT(Logic!B41,2)="C)",LEFT(Logic!B41,4)="CSD1")),Num_FETS3*0.5*IM_RMS_120*VDC_AVG*Z41*n*MOT_ELEC_FREQ/GDR_SRC,"")</f>
        <v>1.0642414860681115E-5</v>
      </c>
      <c r="AF41" s="127">
        <f>IF(AND($A41&lt;&gt;0,$A41&lt;&gt;"",OR(RIGHT(Logic!B41,2)="C)",LEFT(Logic!B41,4)="CSD1")),Num_FETS3*0.5*IM_RMS_120*VDC_AVG*Z41*n*MOT_ELEC_FREQ/GDR_SINK,"")</f>
        <v>7.2368421052631584E-6</v>
      </c>
      <c r="AG41" s="127">
        <f>IF(AND($A41&lt;&gt;0,$A41&lt;&gt;"",OR(RIGHT(Logic!B41,2)="T)",LEFT(Logic!B41,4)="CSD1")),DUTY*IM_RMS_120^2*V41*m/3/Num_FETS3,"")</f>
        <v>0.26909722222222215</v>
      </c>
      <c r="AH41" s="127">
        <f>IF(AND($A41&lt;&gt;0,$A41&lt;&gt;"",OR(RIGHT(Logic!B41,2)="T)",LEFT(Logic!B41,4)="CSD1")),Num_FETS3*0.5*IM_RMS_120*VDC_AVG*Z41*n*FSW*k/GDR_SRC/3,"")</f>
        <v>2.1284829721362232E-3</v>
      </c>
      <c r="AI41" s="127">
        <f>IF(AND($A41&lt;&gt;0,$A41&lt;&gt;"",OR(RIGHT(Logic!B41,2)="T)",LEFT(Logic!B41,4)="CSD1")),Num_FETS3*0.5*IM_RMS_120*VDC_AVG*Z41*n*FSW*k/GDR_SINK/3,"")</f>
        <v>1.4473684210526319E-3</v>
      </c>
      <c r="AJ41" s="127">
        <f t="shared" si="28"/>
        <v>5.0400000000000011E-4</v>
      </c>
      <c r="AK41" s="127">
        <f t="shared" si="29"/>
        <v>1.2414567897146714E-2</v>
      </c>
      <c r="AL41" s="127">
        <f t="shared" si="30"/>
        <v>1.05776E-3</v>
      </c>
      <c r="AM41" s="127">
        <f t="shared" si="26"/>
        <v>0.37243703691440144</v>
      </c>
      <c r="AN41" s="127">
        <f>IF(AND($A41&lt;&gt;0,$A41&lt;&gt;"",OR(RIGHT(Logic!B41,2)="C)",LEFT(Logic!B41,4)="CSD1")),SUM(AD41:AF41)+(AJ41/3)+AK41+AL41/6+AM41/6,AN42)</f>
        <v>0.37227282558721464</v>
      </c>
      <c r="AO41" s="127">
        <f>IF(AND($A41&lt;&gt;0,$A41&lt;&gt;"",OR(RIGHT(Logic!B41,2)="T)",LEFT(Logic!B41,4)="CSD1")),SUM(AG41:AI41)+(AJ41/3)+AL41/6+AM41/6,AO40)</f>
        <v>0.33509020643447796</v>
      </c>
      <c r="AP41" s="48">
        <f t="shared" si="27"/>
        <v>0.71</v>
      </c>
      <c r="AQ41" s="35" t="str">
        <f>IF(AND(A41&lt;&gt;0,A41&lt;&gt;""),LOOKUP(A41,Discrete_NFET[PARTNUMBER],Discrete_NFET[TI_EQ_PACKAGE]),"")</f>
        <v>SON3x3</v>
      </c>
      <c r="AR41" s="49">
        <f>IF(AND(A41&lt;&gt;0,A41&lt;&gt;""),LOOKUP(A41,Discrete_NFET[PARTNUMBER],Discrete_NFET[1KPRICE]),"")</f>
        <v>0.17</v>
      </c>
      <c r="AS41" s="35" t="str">
        <f>IF(AND($A41&lt;&gt;0,$A41&lt;&gt;""),CONCATENATE(TEXT(AP41,"0.00"),"W, ",IF('User Input'!H$11="Single Discrete",A41,IF('User Input'!H$11="Dual/Power Block",LEFT(A41,FIND(")",A41)-7),A41)),", ",AQ41,", ",TEXT(AR41,"$0.00")),"Invalid Part")</f>
        <v>0.71W, CSD17578Q3A, SON3x3, $0.17</v>
      </c>
      <c r="AT41" t="s">
        <v>852</v>
      </c>
      <c r="AW41"/>
    </row>
    <row r="42" spans="1:49" ht="15" customHeight="1" x14ac:dyDescent="0.25">
      <c r="A42" s="35" t="str">
        <f>IF(OR(AND(FET_config3="Dual/Power Block",LEFT(Logic!B42,4)="CSD8"),AND(FET_config3="Single Discrete",LEFT(Logic!B42,4)="CSD1")),Logic!B42,"")</f>
        <v>CSD17578Q5A</v>
      </c>
      <c r="B42" s="37" t="str">
        <f>IF(OR($A42=0,$A42=""),"0",IF(LOOKUP($A42,Discrete_NFET[PARTNUMBER],Discrete_NFET[RDSON25])="(NULL)","0","1"))</f>
        <v>0</v>
      </c>
      <c r="C42" s="38" t="str">
        <f>IF(OR($A42=0,$A42=""),"0",IF(LOOKUP($A42,Discrete_NFET[PARTNUMBER],Discrete_NFET[RDSON3])="(NULL)","0","1"))</f>
        <v>0</v>
      </c>
      <c r="D42" s="40" t="str">
        <f>IF(OR($A42=0,$A42=""),"0",IF(LOOKUP($A42,Discrete_NFET[PARTNUMBER],Discrete_NFET[RDSON45])="(NULL)","0","1"))</f>
        <v>1</v>
      </c>
      <c r="E42" s="45" t="str">
        <f>IF(OR($A42=0,$A42=""),"0",IF(LOOKUP($A42,Discrete_NFET[PARTNUMBER],Discrete_NFET[RDSON6])="(NULL)","0","1"))</f>
        <v>0</v>
      </c>
      <c r="F42" s="34" t="str">
        <f>IF(OR($A42=0,$A42=""),"0",IF(LOOKUP($A42,Discrete_NFET[PARTNUMBER],Discrete_NFET[RDSON8])="(NULL)","0","1"))</f>
        <v>0</v>
      </c>
      <c r="G42" s="43" t="str">
        <f>IF(OR($A42=0,$A42=""),"0",IF(LOOKUP($A42,Discrete_NFET[PARTNUMBER],Discrete_NFET[RDSON10])="(NULL)","0","1"))</f>
        <v>1</v>
      </c>
      <c r="H42" s="36" t="b">
        <f t="shared" si="12"/>
        <v>0</v>
      </c>
      <c r="I42" s="39" t="b">
        <f t="shared" si="13"/>
        <v>0</v>
      </c>
      <c r="J42" s="41" t="b">
        <f t="shared" si="14"/>
        <v>1</v>
      </c>
      <c r="K42" s="46" t="b">
        <f t="shared" si="15"/>
        <v>0</v>
      </c>
      <c r="L42" s="42" t="b">
        <f t="shared" si="16"/>
        <v>0</v>
      </c>
      <c r="M42" s="44" t="b">
        <f t="shared" si="17"/>
        <v>1</v>
      </c>
      <c r="N42" s="47" t="b">
        <f t="shared" si="18"/>
        <v>1</v>
      </c>
      <c r="O42" s="36" t="b">
        <f t="shared" si="19"/>
        <v>0</v>
      </c>
      <c r="P42" s="39" t="b">
        <f t="shared" si="20"/>
        <v>0</v>
      </c>
      <c r="Q42" s="41" t="b">
        <f t="shared" si="21"/>
        <v>1</v>
      </c>
      <c r="R42" s="46" t="b">
        <f t="shared" si="22"/>
        <v>0</v>
      </c>
      <c r="S42" s="42" t="b">
        <f t="shared" si="23"/>
        <v>0</v>
      </c>
      <c r="T42" s="44" t="b">
        <f t="shared" si="24"/>
        <v>1</v>
      </c>
      <c r="U42" s="148">
        <f>IF(T42,LOOKUP(A42,Discrete_NFET[PARTNUMBER],Discrete_NFET[RDSON10])*1000,IF(S42,LOOKUP(A42,Discrete_NFET[PARTNUMBER],Discrete_NFET[RDSON8])*1000,IF(R42,LOOKUP(A42,Discrete_NFET[PARTNUMBER],Discrete_NFET[RDSON6])*1000,IF(Q42,LOOKUP(A42,Discrete_NFET[PARTNUMBER],Discrete_NFET[RDSON45])*1000,IF(P42,LOOKUP(A42,Discrete_NFET[PARTNUMBER],Discrete_NFET[RDSON3])*1000,IF(O42,LOOKUP(A42,Discrete_NFET[PARTNUMBER],Discrete_NFET[RDSON25])*1000,""))))))</f>
        <v>6.8999999999999995</v>
      </c>
      <c r="V42" s="48">
        <f>IF(AND(A42&lt;&gt;0,A42&lt;&gt;""),U42*(1+(Tj-25)*(LOOKUP(A42,Discrete_NFET[PARTNUMBER],Discrete_NFET[RDSDELTA])/((LOOKUP(A42,Discrete_NFET[PARTNUMBER],Discrete_NFET[TJMAX])-25)))),"")</f>
        <v>7.9349999999999987</v>
      </c>
      <c r="W42" s="35">
        <f>IF(AND($A42&lt;&gt;0,$A42&lt;&gt;""),LOOKUP($A42,Discrete_NFET[PARTNUMBER],Discrete_NFET[QGS]),"")</f>
        <v>3.1</v>
      </c>
      <c r="X42" s="35">
        <f>IF(AND($A42&lt;&gt;0,$A42&lt;&gt;""),LOOKUP($A42,Discrete_NFET[PARTNUMBER],Discrete_NFET[QGD]),"")</f>
        <v>2</v>
      </c>
      <c r="Y42" s="35">
        <f>IF(AND($A42&lt;&gt;0,$A42&lt;&gt;""),LOOKUP($A42,Discrete_NFET[PARTNUMBER],Discrete_NFET[QGTH]),"")</f>
        <v>1.7</v>
      </c>
      <c r="Z42" s="35">
        <f t="shared" si="25"/>
        <v>3.3999999999999995</v>
      </c>
      <c r="AA42" s="35">
        <f>IF(AND($A42&lt;&gt;0,$A42&lt;&gt;""),LOOKUP($A42,Discrete_NFET[PARTNUMBER],Discrete_NFET[QOSSTYP]),"")</f>
        <v>4.2</v>
      </c>
      <c r="AB42" s="35">
        <f>IF(AND($A42&lt;&gt;0,$A42&lt;&gt;""),LOOKUP($A42,Discrete_NFET[PARTNUMBER],Discrete_NFET[QRR]),"")</f>
        <v>6.5</v>
      </c>
      <c r="AC42" s="35">
        <f>IF(AND(A42&lt;&gt;0,A42&lt;&gt;""),LOOKUP(A42,Discrete_NFET[PARTNUMBER],Discrete_NFET[VF_TYP]),"")</f>
        <v>0.8</v>
      </c>
      <c r="AD42" s="127">
        <f>IF(AND($A42&lt;&gt;0,$A42&lt;&gt;"",OR(RIGHT(Logic!B42,2)="C)",LEFT(Logic!B42,4)="CSD1")),(1+(1-DUTY))*IM_RMS_120^2*V42*m/3/Num_FETS3,"")</f>
        <v>0.33390682710064623</v>
      </c>
      <c r="AE42" s="127">
        <f>IF(AND($A42&lt;&gt;0,$A42&lt;&gt;"",OR(RIGHT(Logic!B42,2)="C)",LEFT(Logic!B42,4)="CSD1")),Num_FETS3*0.5*IM_RMS_120*VDC_AVG*Z42*n*MOT_ELEC_FREQ/GDR_SRC,"")</f>
        <v>1.0964912280701752E-5</v>
      </c>
      <c r="AF42" s="127">
        <f>IF(AND($A42&lt;&gt;0,$A42&lt;&gt;"",OR(RIGHT(Logic!B42,2)="C)",LEFT(Logic!B42,4)="CSD1")),Num_FETS3*0.5*IM_RMS_120*VDC_AVG*Z42*n*MOT_ELEC_FREQ/GDR_SINK,"")</f>
        <v>7.4561403508771912E-6</v>
      </c>
      <c r="AG42" s="127">
        <f>IF(AND($A42&lt;&gt;0,$A42&lt;&gt;"",OR(RIGHT(Logic!B42,2)="T)",LEFT(Logic!B42,4)="CSD1")),DUTY*IM_RMS_120^2*V42*m/3/Num_FETS3,"")</f>
        <v>0.30210617690058467</v>
      </c>
      <c r="AH42" s="127">
        <f>IF(AND($A42&lt;&gt;0,$A42&lt;&gt;"",OR(RIGHT(Logic!B42,2)="T)",LEFT(Logic!B42,4)="CSD1")),Num_FETS3*0.5*IM_RMS_120*VDC_AVG*Z42*n*FSW*k/GDR_SRC/3,"")</f>
        <v>2.1929824561403503E-3</v>
      </c>
      <c r="AI42" s="127">
        <f>IF(AND($A42&lt;&gt;0,$A42&lt;&gt;"",OR(RIGHT(Logic!B42,2)="T)",LEFT(Logic!B42,4)="CSD1")),Num_FETS3*0.5*IM_RMS_120*VDC_AVG*Z42*n*FSW*k/GDR_SINK/3,"")</f>
        <v>1.4912280701754382E-3</v>
      </c>
      <c r="AJ42" s="127">
        <f t="shared" si="28"/>
        <v>5.0400000000000011E-4</v>
      </c>
      <c r="AK42" s="127">
        <f t="shared" si="29"/>
        <v>1.2414567897146714E-2</v>
      </c>
      <c r="AL42" s="127">
        <f t="shared" si="30"/>
        <v>1.5626000000000001E-3</v>
      </c>
      <c r="AM42" s="127">
        <f t="shared" si="26"/>
        <v>0.37243703691440144</v>
      </c>
      <c r="AN42" s="127">
        <f>IF(AND($A42&lt;&gt;0,$A42&lt;&gt;"",OR(RIGHT(Logic!B42,2)="C)",LEFT(Logic!B42,4)="CSD1")),SUM(AD42:AF42)+(AJ42/3)+AK42+AL42/6+AM42/6,AN43)</f>
        <v>0.40884108886949139</v>
      </c>
      <c r="AO42" s="127">
        <f>IF(AND($A42&lt;&gt;0,$A42&lt;&gt;"",OR(RIGHT(Logic!B42,2)="T)",LEFT(Logic!B42,4)="CSD1")),SUM(AG42:AI42)+(AJ42/3)+AL42/6+AM42/6,AO41)</f>
        <v>0.36829166024596732</v>
      </c>
      <c r="AP42" s="48">
        <f t="shared" si="27"/>
        <v>0.78</v>
      </c>
      <c r="AQ42" s="35" t="str">
        <f>IF(AND(A42&lt;&gt;0,A42&lt;&gt;""),LOOKUP(A42,Discrete_NFET[PARTNUMBER],Discrete_NFET[TI_EQ_PACKAGE]),"")</f>
        <v>SON5x6</v>
      </c>
      <c r="AR42" s="49">
        <f>IF(AND(A42&lt;&gt;0,A42&lt;&gt;""),LOOKUP(A42,Discrete_NFET[PARTNUMBER],Discrete_NFET[1KPRICE]),"")</f>
        <v>0.18</v>
      </c>
      <c r="AS42" s="35" t="str">
        <f>IF(AND($A42&lt;&gt;0,$A42&lt;&gt;""),CONCATENATE(TEXT(AP42,"0.00"),"W, ",IF('User Input'!H$11="Single Discrete",A42,IF('User Input'!H$11="Dual/Power Block",LEFT(A42,FIND(")",A42)-7),A42)),", ",AQ42,", ",TEXT(AR42,"$0.00")),"Invalid Part")</f>
        <v>0.78W, CSD17578Q5A, SON5x6, $0.18</v>
      </c>
      <c r="AT42" t="s">
        <v>856</v>
      </c>
      <c r="AW42"/>
    </row>
    <row r="43" spans="1:49" ht="15" customHeight="1" x14ac:dyDescent="0.25">
      <c r="A43" s="35" t="str">
        <f>IF(OR(AND(FET_config3="Dual/Power Block",LEFT(Logic!B43,4)="CSD8"),AND(FET_config3="Single Discrete",LEFT(Logic!B43,4)="CSD1")),Logic!B43,"")</f>
        <v>CSD17579Q3A</v>
      </c>
      <c r="B43" s="37" t="str">
        <f>IF(OR($A43=0,$A43=""),"0",IF(LOOKUP($A43,Discrete_NFET[PARTNUMBER],Discrete_NFET[RDSON25])="(NULL)","0","1"))</f>
        <v>0</v>
      </c>
      <c r="C43" s="38" t="str">
        <f>IF(OR($A43=0,$A43=""),"0",IF(LOOKUP($A43,Discrete_NFET[PARTNUMBER],Discrete_NFET[RDSON3])="(NULL)","0","1"))</f>
        <v>0</v>
      </c>
      <c r="D43" s="40" t="str">
        <f>IF(OR($A43=0,$A43=""),"0",IF(LOOKUP($A43,Discrete_NFET[PARTNUMBER],Discrete_NFET[RDSON45])="(NULL)","0","1"))</f>
        <v>1</v>
      </c>
      <c r="E43" s="45" t="str">
        <f>IF(OR($A43=0,$A43=""),"0",IF(LOOKUP($A43,Discrete_NFET[PARTNUMBER],Discrete_NFET[RDSON6])="(NULL)","0","1"))</f>
        <v>0</v>
      </c>
      <c r="F43" s="34" t="str">
        <f>IF(OR($A43=0,$A43=""),"0",IF(LOOKUP($A43,Discrete_NFET[PARTNUMBER],Discrete_NFET[RDSON8])="(NULL)","0","1"))</f>
        <v>0</v>
      </c>
      <c r="G43" s="43" t="str">
        <f>IF(OR($A43=0,$A43=""),"0",IF(LOOKUP($A43,Discrete_NFET[PARTNUMBER],Discrete_NFET[RDSON10])="(NULL)","0","1"))</f>
        <v>1</v>
      </c>
      <c r="H43" s="36" t="b">
        <f t="shared" si="12"/>
        <v>0</v>
      </c>
      <c r="I43" s="39" t="b">
        <f t="shared" si="13"/>
        <v>0</v>
      </c>
      <c r="J43" s="41" t="b">
        <f t="shared" si="14"/>
        <v>1</v>
      </c>
      <c r="K43" s="46" t="b">
        <f t="shared" si="15"/>
        <v>0</v>
      </c>
      <c r="L43" s="42" t="b">
        <f t="shared" si="16"/>
        <v>0</v>
      </c>
      <c r="M43" s="44" t="b">
        <f t="shared" si="17"/>
        <v>1</v>
      </c>
      <c r="N43" s="47" t="b">
        <f t="shared" si="18"/>
        <v>1</v>
      </c>
      <c r="O43" s="36" t="b">
        <f t="shared" si="19"/>
        <v>0</v>
      </c>
      <c r="P43" s="39" t="b">
        <f t="shared" si="20"/>
        <v>0</v>
      </c>
      <c r="Q43" s="41" t="b">
        <f t="shared" si="21"/>
        <v>1</v>
      </c>
      <c r="R43" s="46" t="b">
        <f t="shared" si="22"/>
        <v>0</v>
      </c>
      <c r="S43" s="42" t="b">
        <f t="shared" si="23"/>
        <v>0</v>
      </c>
      <c r="T43" s="44" t="b">
        <f t="shared" si="24"/>
        <v>1</v>
      </c>
      <c r="U43" s="148">
        <f>IF(T43,LOOKUP(A43,Discrete_NFET[PARTNUMBER],Discrete_NFET[RDSON10])*1000,IF(S43,LOOKUP(A43,Discrete_NFET[PARTNUMBER],Discrete_NFET[RDSON8])*1000,IF(R43,LOOKUP(A43,Discrete_NFET[PARTNUMBER],Discrete_NFET[RDSON6])*1000,IF(Q43,LOOKUP(A43,Discrete_NFET[PARTNUMBER],Discrete_NFET[RDSON45])*1000,IF(P43,LOOKUP(A43,Discrete_NFET[PARTNUMBER],Discrete_NFET[RDSON3])*1000,IF(O43,LOOKUP(A43,Discrete_NFET[PARTNUMBER],Discrete_NFET[RDSON25])*1000,""))))))</f>
        <v>8.6999999999999993</v>
      </c>
      <c r="V43" s="48">
        <f>IF(AND(A43&lt;&gt;0,A43&lt;&gt;""),U43*(1+(Tj-25)*(LOOKUP(A43,Discrete_NFET[PARTNUMBER],Discrete_NFET[RDSDELTA])/((LOOKUP(A43,Discrete_NFET[PARTNUMBER],Discrete_NFET[TJMAX])-25)))),"")</f>
        <v>9.9527999999999981</v>
      </c>
      <c r="W43" s="35">
        <f>IF(AND($A43&lt;&gt;0,$A43&lt;&gt;""),LOOKUP($A43,Discrete_NFET[PARTNUMBER],Discrete_NFET[QGS]),"")</f>
        <v>2.2000000000000002</v>
      </c>
      <c r="X43" s="35">
        <f>IF(AND($A43&lt;&gt;0,$A43&lt;&gt;""),LOOKUP($A43,Discrete_NFET[PARTNUMBER],Discrete_NFET[QGD]),"")</f>
        <v>1.2</v>
      </c>
      <c r="Y43" s="35">
        <f>IF(AND($A43&lt;&gt;0,$A43&lt;&gt;""),LOOKUP($A43,Discrete_NFET[PARTNUMBER],Discrete_NFET[QGTH]),"")</f>
        <v>1.1000000000000001</v>
      </c>
      <c r="Z43" s="35">
        <f t="shared" si="25"/>
        <v>2.3000000000000003</v>
      </c>
      <c r="AA43" s="35">
        <f>IF(AND($A43&lt;&gt;0,$A43&lt;&gt;""),LOOKUP($A43,Discrete_NFET[PARTNUMBER],Discrete_NFET[QOSSTYP]),"")</f>
        <v>3</v>
      </c>
      <c r="AB43" s="35">
        <f>IF(AND($A43&lt;&gt;0,$A43&lt;&gt;""),LOOKUP($A43,Discrete_NFET[PARTNUMBER],Discrete_NFET[QRR]),"")</f>
        <v>3.4</v>
      </c>
      <c r="AC43" s="35">
        <f>IF(AND(A43&lt;&gt;0,A43&lt;&gt;""),LOOKUP(A43,Discrete_NFET[PARTNUMBER],Discrete_NFET[VF_TYP]),"")</f>
        <v>0.8</v>
      </c>
      <c r="AD43" s="127">
        <f>IF(AND($A43&lt;&gt;0,$A43&lt;&gt;"",OR(RIGHT(Logic!B43,2)="C)",LEFT(Logic!B43,4)="CSD1")),(1+(1-DUTY))*IM_RMS_120^2*V43*m/3/Num_FETS3,"")</f>
        <v>0.41881636657433036</v>
      </c>
      <c r="AE43" s="127">
        <f>IF(AND($A43&lt;&gt;0,$A43&lt;&gt;"",OR(RIGHT(Logic!B43,2)="C)",LEFT(Logic!B43,4)="CSD1")),Num_FETS3*0.5*IM_RMS_120*VDC_AVG*Z43*n*MOT_ELEC_FREQ/GDR_SRC,"")</f>
        <v>7.4174406604747163E-6</v>
      </c>
      <c r="AF43" s="127">
        <f>IF(AND($A43&lt;&gt;0,$A43&lt;&gt;"",OR(RIGHT(Logic!B43,2)="C)",LEFT(Logic!B43,4)="CSD1")),Num_FETS3*0.5*IM_RMS_120*VDC_AVG*Z43*n*MOT_ELEC_FREQ/GDR_SINK,"")</f>
        <v>5.0438596491228077E-6</v>
      </c>
      <c r="AG43" s="127">
        <f>IF(AND($A43&lt;&gt;0,$A43&lt;&gt;"",OR(RIGHT(Logic!B43,2)="T)",LEFT(Logic!B43,4)="CSD1")),DUTY*IM_RMS_120^2*V43*m/3/Num_FETS3,"")</f>
        <v>0.3789290935672513</v>
      </c>
      <c r="AH43" s="127">
        <f>IF(AND($A43&lt;&gt;0,$A43&lt;&gt;"",OR(RIGHT(Logic!B43,2)="T)",LEFT(Logic!B43,4)="CSD1")),Num_FETS3*0.5*IM_RMS_120*VDC_AVG*Z43*n*FSW*k/GDR_SRC/3,"")</f>
        <v>1.4834881320949433E-3</v>
      </c>
      <c r="AI43" s="127">
        <f>IF(AND($A43&lt;&gt;0,$A43&lt;&gt;"",OR(RIGHT(Logic!B43,2)="T)",LEFT(Logic!B43,4)="CSD1")),Num_FETS3*0.5*IM_RMS_120*VDC_AVG*Z43*n*FSW*k/GDR_SINK/3,"")</f>
        <v>1.0087719298245616E-3</v>
      </c>
      <c r="AJ43" s="127">
        <f t="shared" si="28"/>
        <v>3.6000000000000002E-4</v>
      </c>
      <c r="AK43" s="127">
        <f t="shared" si="29"/>
        <v>1.2414567897146714E-2</v>
      </c>
      <c r="AL43" s="127">
        <f t="shared" si="30"/>
        <v>8.1735999999999994E-4</v>
      </c>
      <c r="AM43" s="127">
        <f t="shared" si="26"/>
        <v>0.37243703691440144</v>
      </c>
      <c r="AN43" s="127">
        <f>IF(AND($A43&lt;&gt;0,$A43&lt;&gt;"",OR(RIGHT(Logic!B43,2)="C)",LEFT(Logic!B43,4)="CSD1")),SUM(AD43:AF43)+(AJ43/3)+AK43+AL43/6+AM43/6,AN44)</f>
        <v>0.49357246192418691</v>
      </c>
      <c r="AO43" s="127">
        <f>IF(AND($A43&lt;&gt;0,$A43&lt;&gt;"",OR(RIGHT(Logic!B43,2)="T)",LEFT(Logic!B43,4)="CSD1")),SUM(AG43:AI43)+(AJ43/3)+AL43/6+AM43/6,AO42)</f>
        <v>0.44375041978157104</v>
      </c>
      <c r="AP43" s="48">
        <f t="shared" si="27"/>
        <v>0.94</v>
      </c>
      <c r="AQ43" s="35" t="str">
        <f>IF(AND(A43&lt;&gt;0,A43&lt;&gt;""),LOOKUP(A43,Discrete_NFET[PARTNUMBER],Discrete_NFET[TI_EQ_PACKAGE]),"")</f>
        <v>SON3x3</v>
      </c>
      <c r="AR43" s="49">
        <f>IF(AND(A43&lt;&gt;0,A43&lt;&gt;""),LOOKUP(A43,Discrete_NFET[PARTNUMBER],Discrete_NFET[1KPRICE]),"")</f>
        <v>0.15</v>
      </c>
      <c r="AS43" s="35" t="str">
        <f>IF(AND($A43&lt;&gt;0,$A43&lt;&gt;""),CONCATENATE(TEXT(AP43,"0.00"),"W, ",IF('User Input'!H$11="Single Discrete",A43,IF('User Input'!H$11="Dual/Power Block",LEFT(A43,FIND(")",A43)-7),A43)),", ",AQ43,", ",TEXT(AR43,"$0.00")),"Invalid Part")</f>
        <v>0.94W, CSD17579Q3A, SON3x3, $0.15</v>
      </c>
      <c r="AT43" t="s">
        <v>829</v>
      </c>
      <c r="AW43"/>
    </row>
    <row r="44" spans="1:49" ht="15" customHeight="1" x14ac:dyDescent="0.25">
      <c r="A44" s="35" t="str">
        <f>IF(OR(AND(FET_config3="Dual/Power Block",LEFT(Logic!B44,4)="CSD8"),AND(FET_config3="Single Discrete",LEFT(Logic!B44,4)="CSD1")),Logic!B44,"")</f>
        <v>CSD17579Q5A</v>
      </c>
      <c r="B44" s="37" t="str">
        <f>IF(OR($A44=0,$A44=""),"0",IF(LOOKUP($A44,Discrete_NFET[PARTNUMBER],Discrete_NFET[RDSON25])="(NULL)","0","1"))</f>
        <v>0</v>
      </c>
      <c r="C44" s="38" t="str">
        <f>IF(OR($A44=0,$A44=""),"0",IF(LOOKUP($A44,Discrete_NFET[PARTNUMBER],Discrete_NFET[RDSON3])="(NULL)","0","1"))</f>
        <v>0</v>
      </c>
      <c r="D44" s="40" t="str">
        <f>IF(OR($A44=0,$A44=""),"0",IF(LOOKUP($A44,Discrete_NFET[PARTNUMBER],Discrete_NFET[RDSON45])="(NULL)","0","1"))</f>
        <v>1</v>
      </c>
      <c r="E44" s="45" t="str">
        <f>IF(OR($A44=0,$A44=""),"0",IF(LOOKUP($A44,Discrete_NFET[PARTNUMBER],Discrete_NFET[RDSON6])="(NULL)","0","1"))</f>
        <v>0</v>
      </c>
      <c r="F44" s="34" t="str">
        <f>IF(OR($A44=0,$A44=""),"0",IF(LOOKUP($A44,Discrete_NFET[PARTNUMBER],Discrete_NFET[RDSON8])="(NULL)","0","1"))</f>
        <v>0</v>
      </c>
      <c r="G44" s="43" t="str">
        <f>IF(OR($A44=0,$A44=""),"0",IF(LOOKUP($A44,Discrete_NFET[PARTNUMBER],Discrete_NFET[RDSON10])="(NULL)","0","1"))</f>
        <v>1</v>
      </c>
      <c r="H44" s="36" t="b">
        <f t="shared" si="12"/>
        <v>0</v>
      </c>
      <c r="I44" s="39" t="b">
        <f t="shared" si="13"/>
        <v>0</v>
      </c>
      <c r="J44" s="41" t="b">
        <f t="shared" si="14"/>
        <v>1</v>
      </c>
      <c r="K44" s="46" t="b">
        <f t="shared" si="15"/>
        <v>0</v>
      </c>
      <c r="L44" s="42" t="b">
        <f t="shared" si="16"/>
        <v>0</v>
      </c>
      <c r="M44" s="44" t="b">
        <f t="shared" si="17"/>
        <v>1</v>
      </c>
      <c r="N44" s="47" t="b">
        <f t="shared" si="18"/>
        <v>1</v>
      </c>
      <c r="O44" s="36" t="b">
        <f t="shared" si="19"/>
        <v>0</v>
      </c>
      <c r="P44" s="39" t="b">
        <f t="shared" si="20"/>
        <v>0</v>
      </c>
      <c r="Q44" s="41" t="b">
        <f t="shared" si="21"/>
        <v>1</v>
      </c>
      <c r="R44" s="46" t="b">
        <f t="shared" si="22"/>
        <v>0</v>
      </c>
      <c r="S44" s="42" t="b">
        <f t="shared" si="23"/>
        <v>0</v>
      </c>
      <c r="T44" s="44" t="b">
        <f t="shared" si="24"/>
        <v>1</v>
      </c>
      <c r="U44" s="148">
        <f>IF(T44,LOOKUP(A44,Discrete_NFET[PARTNUMBER],Discrete_NFET[RDSON10])*1000,IF(S44,LOOKUP(A44,Discrete_NFET[PARTNUMBER],Discrete_NFET[RDSON8])*1000,IF(R44,LOOKUP(A44,Discrete_NFET[PARTNUMBER],Discrete_NFET[RDSON6])*1000,IF(Q44,LOOKUP(A44,Discrete_NFET[PARTNUMBER],Discrete_NFET[RDSON45])*1000,IF(P44,LOOKUP(A44,Discrete_NFET[PARTNUMBER],Discrete_NFET[RDSON3])*1000,IF(O44,LOOKUP(A44,Discrete_NFET[PARTNUMBER],Discrete_NFET[RDSON25])*1000,""))))))</f>
        <v>9.7000000000000011</v>
      </c>
      <c r="V44" s="48">
        <f>IF(AND(A44&lt;&gt;0,A44&lt;&gt;""),U44*(1+(Tj-25)*(LOOKUP(A44,Discrete_NFET[PARTNUMBER],Discrete_NFET[RDSDELTA])/((LOOKUP(A44,Discrete_NFET[PARTNUMBER],Discrete_NFET[TJMAX])-25)))),"")</f>
        <v>11.155000000000001</v>
      </c>
      <c r="W44" s="35">
        <f>IF(AND($A44&lt;&gt;0,$A44&lt;&gt;""),LOOKUP($A44,Discrete_NFET[PARTNUMBER],Discrete_NFET[QGS]),"")</f>
        <v>2.2999999999999998</v>
      </c>
      <c r="X44" s="35">
        <f>IF(AND($A44&lt;&gt;0,$A44&lt;&gt;""),LOOKUP($A44,Discrete_NFET[PARTNUMBER],Discrete_NFET[QGD]),"")</f>
        <v>1.2</v>
      </c>
      <c r="Y44" s="35">
        <f>IF(AND($A44&lt;&gt;0,$A44&lt;&gt;""),LOOKUP($A44,Discrete_NFET[PARTNUMBER],Discrete_NFET[QGTH]),"")</f>
        <v>1.1000000000000001</v>
      </c>
      <c r="Z44" s="35">
        <f t="shared" si="25"/>
        <v>2.4</v>
      </c>
      <c r="AA44" s="35">
        <f>IF(AND($A44&lt;&gt;0,$A44&lt;&gt;""),LOOKUP($A44,Discrete_NFET[PARTNUMBER],Discrete_NFET[QOSSTYP]),"")</f>
        <v>2.9</v>
      </c>
      <c r="AB44" s="35">
        <f>IF(AND($A44&lt;&gt;0,$A44&lt;&gt;""),LOOKUP($A44,Discrete_NFET[PARTNUMBER],Discrete_NFET[QRR]),"")</f>
        <v>4.2</v>
      </c>
      <c r="AC44" s="35">
        <f>IF(AND(A44&lt;&gt;0,A44&lt;&gt;""),LOOKUP(A44,Discrete_NFET[PARTNUMBER],Discrete_NFET[VF_TYP]),"")</f>
        <v>0.8</v>
      </c>
      <c r="AD44" s="127">
        <f>IF(AND($A44&lt;&gt;0,$A44&lt;&gt;"",OR(RIGHT(Logic!B44,2)="C)",LEFT(Logic!B44,4)="CSD1")),(1+(1-DUTY))*IM_RMS_120^2*V44*m/3/Num_FETS3,"")</f>
        <v>0.46940524969221292</v>
      </c>
      <c r="AE44" s="127">
        <f>IF(AND($A44&lt;&gt;0,$A44&lt;&gt;"",OR(RIGHT(Logic!B44,2)="C)",LEFT(Logic!B44,4)="CSD1")),Num_FETS3*0.5*IM_RMS_120*VDC_AVG*Z44*n*MOT_ELEC_FREQ/GDR_SRC,"")</f>
        <v>7.7399380804953562E-6</v>
      </c>
      <c r="AF44" s="127">
        <f>IF(AND($A44&lt;&gt;0,$A44&lt;&gt;"",OR(RIGHT(Logic!B44,2)="C)",LEFT(Logic!B44,4)="CSD1")),Num_FETS3*0.5*IM_RMS_120*VDC_AVG*Z44*n*MOT_ELEC_FREQ/GDR_SINK,"")</f>
        <v>5.2631578947368422E-6</v>
      </c>
      <c r="AG44" s="127">
        <f>IF(AND($A44&lt;&gt;0,$A44&lt;&gt;"",OR(RIGHT(Logic!B44,2)="T)",LEFT(Logic!B44,4)="CSD1")),DUTY*IM_RMS_120^2*V44*m/3/Num_FETS3,"")</f>
        <v>0.4246999878167641</v>
      </c>
      <c r="AH44" s="127">
        <f>IF(AND($A44&lt;&gt;0,$A44&lt;&gt;"",OR(RIGHT(Logic!B44,2)="T)",LEFT(Logic!B44,4)="CSD1")),Num_FETS3*0.5*IM_RMS_120*VDC_AVG*Z44*n*FSW*k/GDR_SRC/3,"")</f>
        <v>1.5479876160990711E-3</v>
      </c>
      <c r="AI44" s="127">
        <f>IF(AND($A44&lt;&gt;0,$A44&lt;&gt;"",OR(RIGHT(Logic!B44,2)="T)",LEFT(Logic!B44,4)="CSD1")),Num_FETS3*0.5*IM_RMS_120*VDC_AVG*Z44*n*FSW*k/GDR_SINK/3,"")</f>
        <v>1.0526315789473684E-3</v>
      </c>
      <c r="AJ44" s="127">
        <f t="shared" si="28"/>
        <v>3.48E-4</v>
      </c>
      <c r="AK44" s="127">
        <f t="shared" si="29"/>
        <v>1.2414567897146714E-2</v>
      </c>
      <c r="AL44" s="127">
        <f t="shared" si="30"/>
        <v>1.00968E-3</v>
      </c>
      <c r="AM44" s="127">
        <f t="shared" si="26"/>
        <v>0.37243703691440144</v>
      </c>
      <c r="AN44" s="127">
        <f>IF(AND($A44&lt;&gt;0,$A44&lt;&gt;"",OR(RIGHT(Logic!B44,2)="C)",LEFT(Logic!B44,4)="CSD1")),SUM(AD44:AF44)+(AJ44/3)+AK44+AL44/6+AM44/6,AN45)</f>
        <v>0.54418994017106848</v>
      </c>
      <c r="AO44" s="127">
        <f>IF(AND($A44&lt;&gt;0,$A44&lt;&gt;"",OR(RIGHT(Logic!B44,2)="T)",LEFT(Logic!B44,4)="CSD1")),SUM(AG44:AI44)+(AJ44/3)+AL44/6+AM44/6,AO43)</f>
        <v>0.48965772649754413</v>
      </c>
      <c r="AP44" s="48">
        <f t="shared" si="27"/>
        <v>1.03</v>
      </c>
      <c r="AQ44" s="35" t="str">
        <f>IF(AND(A44&lt;&gt;0,A44&lt;&gt;""),LOOKUP(A44,Discrete_NFET[PARTNUMBER],Discrete_NFET[TI_EQ_PACKAGE]),"")</f>
        <v>SON5x6</v>
      </c>
      <c r="AR44" s="49">
        <f>IF(AND(A44&lt;&gt;0,A44&lt;&gt;""),LOOKUP(A44,Discrete_NFET[PARTNUMBER],Discrete_NFET[1KPRICE]),"")</f>
        <v>0.16</v>
      </c>
      <c r="AS44" s="35" t="str">
        <f>IF(AND($A44&lt;&gt;0,$A44&lt;&gt;""),CONCATENATE(TEXT(AP44,"0.00"),"W, ",IF('User Input'!H$11="Single Discrete",A44,IF('User Input'!H$11="Dual/Power Block",LEFT(A44,FIND(")",A44)-7),A44)),", ",AQ44,", ",TEXT(AR44,"$0.00")),"Invalid Part")</f>
        <v>1.03W, CSD17579Q5A, SON5x6, $0.16</v>
      </c>
      <c r="AT44" t="s">
        <v>876</v>
      </c>
      <c r="AW44"/>
    </row>
    <row r="45" spans="1:49" ht="15" customHeight="1" x14ac:dyDescent="0.25">
      <c r="A45" s="35" t="str">
        <f>IF(OR(AND(FET_config3="Dual/Power Block",LEFT(Logic!B45,4)="CSD8"),AND(FET_config3="Single Discrete",LEFT(Logic!B45,4)="CSD1")),Logic!B45,"")</f>
        <v>CSD17581Q3A</v>
      </c>
      <c r="B45" s="37" t="str">
        <f>IF(OR($A45=0,$A45=""),"0",IF(LOOKUP($A45,Discrete_NFET[PARTNUMBER],Discrete_NFET[RDSON25])="(NULL)","0","1"))</f>
        <v>0</v>
      </c>
      <c r="C45" s="38" t="str">
        <f>IF(OR($A45=0,$A45=""),"0",IF(LOOKUP($A45,Discrete_NFET[PARTNUMBER],Discrete_NFET[RDSON3])="(NULL)","0","1"))</f>
        <v>0</v>
      </c>
      <c r="D45" s="40" t="str">
        <f>IF(OR($A45=0,$A45=""),"0",IF(LOOKUP($A45,Discrete_NFET[PARTNUMBER],Discrete_NFET[RDSON45])="(NULL)","0","1"))</f>
        <v>1</v>
      </c>
      <c r="E45" s="45" t="str">
        <f>IF(OR($A45=0,$A45=""),"0",IF(LOOKUP($A45,Discrete_NFET[PARTNUMBER],Discrete_NFET[RDSON6])="(NULL)","0","1"))</f>
        <v>0</v>
      </c>
      <c r="F45" s="34" t="str">
        <f>IF(OR($A45=0,$A45=""),"0",IF(LOOKUP($A45,Discrete_NFET[PARTNUMBER],Discrete_NFET[RDSON8])="(NULL)","0","1"))</f>
        <v>0</v>
      </c>
      <c r="G45" s="43" t="str">
        <f>IF(OR($A45=0,$A45=""),"0",IF(LOOKUP($A45,Discrete_NFET[PARTNUMBER],Discrete_NFET[RDSON10])="(NULL)","0","1"))</f>
        <v>1</v>
      </c>
      <c r="H45" s="36" t="b">
        <f t="shared" si="12"/>
        <v>0</v>
      </c>
      <c r="I45" s="39" t="b">
        <f t="shared" si="13"/>
        <v>0</v>
      </c>
      <c r="J45" s="41" t="b">
        <f t="shared" si="14"/>
        <v>1</v>
      </c>
      <c r="K45" s="46" t="b">
        <f t="shared" si="15"/>
        <v>0</v>
      </c>
      <c r="L45" s="42" t="b">
        <f t="shared" si="16"/>
        <v>0</v>
      </c>
      <c r="M45" s="44" t="b">
        <f t="shared" si="17"/>
        <v>1</v>
      </c>
      <c r="N45" s="47" t="b">
        <f t="shared" si="18"/>
        <v>1</v>
      </c>
      <c r="O45" s="36" t="b">
        <f t="shared" si="19"/>
        <v>0</v>
      </c>
      <c r="P45" s="39" t="b">
        <f t="shared" si="20"/>
        <v>0</v>
      </c>
      <c r="Q45" s="41" t="b">
        <f t="shared" si="21"/>
        <v>1</v>
      </c>
      <c r="R45" s="46" t="b">
        <f t="shared" si="22"/>
        <v>0</v>
      </c>
      <c r="S45" s="42" t="b">
        <f t="shared" si="23"/>
        <v>0</v>
      </c>
      <c r="T45" s="44" t="b">
        <f t="shared" si="24"/>
        <v>1</v>
      </c>
      <c r="U45" s="148">
        <f>IF(T45,LOOKUP(A45,Discrete_NFET[PARTNUMBER],Discrete_NFET[RDSON10])*1000,IF(S45,LOOKUP(A45,Discrete_NFET[PARTNUMBER],Discrete_NFET[RDSON8])*1000,IF(R45,LOOKUP(A45,Discrete_NFET[PARTNUMBER],Discrete_NFET[RDSON6])*1000,IF(Q45,LOOKUP(A45,Discrete_NFET[PARTNUMBER],Discrete_NFET[RDSON45])*1000,IF(P45,LOOKUP(A45,Discrete_NFET[PARTNUMBER],Discrete_NFET[RDSON3])*1000,IF(O45,LOOKUP(A45,Discrete_NFET[PARTNUMBER],Discrete_NFET[RDSON25])*1000,""))))))</f>
        <v>3.8</v>
      </c>
      <c r="V45" s="48">
        <f>IF(AND(A45&lt;&gt;0,A45&lt;&gt;""),U45*(1+(Tj-25)*(LOOKUP(A45,Discrete_NFET[PARTNUMBER],Discrete_NFET[RDSDELTA])/((LOOKUP(A45,Discrete_NFET[PARTNUMBER],Discrete_NFET[TJMAX])-25)))),"")</f>
        <v>4.2560000000000002</v>
      </c>
      <c r="W45" s="35">
        <f>IF(AND($A45&lt;&gt;0,$A45&lt;&gt;""),LOOKUP($A45,Discrete_NFET[PARTNUMBER],Discrete_NFET[QGS]),"")</f>
        <v>6.9</v>
      </c>
      <c r="X45" s="35">
        <f>IF(AND($A45&lt;&gt;0,$A45&lt;&gt;""),LOOKUP($A45,Discrete_NFET[PARTNUMBER],Discrete_NFET[QGD]),"")</f>
        <v>4</v>
      </c>
      <c r="Y45" s="35">
        <f>IF(AND($A45&lt;&gt;0,$A45&lt;&gt;""),LOOKUP($A45,Discrete_NFET[PARTNUMBER],Discrete_NFET[QGTH]),"")</f>
        <v>3.6</v>
      </c>
      <c r="Z45" s="35">
        <f t="shared" si="25"/>
        <v>7.3000000000000007</v>
      </c>
      <c r="AA45" s="35">
        <f>IF(AND($A45&lt;&gt;0,$A45&lt;&gt;""),LOOKUP($A45,Discrete_NFET[PARTNUMBER],Discrete_NFET[QOSSTYP]),"")</f>
        <v>11.7</v>
      </c>
      <c r="AB45" s="35">
        <f>IF(AND($A45&lt;&gt;0,$A45&lt;&gt;""),LOOKUP($A45,Discrete_NFET[PARTNUMBER],Discrete_NFET[QRR]),"")</f>
        <v>10.199999999999999</v>
      </c>
      <c r="AC45" s="35">
        <f>IF(AND(A45&lt;&gt;0,A45&lt;&gt;""),LOOKUP(A45,Discrete_NFET[PARTNUMBER],Discrete_NFET[VF_TYP]),"")</f>
        <v>0.8</v>
      </c>
      <c r="AD45" s="127">
        <f>IF(AND($A45&lt;&gt;0,$A45&lt;&gt;"",OR(RIGHT(Logic!B45,2)="C)",LEFT(Logic!B45,4)="CSD1")),(1+(1-DUTY))*IM_RMS_120^2*V45*m/3/Num_FETS3,"")</f>
        <v>0.17909356725146197</v>
      </c>
      <c r="AE45" s="127">
        <f>IF(AND($A45&lt;&gt;0,$A45&lt;&gt;"",OR(RIGHT(Logic!B45,2)="C)",LEFT(Logic!B45,4)="CSD1")),Num_FETS3*0.5*IM_RMS_120*VDC_AVG*Z45*n*MOT_ELEC_FREQ/GDR_SRC,"")</f>
        <v>2.3542311661506708E-5</v>
      </c>
      <c r="AF45" s="127">
        <f>IF(AND($A45&lt;&gt;0,$A45&lt;&gt;"",OR(RIGHT(Logic!B45,2)="C)",LEFT(Logic!B45,4)="CSD1")),Num_FETS3*0.5*IM_RMS_120*VDC_AVG*Z45*n*MOT_ELEC_FREQ/GDR_SINK,"")</f>
        <v>1.6008771929824562E-5</v>
      </c>
      <c r="AG45" s="127">
        <f>IF(AND($A45&lt;&gt;0,$A45&lt;&gt;"",OR(RIGHT(Logic!B45,2)="T)",LEFT(Logic!B45,4)="CSD1")),DUTY*IM_RMS_120^2*V45*m/3/Num_FETS3,"")</f>
        <v>0.16203703703703701</v>
      </c>
      <c r="AH45" s="127">
        <f>IF(AND($A45&lt;&gt;0,$A45&lt;&gt;"",OR(RIGHT(Logic!B45,2)="T)",LEFT(Logic!B45,4)="CSD1")),Num_FETS3*0.5*IM_RMS_120*VDC_AVG*Z45*n*FSW*k/GDR_SRC/3,"")</f>
        <v>4.708462332301341E-3</v>
      </c>
      <c r="AI45" s="127">
        <f>IF(AND($A45&lt;&gt;0,$A45&lt;&gt;"",OR(RIGHT(Logic!B45,2)="T)",LEFT(Logic!B45,4)="CSD1")),Num_FETS3*0.5*IM_RMS_120*VDC_AVG*Z45*n*FSW*k/GDR_SINK/3,"")</f>
        <v>3.2017543859649122E-3</v>
      </c>
      <c r="AJ45" s="127">
        <f t="shared" si="28"/>
        <v>1.4039999999999999E-3</v>
      </c>
      <c r="AK45" s="127">
        <f t="shared" si="29"/>
        <v>1.2414567897146714E-2</v>
      </c>
      <c r="AL45" s="127">
        <f t="shared" si="30"/>
        <v>2.4520799999999997E-3</v>
      </c>
      <c r="AM45" s="127">
        <f t="shared" si="26"/>
        <v>0.37243703691440144</v>
      </c>
      <c r="AN45" s="127">
        <f>IF(AND($A45&lt;&gt;0,$A45&lt;&gt;"",OR(RIGHT(Logic!B45,2)="C)",LEFT(Logic!B45,4)="CSD1")),SUM(AD45:AF45)+(AJ45/3)+AK45+AL45/6+AM45/6,AN46)</f>
        <v>0.25449720571793361</v>
      </c>
      <c r="AO45" s="127">
        <f>IF(AND($A45&lt;&gt;0,$A45&lt;&gt;"",OR(RIGHT(Logic!B45,2)="T)",LEFT(Logic!B45,4)="CSD1")),SUM(AG45:AI45)+(AJ45/3)+AL45/6+AM45/6,AO44)</f>
        <v>0.23289677324103683</v>
      </c>
      <c r="AP45" s="48">
        <f t="shared" si="27"/>
        <v>0.49</v>
      </c>
      <c r="AQ45" s="35" t="str">
        <f>IF(AND(A45&lt;&gt;0,A45&lt;&gt;""),LOOKUP(A45,Discrete_NFET[PARTNUMBER],Discrete_NFET[TI_EQ_PACKAGE]),"")</f>
        <v>SON3X3</v>
      </c>
      <c r="AR45" s="49">
        <f>IF(AND(A45&lt;&gt;0,A45&lt;&gt;""),LOOKUP(A45,Discrete_NFET[PARTNUMBER],Discrete_NFET[1KPRICE]),"")</f>
        <v>0.22</v>
      </c>
      <c r="AS45" s="35" t="str">
        <f>IF(AND($A45&lt;&gt;0,$A45&lt;&gt;""),CONCATENATE(TEXT(AP45,"0.00"),"W, ",IF('User Input'!H$11="Single Discrete",A45,IF('User Input'!H$11="Dual/Power Block",LEFT(A45,FIND(")",A45)-7),A45)),", ",AQ45,", ",TEXT(AR45,"$0.00")),"Invalid Part")</f>
        <v>0.49W, CSD17581Q3A, SON3X3, $0.22</v>
      </c>
      <c r="AT45" t="s">
        <v>877</v>
      </c>
      <c r="AW45"/>
    </row>
    <row r="46" spans="1:49" ht="15" customHeight="1" x14ac:dyDescent="0.25">
      <c r="A46" s="35" t="str">
        <f>IF(OR(AND(FET_config3="Dual/Power Block",LEFT(Logic!B46,4)="CSD8"),AND(FET_config3="Single Discrete",LEFT(Logic!B46,4)="CSD1")),Logic!B46,"")</f>
        <v>CSD17581Q5A</v>
      </c>
      <c r="B46" s="37" t="str">
        <f>IF(OR($A46=0,$A46=""),"0",IF(LOOKUP($A46,Discrete_NFET[PARTNUMBER],Discrete_NFET[RDSON25])="(NULL)","0","1"))</f>
        <v>0</v>
      </c>
      <c r="C46" s="38" t="str">
        <f>IF(OR($A46=0,$A46=""),"0",IF(LOOKUP($A46,Discrete_NFET[PARTNUMBER],Discrete_NFET[RDSON3])="(NULL)","0","1"))</f>
        <v>0</v>
      </c>
      <c r="D46" s="40" t="str">
        <f>IF(OR($A46=0,$A46=""),"0",IF(LOOKUP($A46,Discrete_NFET[PARTNUMBER],Discrete_NFET[RDSON45])="(NULL)","0","1"))</f>
        <v>1</v>
      </c>
      <c r="E46" s="45" t="str">
        <f>IF(OR($A46=0,$A46=""),"0",IF(LOOKUP($A46,Discrete_NFET[PARTNUMBER],Discrete_NFET[RDSON6])="(NULL)","0","1"))</f>
        <v>0</v>
      </c>
      <c r="F46" s="34" t="str">
        <f>IF(OR($A46=0,$A46=""),"0",IF(LOOKUP($A46,Discrete_NFET[PARTNUMBER],Discrete_NFET[RDSON8])="(NULL)","0","1"))</f>
        <v>0</v>
      </c>
      <c r="G46" s="43" t="str">
        <f>IF(OR($A46=0,$A46=""),"0",IF(LOOKUP($A46,Discrete_NFET[PARTNUMBER],Discrete_NFET[RDSON10])="(NULL)","0","1"))</f>
        <v>1</v>
      </c>
      <c r="H46" s="36" t="b">
        <f t="shared" si="12"/>
        <v>0</v>
      </c>
      <c r="I46" s="39" t="b">
        <f t="shared" si="13"/>
        <v>0</v>
      </c>
      <c r="J46" s="41" t="b">
        <f t="shared" si="14"/>
        <v>1</v>
      </c>
      <c r="K46" s="46" t="b">
        <f t="shared" si="15"/>
        <v>0</v>
      </c>
      <c r="L46" s="42" t="b">
        <f t="shared" si="16"/>
        <v>0</v>
      </c>
      <c r="M46" s="44" t="b">
        <f t="shared" si="17"/>
        <v>1</v>
      </c>
      <c r="N46" s="47" t="b">
        <f t="shared" si="18"/>
        <v>1</v>
      </c>
      <c r="O46" s="36" t="b">
        <f t="shared" si="19"/>
        <v>0</v>
      </c>
      <c r="P46" s="39" t="b">
        <f t="shared" si="20"/>
        <v>0</v>
      </c>
      <c r="Q46" s="41" t="b">
        <f t="shared" si="21"/>
        <v>1</v>
      </c>
      <c r="R46" s="46" t="b">
        <f t="shared" si="22"/>
        <v>0</v>
      </c>
      <c r="S46" s="42" t="b">
        <f t="shared" si="23"/>
        <v>0</v>
      </c>
      <c r="T46" s="44" t="b">
        <f t="shared" si="24"/>
        <v>1</v>
      </c>
      <c r="U46" s="148">
        <f>IF(T46,LOOKUP(A46,Discrete_NFET[PARTNUMBER],Discrete_NFET[RDSON10])*1000,IF(S46,LOOKUP(A46,Discrete_NFET[PARTNUMBER],Discrete_NFET[RDSON8])*1000,IF(R46,LOOKUP(A46,Discrete_NFET[PARTNUMBER],Discrete_NFET[RDSON6])*1000,IF(Q46,LOOKUP(A46,Discrete_NFET[PARTNUMBER],Discrete_NFET[RDSON45])*1000,IF(P46,LOOKUP(A46,Discrete_NFET[PARTNUMBER],Discrete_NFET[RDSON3])*1000,IF(O46,LOOKUP(A46,Discrete_NFET[PARTNUMBER],Discrete_NFET[RDSON25])*1000,""))))))</f>
        <v>3.4</v>
      </c>
      <c r="V46" s="48">
        <f>IF(AND(A46&lt;&gt;0,A46&lt;&gt;""),U46*(1+(Tj-25)*(LOOKUP(A46,Discrete_NFET[PARTNUMBER],Discrete_NFET[RDSDELTA])/((LOOKUP(A46,Discrete_NFET[PARTNUMBER],Discrete_NFET[TJMAX])-25)))),"")</f>
        <v>3.8080000000000003</v>
      </c>
      <c r="W46" s="35">
        <f>IF(AND($A46&lt;&gt;0,$A46&lt;&gt;""),LOOKUP($A46,Discrete_NFET[PARTNUMBER],Discrete_NFET[QGS]),"")</f>
        <v>6.9</v>
      </c>
      <c r="X46" s="35">
        <f>IF(AND($A46&lt;&gt;0,$A46&lt;&gt;""),LOOKUP($A46,Discrete_NFET[PARTNUMBER],Discrete_NFET[QGD]),"")</f>
        <v>4</v>
      </c>
      <c r="Y46" s="35">
        <f>IF(AND($A46&lt;&gt;0,$A46&lt;&gt;""),LOOKUP($A46,Discrete_NFET[PARTNUMBER],Discrete_NFET[QGTH]),"")</f>
        <v>3.6</v>
      </c>
      <c r="Z46" s="35">
        <f t="shared" si="25"/>
        <v>7.3000000000000007</v>
      </c>
      <c r="AA46" s="35">
        <f>IF(AND($A46&lt;&gt;0,$A46&lt;&gt;""),LOOKUP($A46,Discrete_NFET[PARTNUMBER],Discrete_NFET[QOSSTYP]),"")</f>
        <v>11.7</v>
      </c>
      <c r="AB46" s="35">
        <f>IF(AND($A46&lt;&gt;0,$A46&lt;&gt;""),LOOKUP($A46,Discrete_NFET[PARTNUMBER],Discrete_NFET[QRR]),"")</f>
        <v>13</v>
      </c>
      <c r="AC46" s="35">
        <f>IF(AND(A46&lt;&gt;0,A46&lt;&gt;""),LOOKUP(A46,Discrete_NFET[PARTNUMBER],Discrete_NFET[VF_TYP]),"")</f>
        <v>0.8</v>
      </c>
      <c r="AD46" s="127">
        <f>IF(AND($A46&lt;&gt;0,$A46&lt;&gt;"",OR(RIGHT(Logic!B46,2)="C)",LEFT(Logic!B46,4)="CSD1")),(1+(1-DUTY))*IM_RMS_120^2*V46*m/3/Num_FETS3,"")</f>
        <v>0.16024161280393964</v>
      </c>
      <c r="AE46" s="127">
        <f>IF(AND($A46&lt;&gt;0,$A46&lt;&gt;"",OR(RIGHT(Logic!B46,2)="C)",LEFT(Logic!B46,4)="CSD1")),Num_FETS3*0.5*IM_RMS_120*VDC_AVG*Z46*n*MOT_ELEC_FREQ/GDR_SRC,"")</f>
        <v>2.3542311661506708E-5</v>
      </c>
      <c r="AF46" s="127">
        <f>IF(AND($A46&lt;&gt;0,$A46&lt;&gt;"",OR(RIGHT(Logic!B46,2)="C)",LEFT(Logic!B46,4)="CSD1")),Num_FETS3*0.5*IM_RMS_120*VDC_AVG*Z46*n*MOT_ELEC_FREQ/GDR_SINK,"")</f>
        <v>1.6008771929824562E-5</v>
      </c>
      <c r="AG46" s="127">
        <f>IF(AND($A46&lt;&gt;0,$A46&lt;&gt;"",OR(RIGHT(Logic!B46,2)="T)",LEFT(Logic!B46,4)="CSD1")),DUTY*IM_RMS_120^2*V46*m/3/Num_FETS3,"")</f>
        <v>0.14498050682261207</v>
      </c>
      <c r="AH46" s="127">
        <f>IF(AND($A46&lt;&gt;0,$A46&lt;&gt;"",OR(RIGHT(Logic!B46,2)="T)",LEFT(Logic!B46,4)="CSD1")),Num_FETS3*0.5*IM_RMS_120*VDC_AVG*Z46*n*FSW*k/GDR_SRC/3,"")</f>
        <v>4.708462332301341E-3</v>
      </c>
      <c r="AI46" s="127">
        <f>IF(AND($A46&lt;&gt;0,$A46&lt;&gt;"",OR(RIGHT(Logic!B46,2)="T)",LEFT(Logic!B46,4)="CSD1")),Num_FETS3*0.5*IM_RMS_120*VDC_AVG*Z46*n*FSW*k/GDR_SINK/3,"")</f>
        <v>3.2017543859649122E-3</v>
      </c>
      <c r="AJ46" s="127">
        <f t="shared" si="28"/>
        <v>1.4039999999999999E-3</v>
      </c>
      <c r="AK46" s="127">
        <f t="shared" si="29"/>
        <v>1.2414567897146714E-2</v>
      </c>
      <c r="AL46" s="127">
        <f t="shared" si="30"/>
        <v>3.1252000000000003E-3</v>
      </c>
      <c r="AM46" s="127">
        <f t="shared" si="26"/>
        <v>0.37243703691440144</v>
      </c>
      <c r="AN46" s="127">
        <f>IF(AND($A46&lt;&gt;0,$A46&lt;&gt;"",OR(RIGHT(Logic!B46,2)="C)",LEFT(Logic!B46,4)="CSD1")),SUM(AD46:AF46)+(AJ46/3)+AK46+AL46/6+AM46/6,AN47)</f>
        <v>0.23575743793707796</v>
      </c>
      <c r="AO46" s="127">
        <f>IF(AND($A46&lt;&gt;0,$A46&lt;&gt;"",OR(RIGHT(Logic!B46,2)="T)",LEFT(Logic!B46,4)="CSD1")),SUM(AG46:AI46)+(AJ46/3)+AL46/6+AM46/6,AO45)</f>
        <v>0.21595242969327857</v>
      </c>
      <c r="AP46" s="48">
        <f t="shared" si="27"/>
        <v>0.45</v>
      </c>
      <c r="AQ46" s="35" t="str">
        <f>IF(AND(A46&lt;&gt;0,A46&lt;&gt;""),LOOKUP(A46,Discrete_NFET[PARTNUMBER],Discrete_NFET[TI_EQ_PACKAGE]),"")</f>
        <v>SON5X6</v>
      </c>
      <c r="AR46" s="49">
        <f>IF(AND(A46&lt;&gt;0,A46&lt;&gt;""),LOOKUP(A46,Discrete_NFET[PARTNUMBER],Discrete_NFET[1KPRICE]),"")</f>
        <v>0.24</v>
      </c>
      <c r="AS46" s="35" t="str">
        <f>IF(AND($A46&lt;&gt;0,$A46&lt;&gt;""),CONCATENATE(TEXT(AP46,"0.00"),"W, ",IF('User Input'!H$11="Single Discrete",A46,IF('User Input'!H$11="Dual/Power Block",LEFT(A46,FIND(")",A46)-7),A46)),", ",AQ46,", ",TEXT(AR46,"$0.00")),"Invalid Part")</f>
        <v>0.45W, CSD17581Q5A, SON5X6, $0.24</v>
      </c>
      <c r="AT46" t="s">
        <v>830</v>
      </c>
      <c r="AW46"/>
    </row>
    <row r="47" spans="1:49" ht="15" customHeight="1" x14ac:dyDescent="0.25">
      <c r="A47" s="35" t="str">
        <f>IF(OR(AND(FET_config3="Dual/Power Block",LEFT(Logic!B47,4)="CSD8"),AND(FET_config3="Single Discrete",LEFT(Logic!B47,4)="CSD1")),Logic!B47,"")</f>
        <v>CSD18501Q5A</v>
      </c>
      <c r="B47" s="37" t="str">
        <f>IF(OR($A47=0,$A47=""),"0",IF(LOOKUP($A47,Discrete_NFET[PARTNUMBER],Discrete_NFET[RDSON25])="(NULL)","0","1"))</f>
        <v>0</v>
      </c>
      <c r="C47" s="38" t="str">
        <f>IF(OR($A47=0,$A47=""),"0",IF(LOOKUP($A47,Discrete_NFET[PARTNUMBER],Discrete_NFET[RDSON3])="(NULL)","0","1"))</f>
        <v>0</v>
      </c>
      <c r="D47" s="40" t="str">
        <f>IF(OR($A47=0,$A47=""),"0",IF(LOOKUP($A47,Discrete_NFET[PARTNUMBER],Discrete_NFET[RDSON45])="(NULL)","0","1"))</f>
        <v>1</v>
      </c>
      <c r="E47" s="45" t="str">
        <f>IF(OR($A47=0,$A47=""),"0",IF(LOOKUP($A47,Discrete_NFET[PARTNUMBER],Discrete_NFET[RDSON6])="(NULL)","0","1"))</f>
        <v>0</v>
      </c>
      <c r="F47" s="34" t="str">
        <f>IF(OR($A47=0,$A47=""),"0",IF(LOOKUP($A47,Discrete_NFET[PARTNUMBER],Discrete_NFET[RDSON8])="(NULL)","0","1"))</f>
        <v>0</v>
      </c>
      <c r="G47" s="43" t="str">
        <f>IF(OR($A47=0,$A47=""),"0",IF(LOOKUP($A47,Discrete_NFET[PARTNUMBER],Discrete_NFET[RDSON10])="(NULL)","0","1"))</f>
        <v>1</v>
      </c>
      <c r="H47" s="36" t="b">
        <f t="shared" si="12"/>
        <v>0</v>
      </c>
      <c r="I47" s="39" t="b">
        <f t="shared" si="13"/>
        <v>0</v>
      </c>
      <c r="J47" s="41" t="b">
        <f t="shared" si="14"/>
        <v>1</v>
      </c>
      <c r="K47" s="46" t="b">
        <f t="shared" si="15"/>
        <v>0</v>
      </c>
      <c r="L47" s="42" t="b">
        <f t="shared" si="16"/>
        <v>0</v>
      </c>
      <c r="M47" s="44" t="b">
        <f t="shared" si="17"/>
        <v>1</v>
      </c>
      <c r="N47" s="47" t="b">
        <f t="shared" si="18"/>
        <v>1</v>
      </c>
      <c r="O47" s="36" t="b">
        <f t="shared" si="19"/>
        <v>0</v>
      </c>
      <c r="P47" s="39" t="b">
        <f t="shared" si="20"/>
        <v>0</v>
      </c>
      <c r="Q47" s="41" t="b">
        <f t="shared" si="21"/>
        <v>1</v>
      </c>
      <c r="R47" s="46" t="b">
        <f t="shared" si="22"/>
        <v>0</v>
      </c>
      <c r="S47" s="42" t="b">
        <f t="shared" si="23"/>
        <v>0</v>
      </c>
      <c r="T47" s="44" t="b">
        <f t="shared" si="24"/>
        <v>1</v>
      </c>
      <c r="U47" s="148">
        <f>IF(T47,LOOKUP(A47,Discrete_NFET[PARTNUMBER],Discrete_NFET[RDSON10])*1000,IF(S47,LOOKUP(A47,Discrete_NFET[PARTNUMBER],Discrete_NFET[RDSON8])*1000,IF(R47,LOOKUP(A47,Discrete_NFET[PARTNUMBER],Discrete_NFET[RDSON6])*1000,IF(Q47,LOOKUP(A47,Discrete_NFET[PARTNUMBER],Discrete_NFET[RDSON45])*1000,IF(P47,LOOKUP(A47,Discrete_NFET[PARTNUMBER],Discrete_NFET[RDSON3])*1000,IF(O47,LOOKUP(A47,Discrete_NFET[PARTNUMBER],Discrete_NFET[RDSON25])*1000,""))))))</f>
        <v>3.2</v>
      </c>
      <c r="V47" s="48">
        <f>IF(AND(A47&lt;&gt;0,A47&lt;&gt;""),U47*(1+(Tj-25)*(LOOKUP(A47,Discrete_NFET[PARTNUMBER],Discrete_NFET[RDSDELTA])/((LOOKUP(A47,Discrete_NFET[PARTNUMBER],Discrete_NFET[TJMAX])-25)))),"")</f>
        <v>3.7376</v>
      </c>
      <c r="W47" s="35">
        <f>IF(AND($A47&lt;&gt;0,$A47&lt;&gt;""),LOOKUP($A47,Discrete_NFET[PARTNUMBER],Discrete_NFET[QGS]),"")</f>
        <v>8.1</v>
      </c>
      <c r="X47" s="35">
        <f>IF(AND($A47&lt;&gt;0,$A47&lt;&gt;""),LOOKUP($A47,Discrete_NFET[PARTNUMBER],Discrete_NFET[QGD]),"")</f>
        <v>5.9</v>
      </c>
      <c r="Y47" s="35">
        <f>IF(AND($A47&lt;&gt;0,$A47&lt;&gt;""),LOOKUP($A47,Discrete_NFET[PARTNUMBER],Discrete_NFET[QGTH]),"")</f>
        <v>5.7</v>
      </c>
      <c r="Z47" s="35">
        <f t="shared" si="25"/>
        <v>8.3000000000000007</v>
      </c>
      <c r="AA47" s="35">
        <f>IF(AND($A47&lt;&gt;0,$A47&lt;&gt;""),LOOKUP($A47,Discrete_NFET[PARTNUMBER],Discrete_NFET[QOSSTYP]),"")</f>
        <v>48</v>
      </c>
      <c r="AB47" s="35">
        <f>IF(AND($A47&lt;&gt;0,$A47&lt;&gt;""),LOOKUP($A47,Discrete_NFET[PARTNUMBER],Discrete_NFET[QRR]),"")</f>
        <v>70</v>
      </c>
      <c r="AC47" s="35">
        <f>IF(AND(A47&lt;&gt;0,A47&lt;&gt;""),LOOKUP(A47,Discrete_NFET[PARTNUMBER],Discrete_NFET[VF_TYP]),"")</f>
        <v>0.8</v>
      </c>
      <c r="AD47" s="127">
        <f>IF(AND($A47&lt;&gt;0,$A47&lt;&gt;"",OR(RIGHT(Logic!B47,2)="C)",LEFT(Logic!B47,4)="CSD1")),(1+(1-DUTY))*IM_RMS_120^2*V47*m/3/Num_FETS3,"")</f>
        <v>0.15727916281932899</v>
      </c>
      <c r="AE47" s="127">
        <f>IF(AND($A47&lt;&gt;0,$A47&lt;&gt;"",OR(RIGHT(Logic!B47,2)="C)",LEFT(Logic!B47,4)="CSD1")),Num_FETS3*0.5*IM_RMS_120*VDC_AVG*Z47*n*MOT_ELEC_FREQ/GDR_SRC,"")</f>
        <v>2.6767285861713108E-5</v>
      </c>
      <c r="AF47" s="127">
        <f>IF(AND($A47&lt;&gt;0,$A47&lt;&gt;"",OR(RIGHT(Logic!B47,2)="C)",LEFT(Logic!B47,4)="CSD1")),Num_FETS3*0.5*IM_RMS_120*VDC_AVG*Z47*n*MOT_ELEC_FREQ/GDR_SINK,"")</f>
        <v>1.8201754385964914E-5</v>
      </c>
      <c r="AG47" s="127">
        <f>IF(AND($A47&lt;&gt;0,$A47&lt;&gt;"",OR(RIGHT(Logic!B47,2)="T)",LEFT(Logic!B47,4)="CSD1")),DUTY*IM_RMS_120^2*V47*m/3/Num_FETS3,"")</f>
        <v>0.14230019493177384</v>
      </c>
      <c r="AH47" s="127">
        <f>IF(AND($A47&lt;&gt;0,$A47&lt;&gt;"",OR(RIGHT(Logic!B47,2)="T)",LEFT(Logic!B47,4)="CSD1")),Num_FETS3*0.5*IM_RMS_120*VDC_AVG*Z47*n*FSW*k/GDR_SRC/3,"")</f>
        <v>5.3534571723426209E-3</v>
      </c>
      <c r="AI47" s="127">
        <f>IF(AND($A47&lt;&gt;0,$A47&lt;&gt;"",OR(RIGHT(Logic!B47,2)="T)",LEFT(Logic!B47,4)="CSD1")),Num_FETS3*0.5*IM_RMS_120*VDC_AVG*Z47*n*FSW*k/GDR_SINK/3,"")</f>
        <v>3.6403508771929824E-3</v>
      </c>
      <c r="AJ47" s="127">
        <f t="shared" si="28"/>
        <v>5.7600000000000004E-3</v>
      </c>
      <c r="AK47" s="127">
        <f t="shared" si="29"/>
        <v>1.2414567897146714E-2</v>
      </c>
      <c r="AL47" s="127">
        <f t="shared" si="30"/>
        <v>1.6828000000000003E-2</v>
      </c>
      <c r="AM47" s="127">
        <f t="shared" si="26"/>
        <v>0.37243703691440144</v>
      </c>
      <c r="AN47" s="127">
        <f>IF(AND($A47&lt;&gt;0,$A47&lt;&gt;"",OR(RIGHT(Logic!B47,2)="C)",LEFT(Logic!B47,4)="CSD1")),SUM(AD47:AF47)+(AJ47/3)+AK47+AL47/6+AM47/6,AN48)</f>
        <v>0.23653620590912364</v>
      </c>
      <c r="AO47" s="127">
        <f>IF(AND($A47&lt;&gt;0,$A47&lt;&gt;"",OR(RIGHT(Logic!B47,2)="T)",LEFT(Logic!B47,4)="CSD1")),SUM(AG47:AI47)+(AJ47/3)+AL47/6+AM47/6,AO46)</f>
        <v>0.2180915091337097</v>
      </c>
      <c r="AP47" s="48">
        <f t="shared" si="27"/>
        <v>0.45</v>
      </c>
      <c r="AQ47" s="35" t="str">
        <f>IF(AND(A47&lt;&gt;0,A47&lt;&gt;""),LOOKUP(A47,Discrete_NFET[PARTNUMBER],Discrete_NFET[TI_EQ_PACKAGE]),"")</f>
        <v>SON5X6</v>
      </c>
      <c r="AR47" s="49">
        <f>IF(AND(A47&lt;&gt;0,A47&lt;&gt;""),LOOKUP(A47,Discrete_NFET[PARTNUMBER],Discrete_NFET[1KPRICE]),"")</f>
        <v>0.56000000000000005</v>
      </c>
      <c r="AS47" s="35" t="str">
        <f>IF(AND($A47&lt;&gt;0,$A47&lt;&gt;""),CONCATENATE(TEXT(AP47,"0.00"),"W, ",IF('User Input'!H$11="Single Discrete",A47,IF('User Input'!H$11="Dual/Power Block",LEFT(A47,FIND(")",A47)-7),A47)),", ",AQ47,", ",TEXT(AR47,"$0.00")),"Invalid Part")</f>
        <v>0.45W, CSD18501Q5A, SON5X6, $0.56</v>
      </c>
      <c r="AT47" t="s">
        <v>855</v>
      </c>
      <c r="AW47"/>
    </row>
    <row r="48" spans="1:49" ht="15" customHeight="1" x14ac:dyDescent="0.25">
      <c r="A48" s="35" t="str">
        <f>IF(OR(AND(FET_config3="Dual/Power Block",LEFT(Logic!B48,4)="CSD8"),AND(FET_config3="Single Discrete",LEFT(Logic!B48,4)="CSD1")),Logic!B48,"")</f>
        <v>CSD18502KCS</v>
      </c>
      <c r="B48" s="37" t="str">
        <f>IF(OR($A48=0,$A48=""),"0",IF(LOOKUP($A48,Discrete_NFET[PARTNUMBER],Discrete_NFET[RDSON25])="(NULL)","0","1"))</f>
        <v>0</v>
      </c>
      <c r="C48" s="38" t="str">
        <f>IF(OR($A48=0,$A48=""),"0",IF(LOOKUP($A48,Discrete_NFET[PARTNUMBER],Discrete_NFET[RDSON3])="(NULL)","0","1"))</f>
        <v>0</v>
      </c>
      <c r="D48" s="40" t="str">
        <f>IF(OR($A48=0,$A48=""),"0",IF(LOOKUP($A48,Discrete_NFET[PARTNUMBER],Discrete_NFET[RDSON45])="(NULL)","0","1"))</f>
        <v>1</v>
      </c>
      <c r="E48" s="45" t="str">
        <f>IF(OR($A48=0,$A48=""),"0",IF(LOOKUP($A48,Discrete_NFET[PARTNUMBER],Discrete_NFET[RDSON6])="(NULL)","0","1"))</f>
        <v>0</v>
      </c>
      <c r="F48" s="34" t="str">
        <f>IF(OR($A48=0,$A48=""),"0",IF(LOOKUP($A48,Discrete_NFET[PARTNUMBER],Discrete_NFET[RDSON8])="(NULL)","0","1"))</f>
        <v>0</v>
      </c>
      <c r="G48" s="43" t="str">
        <f>IF(OR($A48=0,$A48=""),"0",IF(LOOKUP($A48,Discrete_NFET[PARTNUMBER],Discrete_NFET[RDSON10])="(NULL)","0","1"))</f>
        <v>1</v>
      </c>
      <c r="H48" s="36" t="b">
        <f t="shared" si="12"/>
        <v>0</v>
      </c>
      <c r="I48" s="39" t="b">
        <f t="shared" si="13"/>
        <v>0</v>
      </c>
      <c r="J48" s="41" t="b">
        <f t="shared" si="14"/>
        <v>1</v>
      </c>
      <c r="K48" s="46" t="b">
        <f t="shared" si="15"/>
        <v>0</v>
      </c>
      <c r="L48" s="42" t="b">
        <f t="shared" si="16"/>
        <v>0</v>
      </c>
      <c r="M48" s="44" t="b">
        <f t="shared" si="17"/>
        <v>1</v>
      </c>
      <c r="N48" s="47" t="b">
        <f t="shared" si="18"/>
        <v>1</v>
      </c>
      <c r="O48" s="36" t="b">
        <f t="shared" si="19"/>
        <v>0</v>
      </c>
      <c r="P48" s="39" t="b">
        <f t="shared" si="20"/>
        <v>0</v>
      </c>
      <c r="Q48" s="41" t="b">
        <f t="shared" si="21"/>
        <v>1</v>
      </c>
      <c r="R48" s="46" t="b">
        <f t="shared" si="22"/>
        <v>0</v>
      </c>
      <c r="S48" s="42" t="b">
        <f t="shared" si="23"/>
        <v>0</v>
      </c>
      <c r="T48" s="44" t="b">
        <f t="shared" si="24"/>
        <v>1</v>
      </c>
      <c r="U48" s="148">
        <f>IF(T48,LOOKUP(A48,Discrete_NFET[PARTNUMBER],Discrete_NFET[RDSON10])*1000,IF(S48,LOOKUP(A48,Discrete_NFET[PARTNUMBER],Discrete_NFET[RDSON8])*1000,IF(R48,LOOKUP(A48,Discrete_NFET[PARTNUMBER],Discrete_NFET[RDSON6])*1000,IF(Q48,LOOKUP(A48,Discrete_NFET[PARTNUMBER],Discrete_NFET[RDSON45])*1000,IF(P48,LOOKUP(A48,Discrete_NFET[PARTNUMBER],Discrete_NFET[RDSON3])*1000,IF(O48,LOOKUP(A48,Discrete_NFET[PARTNUMBER],Discrete_NFET[RDSON25])*1000,""))))))</f>
        <v>2.9</v>
      </c>
      <c r="V48" s="48">
        <f>IF(AND(A48&lt;&gt;0,A48&lt;&gt;""),U48*(1+(Tj-25)*(LOOKUP(A48,Discrete_NFET[PARTNUMBER],Discrete_NFET[RDSDELTA])/((LOOKUP(A48,Discrete_NFET[PARTNUMBER],Discrete_NFET[TJMAX])-25)))),"")</f>
        <v>3.2866666666666666</v>
      </c>
      <c r="W48" s="35">
        <f>IF(AND($A48&lt;&gt;0,$A48&lt;&gt;""),LOOKUP($A48,Discrete_NFET[PARTNUMBER],Discrete_NFET[QGS]),"")</f>
        <v>10.3</v>
      </c>
      <c r="X48" s="35">
        <f>IF(AND($A48&lt;&gt;0,$A48&lt;&gt;""),LOOKUP($A48,Discrete_NFET[PARTNUMBER],Discrete_NFET[QGD]),"")</f>
        <v>8.4</v>
      </c>
      <c r="Y48" s="35">
        <f>IF(AND($A48&lt;&gt;0,$A48&lt;&gt;""),LOOKUP($A48,Discrete_NFET[PARTNUMBER],Discrete_NFET[QGTH]),"")</f>
        <v>7.5</v>
      </c>
      <c r="Z48" s="35">
        <f t="shared" si="25"/>
        <v>11.200000000000003</v>
      </c>
      <c r="AA48" s="35">
        <f>IF(AND($A48&lt;&gt;0,$A48&lt;&gt;""),LOOKUP($A48,Discrete_NFET[PARTNUMBER],Discrete_NFET[QOSSTYP]),"")</f>
        <v>52</v>
      </c>
      <c r="AB48" s="35">
        <f>IF(AND($A48&lt;&gt;0,$A48&lt;&gt;""),LOOKUP($A48,Discrete_NFET[PARTNUMBER],Discrete_NFET[QRR]),"")</f>
        <v>105</v>
      </c>
      <c r="AC48" s="35">
        <f>IF(AND(A48&lt;&gt;0,A48&lt;&gt;""),LOOKUP(A48,Discrete_NFET[PARTNUMBER],Discrete_NFET[VF_TYP]),"")</f>
        <v>0.8</v>
      </c>
      <c r="AD48" s="127">
        <f>IF(AND($A48&lt;&gt;0,$A48&lt;&gt;"",OR(RIGHT(Logic!B48,2)="C)",LEFT(Logic!B48,4)="CSD1")),(1+(1-DUTY))*IM_RMS_120^2*V48*m/3/Num_FETS3,"")</f>
        <v>0.13830377295578125</v>
      </c>
      <c r="AE48" s="127">
        <f>IF(AND($A48&lt;&gt;0,$A48&lt;&gt;"",OR(RIGHT(Logic!B48,2)="C)",LEFT(Logic!B48,4)="CSD1")),Num_FETS3*0.5*IM_RMS_120*VDC_AVG*Z48*n*MOT_ELEC_FREQ/GDR_SRC,"")</f>
        <v>3.611971104231167E-5</v>
      </c>
      <c r="AF48" s="127">
        <f>IF(AND($A48&lt;&gt;0,$A48&lt;&gt;"",OR(RIGHT(Logic!B48,2)="C)",LEFT(Logic!B48,4)="CSD1")),Num_FETS3*0.5*IM_RMS_120*VDC_AVG*Z48*n*MOT_ELEC_FREQ/GDR_SINK,"")</f>
        <v>2.4561403508771935E-5</v>
      </c>
      <c r="AG48" s="127">
        <f>IF(AND($A48&lt;&gt;0,$A48&lt;&gt;"",OR(RIGHT(Logic!B48,2)="T)",LEFT(Logic!B48,4)="CSD1")),DUTY*IM_RMS_120^2*V48*m/3/Num_FETS3,"")</f>
        <v>0.12513198505523065</v>
      </c>
      <c r="AH48" s="127">
        <f>IF(AND($A48&lt;&gt;0,$A48&lt;&gt;"",OR(RIGHT(Logic!B48,2)="T)",LEFT(Logic!B48,4)="CSD1")),Num_FETS3*0.5*IM_RMS_120*VDC_AVG*Z48*n*FSW*k/GDR_SRC/3,"")</f>
        <v>7.2239422084623339E-3</v>
      </c>
      <c r="AI48" s="127">
        <f>IF(AND($A48&lt;&gt;0,$A48&lt;&gt;"",OR(RIGHT(Logic!B48,2)="T)",LEFT(Logic!B48,4)="CSD1")),Num_FETS3*0.5*IM_RMS_120*VDC_AVG*Z48*n*FSW*k/GDR_SINK/3,"")</f>
        <v>4.912280701754387E-3</v>
      </c>
      <c r="AJ48" s="127">
        <f t="shared" si="28"/>
        <v>6.2400000000000008E-3</v>
      </c>
      <c r="AK48" s="127">
        <f t="shared" si="29"/>
        <v>1.2414567897146714E-2</v>
      </c>
      <c r="AL48" s="127">
        <f t="shared" si="30"/>
        <v>2.5242000000000001E-2</v>
      </c>
      <c r="AM48" s="127">
        <f t="shared" si="26"/>
        <v>0.37243703691440144</v>
      </c>
      <c r="AN48" s="127">
        <f>IF(AND($A48&lt;&gt;0,$A48&lt;&gt;"",OR(RIGHT(Logic!B48,2)="C)",LEFT(Logic!B48,4)="CSD1")),SUM(AD48:AF48)+(AJ48/3)+AK48+AL48/6+AM48/6,AN49)</f>
        <v>0.2191388614532126</v>
      </c>
      <c r="AO48" s="127">
        <f>IF(AND($A48&lt;&gt;0,$A48&lt;&gt;"",OR(RIGHT(Logic!B48,2)="T)",LEFT(Logic!B48,4)="CSD1")),SUM(AG48:AI48)+(AJ48/3)+AL48/6+AM48/6,AO47)</f>
        <v>0.20562804745118096</v>
      </c>
      <c r="AP48" s="48">
        <f t="shared" si="27"/>
        <v>0.42</v>
      </c>
      <c r="AQ48" s="35" t="str">
        <f>IF(AND(A48&lt;&gt;0,A48&lt;&gt;""),LOOKUP(A48,Discrete_NFET[PARTNUMBER],Discrete_NFET[TI_EQ_PACKAGE]),"")</f>
        <v>TO-220</v>
      </c>
      <c r="AR48" s="49">
        <f>IF(AND(A48&lt;&gt;0,A48&lt;&gt;""),LOOKUP(A48,Discrete_NFET[PARTNUMBER],Discrete_NFET[1KPRICE]),"")</f>
        <v>0.78</v>
      </c>
      <c r="AS48" s="35" t="str">
        <f>IF(AND($A48&lt;&gt;0,$A48&lt;&gt;""),CONCATENATE(TEXT(AP48,"0.00"),"W, ",IF('User Input'!H$11="Single Discrete",A48,IF('User Input'!H$11="Dual/Power Block",LEFT(A48,FIND(")",A48)-7),A48)),", ",AQ48,", ",TEXT(AR48,"$0.00")),"Invalid Part")</f>
        <v>0.42W, CSD18502KCS, TO-220, $0.78</v>
      </c>
      <c r="AT48" t="s">
        <v>869</v>
      </c>
      <c r="AW48"/>
    </row>
    <row r="49" spans="1:49" ht="15" customHeight="1" x14ac:dyDescent="0.25">
      <c r="A49" s="35" t="str">
        <f>IF(OR(AND(FET_config3="Dual/Power Block",LEFT(Logic!B49,4)="CSD8"),AND(FET_config3="Single Discrete",LEFT(Logic!B49,4)="CSD1")),Logic!B49,"")</f>
        <v>CSD18502Q5B</v>
      </c>
      <c r="B49" s="37" t="str">
        <f>IF(OR($A49=0,$A49=""),"0",IF(LOOKUP($A49,Discrete_NFET[PARTNUMBER],Discrete_NFET[RDSON25])="(NULL)","0","1"))</f>
        <v>0</v>
      </c>
      <c r="C49" s="38" t="str">
        <f>IF(OR($A49=0,$A49=""),"0",IF(LOOKUP($A49,Discrete_NFET[PARTNUMBER],Discrete_NFET[RDSON3])="(NULL)","0","1"))</f>
        <v>0</v>
      </c>
      <c r="D49" s="40" t="str">
        <f>IF(OR($A49=0,$A49=""),"0",IF(LOOKUP($A49,Discrete_NFET[PARTNUMBER],Discrete_NFET[RDSON45])="(NULL)","0","1"))</f>
        <v>1</v>
      </c>
      <c r="E49" s="45" t="str">
        <f>IF(OR($A49=0,$A49=""),"0",IF(LOOKUP($A49,Discrete_NFET[PARTNUMBER],Discrete_NFET[RDSON6])="(NULL)","0","1"))</f>
        <v>0</v>
      </c>
      <c r="F49" s="34" t="str">
        <f>IF(OR($A49=0,$A49=""),"0",IF(LOOKUP($A49,Discrete_NFET[PARTNUMBER],Discrete_NFET[RDSON8])="(NULL)","0","1"))</f>
        <v>0</v>
      </c>
      <c r="G49" s="43" t="str">
        <f>IF(OR($A49=0,$A49=""),"0",IF(LOOKUP($A49,Discrete_NFET[PARTNUMBER],Discrete_NFET[RDSON10])="(NULL)","0","1"))</f>
        <v>1</v>
      </c>
      <c r="H49" s="36" t="b">
        <f t="shared" si="12"/>
        <v>0</v>
      </c>
      <c r="I49" s="39" t="b">
        <f t="shared" si="13"/>
        <v>0</v>
      </c>
      <c r="J49" s="41" t="b">
        <f t="shared" si="14"/>
        <v>1</v>
      </c>
      <c r="K49" s="46" t="b">
        <f t="shared" si="15"/>
        <v>0</v>
      </c>
      <c r="L49" s="42" t="b">
        <f t="shared" si="16"/>
        <v>0</v>
      </c>
      <c r="M49" s="44" t="b">
        <f t="shared" si="17"/>
        <v>1</v>
      </c>
      <c r="N49" s="47" t="b">
        <f t="shared" si="18"/>
        <v>1</v>
      </c>
      <c r="O49" s="36" t="b">
        <f t="shared" si="19"/>
        <v>0</v>
      </c>
      <c r="P49" s="39" t="b">
        <f t="shared" si="20"/>
        <v>0</v>
      </c>
      <c r="Q49" s="41" t="b">
        <f t="shared" si="21"/>
        <v>1</v>
      </c>
      <c r="R49" s="46" t="b">
        <f t="shared" si="22"/>
        <v>0</v>
      </c>
      <c r="S49" s="42" t="b">
        <f t="shared" si="23"/>
        <v>0</v>
      </c>
      <c r="T49" s="44" t="b">
        <f t="shared" si="24"/>
        <v>1</v>
      </c>
      <c r="U49" s="148">
        <f>IF(T49,LOOKUP(A49,Discrete_NFET[PARTNUMBER],Discrete_NFET[RDSON10])*1000,IF(S49,LOOKUP(A49,Discrete_NFET[PARTNUMBER],Discrete_NFET[RDSON8])*1000,IF(R49,LOOKUP(A49,Discrete_NFET[PARTNUMBER],Discrete_NFET[RDSON6])*1000,IF(Q49,LOOKUP(A49,Discrete_NFET[PARTNUMBER],Discrete_NFET[RDSON45])*1000,IF(P49,LOOKUP(A49,Discrete_NFET[PARTNUMBER],Discrete_NFET[RDSON3])*1000,IF(O49,LOOKUP(A49,Discrete_NFET[PARTNUMBER],Discrete_NFET[RDSON25])*1000,""))))))</f>
        <v>2.2999999999999998</v>
      </c>
      <c r="V49" s="48">
        <f>IF(AND(A49&lt;&gt;0,A49&lt;&gt;""),U49*(1+(Tj-25)*(LOOKUP(A49,Discrete_NFET[PARTNUMBER],Discrete_NFET[RDSDELTA])/((LOOKUP(A49,Discrete_NFET[PARTNUMBER],Discrete_NFET[TJMAX])-25)))),"")</f>
        <v>2.7139999999999995</v>
      </c>
      <c r="W49" s="35">
        <f>IF(AND($A49&lt;&gt;0,$A49&lt;&gt;""),LOOKUP($A49,Discrete_NFET[PARTNUMBER],Discrete_NFET[QGS]),"")</f>
        <v>10.3</v>
      </c>
      <c r="X49" s="35">
        <f>IF(AND($A49&lt;&gt;0,$A49&lt;&gt;""),LOOKUP($A49,Discrete_NFET[PARTNUMBER],Discrete_NFET[QGD]),"")</f>
        <v>8.4</v>
      </c>
      <c r="Y49" s="35">
        <f>IF(AND($A49&lt;&gt;0,$A49&lt;&gt;""),LOOKUP($A49,Discrete_NFET[PARTNUMBER],Discrete_NFET[QGTH]),"")</f>
        <v>6.9</v>
      </c>
      <c r="Z49" s="35">
        <f t="shared" si="25"/>
        <v>11.800000000000002</v>
      </c>
      <c r="AA49" s="35">
        <f>IF(AND($A49&lt;&gt;0,$A49&lt;&gt;""),LOOKUP($A49,Discrete_NFET[PARTNUMBER],Discrete_NFET[QOSSTYP]),"")</f>
        <v>59</v>
      </c>
      <c r="AB49" s="35">
        <f>IF(AND($A49&lt;&gt;0,$A49&lt;&gt;""),LOOKUP($A49,Discrete_NFET[PARTNUMBER],Discrete_NFET[QRR]),"")</f>
        <v>88</v>
      </c>
      <c r="AC49" s="35">
        <f>IF(AND(A49&lt;&gt;0,A49&lt;&gt;""),LOOKUP(A49,Discrete_NFET[PARTNUMBER],Discrete_NFET[VF_TYP]),"")</f>
        <v>0.8</v>
      </c>
      <c r="AD49" s="127">
        <f>IF(AND($A49&lt;&gt;0,$A49&lt;&gt;"",OR(RIGHT(Logic!B49,2)="C)",LEFT(Logic!B49,4)="CSD1")),(1+(1-DUTY))*IM_RMS_120^2*V49*m/3/Num_FETS3,"")</f>
        <v>0.11420581332717755</v>
      </c>
      <c r="AE49" s="127">
        <f>IF(AND($A49&lt;&gt;0,$A49&lt;&gt;"",OR(RIGHT(Logic!B49,2)="C)",LEFT(Logic!B49,4)="CSD1")),Num_FETS3*0.5*IM_RMS_120*VDC_AVG*Z49*n*MOT_ELEC_FREQ/GDR_SRC,"")</f>
        <v>3.8054695562435508E-5</v>
      </c>
      <c r="AF49" s="127">
        <f>IF(AND($A49&lt;&gt;0,$A49&lt;&gt;"",OR(RIGHT(Logic!B49,2)="C)",LEFT(Logic!B49,4)="CSD1")),Num_FETS3*0.5*IM_RMS_120*VDC_AVG*Z49*n*MOT_ELEC_FREQ/GDR_SINK,"")</f>
        <v>2.5877192982456146E-5</v>
      </c>
      <c r="AG49" s="127">
        <f>IF(AND($A49&lt;&gt;0,$A49&lt;&gt;"",OR(RIGHT(Logic!B49,2)="T)",LEFT(Logic!B49,4)="CSD1")),DUTY*IM_RMS_120^2*V49*m/3/Num_FETS3,"")</f>
        <v>0.10332906920077968</v>
      </c>
      <c r="AH49" s="127">
        <f>IF(AND($A49&lt;&gt;0,$A49&lt;&gt;"",OR(RIGHT(Logic!B49,2)="T)",LEFT(Logic!B49,4)="CSD1")),Num_FETS3*0.5*IM_RMS_120*VDC_AVG*Z49*n*FSW*k/GDR_SRC/3,"")</f>
        <v>7.6109391124871001E-3</v>
      </c>
      <c r="AI49" s="127">
        <f>IF(AND($A49&lt;&gt;0,$A49&lt;&gt;"",OR(RIGHT(Logic!B49,2)="T)",LEFT(Logic!B49,4)="CSD1")),Num_FETS3*0.5*IM_RMS_120*VDC_AVG*Z49*n*FSW*k/GDR_SINK/3,"")</f>
        <v>5.175438596491228E-3</v>
      </c>
      <c r="AJ49" s="127">
        <f t="shared" si="28"/>
        <v>7.0800000000000004E-3</v>
      </c>
      <c r="AK49" s="127">
        <f t="shared" si="29"/>
        <v>1.2414567897146714E-2</v>
      </c>
      <c r="AL49" s="127">
        <f t="shared" si="30"/>
        <v>2.1155200000000002E-2</v>
      </c>
      <c r="AM49" s="127">
        <f t="shared" si="26"/>
        <v>0.37243703691440144</v>
      </c>
      <c r="AN49" s="127">
        <f>IF(AND($A49&lt;&gt;0,$A49&lt;&gt;"",OR(RIGHT(Logic!B49,2)="C)",LEFT(Logic!B49,4)="CSD1")),SUM(AD49:AF49)+(AJ49/3)+AK49+AL49/6+AM49/6,AN50)</f>
        <v>0.19464301926526939</v>
      </c>
      <c r="AO49" s="127">
        <f>IF(AND($A49&lt;&gt;0,$A49&lt;&gt;"",OR(RIGHT(Logic!B49,2)="T)",LEFT(Logic!B49,4)="CSD1")),SUM(AG49:AI49)+(AJ49/3)+AL49/6+AM49/6,AO48)</f>
        <v>0.18407415306215824</v>
      </c>
      <c r="AP49" s="48">
        <f t="shared" si="27"/>
        <v>0.38</v>
      </c>
      <c r="AQ49" s="35" t="str">
        <f>IF(AND(A49&lt;&gt;0,A49&lt;&gt;""),LOOKUP(A49,Discrete_NFET[PARTNUMBER],Discrete_NFET[TI_EQ_PACKAGE]),"")</f>
        <v>SON5X6</v>
      </c>
      <c r="AR49" s="49">
        <f>IF(AND(A49&lt;&gt;0,A49&lt;&gt;""),LOOKUP(A49,Discrete_NFET[PARTNUMBER],Discrete_NFET[1KPRICE]),"")</f>
        <v>0.81</v>
      </c>
      <c r="AS49" s="35" t="str">
        <f>IF(AND($A49&lt;&gt;0,$A49&lt;&gt;""),CONCATENATE(TEXT(AP49,"0.00"),"W, ",IF('User Input'!H$11="Single Discrete",A49,IF('User Input'!H$11="Dual/Power Block",LEFT(A49,FIND(")",A49)-7),A49)),", ",AQ49,", ",TEXT(AR49,"$0.00")),"Invalid Part")</f>
        <v>0.38W, CSD18502Q5B, SON5X6, $0.81</v>
      </c>
      <c r="AT49" t="s">
        <v>870</v>
      </c>
      <c r="AW49"/>
    </row>
    <row r="50" spans="1:49" ht="15" customHeight="1" x14ac:dyDescent="0.25">
      <c r="A50" s="35" t="str">
        <f>IF(OR(AND(FET_config3="Dual/Power Block",LEFT(Logic!B50,4)="CSD8"),AND(FET_config3="Single Discrete",LEFT(Logic!B50,4)="CSD1")),Logic!B50,"")</f>
        <v>CSD18503KCS</v>
      </c>
      <c r="B50" s="37" t="str">
        <f>IF(OR($A50=0,$A50=""),"0",IF(LOOKUP($A50,Discrete_NFET[PARTNUMBER],Discrete_NFET[RDSON25])="(NULL)","0","1"))</f>
        <v>0</v>
      </c>
      <c r="C50" s="38" t="str">
        <f>IF(OR($A50=0,$A50=""),"0",IF(LOOKUP($A50,Discrete_NFET[PARTNUMBER],Discrete_NFET[RDSON3])="(NULL)","0","1"))</f>
        <v>0</v>
      </c>
      <c r="D50" s="40" t="str">
        <f>IF(OR($A50=0,$A50=""),"0",IF(LOOKUP($A50,Discrete_NFET[PARTNUMBER],Discrete_NFET[RDSON45])="(NULL)","0","1"))</f>
        <v>1</v>
      </c>
      <c r="E50" s="45" t="str">
        <f>IF(OR($A50=0,$A50=""),"0",IF(LOOKUP($A50,Discrete_NFET[PARTNUMBER],Discrete_NFET[RDSON6])="(NULL)","0","1"))</f>
        <v>0</v>
      </c>
      <c r="F50" s="34" t="str">
        <f>IF(OR($A50=0,$A50=""),"0",IF(LOOKUP($A50,Discrete_NFET[PARTNUMBER],Discrete_NFET[RDSON8])="(NULL)","0","1"))</f>
        <v>0</v>
      </c>
      <c r="G50" s="43" t="str">
        <f>IF(OR($A50=0,$A50=""),"0",IF(LOOKUP($A50,Discrete_NFET[PARTNUMBER],Discrete_NFET[RDSON10])="(NULL)","0","1"))</f>
        <v>1</v>
      </c>
      <c r="H50" s="36" t="b">
        <f t="shared" si="12"/>
        <v>0</v>
      </c>
      <c r="I50" s="39" t="b">
        <f t="shared" si="13"/>
        <v>0</v>
      </c>
      <c r="J50" s="41" t="b">
        <f t="shared" si="14"/>
        <v>1</v>
      </c>
      <c r="K50" s="46" t="b">
        <f t="shared" si="15"/>
        <v>0</v>
      </c>
      <c r="L50" s="42" t="b">
        <f t="shared" si="16"/>
        <v>0</v>
      </c>
      <c r="M50" s="44" t="b">
        <f t="shared" si="17"/>
        <v>1</v>
      </c>
      <c r="N50" s="47" t="b">
        <f t="shared" si="18"/>
        <v>1</v>
      </c>
      <c r="O50" s="36" t="b">
        <f t="shared" si="19"/>
        <v>0</v>
      </c>
      <c r="P50" s="39" t="b">
        <f t="shared" si="20"/>
        <v>0</v>
      </c>
      <c r="Q50" s="41" t="b">
        <f t="shared" si="21"/>
        <v>1</v>
      </c>
      <c r="R50" s="46" t="b">
        <f t="shared" si="22"/>
        <v>0</v>
      </c>
      <c r="S50" s="42" t="b">
        <f t="shared" si="23"/>
        <v>0</v>
      </c>
      <c r="T50" s="44" t="b">
        <f t="shared" si="24"/>
        <v>1</v>
      </c>
      <c r="U50" s="148">
        <f>IF(T50,LOOKUP(A50,Discrete_NFET[PARTNUMBER],Discrete_NFET[RDSON10])*1000,IF(S50,LOOKUP(A50,Discrete_NFET[PARTNUMBER],Discrete_NFET[RDSON8])*1000,IF(R50,LOOKUP(A50,Discrete_NFET[PARTNUMBER],Discrete_NFET[RDSON6])*1000,IF(Q50,LOOKUP(A50,Discrete_NFET[PARTNUMBER],Discrete_NFET[RDSON45])*1000,IF(P50,LOOKUP(A50,Discrete_NFET[PARTNUMBER],Discrete_NFET[RDSON3])*1000,IF(O50,LOOKUP(A50,Discrete_NFET[PARTNUMBER],Discrete_NFET[RDSON25])*1000,""))))))</f>
        <v>4.5</v>
      </c>
      <c r="V50" s="48">
        <f>IF(AND(A50&lt;&gt;0,A50&lt;&gt;""),U50*(1+(Tj-25)*(LOOKUP(A50,Discrete_NFET[PARTNUMBER],Discrete_NFET[RDSDELTA])/((LOOKUP(A50,Discrete_NFET[PARTNUMBER],Discrete_NFET[TJMAX])-25)))),"")</f>
        <v>5.2829999999999995</v>
      </c>
      <c r="W50" s="35">
        <f>IF(AND($A50&lt;&gt;0,$A50&lt;&gt;""),LOOKUP($A50,Discrete_NFET[PARTNUMBER],Discrete_NFET[QGS]),"")</f>
        <v>7.7</v>
      </c>
      <c r="X50" s="35">
        <f>IF(AND($A50&lt;&gt;0,$A50&lt;&gt;""),LOOKUP($A50,Discrete_NFET[PARTNUMBER],Discrete_NFET[QGD]),"")</f>
        <v>4.5999999999999996</v>
      </c>
      <c r="Y50" s="35">
        <f>IF(AND($A50&lt;&gt;0,$A50&lt;&gt;""),LOOKUP($A50,Discrete_NFET[PARTNUMBER],Discrete_NFET[QGTH]),"")</f>
        <v>4.7</v>
      </c>
      <c r="Z50" s="35">
        <f t="shared" si="25"/>
        <v>7.6000000000000005</v>
      </c>
      <c r="AA50" s="35">
        <f>IF(AND($A50&lt;&gt;0,$A50&lt;&gt;""),LOOKUP($A50,Discrete_NFET[PARTNUMBER],Discrete_NFET[QOSSTYP]),"")</f>
        <v>30</v>
      </c>
      <c r="AB50" s="35">
        <f>IF(AND($A50&lt;&gt;0,$A50&lt;&gt;""),LOOKUP($A50,Discrete_NFET[PARTNUMBER],Discrete_NFET[QRR]),"")</f>
        <v>60</v>
      </c>
      <c r="AC50" s="35">
        <f>IF(AND(A50&lt;&gt;0,A50&lt;&gt;""),LOOKUP(A50,Discrete_NFET[PARTNUMBER],Discrete_NFET[VF_TYP]),"")</f>
        <v>0.8</v>
      </c>
      <c r="AD50" s="127">
        <f>IF(AND($A50&lt;&gt;0,$A50&lt;&gt;"",OR(RIGHT(Logic!B50,2)="C)",LEFT(Logic!B50,4)="CSD1")),(1+(1-DUTY))*IM_RMS_120^2*V50*m/3/Num_FETS3,"")</f>
        <v>0.22230998961218829</v>
      </c>
      <c r="AE50" s="127">
        <f>IF(AND($A50&lt;&gt;0,$A50&lt;&gt;"",OR(RIGHT(Logic!B50,2)="C)",LEFT(Logic!B50,4)="CSD1")),Num_FETS3*0.5*IM_RMS_120*VDC_AVG*Z50*n*MOT_ELEC_FREQ/GDR_SRC,"")</f>
        <v>2.4509803921568633E-5</v>
      </c>
      <c r="AF50" s="127">
        <f>IF(AND($A50&lt;&gt;0,$A50&lt;&gt;"",OR(RIGHT(Logic!B50,2)="C)",LEFT(Logic!B50,4)="CSD1")),Num_FETS3*0.5*IM_RMS_120*VDC_AVG*Z50*n*MOT_ELEC_FREQ/GDR_SINK,"")</f>
        <v>1.6666666666666671E-5</v>
      </c>
      <c r="AG50" s="127">
        <f>IF(AND($A50&lt;&gt;0,$A50&lt;&gt;"",OR(RIGHT(Logic!B50,2)="T)",LEFT(Logic!B50,4)="CSD1")),DUTY*IM_RMS_120^2*V50*m/3/Num_FETS3,"")</f>
        <v>0.20113760964912275</v>
      </c>
      <c r="AH50" s="127">
        <f>IF(AND($A50&lt;&gt;0,$A50&lt;&gt;"",OR(RIGHT(Logic!B50,2)="T)",LEFT(Logic!B50,4)="CSD1")),Num_FETS3*0.5*IM_RMS_120*VDC_AVG*Z50*n*FSW*k/GDR_SRC/3,"")</f>
        <v>4.9019607843137263E-3</v>
      </c>
      <c r="AI50" s="127">
        <f>IF(AND($A50&lt;&gt;0,$A50&lt;&gt;"",OR(RIGHT(Logic!B50,2)="T)",LEFT(Logic!B50,4)="CSD1")),Num_FETS3*0.5*IM_RMS_120*VDC_AVG*Z50*n*FSW*k/GDR_SINK/3,"")</f>
        <v>3.333333333333334E-3</v>
      </c>
      <c r="AJ50" s="127">
        <f t="shared" si="28"/>
        <v>3.6000000000000003E-3</v>
      </c>
      <c r="AK50" s="127">
        <f t="shared" si="29"/>
        <v>1.2414567897146714E-2</v>
      </c>
      <c r="AL50" s="127">
        <f t="shared" si="30"/>
        <v>1.4424000000000001E-2</v>
      </c>
      <c r="AM50" s="127">
        <f t="shared" si="26"/>
        <v>0.37243703691440144</v>
      </c>
      <c r="AN50" s="127">
        <f>IF(AND($A50&lt;&gt;0,$A50&lt;&gt;"",OR(RIGHT(Logic!B50,2)="C)",LEFT(Logic!B50,4)="CSD1")),SUM(AD50:AF50)+(AJ50/3)+AK50+AL50/6+AM50/6,AN51)</f>
        <v>0.30044257346565678</v>
      </c>
      <c r="AO50" s="127">
        <f>IF(AND($A50&lt;&gt;0,$A50&lt;&gt;"",OR(RIGHT(Logic!B50,2)="T)",LEFT(Logic!B50,4)="CSD1")),SUM(AG50:AI50)+(AJ50/3)+AL50/6+AM50/6,AO49)</f>
        <v>0.27504974325250336</v>
      </c>
      <c r="AP50" s="48">
        <f t="shared" si="27"/>
        <v>0.57999999999999996</v>
      </c>
      <c r="AQ50" s="35" t="str">
        <f>IF(AND(A50&lt;&gt;0,A50&lt;&gt;""),LOOKUP(A50,Discrete_NFET[PARTNUMBER],Discrete_NFET[TI_EQ_PACKAGE]),"")</f>
        <v>TO-220</v>
      </c>
      <c r="AR50" s="49">
        <f>IF(AND(A50&lt;&gt;0,A50&lt;&gt;""),LOOKUP(A50,Discrete_NFET[PARTNUMBER],Discrete_NFET[1KPRICE]),"")</f>
        <v>0.55000000000000004</v>
      </c>
      <c r="AS50" s="35" t="str">
        <f>IF(AND($A50&lt;&gt;0,$A50&lt;&gt;""),CONCATENATE(TEXT(AP50,"0.00"),"W, ",IF('User Input'!H$11="Single Discrete",A50,IF('User Input'!H$11="Dual/Power Block",LEFT(A50,FIND(")",A50)-7),A50)),", ",AQ50,", ",TEXT(AR50,"$0.00")),"Invalid Part")</f>
        <v>0.58W, CSD18503KCS, TO-220, $0.55</v>
      </c>
      <c r="AT50" t="s">
        <v>841</v>
      </c>
      <c r="AW50"/>
    </row>
    <row r="51" spans="1:49" ht="15" customHeight="1" x14ac:dyDescent="0.25">
      <c r="A51" s="35" t="str">
        <f>IF(OR(AND(FET_config3="Dual/Power Block",LEFT(Logic!B51,4)="CSD8"),AND(FET_config3="Single Discrete",LEFT(Logic!B51,4)="CSD1")),Logic!B51,"")</f>
        <v>CSD18503Q5A</v>
      </c>
      <c r="B51" s="37" t="str">
        <f>IF(OR($A51=0,$A51=""),"0",IF(LOOKUP($A51,Discrete_NFET[PARTNUMBER],Discrete_NFET[RDSON25])="(NULL)","0","1"))</f>
        <v>0</v>
      </c>
      <c r="C51" s="38" t="str">
        <f>IF(OR($A51=0,$A51=""),"0",IF(LOOKUP($A51,Discrete_NFET[PARTNUMBER],Discrete_NFET[RDSON3])="(NULL)","0","1"))</f>
        <v>0</v>
      </c>
      <c r="D51" s="40" t="str">
        <f>IF(OR($A51=0,$A51=""),"0",IF(LOOKUP($A51,Discrete_NFET[PARTNUMBER],Discrete_NFET[RDSON45])="(NULL)","0","1"))</f>
        <v>1</v>
      </c>
      <c r="E51" s="45" t="str">
        <f>IF(OR($A51=0,$A51=""),"0",IF(LOOKUP($A51,Discrete_NFET[PARTNUMBER],Discrete_NFET[RDSON6])="(NULL)","0","1"))</f>
        <v>0</v>
      </c>
      <c r="F51" s="34" t="str">
        <f>IF(OR($A51=0,$A51=""),"0",IF(LOOKUP($A51,Discrete_NFET[PARTNUMBER],Discrete_NFET[RDSON8])="(NULL)","0","1"))</f>
        <v>0</v>
      </c>
      <c r="G51" s="43" t="str">
        <f>IF(OR($A51=0,$A51=""),"0",IF(LOOKUP($A51,Discrete_NFET[PARTNUMBER],Discrete_NFET[RDSON10])="(NULL)","0","1"))</f>
        <v>1</v>
      </c>
      <c r="H51" s="36" t="b">
        <f t="shared" si="12"/>
        <v>0</v>
      </c>
      <c r="I51" s="39" t="b">
        <f t="shared" si="13"/>
        <v>0</v>
      </c>
      <c r="J51" s="41" t="b">
        <f t="shared" si="14"/>
        <v>1</v>
      </c>
      <c r="K51" s="46" t="b">
        <f t="shared" si="15"/>
        <v>0</v>
      </c>
      <c r="L51" s="42" t="b">
        <f t="shared" si="16"/>
        <v>0</v>
      </c>
      <c r="M51" s="44" t="b">
        <f t="shared" si="17"/>
        <v>1</v>
      </c>
      <c r="N51" s="47" t="b">
        <f t="shared" si="18"/>
        <v>1</v>
      </c>
      <c r="O51" s="36" t="b">
        <f t="shared" si="19"/>
        <v>0</v>
      </c>
      <c r="P51" s="39" t="b">
        <f t="shared" si="20"/>
        <v>0</v>
      </c>
      <c r="Q51" s="41" t="b">
        <f t="shared" si="21"/>
        <v>1</v>
      </c>
      <c r="R51" s="46" t="b">
        <f t="shared" si="22"/>
        <v>0</v>
      </c>
      <c r="S51" s="42" t="b">
        <f t="shared" si="23"/>
        <v>0</v>
      </c>
      <c r="T51" s="44" t="b">
        <f t="shared" si="24"/>
        <v>1</v>
      </c>
      <c r="U51" s="148">
        <f>IF(T51,LOOKUP(A51,Discrete_NFET[PARTNUMBER],Discrete_NFET[RDSON10])*1000,IF(S51,LOOKUP(A51,Discrete_NFET[PARTNUMBER],Discrete_NFET[RDSON8])*1000,IF(R51,LOOKUP(A51,Discrete_NFET[PARTNUMBER],Discrete_NFET[RDSON6])*1000,IF(Q51,LOOKUP(A51,Discrete_NFET[PARTNUMBER],Discrete_NFET[RDSON45])*1000,IF(P51,LOOKUP(A51,Discrete_NFET[PARTNUMBER],Discrete_NFET[RDSON3])*1000,IF(O51,LOOKUP(A51,Discrete_NFET[PARTNUMBER],Discrete_NFET[RDSON25])*1000,""))))))</f>
        <v>4.3</v>
      </c>
      <c r="V51" s="48">
        <f>IF(AND(A51&lt;&gt;0,A51&lt;&gt;""),U51*(1+(Tj-25)*(LOOKUP(A51,Discrete_NFET[PARTNUMBER],Discrete_NFET[RDSDELTA])/((LOOKUP(A51,Discrete_NFET[PARTNUMBER],Discrete_NFET[TJMAX])-25)))),"")</f>
        <v>5.0739999999999998</v>
      </c>
      <c r="W51" s="35">
        <f>IF(AND($A51&lt;&gt;0,$A51&lt;&gt;""),LOOKUP($A51,Discrete_NFET[PARTNUMBER],Discrete_NFET[QGS]),"")</f>
        <v>4.5</v>
      </c>
      <c r="X51" s="35">
        <f>IF(AND($A51&lt;&gt;0,$A51&lt;&gt;""),LOOKUP($A51,Discrete_NFET[PARTNUMBER],Discrete_NFET[QGD]),"")</f>
        <v>4.3</v>
      </c>
      <c r="Y51" s="35">
        <f>IF(AND($A51&lt;&gt;0,$A51&lt;&gt;""),LOOKUP($A51,Discrete_NFET[PARTNUMBER],Discrete_NFET[QGTH]),"")</f>
        <v>3.8</v>
      </c>
      <c r="Z51" s="35">
        <f t="shared" si="25"/>
        <v>5.0000000000000009</v>
      </c>
      <c r="AA51" s="35">
        <f>IF(AND($A51&lt;&gt;0,$A51&lt;&gt;""),LOOKUP($A51,Discrete_NFET[PARTNUMBER],Discrete_NFET[QOSSTYP]),"")</f>
        <v>30</v>
      </c>
      <c r="AB51" s="35">
        <f>IF(AND($A51&lt;&gt;0,$A51&lt;&gt;""),LOOKUP($A51,Discrete_NFET[PARTNUMBER],Discrete_NFET[QRR]),"")</f>
        <v>52</v>
      </c>
      <c r="AC51" s="35">
        <f>IF(AND(A51&lt;&gt;0,A51&lt;&gt;""),LOOKUP(A51,Discrete_NFET[PARTNUMBER],Discrete_NFET[VF_TYP]),"")</f>
        <v>0.8</v>
      </c>
      <c r="AD51" s="127">
        <f>IF(AND($A51&lt;&gt;0,$A51&lt;&gt;"",OR(RIGHT(Logic!B51,2)="C)",LEFT(Logic!B51,4)="CSD1")),(1+(1-DUTY))*IM_RMS_120^2*V51*m/3/Num_FETS3,"")</f>
        <v>0.21351521622037548</v>
      </c>
      <c r="AE51" s="127">
        <f>IF(AND($A51&lt;&gt;0,$A51&lt;&gt;"",OR(RIGHT(Logic!B51,2)="C)",LEFT(Logic!B51,4)="CSD1")),Num_FETS3*0.5*IM_RMS_120*VDC_AVG*Z51*n*MOT_ELEC_FREQ/GDR_SRC,"")</f>
        <v>1.6124871001031994E-5</v>
      </c>
      <c r="AF51" s="127">
        <f>IF(AND($A51&lt;&gt;0,$A51&lt;&gt;"",OR(RIGHT(Logic!B51,2)="C)",LEFT(Logic!B51,4)="CSD1")),Num_FETS3*0.5*IM_RMS_120*VDC_AVG*Z51*n*MOT_ELEC_FREQ/GDR_SINK,"")</f>
        <v>1.0964912280701757E-5</v>
      </c>
      <c r="AG51" s="127">
        <f>IF(AND($A51&lt;&gt;0,$A51&lt;&gt;"",OR(RIGHT(Logic!B51,2)="T)",LEFT(Logic!B51,4)="CSD1")),DUTY*IM_RMS_120^2*V51*m/3/Num_FETS3,"")</f>
        <v>0.19318043372319682</v>
      </c>
      <c r="AH51" s="127">
        <f>IF(AND($A51&lt;&gt;0,$A51&lt;&gt;"",OR(RIGHT(Logic!B51,2)="T)",LEFT(Logic!B51,4)="CSD1")),Num_FETS3*0.5*IM_RMS_120*VDC_AVG*Z51*n*FSW*k/GDR_SRC/3,"")</f>
        <v>3.2249742002063986E-3</v>
      </c>
      <c r="AI51" s="127">
        <f>IF(AND($A51&lt;&gt;0,$A51&lt;&gt;"",OR(RIGHT(Logic!B51,2)="T)",LEFT(Logic!B51,4)="CSD1")),Num_FETS3*0.5*IM_RMS_120*VDC_AVG*Z51*n*FSW*k/GDR_SINK/3,"")</f>
        <v>2.1929824561403512E-3</v>
      </c>
      <c r="AJ51" s="127">
        <f t="shared" si="28"/>
        <v>3.6000000000000003E-3</v>
      </c>
      <c r="AK51" s="127">
        <f t="shared" si="29"/>
        <v>1.2414567897146714E-2</v>
      </c>
      <c r="AL51" s="127">
        <f t="shared" si="30"/>
        <v>1.2500800000000001E-2</v>
      </c>
      <c r="AM51" s="127">
        <f t="shared" si="26"/>
        <v>0.37243703691440144</v>
      </c>
      <c r="AN51" s="127">
        <f>IF(AND($A51&lt;&gt;0,$A51&lt;&gt;"",OR(RIGHT(Logic!B51,2)="C)",LEFT(Logic!B51,4)="CSD1")),SUM(AD51:AF51)+(AJ51/3)+AK51+AL51/6+AM51/6,AN52)</f>
        <v>0.29131318005320417</v>
      </c>
      <c r="AO51" s="127">
        <f>IF(AND($A51&lt;&gt;0,$A51&lt;&gt;"",OR(RIGHT(Logic!B51,2)="T)",LEFT(Logic!B51,4)="CSD1")),SUM(AG51:AI51)+(AJ51/3)+AL51/6+AM51/6,AO50)</f>
        <v>0.26395469653194381</v>
      </c>
      <c r="AP51" s="48">
        <f t="shared" si="27"/>
        <v>0.56000000000000005</v>
      </c>
      <c r="AQ51" s="35" t="str">
        <f>IF(AND(A51&lt;&gt;0,A51&lt;&gt;""),LOOKUP(A51,Discrete_NFET[PARTNUMBER],Discrete_NFET[TI_EQ_PACKAGE]),"")</f>
        <v>SON5X6</v>
      </c>
      <c r="AR51" s="49">
        <f>IF(AND(A51&lt;&gt;0,A51&lt;&gt;""),LOOKUP(A51,Discrete_NFET[PARTNUMBER],Discrete_NFET[1KPRICE]),"")</f>
        <v>0.44</v>
      </c>
      <c r="AS51" s="35" t="str">
        <f>IF(AND($A51&lt;&gt;0,$A51&lt;&gt;""),CONCATENATE(TEXT(AP51,"0.00"),"W, ",IF('User Input'!H$11="Single Discrete",A51,IF('User Input'!H$11="Dual/Power Block",LEFT(A51,FIND(")",A51)-7),A51)),", ",AQ51,", ",TEXT(AR51,"$0.00")),"Invalid Part")</f>
        <v>0.56W, CSD18503Q5A, SON5X6, $0.44</v>
      </c>
      <c r="AT51" t="s">
        <v>874</v>
      </c>
      <c r="AW51"/>
    </row>
    <row r="52" spans="1:49" ht="15" customHeight="1" x14ac:dyDescent="0.25">
      <c r="A52" s="35" t="str">
        <f>IF(OR(AND(FET_config3="Dual/Power Block",LEFT(Logic!B52,4)="CSD8"),AND(FET_config3="Single Discrete",LEFT(Logic!B52,4)="CSD1")),Logic!B52,"")</f>
        <v>CSD18504KCS</v>
      </c>
      <c r="B52" s="37" t="str">
        <f>IF(OR($A52=0,$A52=""),"0",IF(LOOKUP($A52,Discrete_NFET[PARTNUMBER],Discrete_NFET[RDSON25])="(NULL)","0","1"))</f>
        <v>0</v>
      </c>
      <c r="C52" s="38" t="str">
        <f>IF(OR($A52=0,$A52=""),"0",IF(LOOKUP($A52,Discrete_NFET[PARTNUMBER],Discrete_NFET[RDSON3])="(NULL)","0","1"))</f>
        <v>0</v>
      </c>
      <c r="D52" s="40" t="str">
        <f>IF(OR($A52=0,$A52=""),"0",IF(LOOKUP($A52,Discrete_NFET[PARTNUMBER],Discrete_NFET[RDSON45])="(NULL)","0","1"))</f>
        <v>1</v>
      </c>
      <c r="E52" s="45" t="str">
        <f>IF(OR($A52=0,$A52=""),"0",IF(LOOKUP($A52,Discrete_NFET[PARTNUMBER],Discrete_NFET[RDSON6])="(NULL)","0","1"))</f>
        <v>0</v>
      </c>
      <c r="F52" s="34" t="str">
        <f>IF(OR($A52=0,$A52=""),"0",IF(LOOKUP($A52,Discrete_NFET[PARTNUMBER],Discrete_NFET[RDSON8])="(NULL)","0","1"))</f>
        <v>0</v>
      </c>
      <c r="G52" s="43" t="str">
        <f>IF(OR($A52=0,$A52=""),"0",IF(LOOKUP($A52,Discrete_NFET[PARTNUMBER],Discrete_NFET[RDSON10])="(NULL)","0","1"))</f>
        <v>1</v>
      </c>
      <c r="H52" s="36" t="b">
        <f t="shared" si="12"/>
        <v>0</v>
      </c>
      <c r="I52" s="39" t="b">
        <f t="shared" si="13"/>
        <v>0</v>
      </c>
      <c r="J52" s="41" t="b">
        <f t="shared" si="14"/>
        <v>1</v>
      </c>
      <c r="K52" s="46" t="b">
        <f t="shared" si="15"/>
        <v>0</v>
      </c>
      <c r="L52" s="42" t="b">
        <f t="shared" si="16"/>
        <v>0</v>
      </c>
      <c r="M52" s="44" t="b">
        <f t="shared" si="17"/>
        <v>1</v>
      </c>
      <c r="N52" s="47" t="b">
        <f t="shared" si="18"/>
        <v>1</v>
      </c>
      <c r="O52" s="36" t="b">
        <f t="shared" si="19"/>
        <v>0</v>
      </c>
      <c r="P52" s="39" t="b">
        <f t="shared" si="20"/>
        <v>0</v>
      </c>
      <c r="Q52" s="41" t="b">
        <f t="shared" si="21"/>
        <v>1</v>
      </c>
      <c r="R52" s="46" t="b">
        <f t="shared" si="22"/>
        <v>0</v>
      </c>
      <c r="S52" s="42" t="b">
        <f t="shared" si="23"/>
        <v>0</v>
      </c>
      <c r="T52" s="44" t="b">
        <f t="shared" si="24"/>
        <v>1</v>
      </c>
      <c r="U52" s="148">
        <f>IF(T52,LOOKUP(A52,Discrete_NFET[PARTNUMBER],Discrete_NFET[RDSON10])*1000,IF(S52,LOOKUP(A52,Discrete_NFET[PARTNUMBER],Discrete_NFET[RDSON8])*1000,IF(R52,LOOKUP(A52,Discrete_NFET[PARTNUMBER],Discrete_NFET[RDSON6])*1000,IF(Q52,LOOKUP(A52,Discrete_NFET[PARTNUMBER],Discrete_NFET[RDSON45])*1000,IF(P52,LOOKUP(A52,Discrete_NFET[PARTNUMBER],Discrete_NFET[RDSON3])*1000,IF(O52,LOOKUP(A52,Discrete_NFET[PARTNUMBER],Discrete_NFET[RDSON25])*1000,""))))))</f>
        <v>7</v>
      </c>
      <c r="V52" s="48">
        <f>IF(AND(A52&lt;&gt;0,A52&lt;&gt;""),U52*(1+(Tj-25)*(LOOKUP(A52,Discrete_NFET[PARTNUMBER],Discrete_NFET[RDSDELTA])/((LOOKUP(A52,Discrete_NFET[PARTNUMBER],Discrete_NFET[TJMAX])-25)))),"")</f>
        <v>8.0266666666666673</v>
      </c>
      <c r="W52" s="35">
        <f>IF(AND($A52&lt;&gt;0,$A52&lt;&gt;""),LOOKUP($A52,Discrete_NFET[PARTNUMBER],Discrete_NFET[QGS]),"")</f>
        <v>4.4000000000000004</v>
      </c>
      <c r="X52" s="35">
        <f>IF(AND($A52&lt;&gt;0,$A52&lt;&gt;""),LOOKUP($A52,Discrete_NFET[PARTNUMBER],Discrete_NFET[QGD]),"")</f>
        <v>3.5</v>
      </c>
      <c r="Y52" s="35">
        <f>IF(AND($A52&lt;&gt;0,$A52&lt;&gt;""),LOOKUP($A52,Discrete_NFET[PARTNUMBER],Discrete_NFET[QGTH]),"")</f>
        <v>3</v>
      </c>
      <c r="Z52" s="35">
        <f t="shared" si="25"/>
        <v>4.9000000000000004</v>
      </c>
      <c r="AA52" s="35">
        <f>IF(AND($A52&lt;&gt;0,$A52&lt;&gt;""),LOOKUP($A52,Discrete_NFET[PARTNUMBER],Discrete_NFET[QOSSTYP]),"")</f>
        <v>19</v>
      </c>
      <c r="AB52" s="35">
        <f>IF(AND($A52&lt;&gt;0,$A52&lt;&gt;""),LOOKUP($A52,Discrete_NFET[PARTNUMBER],Discrete_NFET[QRR]),"")</f>
        <v>46</v>
      </c>
      <c r="AC52" s="35">
        <f>IF(AND(A52&lt;&gt;0,A52&lt;&gt;""),LOOKUP(A52,Discrete_NFET[PARTNUMBER],Discrete_NFET[VF_TYP]),"")</f>
        <v>0.8</v>
      </c>
      <c r="AD52" s="127">
        <f>IF(AND($A52&lt;&gt;0,$A52&lt;&gt;"",OR(RIGHT(Logic!B52,2)="C)",LEFT(Logic!B52,4)="CSD1")),(1+(1-DUTY))*IM_RMS_120^2*V52*m/3/Num_FETS3,"")</f>
        <v>0.33776418385144141</v>
      </c>
      <c r="AE52" s="127">
        <f>IF(AND($A52&lt;&gt;0,$A52&lt;&gt;"",OR(RIGHT(Logic!B52,2)="C)",LEFT(Logic!B52,4)="CSD1")),Num_FETS3*0.5*IM_RMS_120*VDC_AVG*Z52*n*MOT_ELEC_FREQ/GDR_SRC,"")</f>
        <v>1.5802373581011353E-5</v>
      </c>
      <c r="AF52" s="127">
        <f>IF(AND($A52&lt;&gt;0,$A52&lt;&gt;"",OR(RIGHT(Logic!B52,2)="C)",LEFT(Logic!B52,4)="CSD1")),Num_FETS3*0.5*IM_RMS_120*VDC_AVG*Z52*n*MOT_ELEC_FREQ/GDR_SINK,"")</f>
        <v>1.0745614035087721E-5</v>
      </c>
      <c r="AG52" s="127">
        <f>IF(AND($A52&lt;&gt;0,$A52&lt;&gt;"",OR(RIGHT(Logic!B52,2)="T)",LEFT(Logic!B52,4)="CSD1")),DUTY*IM_RMS_120^2*V52*m/3/Num_FETS3,"")</f>
        <v>0.30559616634178033</v>
      </c>
      <c r="AH52" s="127">
        <f>IF(AND($A52&lt;&gt;0,$A52&lt;&gt;"",OR(RIGHT(Logic!B52,2)="T)",LEFT(Logic!B52,4)="CSD1")),Num_FETS3*0.5*IM_RMS_120*VDC_AVG*Z52*n*FSW*k/GDR_SRC/3,"")</f>
        <v>3.1604747162022706E-3</v>
      </c>
      <c r="AI52" s="127">
        <f>IF(AND($A52&lt;&gt;0,$A52&lt;&gt;"",OR(RIGHT(Logic!B52,2)="T)",LEFT(Logic!B52,4)="CSD1")),Num_FETS3*0.5*IM_RMS_120*VDC_AVG*Z52*n*FSW*k/GDR_SINK/3,"")</f>
        <v>2.1491228070175442E-3</v>
      </c>
      <c r="AJ52" s="127">
        <f t="shared" si="28"/>
        <v>2.2800000000000003E-3</v>
      </c>
      <c r="AK52" s="127">
        <f t="shared" si="29"/>
        <v>1.2414567897146714E-2</v>
      </c>
      <c r="AL52" s="127">
        <f t="shared" si="30"/>
        <v>1.1058400000000001E-2</v>
      </c>
      <c r="AM52" s="127">
        <f t="shared" si="26"/>
        <v>0.37243703691440144</v>
      </c>
      <c r="AN52" s="127">
        <f>IF(AND($A52&lt;&gt;0,$A52&lt;&gt;"",OR(RIGHT(Logic!B52,2)="C)",LEFT(Logic!B52,4)="CSD1")),SUM(AD52:AF52)+(AJ52/3)+AK52+AL52/6+AM52/6,AN53)</f>
        <v>0.41488120588860444</v>
      </c>
      <c r="AO52" s="127">
        <f>IF(AND($A52&lt;&gt;0,$A52&lt;&gt;"",OR(RIGHT(Logic!B52,2)="T)",LEFT(Logic!B52,4)="CSD1")),SUM(AG52:AI52)+(AJ52/3)+AL52/6+AM52/6,AO51)</f>
        <v>0.37558167001740039</v>
      </c>
      <c r="AP52" s="48">
        <f t="shared" si="27"/>
        <v>0.79</v>
      </c>
      <c r="AQ52" s="35" t="str">
        <f>IF(AND(A52&lt;&gt;0,A52&lt;&gt;""),LOOKUP(A52,Discrete_NFET[PARTNUMBER],Discrete_NFET[TI_EQ_PACKAGE]),"")</f>
        <v>TO-220</v>
      </c>
      <c r="AR52" s="49">
        <f>IF(AND(A52&lt;&gt;0,A52&lt;&gt;""),LOOKUP(A52,Discrete_NFET[PARTNUMBER],Discrete_NFET[1KPRICE]),"")</f>
        <v>0.44</v>
      </c>
      <c r="AS52" s="35" t="str">
        <f>IF(AND($A52&lt;&gt;0,$A52&lt;&gt;""),CONCATENATE(TEXT(AP52,"0.00"),"W, ",IF('User Input'!H$11="Single Discrete",A52,IF('User Input'!H$11="Dual/Power Block",LEFT(A52,FIND(")",A52)-7),A52)),", ",AQ52,", ",TEXT(AR52,"$0.00")),"Invalid Part")</f>
        <v>0.79W, CSD18504KCS, TO-220, $0.44</v>
      </c>
      <c r="AT52" t="s">
        <v>840</v>
      </c>
      <c r="AW52"/>
    </row>
    <row r="53" spans="1:49" ht="15" customHeight="1" x14ac:dyDescent="0.25">
      <c r="A53" s="35" t="str">
        <f>IF(OR(AND(FET_config3="Dual/Power Block",LEFT(Logic!B53,4)="CSD8"),AND(FET_config3="Single Discrete",LEFT(Logic!B53,4)="CSD1")),Logic!B53,"")</f>
        <v>CSD18504Q5A</v>
      </c>
      <c r="B53" s="37" t="str">
        <f>IF(OR($A53=0,$A53=""),"0",IF(LOOKUP($A53,Discrete_NFET[PARTNUMBER],Discrete_NFET[RDSON25])="(NULL)","0","1"))</f>
        <v>0</v>
      </c>
      <c r="C53" s="38" t="str">
        <f>IF(OR($A53=0,$A53=""),"0",IF(LOOKUP($A53,Discrete_NFET[PARTNUMBER],Discrete_NFET[RDSON3])="(NULL)","0","1"))</f>
        <v>0</v>
      </c>
      <c r="D53" s="40" t="str">
        <f>IF(OR($A53=0,$A53=""),"0",IF(LOOKUP($A53,Discrete_NFET[PARTNUMBER],Discrete_NFET[RDSON45])="(NULL)","0","1"))</f>
        <v>1</v>
      </c>
      <c r="E53" s="45" t="str">
        <f>IF(OR($A53=0,$A53=""),"0",IF(LOOKUP($A53,Discrete_NFET[PARTNUMBER],Discrete_NFET[RDSON6])="(NULL)","0","1"))</f>
        <v>0</v>
      </c>
      <c r="F53" s="34" t="str">
        <f>IF(OR($A53=0,$A53=""),"0",IF(LOOKUP($A53,Discrete_NFET[PARTNUMBER],Discrete_NFET[RDSON8])="(NULL)","0","1"))</f>
        <v>0</v>
      </c>
      <c r="G53" s="43" t="str">
        <f>IF(OR($A53=0,$A53=""),"0",IF(LOOKUP($A53,Discrete_NFET[PARTNUMBER],Discrete_NFET[RDSON10])="(NULL)","0","1"))</f>
        <v>1</v>
      </c>
      <c r="H53" s="36" t="b">
        <f t="shared" si="12"/>
        <v>0</v>
      </c>
      <c r="I53" s="39" t="b">
        <f t="shared" si="13"/>
        <v>0</v>
      </c>
      <c r="J53" s="41" t="b">
        <f t="shared" si="14"/>
        <v>1</v>
      </c>
      <c r="K53" s="46" t="b">
        <f t="shared" si="15"/>
        <v>0</v>
      </c>
      <c r="L53" s="42" t="b">
        <f t="shared" si="16"/>
        <v>0</v>
      </c>
      <c r="M53" s="44" t="b">
        <f t="shared" si="17"/>
        <v>1</v>
      </c>
      <c r="N53" s="47" t="b">
        <f t="shared" si="18"/>
        <v>1</v>
      </c>
      <c r="O53" s="36" t="b">
        <f t="shared" si="19"/>
        <v>0</v>
      </c>
      <c r="P53" s="39" t="b">
        <f t="shared" si="20"/>
        <v>0</v>
      </c>
      <c r="Q53" s="41" t="b">
        <f t="shared" si="21"/>
        <v>1</v>
      </c>
      <c r="R53" s="46" t="b">
        <f t="shared" si="22"/>
        <v>0</v>
      </c>
      <c r="S53" s="42" t="b">
        <f t="shared" si="23"/>
        <v>0</v>
      </c>
      <c r="T53" s="44" t="b">
        <f t="shared" si="24"/>
        <v>1</v>
      </c>
      <c r="U53" s="148">
        <f>IF(T53,LOOKUP(A53,Discrete_NFET[PARTNUMBER],Discrete_NFET[RDSON10])*1000,IF(S53,LOOKUP(A53,Discrete_NFET[PARTNUMBER],Discrete_NFET[RDSON8])*1000,IF(R53,LOOKUP(A53,Discrete_NFET[PARTNUMBER],Discrete_NFET[RDSON6])*1000,IF(Q53,LOOKUP(A53,Discrete_NFET[PARTNUMBER],Discrete_NFET[RDSON45])*1000,IF(P53,LOOKUP(A53,Discrete_NFET[PARTNUMBER],Discrete_NFET[RDSON3])*1000,IF(O53,LOOKUP(A53,Discrete_NFET[PARTNUMBER],Discrete_NFET[RDSON25])*1000,""))))))</f>
        <v>6.6</v>
      </c>
      <c r="V53" s="48">
        <f>IF(AND(A53&lt;&gt;0,A53&lt;&gt;""),U53*(1+(Tj-25)*(LOOKUP(A53,Discrete_NFET[PARTNUMBER],Discrete_NFET[RDSDELTA])/((LOOKUP(A53,Discrete_NFET[PARTNUMBER],Discrete_NFET[TJMAX])-25)))),"")</f>
        <v>7.7087999999999992</v>
      </c>
      <c r="W53" s="35">
        <f>IF(AND($A53&lt;&gt;0,$A53&lt;&gt;""),LOOKUP($A53,Discrete_NFET[PARTNUMBER],Discrete_NFET[QGS]),"")</f>
        <v>3.2</v>
      </c>
      <c r="X53" s="35">
        <f>IF(AND($A53&lt;&gt;0,$A53&lt;&gt;""),LOOKUP($A53,Discrete_NFET[PARTNUMBER],Discrete_NFET[QGD]),"")</f>
        <v>2.4</v>
      </c>
      <c r="Y53" s="35">
        <f>IF(AND($A53&lt;&gt;0,$A53&lt;&gt;""),LOOKUP($A53,Discrete_NFET[PARTNUMBER],Discrete_NFET[QGTH]),"")</f>
        <v>2.2000000000000002</v>
      </c>
      <c r="Z53" s="35">
        <f t="shared" si="25"/>
        <v>3.3999999999999995</v>
      </c>
      <c r="AA53" s="35">
        <f>IF(AND($A53&lt;&gt;0,$A53&lt;&gt;""),LOOKUP($A53,Discrete_NFET[PARTNUMBER],Discrete_NFET[QOSSTYP]),"")</f>
        <v>21</v>
      </c>
      <c r="AB53" s="35">
        <f>IF(AND($A53&lt;&gt;0,$A53&lt;&gt;""),LOOKUP($A53,Discrete_NFET[PARTNUMBER],Discrete_NFET[QRR]),"")</f>
        <v>39</v>
      </c>
      <c r="AC53" s="35">
        <f>IF(AND(A53&lt;&gt;0,A53&lt;&gt;""),LOOKUP(A53,Discrete_NFET[PARTNUMBER],Discrete_NFET[VF_TYP]),"")</f>
        <v>0.8</v>
      </c>
      <c r="AD53" s="127">
        <f>IF(AND($A53&lt;&gt;0,$A53&lt;&gt;"",OR(RIGHT(Logic!B53,2)="C)",LEFT(Logic!B53,4)="CSD1")),(1+(1-DUTY))*IM_RMS_120^2*V53*m/3/Num_FETS3,"")</f>
        <v>0.32438827331486603</v>
      </c>
      <c r="AE53" s="127">
        <f>IF(AND($A53&lt;&gt;0,$A53&lt;&gt;"",OR(RIGHT(Logic!B53,2)="C)",LEFT(Logic!B53,4)="CSD1")),Num_FETS3*0.5*IM_RMS_120*VDC_AVG*Z53*n*MOT_ELEC_FREQ/GDR_SRC,"")</f>
        <v>1.0964912280701752E-5</v>
      </c>
      <c r="AF53" s="127">
        <f>IF(AND($A53&lt;&gt;0,$A53&lt;&gt;"",OR(RIGHT(Logic!B53,2)="C)",LEFT(Logic!B53,4)="CSD1")),Num_FETS3*0.5*IM_RMS_120*VDC_AVG*Z53*n*MOT_ELEC_FREQ/GDR_SINK,"")</f>
        <v>7.4561403508771912E-6</v>
      </c>
      <c r="AG53" s="127">
        <f>IF(AND($A53&lt;&gt;0,$A53&lt;&gt;"",OR(RIGHT(Logic!B53,2)="T)",LEFT(Logic!B53,4)="CSD1")),DUTY*IM_RMS_120^2*V53*m/3/Num_FETS3,"")</f>
        <v>0.29349415204678353</v>
      </c>
      <c r="AH53" s="127">
        <f>IF(AND($A53&lt;&gt;0,$A53&lt;&gt;"",OR(RIGHT(Logic!B53,2)="T)",LEFT(Logic!B53,4)="CSD1")),Num_FETS3*0.5*IM_RMS_120*VDC_AVG*Z53*n*FSW*k/GDR_SRC/3,"")</f>
        <v>2.1929824561403503E-3</v>
      </c>
      <c r="AI53" s="127">
        <f>IF(AND($A53&lt;&gt;0,$A53&lt;&gt;"",OR(RIGHT(Logic!B53,2)="T)",LEFT(Logic!B53,4)="CSD1")),Num_FETS3*0.5*IM_RMS_120*VDC_AVG*Z53*n*FSW*k/GDR_SINK/3,"")</f>
        <v>1.4912280701754382E-3</v>
      </c>
      <c r="AJ53" s="127">
        <f t="shared" si="28"/>
        <v>2.5200000000000001E-3</v>
      </c>
      <c r="AK53" s="127">
        <f t="shared" si="29"/>
        <v>1.2414567897146714E-2</v>
      </c>
      <c r="AL53" s="127">
        <f t="shared" si="30"/>
        <v>9.3756000000000013E-3</v>
      </c>
      <c r="AM53" s="127">
        <f t="shared" si="26"/>
        <v>0.37243703691440144</v>
      </c>
      <c r="AN53" s="127">
        <f>IF(AND($A53&lt;&gt;0,$A53&lt;&gt;"",OR(RIGHT(Logic!B53,2)="C)",LEFT(Logic!B53,4)="CSD1")),SUM(AD53:AF53)+(AJ53/3)+AK53+AL53/6+AM53/6,AN54)</f>
        <v>0.4012967017503779</v>
      </c>
      <c r="AO53" s="127">
        <f>IF(AND($A53&lt;&gt;0,$A53&lt;&gt;"",OR(RIGHT(Logic!B53,2)="T)",LEFT(Logic!B53,4)="CSD1")),SUM(AG53:AI53)+(AJ53/3)+AL53/6+AM53/6,AO52)</f>
        <v>0.36165380205883291</v>
      </c>
      <c r="AP53" s="48">
        <f t="shared" si="27"/>
        <v>0.76</v>
      </c>
      <c r="AQ53" s="35" t="str">
        <f>IF(AND(A53&lt;&gt;0,A53&lt;&gt;""),LOOKUP(A53,Discrete_NFET[PARTNUMBER],Discrete_NFET[TI_EQ_PACKAGE]),"")</f>
        <v>SON5X6</v>
      </c>
      <c r="AR53" s="49">
        <f>IF(AND(A53&lt;&gt;0,A53&lt;&gt;""),LOOKUP(A53,Discrete_NFET[PARTNUMBER],Discrete_NFET[1KPRICE]),"")</f>
        <v>0.31</v>
      </c>
      <c r="AS53" s="35" t="str">
        <f>IF(AND($A53&lt;&gt;0,$A53&lt;&gt;""),CONCATENATE(TEXT(AP53,"0.00"),"W, ",IF('User Input'!H$11="Single Discrete",A53,IF('User Input'!H$11="Dual/Power Block",LEFT(A53,FIND(")",A53)-7),A53)),", ",AQ53,", ",TEXT(AR53,"$0.00")),"Invalid Part")</f>
        <v>0.76W, CSD18504Q5A, SON5X6, $0.31</v>
      </c>
      <c r="AT53" t="s">
        <v>803</v>
      </c>
      <c r="AW53"/>
    </row>
    <row r="54" spans="1:49" ht="15" customHeight="1" x14ac:dyDescent="0.25">
      <c r="A54" s="35" t="str">
        <f>IF(OR(AND(FET_config3="Dual/Power Block",LEFT(Logic!B54,4)="CSD8"),AND(FET_config3="Single Discrete",LEFT(Logic!B54,4)="CSD1")),Logic!B54,"")</f>
        <v>CSD18509Q5B</v>
      </c>
      <c r="B54" s="37" t="str">
        <f>IF(OR($A54=0,$A54=""),"0",IF(LOOKUP($A54,Discrete_NFET[PARTNUMBER],Discrete_NFET[RDSON25])="(NULL)","0","1"))</f>
        <v>0</v>
      </c>
      <c r="C54" s="38" t="str">
        <f>IF(OR($A54=0,$A54=""),"0",IF(LOOKUP($A54,Discrete_NFET[PARTNUMBER],Discrete_NFET[RDSON3])="(NULL)","0","1"))</f>
        <v>0</v>
      </c>
      <c r="D54" s="40" t="str">
        <f>IF(OR($A54=0,$A54=""),"0",IF(LOOKUP($A54,Discrete_NFET[PARTNUMBER],Discrete_NFET[RDSON45])="(NULL)","0","1"))</f>
        <v>1</v>
      </c>
      <c r="E54" s="45" t="str">
        <f>IF(OR($A54=0,$A54=""),"0",IF(LOOKUP($A54,Discrete_NFET[PARTNUMBER],Discrete_NFET[RDSON6])="(NULL)","0","1"))</f>
        <v>0</v>
      </c>
      <c r="F54" s="34" t="str">
        <f>IF(OR($A54=0,$A54=""),"0",IF(LOOKUP($A54,Discrete_NFET[PARTNUMBER],Discrete_NFET[RDSON8])="(NULL)","0","1"))</f>
        <v>0</v>
      </c>
      <c r="G54" s="43" t="str">
        <f>IF(OR($A54=0,$A54=""),"0",IF(LOOKUP($A54,Discrete_NFET[PARTNUMBER],Discrete_NFET[RDSON10])="(NULL)","0","1"))</f>
        <v>1</v>
      </c>
      <c r="H54" s="36" t="b">
        <f t="shared" si="12"/>
        <v>0</v>
      </c>
      <c r="I54" s="39" t="b">
        <f t="shared" si="13"/>
        <v>0</v>
      </c>
      <c r="J54" s="41" t="b">
        <f t="shared" si="14"/>
        <v>1</v>
      </c>
      <c r="K54" s="46" t="b">
        <f t="shared" si="15"/>
        <v>0</v>
      </c>
      <c r="L54" s="42" t="b">
        <f t="shared" si="16"/>
        <v>0</v>
      </c>
      <c r="M54" s="44" t="b">
        <f t="shared" si="17"/>
        <v>1</v>
      </c>
      <c r="N54" s="47" t="b">
        <f t="shared" si="18"/>
        <v>1</v>
      </c>
      <c r="O54" s="36" t="b">
        <f t="shared" si="19"/>
        <v>0</v>
      </c>
      <c r="P54" s="39" t="b">
        <f t="shared" si="20"/>
        <v>0</v>
      </c>
      <c r="Q54" s="41" t="b">
        <f t="shared" si="21"/>
        <v>1</v>
      </c>
      <c r="R54" s="46" t="b">
        <f t="shared" si="22"/>
        <v>0</v>
      </c>
      <c r="S54" s="42" t="b">
        <f t="shared" si="23"/>
        <v>0</v>
      </c>
      <c r="T54" s="44" t="b">
        <f t="shared" si="24"/>
        <v>1</v>
      </c>
      <c r="U54" s="148">
        <f>IF(T54,LOOKUP(A54,Discrete_NFET[PARTNUMBER],Discrete_NFET[RDSON10])*1000,IF(S54,LOOKUP(A54,Discrete_NFET[PARTNUMBER],Discrete_NFET[RDSON8])*1000,IF(R54,LOOKUP(A54,Discrete_NFET[PARTNUMBER],Discrete_NFET[RDSON6])*1000,IF(Q54,LOOKUP(A54,Discrete_NFET[PARTNUMBER],Discrete_NFET[RDSON45])*1000,IF(P54,LOOKUP(A54,Discrete_NFET[PARTNUMBER],Discrete_NFET[RDSON3])*1000,IF(O54,LOOKUP(A54,Discrete_NFET[PARTNUMBER],Discrete_NFET[RDSON25])*1000,""))))))</f>
        <v>1.2</v>
      </c>
      <c r="V54" s="48">
        <f>IF(AND(A54&lt;&gt;0,A54&lt;&gt;""),U54*(1+(Tj-25)*(LOOKUP(A54,Discrete_NFET[PARTNUMBER],Discrete_NFET[RDSDELTA])/((LOOKUP(A54,Discrete_NFET[PARTNUMBER],Discrete_NFET[TJMAX])-25)))),"")</f>
        <v>1.3967999999999998</v>
      </c>
      <c r="W54" s="35">
        <f>IF(AND($A54&lt;&gt;0,$A54&lt;&gt;""),LOOKUP($A54,Discrete_NFET[PARTNUMBER],Discrete_NFET[QGS]),"")</f>
        <v>29</v>
      </c>
      <c r="X54" s="35">
        <f>IF(AND($A54&lt;&gt;0,$A54&lt;&gt;""),LOOKUP($A54,Discrete_NFET[PARTNUMBER],Discrete_NFET[QGD]),"")</f>
        <v>17</v>
      </c>
      <c r="Y54" s="35">
        <f>IF(AND($A54&lt;&gt;0,$A54&lt;&gt;""),LOOKUP($A54,Discrete_NFET[PARTNUMBER],Discrete_NFET[QGTH]),"")</f>
        <v>18</v>
      </c>
      <c r="Z54" s="35">
        <f t="shared" si="25"/>
        <v>28</v>
      </c>
      <c r="AA54" s="35">
        <f>IF(AND($A54&lt;&gt;0,$A54&lt;&gt;""),LOOKUP($A54,Discrete_NFET[PARTNUMBER],Discrete_NFET[QOSSTYP]),"")</f>
        <v>39</v>
      </c>
      <c r="AB54" s="35">
        <f>IF(AND($A54&lt;&gt;0,$A54&lt;&gt;""),LOOKUP($A54,Discrete_NFET[PARTNUMBER],Discrete_NFET[QRR]),"")</f>
        <v>40</v>
      </c>
      <c r="AC54" s="35">
        <f>IF(AND(A54&lt;&gt;0,A54&lt;&gt;""),LOOKUP(A54,Discrete_NFET[PARTNUMBER],Discrete_NFET[VF_TYP]),"")</f>
        <v>0.8</v>
      </c>
      <c r="AD54" s="127">
        <f>IF(AND($A54&lt;&gt;0,$A54&lt;&gt;"",OR(RIGHT(Logic!B54,2)="C)",LEFT(Logic!B54,4)="CSD1")),(1+(1-DUTY))*IM_RMS_120^2*V54*m/3/Num_FETS3,"")</f>
        <v>5.8777700831024911E-2</v>
      </c>
      <c r="AE54" s="127">
        <f>IF(AND($A54&lt;&gt;0,$A54&lt;&gt;"",OR(RIGHT(Logic!B54,2)="C)",LEFT(Logic!B54,4)="CSD1")),Num_FETS3*0.5*IM_RMS_120*VDC_AVG*Z54*n*MOT_ELEC_FREQ/GDR_SRC,"")</f>
        <v>9.0299277605779155E-5</v>
      </c>
      <c r="AF54" s="127">
        <f>IF(AND($A54&lt;&gt;0,$A54&lt;&gt;"",OR(RIGHT(Logic!B54,2)="C)",LEFT(Logic!B54,4)="CSD1")),Num_FETS3*0.5*IM_RMS_120*VDC_AVG*Z54*n*MOT_ELEC_FREQ/GDR_SINK,"")</f>
        <v>6.1403508771929827E-5</v>
      </c>
      <c r="AG54" s="127">
        <f>IF(AND($A54&lt;&gt;0,$A54&lt;&gt;"",OR(RIGHT(Logic!B54,2)="T)",LEFT(Logic!B54,4)="CSD1")),DUTY*IM_RMS_120^2*V54*m/3/Num_FETS3,"")</f>
        <v>5.3179824561403487E-2</v>
      </c>
      <c r="AH54" s="127">
        <f>IF(AND($A54&lt;&gt;0,$A54&lt;&gt;"",OR(RIGHT(Logic!B54,2)="T)",LEFT(Logic!B54,4)="CSD1")),Num_FETS3*0.5*IM_RMS_120*VDC_AVG*Z54*n*FSW*k/GDR_SRC/3,"")</f>
        <v>1.805985552115583E-2</v>
      </c>
      <c r="AI54" s="127">
        <f>IF(AND($A54&lt;&gt;0,$A54&lt;&gt;"",OR(RIGHT(Logic!B54,2)="T)",LEFT(Logic!B54,4)="CSD1")),Num_FETS3*0.5*IM_RMS_120*VDC_AVG*Z54*n*FSW*k/GDR_SINK/3,"")</f>
        <v>1.2280701754385963E-2</v>
      </c>
      <c r="AJ54" s="127">
        <f t="shared" si="28"/>
        <v>4.6800000000000001E-3</v>
      </c>
      <c r="AK54" s="127">
        <f t="shared" si="29"/>
        <v>1.2414567897146714E-2</v>
      </c>
      <c r="AL54" s="127">
        <f t="shared" si="30"/>
        <v>9.6160000000000013E-3</v>
      </c>
      <c r="AM54" s="127">
        <f t="shared" si="26"/>
        <v>0.37243703691440144</v>
      </c>
      <c r="AN54" s="127">
        <f>IF(AND($A54&lt;&gt;0,$A54&lt;&gt;"",OR(RIGHT(Logic!B54,2)="C)",LEFT(Logic!B54,4)="CSD1")),SUM(AD54:AF54)+(AJ54/3)+AK54+AL54/6+AM54/6,AN55)</f>
        <v>0.13657947766694958</v>
      </c>
      <c r="AO54" s="127">
        <f>IF(AND($A54&lt;&gt;0,$A54&lt;&gt;"",OR(RIGHT(Logic!B54,2)="T)",LEFT(Logic!B54,4)="CSD1")),SUM(AG54:AI54)+(AJ54/3)+AL54/6+AM54/6,AO53)</f>
        <v>0.14875588798934553</v>
      </c>
      <c r="AP54" s="48">
        <f t="shared" si="27"/>
        <v>0.28999999999999998</v>
      </c>
      <c r="AQ54" s="35" t="str">
        <f>IF(AND(A54&lt;&gt;0,A54&lt;&gt;""),LOOKUP(A54,Discrete_NFET[PARTNUMBER],Discrete_NFET[TI_EQ_PACKAGE]),"")</f>
        <v>SON5X6</v>
      </c>
      <c r="AR54" s="49">
        <f>IF(AND(A54&lt;&gt;0,A54&lt;&gt;""),LOOKUP(A54,Discrete_NFET[PARTNUMBER],Discrete_NFET[1KPRICE]),"")</f>
        <v>0.76</v>
      </c>
      <c r="AS54" s="35" t="str">
        <f>IF(AND($A54&lt;&gt;0,$A54&lt;&gt;""),CONCATENATE(TEXT(AP54,"0.00"),"W, ",IF('User Input'!H$11="Single Discrete",A54,IF('User Input'!H$11="Dual/Power Block",LEFT(A54,FIND(")",A54)-7),A54)),", ",AQ54,", ",TEXT(AR54,"$0.00")),"Invalid Part")</f>
        <v>0.29W, CSD18509Q5B, SON5X6, $0.76</v>
      </c>
      <c r="AT54" t="s">
        <v>854</v>
      </c>
      <c r="AW54"/>
    </row>
    <row r="55" spans="1:49" ht="15" customHeight="1" x14ac:dyDescent="0.25">
      <c r="A55" s="35" t="str">
        <f>IF(OR(AND(FET_config3="Dual/Power Block",LEFT(Logic!B55,4)="CSD8"),AND(FET_config3="Single Discrete",LEFT(Logic!B55,4)="CSD1")),Logic!B55,"")</f>
        <v>CSD18510KCS</v>
      </c>
      <c r="B55" s="37" t="str">
        <f>IF(OR($A55=0,$A55=""),"0",IF(LOOKUP($A55,Discrete_NFET[PARTNUMBER],Discrete_NFET[RDSON25])="(NULL)","0","1"))</f>
        <v>0</v>
      </c>
      <c r="C55" s="38" t="str">
        <f>IF(OR($A55=0,$A55=""),"0",IF(LOOKUP($A55,Discrete_NFET[PARTNUMBER],Discrete_NFET[RDSON3])="(NULL)","0","1"))</f>
        <v>0</v>
      </c>
      <c r="D55" s="40" t="str">
        <f>IF(OR($A55=0,$A55=""),"0",IF(LOOKUP($A55,Discrete_NFET[PARTNUMBER],Discrete_NFET[RDSON45])="(NULL)","0","1"))</f>
        <v>1</v>
      </c>
      <c r="E55" s="45" t="str">
        <f>IF(OR($A55=0,$A55=""),"0",IF(LOOKUP($A55,Discrete_NFET[PARTNUMBER],Discrete_NFET[RDSON6])="(NULL)","0","1"))</f>
        <v>0</v>
      </c>
      <c r="F55" s="34" t="str">
        <f>IF(OR($A55=0,$A55=""),"0",IF(LOOKUP($A55,Discrete_NFET[PARTNUMBER],Discrete_NFET[RDSON8])="(NULL)","0","1"))</f>
        <v>0</v>
      </c>
      <c r="G55" s="43" t="str">
        <f>IF(OR($A55=0,$A55=""),"0",IF(LOOKUP($A55,Discrete_NFET[PARTNUMBER],Discrete_NFET[RDSON10])="(NULL)","0","1"))</f>
        <v>1</v>
      </c>
      <c r="H55" s="36" t="b">
        <f t="shared" si="12"/>
        <v>0</v>
      </c>
      <c r="I55" s="39" t="b">
        <f t="shared" si="13"/>
        <v>0</v>
      </c>
      <c r="J55" s="41" t="b">
        <f t="shared" si="14"/>
        <v>1</v>
      </c>
      <c r="K55" s="46" t="b">
        <f t="shared" si="15"/>
        <v>0</v>
      </c>
      <c r="L55" s="42" t="b">
        <f t="shared" si="16"/>
        <v>0</v>
      </c>
      <c r="M55" s="44" t="b">
        <f t="shared" si="17"/>
        <v>1</v>
      </c>
      <c r="N55" s="47" t="b">
        <f t="shared" si="18"/>
        <v>1</v>
      </c>
      <c r="O55" s="36" t="b">
        <f t="shared" si="19"/>
        <v>0</v>
      </c>
      <c r="P55" s="39" t="b">
        <f t="shared" si="20"/>
        <v>0</v>
      </c>
      <c r="Q55" s="41" t="b">
        <f t="shared" si="21"/>
        <v>1</v>
      </c>
      <c r="R55" s="46" t="b">
        <f t="shared" si="22"/>
        <v>0</v>
      </c>
      <c r="S55" s="42" t="b">
        <f t="shared" si="23"/>
        <v>0</v>
      </c>
      <c r="T55" s="44" t="b">
        <f t="shared" si="24"/>
        <v>1</v>
      </c>
      <c r="U55" s="148">
        <f>IF(T55,LOOKUP(A55,Discrete_NFET[PARTNUMBER],Discrete_NFET[RDSON10])*1000,IF(S55,LOOKUP(A55,Discrete_NFET[PARTNUMBER],Discrete_NFET[RDSON8])*1000,IF(R55,LOOKUP(A55,Discrete_NFET[PARTNUMBER],Discrete_NFET[RDSON6])*1000,IF(Q55,LOOKUP(A55,Discrete_NFET[PARTNUMBER],Discrete_NFET[RDSON45])*1000,IF(P55,LOOKUP(A55,Discrete_NFET[PARTNUMBER],Discrete_NFET[RDSON3])*1000,IF(O55,LOOKUP(A55,Discrete_NFET[PARTNUMBER],Discrete_NFET[RDSON25])*1000,""))))))</f>
        <v>1.4</v>
      </c>
      <c r="V55" s="48">
        <f>IF(AND(A55&lt;&gt;0,A55&lt;&gt;""),U55*(1+(Tj-25)*(LOOKUP(A55,Discrete_NFET[PARTNUMBER],Discrete_NFET[RDSDELTA])/((LOOKUP(A55,Discrete_NFET[PARTNUMBER],Discrete_NFET[TJMAX])-25)))),"")</f>
        <v>1.5913333333333333</v>
      </c>
      <c r="W55" s="35">
        <f>IF(AND($A55&lt;&gt;0,$A55&lt;&gt;""),LOOKUP($A55,Discrete_NFET[PARTNUMBER],Discrete_NFET[QGS]),"")</f>
        <v>28</v>
      </c>
      <c r="X55" s="35">
        <f>IF(AND($A55&lt;&gt;0,$A55&lt;&gt;""),LOOKUP($A55,Discrete_NFET[PARTNUMBER],Discrete_NFET[QGD]),"")</f>
        <v>21</v>
      </c>
      <c r="Y55" s="35">
        <f>IF(AND($A55&lt;&gt;0,$A55&lt;&gt;""),LOOKUP($A55,Discrete_NFET[PARTNUMBER],Discrete_NFET[QGTH]),"")</f>
        <v>15</v>
      </c>
      <c r="Z55" s="35">
        <f t="shared" si="25"/>
        <v>34</v>
      </c>
      <c r="AA55" s="35">
        <f>IF(AND($A55&lt;&gt;0,$A55&lt;&gt;""),LOOKUP($A55,Discrete_NFET[PARTNUMBER],Discrete_NFET[QOSSTYP]),"")</f>
        <v>35</v>
      </c>
      <c r="AB55" s="35">
        <f>IF(AND($A55&lt;&gt;0,$A55&lt;&gt;""),LOOKUP($A55,Discrete_NFET[PARTNUMBER],Discrete_NFET[QRR]),"")</f>
        <v>70</v>
      </c>
      <c r="AC55" s="35">
        <f>IF(AND(A55&lt;&gt;0,A55&lt;&gt;""),LOOKUP(A55,Discrete_NFET[PARTNUMBER],Discrete_NFET[VF_TYP]),"")</f>
        <v>0.85</v>
      </c>
      <c r="AD55" s="127">
        <f>IF(AND($A55&lt;&gt;0,$A55&lt;&gt;"",OR(RIGHT(Logic!B55,2)="C)",LEFT(Logic!B55,4)="CSD1")),(1+(1-DUTY))*IM_RMS_120^2*V55*m/3/Num_FETS3,"")</f>
        <v>6.6963713193803204E-2</v>
      </c>
      <c r="AE55" s="127">
        <f>IF(AND($A55&lt;&gt;0,$A55&lt;&gt;"",OR(RIGHT(Logic!B55,2)="C)",LEFT(Logic!B55,4)="CSD1")),Num_FETS3*0.5*IM_RMS_120*VDC_AVG*Z55*n*MOT_ELEC_FREQ/GDR_SRC,"")</f>
        <v>1.0964912280701752E-4</v>
      </c>
      <c r="AF55" s="127">
        <f>IF(AND($A55&lt;&gt;0,$A55&lt;&gt;"",OR(RIGHT(Logic!B55,2)="C)",LEFT(Logic!B55,4)="CSD1")),Num_FETS3*0.5*IM_RMS_120*VDC_AVG*Z55*n*MOT_ELEC_FREQ/GDR_SINK,"")</f>
        <v>7.4561403508771921E-5</v>
      </c>
      <c r="AG55" s="127">
        <f>IF(AND($A55&lt;&gt;0,$A55&lt;&gt;"",OR(RIGHT(Logic!B55,2)="T)",LEFT(Logic!B55,4)="CSD1")),DUTY*IM_RMS_120^2*V55*m/3/Num_FETS3,"")</f>
        <v>6.0586216699155288E-2</v>
      </c>
      <c r="AH55" s="127">
        <f>IF(AND($A55&lt;&gt;0,$A55&lt;&gt;"",OR(RIGHT(Logic!B55,2)="T)",LEFT(Logic!B55,4)="CSD1")),Num_FETS3*0.5*IM_RMS_120*VDC_AVG*Z55*n*FSW*k/GDR_SRC/3,"")</f>
        <v>2.1929824561403504E-2</v>
      </c>
      <c r="AI55" s="127">
        <f>IF(AND($A55&lt;&gt;0,$A55&lt;&gt;"",OR(RIGHT(Logic!B55,2)="T)",LEFT(Logic!B55,4)="CSD1")),Num_FETS3*0.5*IM_RMS_120*VDC_AVG*Z55*n*FSW*k/GDR_SINK/3,"")</f>
        <v>1.4912280701754384E-2</v>
      </c>
      <c r="AJ55" s="127">
        <f t="shared" si="28"/>
        <v>4.2000000000000006E-3</v>
      </c>
      <c r="AK55" s="127">
        <f t="shared" si="29"/>
        <v>1.3190478390718382E-2</v>
      </c>
      <c r="AL55" s="127">
        <f t="shared" si="30"/>
        <v>1.6828000000000003E-2</v>
      </c>
      <c r="AM55" s="127">
        <f t="shared" si="26"/>
        <v>0.39571435172155139</v>
      </c>
      <c r="AN55" s="127">
        <f>IF(AND($A55&lt;&gt;0,$A55&lt;&gt;"",OR(RIGHT(Logic!B55,2)="C)",LEFT(Logic!B55,4)="CSD1")),SUM(AD55:AF55)+(AJ55/3)+AK55+AL55/6+AM55/6,AN56)</f>
        <v>0.15049546073109593</v>
      </c>
      <c r="AO55" s="127">
        <f>IF(AND($A55&lt;&gt;0,$A55&lt;&gt;"",OR(RIGHT(Logic!B55,2)="T)",LEFT(Logic!B55,4)="CSD1")),SUM(AG55:AI55)+(AJ55/3)+AL55/6+AM55/6,AO54)</f>
        <v>0.16758538058257175</v>
      </c>
      <c r="AP55" s="48">
        <f t="shared" si="27"/>
        <v>0.32</v>
      </c>
      <c r="AQ55" s="35" t="str">
        <f>IF(AND(A55&lt;&gt;0,A55&lt;&gt;""),LOOKUP(A55,Discrete_NFET[PARTNUMBER],Discrete_NFET[TI_EQ_PACKAGE]),"")</f>
        <v>TO-220</v>
      </c>
      <c r="AR55" s="49">
        <f>IF(AND(A55&lt;&gt;0,A55&lt;&gt;""),LOOKUP(A55,Discrete_NFET[PARTNUMBER],Discrete_NFET[1KPRICE]),"")</f>
        <v>0.72</v>
      </c>
      <c r="AS55" s="35" t="str">
        <f>IF(AND($A55&lt;&gt;0,$A55&lt;&gt;""),CONCATENATE(TEXT(AP55,"0.00"),"W, ",IF('User Input'!H$11="Single Discrete",A55,IF('User Input'!H$11="Dual/Power Block",LEFT(A55,FIND(")",A55)-7),A55)),", ",AQ55,", ",TEXT(AR55,"$0.00")),"Invalid Part")</f>
        <v>0.32W, CSD18510KCS, TO-220, $0.72</v>
      </c>
      <c r="AT55" t="s">
        <v>814</v>
      </c>
      <c r="AW55"/>
    </row>
    <row r="56" spans="1:49" ht="15" customHeight="1" x14ac:dyDescent="0.25">
      <c r="A56" s="35" t="str">
        <f>IF(OR(AND(FET_config3="Dual/Power Block",LEFT(Logic!B56,4)="CSD8"),AND(FET_config3="Single Discrete",LEFT(Logic!B56,4)="CSD1")),Logic!B56,"")</f>
        <v>CSD18510KTT</v>
      </c>
      <c r="B56" s="37" t="str">
        <f>IF(OR($A56=0,$A56=""),"0",IF(LOOKUP($A56,Discrete_NFET[PARTNUMBER],Discrete_NFET[RDSON25])="(NULL)","0","1"))</f>
        <v>0</v>
      </c>
      <c r="C56" s="38" t="str">
        <f>IF(OR($A56=0,$A56=""),"0",IF(LOOKUP($A56,Discrete_NFET[PARTNUMBER],Discrete_NFET[RDSON3])="(NULL)","0","1"))</f>
        <v>0</v>
      </c>
      <c r="D56" s="40" t="str">
        <f>IF(OR($A56=0,$A56=""),"0",IF(LOOKUP($A56,Discrete_NFET[PARTNUMBER],Discrete_NFET[RDSON45])="(NULL)","0","1"))</f>
        <v>1</v>
      </c>
      <c r="E56" s="45" t="str">
        <f>IF(OR($A56=0,$A56=""),"0",IF(LOOKUP($A56,Discrete_NFET[PARTNUMBER],Discrete_NFET[RDSON6])="(NULL)","0","1"))</f>
        <v>0</v>
      </c>
      <c r="F56" s="34" t="str">
        <f>IF(OR($A56=0,$A56=""),"0",IF(LOOKUP($A56,Discrete_NFET[PARTNUMBER],Discrete_NFET[RDSON8])="(NULL)","0","1"))</f>
        <v>0</v>
      </c>
      <c r="G56" s="43" t="str">
        <f>IF(OR($A56=0,$A56=""),"0",IF(LOOKUP($A56,Discrete_NFET[PARTNUMBER],Discrete_NFET[RDSON10])="(NULL)","0","1"))</f>
        <v>1</v>
      </c>
      <c r="H56" s="36" t="b">
        <f t="shared" si="12"/>
        <v>0</v>
      </c>
      <c r="I56" s="39" t="b">
        <f t="shared" si="13"/>
        <v>0</v>
      </c>
      <c r="J56" s="41" t="b">
        <f t="shared" si="14"/>
        <v>1</v>
      </c>
      <c r="K56" s="46" t="b">
        <f t="shared" si="15"/>
        <v>0</v>
      </c>
      <c r="L56" s="42" t="b">
        <f t="shared" si="16"/>
        <v>0</v>
      </c>
      <c r="M56" s="44" t="b">
        <f t="shared" si="17"/>
        <v>1</v>
      </c>
      <c r="N56" s="47" t="b">
        <f t="shared" si="18"/>
        <v>1</v>
      </c>
      <c r="O56" s="36" t="b">
        <f t="shared" si="19"/>
        <v>0</v>
      </c>
      <c r="P56" s="39" t="b">
        <f t="shared" si="20"/>
        <v>0</v>
      </c>
      <c r="Q56" s="41" t="b">
        <f t="shared" si="21"/>
        <v>1</v>
      </c>
      <c r="R56" s="46" t="b">
        <f t="shared" si="22"/>
        <v>0</v>
      </c>
      <c r="S56" s="42" t="b">
        <f t="shared" si="23"/>
        <v>0</v>
      </c>
      <c r="T56" s="44" t="b">
        <f t="shared" si="24"/>
        <v>1</v>
      </c>
      <c r="U56" s="148">
        <f>IF(T56,LOOKUP(A56,Discrete_NFET[PARTNUMBER],Discrete_NFET[RDSON10])*1000,IF(S56,LOOKUP(A56,Discrete_NFET[PARTNUMBER],Discrete_NFET[RDSON8])*1000,IF(R56,LOOKUP(A56,Discrete_NFET[PARTNUMBER],Discrete_NFET[RDSON6])*1000,IF(Q56,LOOKUP(A56,Discrete_NFET[PARTNUMBER],Discrete_NFET[RDSON45])*1000,IF(P56,LOOKUP(A56,Discrete_NFET[PARTNUMBER],Discrete_NFET[RDSON3])*1000,IF(O56,LOOKUP(A56,Discrete_NFET[PARTNUMBER],Discrete_NFET[RDSON25])*1000,""))))))</f>
        <v>1.4</v>
      </c>
      <c r="V56" s="48">
        <f>IF(AND(A56&lt;&gt;0,A56&lt;&gt;""),U56*(1+(Tj-25)*(LOOKUP(A56,Discrete_NFET[PARTNUMBER],Discrete_NFET[RDSDELTA])/((LOOKUP(A56,Discrete_NFET[PARTNUMBER],Discrete_NFET[TJMAX])-25)))),"")</f>
        <v>1.5913333333333333</v>
      </c>
      <c r="W56" s="35">
        <f>IF(AND($A56&lt;&gt;0,$A56&lt;&gt;""),LOOKUP($A56,Discrete_NFET[PARTNUMBER],Discrete_NFET[QGS]),"")</f>
        <v>28</v>
      </c>
      <c r="X56" s="35">
        <f>IF(AND($A56&lt;&gt;0,$A56&lt;&gt;""),LOOKUP($A56,Discrete_NFET[PARTNUMBER],Discrete_NFET[QGD]),"")</f>
        <v>21</v>
      </c>
      <c r="Y56" s="35">
        <f>IF(AND($A56&lt;&gt;0,$A56&lt;&gt;""),LOOKUP($A56,Discrete_NFET[PARTNUMBER],Discrete_NFET[QGTH]),"")</f>
        <v>15</v>
      </c>
      <c r="Z56" s="35">
        <f t="shared" si="25"/>
        <v>34</v>
      </c>
      <c r="AA56" s="35">
        <f>IF(AND($A56&lt;&gt;0,$A56&lt;&gt;""),LOOKUP($A56,Discrete_NFET[PARTNUMBER],Discrete_NFET[QOSSTYP]),"")</f>
        <v>35</v>
      </c>
      <c r="AB56" s="35">
        <f>IF(AND($A56&lt;&gt;0,$A56&lt;&gt;""),LOOKUP($A56,Discrete_NFET[PARTNUMBER],Discrete_NFET[QRR]),"")</f>
        <v>70</v>
      </c>
      <c r="AC56" s="35">
        <f>IF(AND(A56&lt;&gt;0,A56&lt;&gt;""),LOOKUP(A56,Discrete_NFET[PARTNUMBER],Discrete_NFET[VF_TYP]),"")</f>
        <v>0.85</v>
      </c>
      <c r="AD56" s="127">
        <f>IF(AND($A56&lt;&gt;0,$A56&lt;&gt;"",OR(RIGHT(Logic!B56,2)="C)",LEFT(Logic!B56,4)="CSD1")),(1+(1-DUTY))*IM_RMS_120^2*V56*m/3/Num_FETS3,"")</f>
        <v>6.6963713193803204E-2</v>
      </c>
      <c r="AE56" s="127">
        <f>IF(AND($A56&lt;&gt;0,$A56&lt;&gt;"",OR(RIGHT(Logic!B56,2)="C)",LEFT(Logic!B56,4)="CSD1")),Num_FETS3*0.5*IM_RMS_120*VDC_AVG*Z56*n*MOT_ELEC_FREQ/GDR_SRC,"")</f>
        <v>1.0964912280701752E-4</v>
      </c>
      <c r="AF56" s="127">
        <f>IF(AND($A56&lt;&gt;0,$A56&lt;&gt;"",OR(RIGHT(Logic!B56,2)="C)",LEFT(Logic!B56,4)="CSD1")),Num_FETS3*0.5*IM_RMS_120*VDC_AVG*Z56*n*MOT_ELEC_FREQ/GDR_SINK,"")</f>
        <v>7.4561403508771921E-5</v>
      </c>
      <c r="AG56" s="127">
        <f>IF(AND($A56&lt;&gt;0,$A56&lt;&gt;"",OR(RIGHT(Logic!B56,2)="T)",LEFT(Logic!B56,4)="CSD1")),DUTY*IM_RMS_120^2*V56*m/3/Num_FETS3,"")</f>
        <v>6.0586216699155288E-2</v>
      </c>
      <c r="AH56" s="127">
        <f>IF(AND($A56&lt;&gt;0,$A56&lt;&gt;"",OR(RIGHT(Logic!B56,2)="T)",LEFT(Logic!B56,4)="CSD1")),Num_FETS3*0.5*IM_RMS_120*VDC_AVG*Z56*n*FSW*k/GDR_SRC/3,"")</f>
        <v>2.1929824561403504E-2</v>
      </c>
      <c r="AI56" s="127">
        <f>IF(AND($A56&lt;&gt;0,$A56&lt;&gt;"",OR(RIGHT(Logic!B56,2)="T)",LEFT(Logic!B56,4)="CSD1")),Num_FETS3*0.5*IM_RMS_120*VDC_AVG*Z56*n*FSW*k/GDR_SINK/3,"")</f>
        <v>1.4912280701754384E-2</v>
      </c>
      <c r="AJ56" s="127">
        <f t="shared" si="28"/>
        <v>4.2000000000000006E-3</v>
      </c>
      <c r="AK56" s="127">
        <f t="shared" si="29"/>
        <v>1.3190478390718382E-2</v>
      </c>
      <c r="AL56" s="127">
        <f t="shared" si="30"/>
        <v>1.6828000000000003E-2</v>
      </c>
      <c r="AM56" s="127">
        <f t="shared" si="26"/>
        <v>0.39571435172155139</v>
      </c>
      <c r="AN56" s="127">
        <f>IF(AND($A56&lt;&gt;0,$A56&lt;&gt;"",OR(RIGHT(Logic!B56,2)="C)",LEFT(Logic!B56,4)="CSD1")),SUM(AD56:AF56)+(AJ56/3)+AK56+AL56/6+AM56/6,AN57)</f>
        <v>0.15049546073109593</v>
      </c>
      <c r="AO56" s="127">
        <f>IF(AND($A56&lt;&gt;0,$A56&lt;&gt;"",OR(RIGHT(Logic!B56,2)="T)",LEFT(Logic!B56,4)="CSD1")),SUM(AG56:AI56)+(AJ56/3)+AL56/6+AM56/6,AO55)</f>
        <v>0.16758538058257175</v>
      </c>
      <c r="AP56" s="48">
        <f t="shared" si="27"/>
        <v>0.32</v>
      </c>
      <c r="AQ56" s="35" t="str">
        <f>IF(AND(A56&lt;&gt;0,A56&lt;&gt;""),LOOKUP(A56,Discrete_NFET[PARTNUMBER],Discrete_NFET[TI_EQ_PACKAGE]),"")</f>
        <v>DDPAK</v>
      </c>
      <c r="AR56" s="49">
        <f>IF(AND(A56&lt;&gt;0,A56&lt;&gt;""),LOOKUP(A56,Discrete_NFET[PARTNUMBER],Discrete_NFET[1KPRICE]),"")</f>
        <v>0.77</v>
      </c>
      <c r="AS56" s="35" t="str">
        <f>IF(AND($A56&lt;&gt;0,$A56&lt;&gt;""),CONCATENATE(TEXT(AP56,"0.00"),"W, ",IF('User Input'!H$11="Single Discrete",A56,IF('User Input'!H$11="Dual/Power Block",LEFT(A56,FIND(")",A56)-7),A56)),", ",AQ56,", ",TEXT(AR56,"$0.00")),"Invalid Part")</f>
        <v>0.32W, CSD18510KTT, DDPAK, $0.77</v>
      </c>
      <c r="AT56" t="s">
        <v>802</v>
      </c>
      <c r="AW56"/>
    </row>
    <row r="57" spans="1:49" ht="15" customHeight="1" x14ac:dyDescent="0.25">
      <c r="A57" s="35" t="str">
        <f>IF(OR(AND(FET_config3="Dual/Power Block",LEFT(Logic!B57,4)="CSD8"),AND(FET_config3="Single Discrete",LEFT(Logic!B57,4)="CSD1")),Logic!B57,"")</f>
        <v>CSD18510Q5B</v>
      </c>
      <c r="B57" s="37" t="str">
        <f>IF(OR($A57=0,$A57=""),"0",IF(LOOKUP($A57,Discrete_NFET[PARTNUMBER],Discrete_NFET[RDSON25])="(NULL)","0","1"))</f>
        <v>0</v>
      </c>
      <c r="C57" s="38" t="str">
        <f>IF(OR($A57=0,$A57=""),"0",IF(LOOKUP($A57,Discrete_NFET[PARTNUMBER],Discrete_NFET[RDSON3])="(NULL)","0","1"))</f>
        <v>0</v>
      </c>
      <c r="D57" s="40" t="str">
        <f>IF(OR($A57=0,$A57=""),"0",IF(LOOKUP($A57,Discrete_NFET[PARTNUMBER],Discrete_NFET[RDSON45])="(NULL)","0","1"))</f>
        <v>1</v>
      </c>
      <c r="E57" s="45" t="str">
        <f>IF(OR($A57=0,$A57=""),"0",IF(LOOKUP($A57,Discrete_NFET[PARTNUMBER],Discrete_NFET[RDSON6])="(NULL)","0","1"))</f>
        <v>0</v>
      </c>
      <c r="F57" s="34" t="str">
        <f>IF(OR($A57=0,$A57=""),"0",IF(LOOKUP($A57,Discrete_NFET[PARTNUMBER],Discrete_NFET[RDSON8])="(NULL)","0","1"))</f>
        <v>0</v>
      </c>
      <c r="G57" s="43" t="str">
        <f>IF(OR($A57=0,$A57=""),"0",IF(LOOKUP($A57,Discrete_NFET[PARTNUMBER],Discrete_NFET[RDSON10])="(NULL)","0","1"))</f>
        <v>1</v>
      </c>
      <c r="H57" s="36" t="b">
        <f t="shared" si="12"/>
        <v>0</v>
      </c>
      <c r="I57" s="39" t="b">
        <f t="shared" si="13"/>
        <v>0</v>
      </c>
      <c r="J57" s="41" t="b">
        <f t="shared" si="14"/>
        <v>1</v>
      </c>
      <c r="K57" s="46" t="b">
        <f t="shared" si="15"/>
        <v>0</v>
      </c>
      <c r="L57" s="42" t="b">
        <f t="shared" si="16"/>
        <v>0</v>
      </c>
      <c r="M57" s="44" t="b">
        <f t="shared" si="17"/>
        <v>1</v>
      </c>
      <c r="N57" s="47" t="b">
        <f t="shared" si="18"/>
        <v>1</v>
      </c>
      <c r="O57" s="36" t="b">
        <f t="shared" si="19"/>
        <v>0</v>
      </c>
      <c r="P57" s="39" t="b">
        <f t="shared" si="20"/>
        <v>0</v>
      </c>
      <c r="Q57" s="41" t="b">
        <f t="shared" si="21"/>
        <v>1</v>
      </c>
      <c r="R57" s="46" t="b">
        <f t="shared" si="22"/>
        <v>0</v>
      </c>
      <c r="S57" s="42" t="b">
        <f t="shared" si="23"/>
        <v>0</v>
      </c>
      <c r="T57" s="44" t="b">
        <f t="shared" si="24"/>
        <v>1</v>
      </c>
      <c r="U57" s="148">
        <f>IF(T57,LOOKUP(A57,Discrete_NFET[PARTNUMBER],Discrete_NFET[RDSON10])*1000,IF(S57,LOOKUP(A57,Discrete_NFET[PARTNUMBER],Discrete_NFET[RDSON8])*1000,IF(R57,LOOKUP(A57,Discrete_NFET[PARTNUMBER],Discrete_NFET[RDSON6])*1000,IF(Q57,LOOKUP(A57,Discrete_NFET[PARTNUMBER],Discrete_NFET[RDSON45])*1000,IF(P57,LOOKUP(A57,Discrete_NFET[PARTNUMBER],Discrete_NFET[RDSON3])*1000,IF(O57,LOOKUP(A57,Discrete_NFET[PARTNUMBER],Discrete_NFET[RDSON25])*1000,""))))))</f>
        <v>0.96000000000000008</v>
      </c>
      <c r="V57" s="48">
        <f>IF(AND(A57&lt;&gt;0,A57&lt;&gt;""),U57*(1+(Tj-25)*(LOOKUP(A57,Discrete_NFET[PARTNUMBER],Discrete_NFET[RDSDELTA])/((LOOKUP(A57,Discrete_NFET[PARTNUMBER],Discrete_NFET[TJMAX])-25)))),"")</f>
        <v>1.11744</v>
      </c>
      <c r="W57" s="35">
        <f>IF(AND($A57&lt;&gt;0,$A57&lt;&gt;""),LOOKUP($A57,Discrete_NFET[PARTNUMBER],Discrete_NFET[QGS]),"")</f>
        <v>28</v>
      </c>
      <c r="X57" s="35">
        <f>IF(AND($A57&lt;&gt;0,$A57&lt;&gt;""),LOOKUP($A57,Discrete_NFET[PARTNUMBER],Discrete_NFET[QGD]),"")</f>
        <v>21</v>
      </c>
      <c r="Y57" s="35">
        <f>IF(AND($A57&lt;&gt;0,$A57&lt;&gt;""),LOOKUP($A57,Discrete_NFET[PARTNUMBER],Discrete_NFET[QGTH]),"")</f>
        <v>15</v>
      </c>
      <c r="Z57" s="35">
        <f t="shared" si="25"/>
        <v>34</v>
      </c>
      <c r="AA57" s="35">
        <f>IF(AND($A57&lt;&gt;0,$A57&lt;&gt;""),LOOKUP($A57,Discrete_NFET[PARTNUMBER],Discrete_NFET[QOSSTYP]),"")</f>
        <v>35</v>
      </c>
      <c r="AB57" s="35">
        <f>IF(AND($A57&lt;&gt;0,$A57&lt;&gt;""),LOOKUP($A57,Discrete_NFET[PARTNUMBER],Discrete_NFET[QRR]),"")</f>
        <v>31</v>
      </c>
      <c r="AC57" s="35">
        <f>IF(AND(A57&lt;&gt;0,A57&lt;&gt;""),LOOKUP(A57,Discrete_NFET[PARTNUMBER],Discrete_NFET[VF_TYP]),"")</f>
        <v>0.8</v>
      </c>
      <c r="AD57" s="127">
        <f>IF(AND($A57&lt;&gt;0,$A57&lt;&gt;"",OR(RIGHT(Logic!B57,2)="C)",LEFT(Logic!B57,4)="CSD1")),(1+(1-DUTY))*IM_RMS_120^2*V57*m/3/Num_FETS3,"")</f>
        <v>4.7022160664819929E-2</v>
      </c>
      <c r="AE57" s="127">
        <f>IF(AND($A57&lt;&gt;0,$A57&lt;&gt;"",OR(RIGHT(Logic!B57,2)="C)",LEFT(Logic!B57,4)="CSD1")),Num_FETS3*0.5*IM_RMS_120*VDC_AVG*Z57*n*MOT_ELEC_FREQ/GDR_SRC,"")</f>
        <v>1.0964912280701752E-4</v>
      </c>
      <c r="AF57" s="127">
        <f>IF(AND($A57&lt;&gt;0,$A57&lt;&gt;"",OR(RIGHT(Logic!B57,2)="C)",LEFT(Logic!B57,4)="CSD1")),Num_FETS3*0.5*IM_RMS_120*VDC_AVG*Z57*n*MOT_ELEC_FREQ/GDR_SINK,"")</f>
        <v>7.4561403508771921E-5</v>
      </c>
      <c r="AG57" s="127">
        <f>IF(AND($A57&lt;&gt;0,$A57&lt;&gt;"",OR(RIGHT(Logic!B57,2)="T)",LEFT(Logic!B57,4)="CSD1")),DUTY*IM_RMS_120^2*V57*m/3/Num_FETS3,"")</f>
        <v>4.2543859649122794E-2</v>
      </c>
      <c r="AH57" s="127">
        <f>IF(AND($A57&lt;&gt;0,$A57&lt;&gt;"",OR(RIGHT(Logic!B57,2)="T)",LEFT(Logic!B57,4)="CSD1")),Num_FETS3*0.5*IM_RMS_120*VDC_AVG*Z57*n*FSW*k/GDR_SRC/3,"")</f>
        <v>2.1929824561403504E-2</v>
      </c>
      <c r="AI57" s="127">
        <f>IF(AND($A57&lt;&gt;0,$A57&lt;&gt;"",OR(RIGHT(Logic!B57,2)="T)",LEFT(Logic!B57,4)="CSD1")),Num_FETS3*0.5*IM_RMS_120*VDC_AVG*Z57*n*FSW*k/GDR_SINK/3,"")</f>
        <v>1.4912280701754384E-2</v>
      </c>
      <c r="AJ57" s="127">
        <f t="shared" si="28"/>
        <v>4.2000000000000006E-3</v>
      </c>
      <c r="AK57" s="127">
        <f t="shared" si="29"/>
        <v>1.2414567897146714E-2</v>
      </c>
      <c r="AL57" s="127">
        <f t="shared" si="30"/>
        <v>7.4524000000000005E-3</v>
      </c>
      <c r="AM57" s="127">
        <f t="shared" si="26"/>
        <v>0.37243703691440144</v>
      </c>
      <c r="AN57" s="127">
        <f>IF(AND($A57&lt;&gt;0,$A57&lt;&gt;"",OR(RIGHT(Logic!B57,2)="C)",LEFT(Logic!B57,4)="CSD1")),SUM(AD57:AF57)+(AJ57/3)+AK57+AL57/6+AM57/6,AN58)</f>
        <v>0.12433584524068267</v>
      </c>
      <c r="AO57" s="127">
        <f>IF(AND($A57&lt;&gt;0,$A57&lt;&gt;"",OR(RIGHT(Logic!B57,2)="T)",LEFT(Logic!B57,4)="CSD1")),SUM(AG57:AI57)+(AJ57/3)+AL57/6+AM57/6,AO56)</f>
        <v>0.14410087106468092</v>
      </c>
      <c r="AP57" s="48">
        <f t="shared" si="27"/>
        <v>0.27</v>
      </c>
      <c r="AQ57" s="35" t="str">
        <f>IF(AND(A57&lt;&gt;0,A57&lt;&gt;""),LOOKUP(A57,Discrete_NFET[PARTNUMBER],Discrete_NFET[TI_EQ_PACKAGE]),"")</f>
        <v>SON5X6</v>
      </c>
      <c r="AR57" s="49">
        <f>IF(AND(A57&lt;&gt;0,A57&lt;&gt;""),LOOKUP(A57,Discrete_NFET[PARTNUMBER],Discrete_NFET[1KPRICE]),"")</f>
        <v>0.75</v>
      </c>
      <c r="AS57" s="35" t="str">
        <f>IF(AND($A57&lt;&gt;0,$A57&lt;&gt;""),CONCATENATE(TEXT(AP57,"0.00"),"W, ",IF('User Input'!H$11="Single Discrete",A57,IF('User Input'!H$11="Dual/Power Block",LEFT(A57,FIND(")",A57)-7),A57)),", ",AQ57,", ",TEXT(AR57,"$0.00")),"Invalid Part")</f>
        <v>0.27W, CSD18510Q5B, SON5X6, $0.75</v>
      </c>
      <c r="AT57" t="s">
        <v>853</v>
      </c>
      <c r="AW57"/>
    </row>
    <row r="58" spans="1:49" ht="15" customHeight="1" x14ac:dyDescent="0.25">
      <c r="A58" s="35" t="str">
        <f>IF(OR(AND(FET_config3="Dual/Power Block",LEFT(Logic!B58,4)="CSD8"),AND(FET_config3="Single Discrete",LEFT(Logic!B58,4)="CSD1")),Logic!B58,"")</f>
        <v>CSD18511KCS</v>
      </c>
      <c r="B58" s="37" t="str">
        <f>IF(OR($A58=0,$A58=""),"0",IF(LOOKUP($A58,Discrete_NFET[PARTNUMBER],Discrete_NFET[RDSON25])="(NULL)","0","1"))</f>
        <v>0</v>
      </c>
      <c r="C58" s="38" t="str">
        <f>IF(OR($A58=0,$A58=""),"0",IF(LOOKUP($A58,Discrete_NFET[PARTNUMBER],Discrete_NFET[RDSON3])="(NULL)","0","1"))</f>
        <v>0</v>
      </c>
      <c r="D58" s="40" t="str">
        <f>IF(OR($A58=0,$A58=""),"0",IF(LOOKUP($A58,Discrete_NFET[PARTNUMBER],Discrete_NFET[RDSON45])="(NULL)","0","1"))</f>
        <v>1</v>
      </c>
      <c r="E58" s="45" t="str">
        <f>IF(OR($A58=0,$A58=""),"0",IF(LOOKUP($A58,Discrete_NFET[PARTNUMBER],Discrete_NFET[RDSON6])="(NULL)","0","1"))</f>
        <v>0</v>
      </c>
      <c r="F58" s="34" t="str">
        <f>IF(OR($A58=0,$A58=""),"0",IF(LOOKUP($A58,Discrete_NFET[PARTNUMBER],Discrete_NFET[RDSON8])="(NULL)","0","1"))</f>
        <v>0</v>
      </c>
      <c r="G58" s="43" t="str">
        <f>IF(OR($A58=0,$A58=""),"0",IF(LOOKUP($A58,Discrete_NFET[PARTNUMBER],Discrete_NFET[RDSON10])="(NULL)","0","1"))</f>
        <v>1</v>
      </c>
      <c r="H58" s="36" t="b">
        <f t="shared" si="12"/>
        <v>0</v>
      </c>
      <c r="I58" s="39" t="b">
        <f t="shared" si="13"/>
        <v>0</v>
      </c>
      <c r="J58" s="41" t="b">
        <f t="shared" si="14"/>
        <v>1</v>
      </c>
      <c r="K58" s="46" t="b">
        <f t="shared" si="15"/>
        <v>0</v>
      </c>
      <c r="L58" s="42" t="b">
        <f t="shared" si="16"/>
        <v>0</v>
      </c>
      <c r="M58" s="44" t="b">
        <f t="shared" si="17"/>
        <v>1</v>
      </c>
      <c r="N58" s="47" t="b">
        <f t="shared" si="18"/>
        <v>1</v>
      </c>
      <c r="O58" s="36" t="b">
        <f t="shared" si="19"/>
        <v>0</v>
      </c>
      <c r="P58" s="39" t="b">
        <f t="shared" si="20"/>
        <v>0</v>
      </c>
      <c r="Q58" s="41" t="b">
        <f t="shared" si="21"/>
        <v>1</v>
      </c>
      <c r="R58" s="46" t="b">
        <f t="shared" si="22"/>
        <v>0</v>
      </c>
      <c r="S58" s="42" t="b">
        <f t="shared" si="23"/>
        <v>0</v>
      </c>
      <c r="T58" s="44" t="b">
        <f t="shared" si="24"/>
        <v>1</v>
      </c>
      <c r="U58" s="148">
        <f>IF(T58,LOOKUP(A58,Discrete_NFET[PARTNUMBER],Discrete_NFET[RDSON10])*1000,IF(S58,LOOKUP(A58,Discrete_NFET[PARTNUMBER],Discrete_NFET[RDSON8])*1000,IF(R58,LOOKUP(A58,Discrete_NFET[PARTNUMBER],Discrete_NFET[RDSON6])*1000,IF(Q58,LOOKUP(A58,Discrete_NFET[PARTNUMBER],Discrete_NFET[RDSON45])*1000,IF(P58,LOOKUP(A58,Discrete_NFET[PARTNUMBER],Discrete_NFET[RDSON3])*1000,IF(O58,LOOKUP(A58,Discrete_NFET[PARTNUMBER],Discrete_NFET[RDSON25])*1000,""))))))</f>
        <v>2.6</v>
      </c>
      <c r="V58" s="48">
        <f>IF(AND(A58&lt;&gt;0,A58&lt;&gt;""),U58*(1+(Tj-25)*(LOOKUP(A58,Discrete_NFET[PARTNUMBER],Discrete_NFET[RDSDELTA])/((LOOKUP(A58,Discrete_NFET[PARTNUMBER],Discrete_NFET[TJMAX])-25)))),"")</f>
        <v>2.8860000000000006</v>
      </c>
      <c r="W58" s="35">
        <f>IF(AND($A58&lt;&gt;0,$A58&lt;&gt;""),LOOKUP($A58,Discrete_NFET[PARTNUMBER],Discrete_NFET[QGS]),"")</f>
        <v>17.899999999999999</v>
      </c>
      <c r="X58" s="35">
        <f>IF(AND($A58&lt;&gt;0,$A58&lt;&gt;""),LOOKUP($A58,Discrete_NFET[PARTNUMBER],Discrete_NFET[QGD]),"")</f>
        <v>9.6999999999999993</v>
      </c>
      <c r="Y58" s="35">
        <f>IF(AND($A58&lt;&gt;0,$A58&lt;&gt;""),LOOKUP($A58,Discrete_NFET[PARTNUMBER],Discrete_NFET[QGTH]),"")</f>
        <v>7.4</v>
      </c>
      <c r="Z58" s="35">
        <f t="shared" si="25"/>
        <v>20.199999999999996</v>
      </c>
      <c r="AA58" s="35">
        <f>IF(AND($A58&lt;&gt;0,$A58&lt;&gt;""),LOOKUP($A58,Discrete_NFET[PARTNUMBER],Discrete_NFET[QOSSTYP]),"")</f>
        <v>20.7</v>
      </c>
      <c r="AB58" s="35">
        <f>IF(AND($A58&lt;&gt;0,$A58&lt;&gt;""),LOOKUP($A58,Discrete_NFET[PARTNUMBER],Discrete_NFET[QRR]),"")</f>
        <v>62</v>
      </c>
      <c r="AC58" s="35">
        <f>IF(AND(A58&lt;&gt;0,A58&lt;&gt;""),LOOKUP(A58,Discrete_NFET[PARTNUMBER],Discrete_NFET[VF_TYP]),"")</f>
        <v>0.9</v>
      </c>
      <c r="AD58" s="127">
        <f>IF(AND($A58&lt;&gt;0,$A58&lt;&gt;"",OR(RIGHT(Logic!B58,2)="C)",LEFT(Logic!B58,4)="CSD1")),(1+(1-DUTY))*IM_RMS_120^2*V58*m/3/Num_FETS3,"")</f>
        <v>0.12144361726685134</v>
      </c>
      <c r="AE58" s="127">
        <f>IF(AND($A58&lt;&gt;0,$A58&lt;&gt;"",OR(RIGHT(Logic!B58,2)="C)",LEFT(Logic!B58,4)="CSD1")),Num_FETS3*0.5*IM_RMS_120*VDC_AVG*Z58*n*MOT_ELEC_FREQ/GDR_SRC,"")</f>
        <v>6.5144478844169243E-5</v>
      </c>
      <c r="AF58" s="127">
        <f>IF(AND($A58&lt;&gt;0,$A58&lt;&gt;"",OR(RIGHT(Logic!B58,2)="C)",LEFT(Logic!B58,4)="CSD1")),Num_FETS3*0.5*IM_RMS_120*VDC_AVG*Z58*n*MOT_ELEC_FREQ/GDR_SINK,"")</f>
        <v>4.4298245614035087E-5</v>
      </c>
      <c r="AG58" s="127">
        <f>IF(AND($A58&lt;&gt;0,$A58&lt;&gt;"",OR(RIGHT(Logic!B58,2)="T)",LEFT(Logic!B58,4)="CSD1")),DUTY*IM_RMS_120^2*V58*m/3/Num_FETS3,"")</f>
        <v>0.10987755847953216</v>
      </c>
      <c r="AH58" s="127">
        <f>IF(AND($A58&lt;&gt;0,$A58&lt;&gt;"",OR(RIGHT(Logic!B58,2)="T)",LEFT(Logic!B58,4)="CSD1")),Num_FETS3*0.5*IM_RMS_120*VDC_AVG*Z58*n*FSW*k/GDR_SRC/3,"")</f>
        <v>1.3028895768833848E-2</v>
      </c>
      <c r="AI58" s="127">
        <f>IF(AND($A58&lt;&gt;0,$A58&lt;&gt;"",OR(RIGHT(Logic!B58,2)="T)",LEFT(Logic!B58,4)="CSD1")),Num_FETS3*0.5*IM_RMS_120*VDC_AVG*Z58*n*FSW*k/GDR_SINK/3,"")</f>
        <v>8.859649122807017E-3</v>
      </c>
      <c r="AJ58" s="127">
        <f t="shared" si="28"/>
        <v>2.4840000000000001E-3</v>
      </c>
      <c r="AK58" s="127">
        <f t="shared" si="29"/>
        <v>1.3966388884290052E-2</v>
      </c>
      <c r="AL58" s="127">
        <f t="shared" si="30"/>
        <v>1.4904800000000001E-2</v>
      </c>
      <c r="AM58" s="127">
        <f t="shared" si="26"/>
        <v>0.41899166652870157</v>
      </c>
      <c r="AN58" s="127">
        <f>IF(AND($A58&lt;&gt;0,$A58&lt;&gt;"",OR(RIGHT(Logic!B58,2)="C)",LEFT(Logic!B58,4)="CSD1")),SUM(AD58:AF58)+(AJ58/3)+AK58+AL58/6+AM58/6,AN59)</f>
        <v>0.20866352663038318</v>
      </c>
      <c r="AO58" s="127">
        <f>IF(AND($A58&lt;&gt;0,$A58&lt;&gt;"",OR(RIGHT(Logic!B58,2)="T)",LEFT(Logic!B58,4)="CSD1")),SUM(AG58:AI58)+(AJ58/3)+AL58/6+AM58/6,AO57)</f>
        <v>0.2049101811259566</v>
      </c>
      <c r="AP58" s="48">
        <f t="shared" si="27"/>
        <v>0.41</v>
      </c>
      <c r="AQ58" s="35" t="str">
        <f>IF(AND(A58&lt;&gt;0,A58&lt;&gt;""),LOOKUP(A58,Discrete_NFET[PARTNUMBER],Discrete_NFET[TI_EQ_PACKAGE]),"")</f>
        <v>TO-220</v>
      </c>
      <c r="AR58" s="49">
        <f>IF(AND(A58&lt;&gt;0,A58&lt;&gt;""),LOOKUP(A58,Discrete_NFET[PARTNUMBER],Discrete_NFET[1KPRICE]),"")</f>
        <v>0.51</v>
      </c>
      <c r="AS58" s="35" t="str">
        <f>IF(AND($A58&lt;&gt;0,$A58&lt;&gt;""),CONCATENATE(TEXT(AP58,"0.00"),"W, ",IF('User Input'!H$11="Single Discrete",A58,IF('User Input'!H$11="Dual/Power Block",LEFT(A58,FIND(")",A58)-7),A58)),", ",AQ58,", ",TEXT(AR58,"$0.00")),"Invalid Part")</f>
        <v>0.41W, CSD18511KCS, TO-220, $0.51</v>
      </c>
      <c r="AT58" t="s">
        <v>819</v>
      </c>
      <c r="AW58"/>
    </row>
    <row r="59" spans="1:49" ht="15" customHeight="1" x14ac:dyDescent="0.25">
      <c r="A59" s="35" t="str">
        <f>IF(OR(AND(FET_config3="Dual/Power Block",LEFT(Logic!B59,4)="CSD8"),AND(FET_config3="Single Discrete",LEFT(Logic!B59,4)="CSD1")),Logic!B59,"")</f>
        <v>CSD18511KTT</v>
      </c>
      <c r="B59" s="37" t="str">
        <f>IF(OR($A59=0,$A59=""),"0",IF(LOOKUP($A59,Discrete_NFET[PARTNUMBER],Discrete_NFET[RDSON25])="(NULL)","0","1"))</f>
        <v>0</v>
      </c>
      <c r="C59" s="38" t="str">
        <f>IF(OR($A59=0,$A59=""),"0",IF(LOOKUP($A59,Discrete_NFET[PARTNUMBER],Discrete_NFET[RDSON3])="(NULL)","0","1"))</f>
        <v>0</v>
      </c>
      <c r="D59" s="40" t="str">
        <f>IF(OR($A59=0,$A59=""),"0",IF(LOOKUP($A59,Discrete_NFET[PARTNUMBER],Discrete_NFET[RDSON45])="(NULL)","0","1"))</f>
        <v>1</v>
      </c>
      <c r="E59" s="45" t="str">
        <f>IF(OR($A59=0,$A59=""),"0",IF(LOOKUP($A59,Discrete_NFET[PARTNUMBER],Discrete_NFET[RDSON6])="(NULL)","0","1"))</f>
        <v>0</v>
      </c>
      <c r="F59" s="34" t="str">
        <f>IF(OR($A59=0,$A59=""),"0",IF(LOOKUP($A59,Discrete_NFET[PARTNUMBER],Discrete_NFET[RDSON8])="(NULL)","0","1"))</f>
        <v>0</v>
      </c>
      <c r="G59" s="43" t="str">
        <f>IF(OR($A59=0,$A59=""),"0",IF(LOOKUP($A59,Discrete_NFET[PARTNUMBER],Discrete_NFET[RDSON10])="(NULL)","0","1"))</f>
        <v>1</v>
      </c>
      <c r="H59" s="36" t="b">
        <f t="shared" si="12"/>
        <v>0</v>
      </c>
      <c r="I59" s="39" t="b">
        <f t="shared" si="13"/>
        <v>0</v>
      </c>
      <c r="J59" s="41" t="b">
        <f t="shared" si="14"/>
        <v>1</v>
      </c>
      <c r="K59" s="46" t="b">
        <f t="shared" si="15"/>
        <v>0</v>
      </c>
      <c r="L59" s="42" t="b">
        <f t="shared" si="16"/>
        <v>0</v>
      </c>
      <c r="M59" s="44" t="b">
        <f t="shared" si="17"/>
        <v>1</v>
      </c>
      <c r="N59" s="47" t="b">
        <f t="shared" si="18"/>
        <v>1</v>
      </c>
      <c r="O59" s="36" t="b">
        <f t="shared" si="19"/>
        <v>0</v>
      </c>
      <c r="P59" s="39" t="b">
        <f t="shared" si="20"/>
        <v>0</v>
      </c>
      <c r="Q59" s="41" t="b">
        <f t="shared" si="21"/>
        <v>1</v>
      </c>
      <c r="R59" s="46" t="b">
        <f t="shared" si="22"/>
        <v>0</v>
      </c>
      <c r="S59" s="42" t="b">
        <f t="shared" si="23"/>
        <v>0</v>
      </c>
      <c r="T59" s="44" t="b">
        <f t="shared" si="24"/>
        <v>1</v>
      </c>
      <c r="U59" s="148">
        <f>IF(T59,LOOKUP(A59,Discrete_NFET[PARTNUMBER],Discrete_NFET[RDSON10])*1000,IF(S59,LOOKUP(A59,Discrete_NFET[PARTNUMBER],Discrete_NFET[RDSON8])*1000,IF(R59,LOOKUP(A59,Discrete_NFET[PARTNUMBER],Discrete_NFET[RDSON6])*1000,IF(Q59,LOOKUP(A59,Discrete_NFET[PARTNUMBER],Discrete_NFET[RDSON45])*1000,IF(P59,LOOKUP(A59,Discrete_NFET[PARTNUMBER],Discrete_NFET[RDSON3])*1000,IF(O59,LOOKUP(A59,Discrete_NFET[PARTNUMBER],Discrete_NFET[RDSON25])*1000,""))))))</f>
        <v>2.6</v>
      </c>
      <c r="V59" s="48">
        <f>IF(AND(A59&lt;&gt;0,A59&lt;&gt;""),U59*(1+(Tj-25)*(LOOKUP(A59,Discrete_NFET[PARTNUMBER],Discrete_NFET[RDSDELTA])/((LOOKUP(A59,Discrete_NFET[PARTNUMBER],Discrete_NFET[TJMAX])-25)))),"")</f>
        <v>2.8860000000000006</v>
      </c>
      <c r="W59" s="35">
        <f>IF(AND($A59&lt;&gt;0,$A59&lt;&gt;""),LOOKUP($A59,Discrete_NFET[PARTNUMBER],Discrete_NFET[QGS]),"")</f>
        <v>17.899999999999999</v>
      </c>
      <c r="X59" s="35">
        <f>IF(AND($A59&lt;&gt;0,$A59&lt;&gt;""),LOOKUP($A59,Discrete_NFET[PARTNUMBER],Discrete_NFET[QGD]),"")</f>
        <v>9.6999999999999993</v>
      </c>
      <c r="Y59" s="35">
        <f>IF(AND($A59&lt;&gt;0,$A59&lt;&gt;""),LOOKUP($A59,Discrete_NFET[PARTNUMBER],Discrete_NFET[QGTH]),"")</f>
        <v>7.4</v>
      </c>
      <c r="Z59" s="35">
        <f t="shared" si="25"/>
        <v>20.199999999999996</v>
      </c>
      <c r="AA59" s="35">
        <f>IF(AND($A59&lt;&gt;0,$A59&lt;&gt;""),LOOKUP($A59,Discrete_NFET[PARTNUMBER],Discrete_NFET[QOSSTYP]),"")</f>
        <v>20.7</v>
      </c>
      <c r="AB59" s="35">
        <f>IF(AND($A59&lt;&gt;0,$A59&lt;&gt;""),LOOKUP($A59,Discrete_NFET[PARTNUMBER],Discrete_NFET[QRR]),"")</f>
        <v>62</v>
      </c>
      <c r="AC59" s="35">
        <f>IF(AND(A59&lt;&gt;0,A59&lt;&gt;""),LOOKUP(A59,Discrete_NFET[PARTNUMBER],Discrete_NFET[VF_TYP]),"")</f>
        <v>0.9</v>
      </c>
      <c r="AD59" s="127">
        <f>IF(AND($A59&lt;&gt;0,$A59&lt;&gt;"",OR(RIGHT(Logic!B59,2)="C)",LEFT(Logic!B59,4)="CSD1")),(1+(1-DUTY))*IM_RMS_120^2*V59*m/3/Num_FETS3,"")</f>
        <v>0.12144361726685134</v>
      </c>
      <c r="AE59" s="127">
        <f>IF(AND($A59&lt;&gt;0,$A59&lt;&gt;"",OR(RIGHT(Logic!B59,2)="C)",LEFT(Logic!B59,4)="CSD1")),Num_FETS3*0.5*IM_RMS_120*VDC_AVG*Z59*n*MOT_ELEC_FREQ/GDR_SRC,"")</f>
        <v>6.5144478844169243E-5</v>
      </c>
      <c r="AF59" s="127">
        <f>IF(AND($A59&lt;&gt;0,$A59&lt;&gt;"",OR(RIGHT(Logic!B59,2)="C)",LEFT(Logic!B59,4)="CSD1")),Num_FETS3*0.5*IM_RMS_120*VDC_AVG*Z59*n*MOT_ELEC_FREQ/GDR_SINK,"")</f>
        <v>4.4298245614035087E-5</v>
      </c>
      <c r="AG59" s="127">
        <f>IF(AND($A59&lt;&gt;0,$A59&lt;&gt;"",OR(RIGHT(Logic!B59,2)="T)",LEFT(Logic!B59,4)="CSD1")),DUTY*IM_RMS_120^2*V59*m/3/Num_FETS3,"")</f>
        <v>0.10987755847953216</v>
      </c>
      <c r="AH59" s="127">
        <f>IF(AND($A59&lt;&gt;0,$A59&lt;&gt;"",OR(RIGHT(Logic!B59,2)="T)",LEFT(Logic!B59,4)="CSD1")),Num_FETS3*0.5*IM_RMS_120*VDC_AVG*Z59*n*FSW*k/GDR_SRC/3,"")</f>
        <v>1.3028895768833848E-2</v>
      </c>
      <c r="AI59" s="127">
        <f>IF(AND($A59&lt;&gt;0,$A59&lt;&gt;"",OR(RIGHT(Logic!B59,2)="T)",LEFT(Logic!B59,4)="CSD1")),Num_FETS3*0.5*IM_RMS_120*VDC_AVG*Z59*n*FSW*k/GDR_SINK/3,"")</f>
        <v>8.859649122807017E-3</v>
      </c>
      <c r="AJ59" s="127">
        <f t="shared" si="28"/>
        <v>2.4840000000000001E-3</v>
      </c>
      <c r="AK59" s="127">
        <f t="shared" si="29"/>
        <v>1.3966388884290052E-2</v>
      </c>
      <c r="AL59" s="127">
        <f t="shared" si="30"/>
        <v>1.4904800000000001E-2</v>
      </c>
      <c r="AM59" s="127">
        <f t="shared" si="26"/>
        <v>0.41899166652870157</v>
      </c>
      <c r="AN59" s="127">
        <f>IF(AND($A59&lt;&gt;0,$A59&lt;&gt;"",OR(RIGHT(Logic!B59,2)="C)",LEFT(Logic!B59,4)="CSD1")),SUM(AD59:AF59)+(AJ59/3)+AK59+AL59/6+AM59/6,AN60)</f>
        <v>0.20866352663038318</v>
      </c>
      <c r="AO59" s="127">
        <f>IF(AND($A59&lt;&gt;0,$A59&lt;&gt;"",OR(RIGHT(Logic!B59,2)="T)",LEFT(Logic!B59,4)="CSD1")),SUM(AG59:AI59)+(AJ59/3)+AL59/6+AM59/6,AO58)</f>
        <v>0.2049101811259566</v>
      </c>
      <c r="AP59" s="48">
        <f t="shared" si="27"/>
        <v>0.41</v>
      </c>
      <c r="AQ59" s="35" t="str">
        <f>IF(AND(A59&lt;&gt;0,A59&lt;&gt;""),LOOKUP(A59,Discrete_NFET[PARTNUMBER],Discrete_NFET[TI_EQ_PACKAGE]),"")</f>
        <v>DDPAK</v>
      </c>
      <c r="AR59" s="49">
        <f>IF(AND(A59&lt;&gt;0,A59&lt;&gt;""),LOOKUP(A59,Discrete_NFET[PARTNUMBER],Discrete_NFET[1KPRICE]),"")</f>
        <v>0.56000000000000005</v>
      </c>
      <c r="AS59" s="35" t="str">
        <f>IF(AND($A59&lt;&gt;0,$A59&lt;&gt;""),CONCATENATE(TEXT(AP59,"0.00"),"W, ",IF('User Input'!H$11="Single Discrete",A59,IF('User Input'!H$11="Dual/Power Block",LEFT(A59,FIND(")",A59)-7),A59)),", ",AQ59,", ",TEXT(AR59,"$0.00")),"Invalid Part")</f>
        <v>0.41W, CSD18511KTT, DDPAK, $0.56</v>
      </c>
      <c r="AT59" t="s">
        <v>820</v>
      </c>
      <c r="AW59"/>
    </row>
    <row r="60" spans="1:49" ht="15" customHeight="1" x14ac:dyDescent="0.25">
      <c r="A60" s="35" t="str">
        <f>IF(OR(AND(FET_config3="Dual/Power Block",LEFT(Logic!B60,4)="CSD8"),AND(FET_config3="Single Discrete",LEFT(Logic!B60,4)="CSD1")),Logic!B60,"")</f>
        <v>CSD18511Q5A</v>
      </c>
      <c r="B60" s="37" t="str">
        <f>IF(OR($A60=0,$A60=""),"0",IF(LOOKUP($A60,Discrete_NFET[PARTNUMBER],Discrete_NFET[RDSON25])="(NULL)","0","1"))</f>
        <v>0</v>
      </c>
      <c r="C60" s="38" t="str">
        <f>IF(OR($A60=0,$A60=""),"0",IF(LOOKUP($A60,Discrete_NFET[PARTNUMBER],Discrete_NFET[RDSON3])="(NULL)","0","1"))</f>
        <v>0</v>
      </c>
      <c r="D60" s="40" t="str">
        <f>IF(OR($A60=0,$A60=""),"0",IF(LOOKUP($A60,Discrete_NFET[PARTNUMBER],Discrete_NFET[RDSON45])="(NULL)","0","1"))</f>
        <v>1</v>
      </c>
      <c r="E60" s="45" t="str">
        <f>IF(OR($A60=0,$A60=""),"0",IF(LOOKUP($A60,Discrete_NFET[PARTNUMBER],Discrete_NFET[RDSON6])="(NULL)","0","1"))</f>
        <v>0</v>
      </c>
      <c r="F60" s="34" t="str">
        <f>IF(OR($A60=0,$A60=""),"0",IF(LOOKUP($A60,Discrete_NFET[PARTNUMBER],Discrete_NFET[RDSON8])="(NULL)","0","1"))</f>
        <v>0</v>
      </c>
      <c r="G60" s="43" t="str">
        <f>IF(OR($A60=0,$A60=""),"0",IF(LOOKUP($A60,Discrete_NFET[PARTNUMBER],Discrete_NFET[RDSON10])="(NULL)","0","1"))</f>
        <v>1</v>
      </c>
      <c r="H60" s="36" t="b">
        <f t="shared" si="12"/>
        <v>0</v>
      </c>
      <c r="I60" s="39" t="b">
        <f t="shared" si="13"/>
        <v>0</v>
      </c>
      <c r="J60" s="41" t="b">
        <f t="shared" si="14"/>
        <v>1</v>
      </c>
      <c r="K60" s="46" t="b">
        <f t="shared" si="15"/>
        <v>0</v>
      </c>
      <c r="L60" s="42" t="b">
        <f t="shared" si="16"/>
        <v>0</v>
      </c>
      <c r="M60" s="44" t="b">
        <f t="shared" si="17"/>
        <v>1</v>
      </c>
      <c r="N60" s="47" t="b">
        <f t="shared" si="18"/>
        <v>1</v>
      </c>
      <c r="O60" s="36" t="b">
        <f t="shared" si="19"/>
        <v>0</v>
      </c>
      <c r="P60" s="39" t="b">
        <f t="shared" si="20"/>
        <v>0</v>
      </c>
      <c r="Q60" s="41" t="b">
        <f t="shared" si="21"/>
        <v>1</v>
      </c>
      <c r="R60" s="46" t="b">
        <f t="shared" si="22"/>
        <v>0</v>
      </c>
      <c r="S60" s="42" t="b">
        <f t="shared" si="23"/>
        <v>0</v>
      </c>
      <c r="T60" s="44" t="b">
        <f t="shared" si="24"/>
        <v>1</v>
      </c>
      <c r="U60" s="148">
        <f>IF(T60,LOOKUP(A60,Discrete_NFET[PARTNUMBER],Discrete_NFET[RDSON10])*1000,IF(S60,LOOKUP(A60,Discrete_NFET[PARTNUMBER],Discrete_NFET[RDSON8])*1000,IF(R60,LOOKUP(A60,Discrete_NFET[PARTNUMBER],Discrete_NFET[RDSON6])*1000,IF(Q60,LOOKUP(A60,Discrete_NFET[PARTNUMBER],Discrete_NFET[RDSON45])*1000,IF(P60,LOOKUP(A60,Discrete_NFET[PARTNUMBER],Discrete_NFET[RDSON3])*1000,IF(O60,LOOKUP(A60,Discrete_NFET[PARTNUMBER],Discrete_NFET[RDSON25])*1000,""))))))</f>
        <v>2.2999999999999998</v>
      </c>
      <c r="V60" s="48">
        <f>IF(AND(A60&lt;&gt;0,A60&lt;&gt;""),U60*(1+(Tj-25)*(LOOKUP(A60,Discrete_NFET[PARTNUMBER],Discrete_NFET[RDSDELTA])/((LOOKUP(A60,Discrete_NFET[PARTNUMBER],Discrete_NFET[TJMAX])-25)))),"")</f>
        <v>2.6036000000000001</v>
      </c>
      <c r="W60" s="35">
        <f>IF(AND($A60&lt;&gt;0,$A60&lt;&gt;""),LOOKUP($A60,Discrete_NFET[PARTNUMBER],Discrete_NFET[QGS]),"")</f>
        <v>13.2</v>
      </c>
      <c r="X60" s="35">
        <f>IF(AND($A60&lt;&gt;0,$A60&lt;&gt;""),LOOKUP($A60,Discrete_NFET[PARTNUMBER],Discrete_NFET[QGD]),"")</f>
        <v>11.2</v>
      </c>
      <c r="Y60" s="35">
        <f>IF(AND($A60&lt;&gt;0,$A60&lt;&gt;""),LOOKUP($A60,Discrete_NFET[PARTNUMBER],Discrete_NFET[QGTH]),"")</f>
        <v>8.1999999999999993</v>
      </c>
      <c r="Z60" s="35">
        <f t="shared" si="25"/>
        <v>16.2</v>
      </c>
      <c r="AA60" s="35">
        <f>IF(AND($A60&lt;&gt;0,$A60&lt;&gt;""),LOOKUP($A60,Discrete_NFET[PARTNUMBER],Discrete_NFET[QOSSTYP]),"")</f>
        <v>20</v>
      </c>
      <c r="AB60" s="35">
        <f>IF(AND($A60&lt;&gt;0,$A60&lt;&gt;""),LOOKUP($A60,Discrete_NFET[PARTNUMBER],Discrete_NFET[QRR]),"")</f>
        <v>17</v>
      </c>
      <c r="AC60" s="35">
        <f>IF(AND(A60&lt;&gt;0,A60&lt;&gt;""),LOOKUP(A60,Discrete_NFET[PARTNUMBER],Discrete_NFET[VF_TYP]),"")</f>
        <v>0.75</v>
      </c>
      <c r="AD60" s="127">
        <f>IF(AND($A60&lt;&gt;0,$A60&lt;&gt;"",OR(RIGHT(Logic!B60,2)="C)",LEFT(Logic!B60,4)="CSD1")),(1+(1-DUTY))*IM_RMS_120^2*V60*m/3/Num_FETS3,"")</f>
        <v>0.10956015312403816</v>
      </c>
      <c r="AE60" s="127">
        <f>IF(AND($A60&lt;&gt;0,$A60&lt;&gt;"",OR(RIGHT(Logic!B60,2)="C)",LEFT(Logic!B60,4)="CSD1")),Num_FETS3*0.5*IM_RMS_120*VDC_AVG*Z60*n*MOT_ELEC_FREQ/GDR_SRC,"")</f>
        <v>5.2244582043343647E-5</v>
      </c>
      <c r="AF60" s="127">
        <f>IF(AND($A60&lt;&gt;0,$A60&lt;&gt;"",OR(RIGHT(Logic!B60,2)="C)",LEFT(Logic!B60,4)="CSD1")),Num_FETS3*0.5*IM_RMS_120*VDC_AVG*Z60*n*MOT_ELEC_FREQ/GDR_SINK,"")</f>
        <v>3.5526315789473684E-5</v>
      </c>
      <c r="AG60" s="127">
        <f>IF(AND($A60&lt;&gt;0,$A60&lt;&gt;"",OR(RIGHT(Logic!B60,2)="T)",LEFT(Logic!B60,4)="CSD1")),DUTY*IM_RMS_120^2*V60*m/3/Num_FETS3,"")</f>
        <v>9.9125852826510708E-2</v>
      </c>
      <c r="AH60" s="127">
        <f>IF(AND($A60&lt;&gt;0,$A60&lt;&gt;"",OR(RIGHT(Logic!B60,2)="T)",LEFT(Logic!B60,4)="CSD1")),Num_FETS3*0.5*IM_RMS_120*VDC_AVG*Z60*n*FSW*k/GDR_SRC/3,"")</f>
        <v>1.0448916408668728E-2</v>
      </c>
      <c r="AI60" s="127">
        <f>IF(AND($A60&lt;&gt;0,$A60&lt;&gt;"",OR(RIGHT(Logic!B60,2)="T)",LEFT(Logic!B60,4)="CSD1")),Num_FETS3*0.5*IM_RMS_120*VDC_AVG*Z60*n*FSW*k/GDR_SINK/3,"")</f>
        <v>7.105263157894736E-3</v>
      </c>
      <c r="AJ60" s="127">
        <f t="shared" si="28"/>
        <v>2.4000000000000002E-3</v>
      </c>
      <c r="AK60" s="127">
        <f t="shared" si="29"/>
        <v>1.1638657403575043E-2</v>
      </c>
      <c r="AL60" s="127">
        <f t="shared" si="30"/>
        <v>4.0867999999999998E-3</v>
      </c>
      <c r="AM60" s="127">
        <f t="shared" si="26"/>
        <v>0.34915972210725127</v>
      </c>
      <c r="AN60" s="127">
        <f>IF(AND($A60&lt;&gt;0,$A60&lt;&gt;"",OR(RIGHT(Logic!B60,2)="C)",LEFT(Logic!B60,4)="CSD1")),SUM(AD60:AF60)+(AJ60/3)+AK60+AL60/6+AM60/6,AN61)</f>
        <v>0.18096100177665456</v>
      </c>
      <c r="AO60" s="127">
        <f>IF(AND($A60&lt;&gt;0,$A60&lt;&gt;"",OR(RIGHT(Logic!B60,2)="T)",LEFT(Logic!B60,4)="CSD1")),SUM(AG60:AI60)+(AJ60/3)+AL60/6+AM60/6,AO59)</f>
        <v>0.17635445274428271</v>
      </c>
      <c r="AP60" s="48">
        <f t="shared" si="27"/>
        <v>0.36</v>
      </c>
      <c r="AQ60" s="35" t="str">
        <f>IF(AND(A60&lt;&gt;0,A60&lt;&gt;""),LOOKUP(A60,Discrete_NFET[PARTNUMBER],Discrete_NFET[TI_EQ_PACKAGE]),"")</f>
        <v>SON5X6</v>
      </c>
      <c r="AR60" s="49">
        <f>IF(AND(A60&lt;&gt;0,A60&lt;&gt;""),LOOKUP(A60,Discrete_NFET[PARTNUMBER],Discrete_NFET[1KPRICE]),"")</f>
        <v>0.41</v>
      </c>
      <c r="AS60" s="35" t="str">
        <f>IF(AND($A60&lt;&gt;0,$A60&lt;&gt;""),CONCATENATE(TEXT(AP60,"0.00"),"W, ",IF('User Input'!H$11="Single Discrete",A60,IF('User Input'!H$11="Dual/Power Block",LEFT(A60,FIND(")",A60)-7),A60)),", ",AQ60,", ",TEXT(AR60,"$0.00")),"Invalid Part")</f>
        <v>0.36W, CSD18511Q5A, SON5X6, $0.41</v>
      </c>
      <c r="AT60" t="s">
        <v>831</v>
      </c>
      <c r="AW60"/>
    </row>
    <row r="61" spans="1:49" ht="15" customHeight="1" x14ac:dyDescent="0.25">
      <c r="A61" s="35" t="str">
        <f>IF(OR(AND(FET_config3="Dual/Power Block",LEFT(Logic!B61,4)="CSD8"),AND(FET_config3="Single Discrete",LEFT(Logic!B61,4)="CSD1")),Logic!B61,"")</f>
        <v>CSD18512Q5B</v>
      </c>
      <c r="B61" s="37" t="str">
        <f>IF(OR($A61=0,$A61=""),"0",IF(LOOKUP($A61,Discrete_NFET[PARTNUMBER],Discrete_NFET[RDSON25])="(NULL)","0","1"))</f>
        <v>0</v>
      </c>
      <c r="C61" s="38" t="str">
        <f>IF(OR($A61=0,$A61=""),"0",IF(LOOKUP($A61,Discrete_NFET[PARTNUMBER],Discrete_NFET[RDSON3])="(NULL)","0","1"))</f>
        <v>0</v>
      </c>
      <c r="D61" s="40" t="str">
        <f>IF(OR($A61=0,$A61=""),"0",IF(LOOKUP($A61,Discrete_NFET[PARTNUMBER],Discrete_NFET[RDSON45])="(NULL)","0","1"))</f>
        <v>1</v>
      </c>
      <c r="E61" s="45" t="str">
        <f>IF(OR($A61=0,$A61=""),"0",IF(LOOKUP($A61,Discrete_NFET[PARTNUMBER],Discrete_NFET[RDSON6])="(NULL)","0","1"))</f>
        <v>0</v>
      </c>
      <c r="F61" s="34" t="str">
        <f>IF(OR($A61=0,$A61=""),"0",IF(LOOKUP($A61,Discrete_NFET[PARTNUMBER],Discrete_NFET[RDSON8])="(NULL)","0","1"))</f>
        <v>0</v>
      </c>
      <c r="G61" s="43" t="str">
        <f>IF(OR($A61=0,$A61=""),"0",IF(LOOKUP($A61,Discrete_NFET[PARTNUMBER],Discrete_NFET[RDSON10])="(NULL)","0","1"))</f>
        <v>1</v>
      </c>
      <c r="H61" s="36" t="b">
        <f t="shared" si="12"/>
        <v>0</v>
      </c>
      <c r="I61" s="39" t="b">
        <f t="shared" si="13"/>
        <v>0</v>
      </c>
      <c r="J61" s="41" t="b">
        <f t="shared" si="14"/>
        <v>1</v>
      </c>
      <c r="K61" s="46" t="b">
        <f t="shared" si="15"/>
        <v>0</v>
      </c>
      <c r="L61" s="42" t="b">
        <f t="shared" si="16"/>
        <v>0</v>
      </c>
      <c r="M61" s="44" t="b">
        <f t="shared" si="17"/>
        <v>1</v>
      </c>
      <c r="N61" s="47" t="b">
        <f t="shared" si="18"/>
        <v>1</v>
      </c>
      <c r="O61" s="36" t="b">
        <f t="shared" si="19"/>
        <v>0</v>
      </c>
      <c r="P61" s="39" t="b">
        <f t="shared" si="20"/>
        <v>0</v>
      </c>
      <c r="Q61" s="41" t="b">
        <f t="shared" si="21"/>
        <v>1</v>
      </c>
      <c r="R61" s="46" t="b">
        <f t="shared" si="22"/>
        <v>0</v>
      </c>
      <c r="S61" s="42" t="b">
        <f t="shared" si="23"/>
        <v>0</v>
      </c>
      <c r="T61" s="44" t="b">
        <f t="shared" si="24"/>
        <v>1</v>
      </c>
      <c r="U61" s="148">
        <f>IF(T61,LOOKUP(A61,Discrete_NFET[PARTNUMBER],Discrete_NFET[RDSON10])*1000,IF(S61,LOOKUP(A61,Discrete_NFET[PARTNUMBER],Discrete_NFET[RDSON8])*1000,IF(R61,LOOKUP(A61,Discrete_NFET[PARTNUMBER],Discrete_NFET[RDSON6])*1000,IF(Q61,LOOKUP(A61,Discrete_NFET[PARTNUMBER],Discrete_NFET[RDSON45])*1000,IF(P61,LOOKUP(A61,Discrete_NFET[PARTNUMBER],Discrete_NFET[RDSON3])*1000,IF(O61,LOOKUP(A61,Discrete_NFET[PARTNUMBER],Discrete_NFET[RDSON25])*1000,""))))))</f>
        <v>1.6</v>
      </c>
      <c r="V61" s="48">
        <f>IF(AND(A61&lt;&gt;0,A61&lt;&gt;""),U61*(1+(Tj-25)*(LOOKUP(A61,Discrete_NFET[PARTNUMBER],Discrete_NFET[RDSDELTA])/((LOOKUP(A61,Discrete_NFET[PARTNUMBER],Discrete_NFET[TJMAX])-25)))),"")</f>
        <v>1.8335999999999999</v>
      </c>
      <c r="W61" s="35">
        <f>IF(AND($A61&lt;&gt;0,$A61&lt;&gt;""),LOOKUP($A61,Discrete_NFET[PARTNUMBER],Discrete_NFET[QGS]),"")</f>
        <v>15.1</v>
      </c>
      <c r="X61" s="35">
        <f>IF(AND($A61&lt;&gt;0,$A61&lt;&gt;""),LOOKUP($A61,Discrete_NFET[PARTNUMBER],Discrete_NFET[QGD]),"")</f>
        <v>13.3</v>
      </c>
      <c r="Y61" s="35">
        <f>IF(AND($A61&lt;&gt;0,$A61&lt;&gt;""),LOOKUP($A61,Discrete_NFET[PARTNUMBER],Discrete_NFET[QGTH]),"")</f>
        <v>8.1999999999999993</v>
      </c>
      <c r="Z61" s="35">
        <f t="shared" si="25"/>
        <v>20.2</v>
      </c>
      <c r="AA61" s="35">
        <f>IF(AND($A61&lt;&gt;0,$A61&lt;&gt;""),LOOKUP($A61,Discrete_NFET[PARTNUMBER],Discrete_NFET[QOSSTYP]),"")</f>
        <v>23</v>
      </c>
      <c r="AB61" s="35">
        <f>IF(AND($A61&lt;&gt;0,$A61&lt;&gt;""),LOOKUP($A61,Discrete_NFET[PARTNUMBER],Discrete_NFET[QRR]),"")</f>
        <v>22</v>
      </c>
      <c r="AC61" s="35">
        <f>IF(AND(A61&lt;&gt;0,A61&lt;&gt;""),LOOKUP(A61,Discrete_NFET[PARTNUMBER],Discrete_NFET[VF_TYP]),"")</f>
        <v>1</v>
      </c>
      <c r="AD61" s="127">
        <f>IF(AND($A61&lt;&gt;0,$A61&lt;&gt;"",OR(RIGHT(Logic!B61,2)="C)",LEFT(Logic!B61,4)="CSD1")),(1+(1-DUTY))*IM_RMS_120^2*V61*m/3/Num_FETS3,"")</f>
        <v>7.7158356417359172E-2</v>
      </c>
      <c r="AE61" s="127">
        <f>IF(AND($A61&lt;&gt;0,$A61&lt;&gt;"",OR(RIGHT(Logic!B61,2)="C)",LEFT(Logic!B61,4)="CSD1")),Num_FETS3*0.5*IM_RMS_120*VDC_AVG*Z61*n*MOT_ELEC_FREQ/GDR_SRC,"")</f>
        <v>6.5144478844169257E-5</v>
      </c>
      <c r="AF61" s="127">
        <f>IF(AND($A61&lt;&gt;0,$A61&lt;&gt;"",OR(RIGHT(Logic!B61,2)="C)",LEFT(Logic!B61,4)="CSD1")),Num_FETS3*0.5*IM_RMS_120*VDC_AVG*Z61*n*MOT_ELEC_FREQ/GDR_SINK,"")</f>
        <v>4.4298245614035094E-5</v>
      </c>
      <c r="AG61" s="127">
        <f>IF(AND($A61&lt;&gt;0,$A61&lt;&gt;"",OR(RIGHT(Logic!B61,2)="T)",LEFT(Logic!B61,4)="CSD1")),DUTY*IM_RMS_120^2*V61*m/3/Num_FETS3,"")</f>
        <v>6.9809941520467822E-2</v>
      </c>
      <c r="AH61" s="127">
        <f>IF(AND($A61&lt;&gt;0,$A61&lt;&gt;"",OR(RIGHT(Logic!B61,2)="T)",LEFT(Logic!B61,4)="CSD1")),Num_FETS3*0.5*IM_RMS_120*VDC_AVG*Z61*n*FSW*k/GDR_SRC/3,"")</f>
        <v>1.3028895768833849E-2</v>
      </c>
      <c r="AI61" s="127">
        <f>IF(AND($A61&lt;&gt;0,$A61&lt;&gt;"",OR(RIGHT(Logic!B61,2)="T)",LEFT(Logic!B61,4)="CSD1")),Num_FETS3*0.5*IM_RMS_120*VDC_AVG*Z61*n*FSW*k/GDR_SINK/3,"")</f>
        <v>8.859649122807017E-3</v>
      </c>
      <c r="AJ61" s="127">
        <f t="shared" si="28"/>
        <v>2.7600000000000003E-3</v>
      </c>
      <c r="AK61" s="127">
        <f t="shared" si="29"/>
        <v>1.5518209871433389E-2</v>
      </c>
      <c r="AL61" s="127">
        <f t="shared" si="30"/>
        <v>5.2888000000000006E-3</v>
      </c>
      <c r="AM61" s="127">
        <f t="shared" si="26"/>
        <v>0.46554629614300186</v>
      </c>
      <c r="AN61" s="127">
        <f>IF(AND($A61&lt;&gt;0,$A61&lt;&gt;"",OR(RIGHT(Logic!B61,2)="C)",LEFT(Logic!B61,4)="CSD1")),SUM(AD61:AF61)+(AJ61/3)+AK61+AL61/6+AM61/6,AN62)</f>
        <v>0.17217852503708442</v>
      </c>
      <c r="AO61" s="127">
        <f>IF(AND($A61&lt;&gt;0,$A61&lt;&gt;"",OR(RIGHT(Logic!B61,2)="T)",LEFT(Logic!B61,4)="CSD1")),SUM(AG61:AI61)+(AJ61/3)+AL61/6+AM61/6,AO60)</f>
        <v>0.17109100243594233</v>
      </c>
      <c r="AP61" s="48">
        <f t="shared" si="27"/>
        <v>0.34</v>
      </c>
      <c r="AQ61" s="35" t="str">
        <f>IF(AND(A61&lt;&gt;0,A61&lt;&gt;""),LOOKUP(A61,Discrete_NFET[PARTNUMBER],Discrete_NFET[TI_EQ_PACKAGE]),"")</f>
        <v>SON5X6</v>
      </c>
      <c r="AR61" s="49">
        <f>IF(AND(A61&lt;&gt;0,A61&lt;&gt;""),LOOKUP(A61,Discrete_NFET[PARTNUMBER],Discrete_NFET[1KPRICE]),"")</f>
        <v>0.57999999999999996</v>
      </c>
      <c r="AS61" s="35" t="str">
        <f>IF(AND($A61&lt;&gt;0,$A61&lt;&gt;""),CONCATENATE(TEXT(AP61,"0.00"),"W, ",IF('User Input'!H$11="Single Discrete",A61,IF('User Input'!H$11="Dual/Power Block",LEFT(A61,FIND(")",A61)-7),A61)),", ",AQ61,", ",TEXT(AR61,"$0.00")),"Invalid Part")</f>
        <v>0.34W, CSD18512Q5B, SON5X6, $0.58</v>
      </c>
      <c r="AT61" t="s">
        <v>859</v>
      </c>
      <c r="AW61"/>
    </row>
    <row r="62" spans="1:49" ht="15" customHeight="1" x14ac:dyDescent="0.25">
      <c r="A62" s="35" t="str">
        <f>IF(OR(AND(FET_config3="Dual/Power Block",LEFT(Logic!B62,4)="CSD8"),AND(FET_config3="Single Discrete",LEFT(Logic!B62,4)="CSD1")),Logic!B62,"")</f>
        <v>CSD18513Q5A</v>
      </c>
      <c r="B62" s="37" t="str">
        <f>IF(OR($A62=0,$A62=""),"0",IF(LOOKUP($A62,Discrete_NFET[PARTNUMBER],Discrete_NFET[RDSON25])="(NULL)","0","1"))</f>
        <v>0</v>
      </c>
      <c r="C62" s="38" t="str">
        <f>IF(OR($A62=0,$A62=""),"0",IF(LOOKUP($A62,Discrete_NFET[PARTNUMBER],Discrete_NFET[RDSON3])="(NULL)","0","1"))</f>
        <v>0</v>
      </c>
      <c r="D62" s="40" t="str">
        <f>IF(OR($A62=0,$A62=""),"0",IF(LOOKUP($A62,Discrete_NFET[PARTNUMBER],Discrete_NFET[RDSON45])="(NULL)","0","1"))</f>
        <v>1</v>
      </c>
      <c r="E62" s="45" t="str">
        <f>IF(OR($A62=0,$A62=""),"0",IF(LOOKUP($A62,Discrete_NFET[PARTNUMBER],Discrete_NFET[RDSON6])="(NULL)","0","1"))</f>
        <v>0</v>
      </c>
      <c r="F62" s="34" t="str">
        <f>IF(OR($A62=0,$A62=""),"0",IF(LOOKUP($A62,Discrete_NFET[PARTNUMBER],Discrete_NFET[RDSON8])="(NULL)","0","1"))</f>
        <v>0</v>
      </c>
      <c r="G62" s="43" t="str">
        <f>IF(OR($A62=0,$A62=""),"0",IF(LOOKUP($A62,Discrete_NFET[PARTNUMBER],Discrete_NFET[RDSON10])="(NULL)","0","1"))</f>
        <v>1</v>
      </c>
      <c r="H62" s="36" t="b">
        <f t="shared" si="12"/>
        <v>0</v>
      </c>
      <c r="I62" s="39" t="b">
        <f t="shared" si="13"/>
        <v>0</v>
      </c>
      <c r="J62" s="41" t="b">
        <f t="shared" si="14"/>
        <v>1</v>
      </c>
      <c r="K62" s="46" t="b">
        <f t="shared" si="15"/>
        <v>0</v>
      </c>
      <c r="L62" s="42" t="b">
        <f t="shared" si="16"/>
        <v>0</v>
      </c>
      <c r="M62" s="44" t="b">
        <f t="shared" si="17"/>
        <v>1</v>
      </c>
      <c r="N62" s="47" t="b">
        <f t="shared" si="18"/>
        <v>1</v>
      </c>
      <c r="O62" s="36" t="b">
        <f t="shared" si="19"/>
        <v>0</v>
      </c>
      <c r="P62" s="39" t="b">
        <f t="shared" si="20"/>
        <v>0</v>
      </c>
      <c r="Q62" s="41" t="b">
        <f t="shared" si="21"/>
        <v>1</v>
      </c>
      <c r="R62" s="46" t="b">
        <f t="shared" si="22"/>
        <v>0</v>
      </c>
      <c r="S62" s="42" t="b">
        <f t="shared" si="23"/>
        <v>0</v>
      </c>
      <c r="T62" s="44" t="b">
        <f t="shared" si="24"/>
        <v>1</v>
      </c>
      <c r="U62" s="148">
        <f>IF(T62,LOOKUP(A62,Discrete_NFET[PARTNUMBER],Discrete_NFET[RDSON10])*1000,IF(S62,LOOKUP(A62,Discrete_NFET[PARTNUMBER],Discrete_NFET[RDSON8])*1000,IF(R62,LOOKUP(A62,Discrete_NFET[PARTNUMBER],Discrete_NFET[RDSON6])*1000,IF(Q62,LOOKUP(A62,Discrete_NFET[PARTNUMBER],Discrete_NFET[RDSON45])*1000,IF(P62,LOOKUP(A62,Discrete_NFET[PARTNUMBER],Discrete_NFET[RDSON3])*1000,IF(O62,LOOKUP(A62,Discrete_NFET[PARTNUMBER],Discrete_NFET[RDSON25])*1000,""))))))</f>
        <v>3.4</v>
      </c>
      <c r="V62" s="48">
        <f>IF(AND(A62&lt;&gt;0,A62&lt;&gt;""),U62*(1+(Tj-25)*(LOOKUP(A62,Discrete_NFET[PARTNUMBER],Discrete_NFET[RDSDELTA])/((LOOKUP(A62,Discrete_NFET[PARTNUMBER],Discrete_NFET[TJMAX])-25)))),"")</f>
        <v>3.8080000000000003</v>
      </c>
      <c r="W62" s="35">
        <f>IF(AND($A62&lt;&gt;0,$A62&lt;&gt;""),LOOKUP($A62,Discrete_NFET[PARTNUMBER],Discrete_NFET[QGS]),"")</f>
        <v>9.1</v>
      </c>
      <c r="X62" s="35">
        <f>IF(AND($A62&lt;&gt;0,$A62&lt;&gt;""),LOOKUP($A62,Discrete_NFET[PARTNUMBER],Discrete_NFET[QGD]),"")</f>
        <v>8.8000000000000007</v>
      </c>
      <c r="Y62" s="35">
        <f>IF(AND($A62&lt;&gt;0,$A62&lt;&gt;""),LOOKUP($A62,Discrete_NFET[PARTNUMBER],Discrete_NFET[QGTH]),"")</f>
        <v>5.8</v>
      </c>
      <c r="Z62" s="35">
        <f t="shared" si="25"/>
        <v>12.099999999999998</v>
      </c>
      <c r="AA62" s="35">
        <f>IF(AND($A62&lt;&gt;0,$A62&lt;&gt;""),LOOKUP($A62,Discrete_NFET[PARTNUMBER],Discrete_NFET[QOSSTYP]),"")</f>
        <v>15</v>
      </c>
      <c r="AB62" s="35">
        <f>IF(AND($A62&lt;&gt;0,$A62&lt;&gt;""),LOOKUP($A62,Discrete_NFET[PARTNUMBER],Discrete_NFET[QRR]),"")</f>
        <v>14.7</v>
      </c>
      <c r="AC62" s="35">
        <f>IF(AND(A62&lt;&gt;0,A62&lt;&gt;""),LOOKUP(A62,Discrete_NFET[PARTNUMBER],Discrete_NFET[VF_TYP]),"")</f>
        <v>1</v>
      </c>
      <c r="AD62" s="127">
        <f>IF(AND($A62&lt;&gt;0,$A62&lt;&gt;"",OR(RIGHT(Logic!B62,2)="C)",LEFT(Logic!B62,4)="CSD1")),(1+(1-DUTY))*IM_RMS_120^2*V62*m/3/Num_FETS3,"")</f>
        <v>0.16024161280393964</v>
      </c>
      <c r="AE62" s="127">
        <f>IF(AND($A62&lt;&gt;0,$A62&lt;&gt;"",OR(RIGHT(Logic!B62,2)="C)",LEFT(Logic!B62,4)="CSD1")),Num_FETS3*0.5*IM_RMS_120*VDC_AVG*Z62*n*MOT_ELEC_FREQ/GDR_SRC,"")</f>
        <v>3.902218782249741E-5</v>
      </c>
      <c r="AF62" s="127">
        <f>IF(AND($A62&lt;&gt;0,$A62&lt;&gt;"",OR(RIGHT(Logic!B62,2)="C)",LEFT(Logic!B62,4)="CSD1")),Num_FETS3*0.5*IM_RMS_120*VDC_AVG*Z62*n*MOT_ELEC_FREQ/GDR_SINK,"")</f>
        <v>2.6535087719298241E-5</v>
      </c>
      <c r="AG62" s="127">
        <f>IF(AND($A62&lt;&gt;0,$A62&lt;&gt;"",OR(RIGHT(Logic!B62,2)="T)",LEFT(Logic!B62,4)="CSD1")),DUTY*IM_RMS_120^2*V62*m/3/Num_FETS3,"")</f>
        <v>0.14498050682261207</v>
      </c>
      <c r="AH62" s="127">
        <f>IF(AND($A62&lt;&gt;0,$A62&lt;&gt;"",OR(RIGHT(Logic!B62,2)="T)",LEFT(Logic!B62,4)="CSD1")),Num_FETS3*0.5*IM_RMS_120*VDC_AVG*Z62*n*FSW*k/GDR_SRC/3,"")</f>
        <v>7.8044375644994819E-3</v>
      </c>
      <c r="AI62" s="127">
        <f>IF(AND($A62&lt;&gt;0,$A62&lt;&gt;"",OR(RIGHT(Logic!B62,2)="T)",LEFT(Logic!B62,4)="CSD1")),Num_FETS3*0.5*IM_RMS_120*VDC_AVG*Z62*n*FSW*k/GDR_SINK/3,"")</f>
        <v>5.3070175438596481E-3</v>
      </c>
      <c r="AJ62" s="127">
        <f t="shared" si="28"/>
        <v>1.8000000000000002E-3</v>
      </c>
      <c r="AK62" s="127">
        <f t="shared" si="29"/>
        <v>1.5518209871433389E-2</v>
      </c>
      <c r="AL62" s="127">
        <f t="shared" si="30"/>
        <v>3.5338799999999997E-3</v>
      </c>
      <c r="AM62" s="127">
        <f t="shared" si="26"/>
        <v>0.46554629614300186</v>
      </c>
      <c r="AN62" s="127">
        <f>IF(AND($A62&lt;&gt;0,$A62&lt;&gt;"",OR(RIGHT(Logic!B62,2)="C)",LEFT(Logic!B62,4)="CSD1")),SUM(AD62:AF62)+(AJ62/3)+AK62+AL62/6+AM62/6,AN63)</f>
        <v>0.25460540930808179</v>
      </c>
      <c r="AO62" s="127">
        <f>IF(AND($A62&lt;&gt;0,$A62&lt;&gt;"",OR(RIGHT(Logic!B62,2)="T)",LEFT(Logic!B62,4)="CSD1")),SUM(AG62:AI62)+(AJ62/3)+AL62/6+AM62/6,AO61)</f>
        <v>0.23687199128813813</v>
      </c>
      <c r="AP62" s="48">
        <f t="shared" si="27"/>
        <v>0.49</v>
      </c>
      <c r="AQ62" s="35" t="str">
        <f>IF(AND(A62&lt;&gt;0,A62&lt;&gt;""),LOOKUP(A62,Discrete_NFET[PARTNUMBER],Discrete_NFET[TI_EQ_PACKAGE]),"")</f>
        <v>SON5X6</v>
      </c>
      <c r="AR62" s="49">
        <f>IF(AND(A62&lt;&gt;0,A62&lt;&gt;""),LOOKUP(A62,Discrete_NFET[PARTNUMBER],Discrete_NFET[1KPRICE]),"")</f>
        <v>0.34</v>
      </c>
      <c r="AS62" s="35" t="str">
        <f>IF(AND($A62&lt;&gt;0,$A62&lt;&gt;""),CONCATENATE(TEXT(AP62,"0.00"),"W, ",IF('User Input'!H$11="Single Discrete",A62,IF('User Input'!H$11="Dual/Power Block",LEFT(A62,FIND(")",A62)-7),A62)),", ",AQ62,", ",TEXT(AR62,"$0.00")),"Invalid Part")</f>
        <v>0.49W, CSD18513Q5A, SON5X6, $0.34</v>
      </c>
      <c r="AT62" t="s">
        <v>858</v>
      </c>
      <c r="AW62"/>
    </row>
    <row r="63" spans="1:49" ht="15" customHeight="1" x14ac:dyDescent="0.25">
      <c r="A63" s="35" t="str">
        <f>IF(OR(AND(FET_config3="Dual/Power Block",LEFT(Logic!B63,4)="CSD8"),AND(FET_config3="Single Discrete",LEFT(Logic!B63,4)="CSD1")),Logic!B63,"")</f>
        <v>CSD18514Q5A</v>
      </c>
      <c r="B63" s="37" t="str">
        <f>IF(OR($A63=0,$A63=""),"0",IF(LOOKUP($A63,Discrete_NFET[PARTNUMBER],Discrete_NFET[RDSON25])="(NULL)","0","1"))</f>
        <v>0</v>
      </c>
      <c r="C63" s="38" t="str">
        <f>IF(OR($A63=0,$A63=""),"0",IF(LOOKUP($A63,Discrete_NFET[PARTNUMBER],Discrete_NFET[RDSON3])="(NULL)","0","1"))</f>
        <v>0</v>
      </c>
      <c r="D63" s="40" t="str">
        <f>IF(OR($A63=0,$A63=""),"0",IF(LOOKUP($A63,Discrete_NFET[PARTNUMBER],Discrete_NFET[RDSON45])="(NULL)","0","1"))</f>
        <v>1</v>
      </c>
      <c r="E63" s="45" t="str">
        <f>IF(OR($A63=0,$A63=""),"0",IF(LOOKUP($A63,Discrete_NFET[PARTNUMBER],Discrete_NFET[RDSON6])="(NULL)","0","1"))</f>
        <v>0</v>
      </c>
      <c r="F63" s="34" t="str">
        <f>IF(OR($A63=0,$A63=""),"0",IF(LOOKUP($A63,Discrete_NFET[PARTNUMBER],Discrete_NFET[RDSON8])="(NULL)","0","1"))</f>
        <v>0</v>
      </c>
      <c r="G63" s="43" t="str">
        <f>IF(OR($A63=0,$A63=""),"0",IF(LOOKUP($A63,Discrete_NFET[PARTNUMBER],Discrete_NFET[RDSON10])="(NULL)","0","1"))</f>
        <v>1</v>
      </c>
      <c r="H63" s="36" t="b">
        <f t="shared" si="12"/>
        <v>0</v>
      </c>
      <c r="I63" s="39" t="b">
        <f t="shared" si="13"/>
        <v>0</v>
      </c>
      <c r="J63" s="41" t="b">
        <f t="shared" si="14"/>
        <v>1</v>
      </c>
      <c r="K63" s="46" t="b">
        <f t="shared" si="15"/>
        <v>0</v>
      </c>
      <c r="L63" s="42" t="b">
        <f t="shared" si="16"/>
        <v>0</v>
      </c>
      <c r="M63" s="44" t="b">
        <f t="shared" si="17"/>
        <v>1</v>
      </c>
      <c r="N63" s="47" t="b">
        <f t="shared" si="18"/>
        <v>1</v>
      </c>
      <c r="O63" s="36" t="b">
        <f t="shared" si="19"/>
        <v>0</v>
      </c>
      <c r="P63" s="39" t="b">
        <f t="shared" si="20"/>
        <v>0</v>
      </c>
      <c r="Q63" s="41" t="b">
        <f t="shared" si="21"/>
        <v>1</v>
      </c>
      <c r="R63" s="46" t="b">
        <f t="shared" si="22"/>
        <v>0</v>
      </c>
      <c r="S63" s="42" t="b">
        <f t="shared" si="23"/>
        <v>0</v>
      </c>
      <c r="T63" s="44" t="b">
        <f t="shared" si="24"/>
        <v>1</v>
      </c>
      <c r="U63" s="148">
        <f>IF(T63,LOOKUP(A63,Discrete_NFET[PARTNUMBER],Discrete_NFET[RDSON10])*1000,IF(S63,LOOKUP(A63,Discrete_NFET[PARTNUMBER],Discrete_NFET[RDSON8])*1000,IF(R63,LOOKUP(A63,Discrete_NFET[PARTNUMBER],Discrete_NFET[RDSON6])*1000,IF(Q63,LOOKUP(A63,Discrete_NFET[PARTNUMBER],Discrete_NFET[RDSON45])*1000,IF(P63,LOOKUP(A63,Discrete_NFET[PARTNUMBER],Discrete_NFET[RDSON3])*1000,IF(O63,LOOKUP(A63,Discrete_NFET[PARTNUMBER],Discrete_NFET[RDSON25])*1000,""))))))</f>
        <v>4.8999999999999995</v>
      </c>
      <c r="V63" s="48">
        <f>IF(AND(A63&lt;&gt;0,A63&lt;&gt;""),U63*(1+(Tj-25)*(LOOKUP(A63,Discrete_NFET[PARTNUMBER],Discrete_NFET[RDSDELTA])/((LOOKUP(A63,Discrete_NFET[PARTNUMBER],Discrete_NFET[TJMAX])-25)))),"")</f>
        <v>5.5076000000000001</v>
      </c>
      <c r="W63" s="35">
        <f>IF(AND($A63&lt;&gt;0,$A63&lt;&gt;""),LOOKUP($A63,Discrete_NFET[PARTNUMBER],Discrete_NFET[QGS]),"")</f>
        <v>6</v>
      </c>
      <c r="X63" s="35">
        <f>IF(AND($A63&lt;&gt;0,$A63&lt;&gt;""),LOOKUP($A63,Discrete_NFET[PARTNUMBER],Discrete_NFET[QGD]),"")</f>
        <v>5</v>
      </c>
      <c r="Y63" s="35">
        <f>IF(AND($A63&lt;&gt;0,$A63&lt;&gt;""),LOOKUP($A63,Discrete_NFET[PARTNUMBER],Discrete_NFET[QGTH]),"")</f>
        <v>3.4</v>
      </c>
      <c r="Z63" s="35">
        <f t="shared" si="25"/>
        <v>7.6</v>
      </c>
      <c r="AA63" s="35">
        <f>IF(AND($A63&lt;&gt;0,$A63&lt;&gt;""),LOOKUP($A63,Discrete_NFET[PARTNUMBER],Discrete_NFET[QOSSTYP]),"")</f>
        <v>9.1999999999999993</v>
      </c>
      <c r="AB63" s="35">
        <f>IF(AND($A63&lt;&gt;0,$A63&lt;&gt;""),LOOKUP($A63,Discrete_NFET[PARTNUMBER],Discrete_NFET[QRR]),"")</f>
        <v>8.5</v>
      </c>
      <c r="AC63" s="35">
        <f>IF(AND(A63&lt;&gt;0,A63&lt;&gt;""),LOOKUP(A63,Discrete_NFET[PARTNUMBER],Discrete_NFET[VF_TYP]),"")</f>
        <v>1</v>
      </c>
      <c r="AD63" s="127">
        <f>IF(AND($A63&lt;&gt;0,$A63&lt;&gt;"",OR(RIGHT(Logic!B63,2)="C)",LEFT(Logic!B63,4)="CSD1")),(1+(1-DUTY))*IM_RMS_120^2*V63*m/3/Num_FETS3,"")</f>
        <v>0.23176121498922742</v>
      </c>
      <c r="AE63" s="127">
        <f>IF(AND($A63&lt;&gt;0,$A63&lt;&gt;"",OR(RIGHT(Logic!B63,2)="C)",LEFT(Logic!B63,4)="CSD1")),Num_FETS3*0.5*IM_RMS_120*VDC_AVG*Z63*n*MOT_ELEC_FREQ/GDR_SRC,"")</f>
        <v>2.4509803921568626E-5</v>
      </c>
      <c r="AF63" s="127">
        <f>IF(AND($A63&lt;&gt;0,$A63&lt;&gt;"",OR(RIGHT(Logic!B63,2)="C)",LEFT(Logic!B63,4)="CSD1")),Num_FETS3*0.5*IM_RMS_120*VDC_AVG*Z63*n*MOT_ELEC_FREQ/GDR_SINK,"")</f>
        <v>1.6666666666666667E-5</v>
      </c>
      <c r="AG63" s="127">
        <f>IF(AND($A63&lt;&gt;0,$A63&lt;&gt;"",OR(RIGHT(Logic!B63,2)="T)",LEFT(Logic!B63,4)="CSD1")),DUTY*IM_RMS_120^2*V63*m/3/Num_FETS3,"")</f>
        <v>0.20968871832358671</v>
      </c>
      <c r="AH63" s="127">
        <f>IF(AND($A63&lt;&gt;0,$A63&lt;&gt;"",OR(RIGHT(Logic!B63,2)="T)",LEFT(Logic!B63,4)="CSD1")),Num_FETS3*0.5*IM_RMS_120*VDC_AVG*Z63*n*FSW*k/GDR_SRC/3,"")</f>
        <v>4.9019607843137246E-3</v>
      </c>
      <c r="AI63" s="127">
        <f>IF(AND($A63&lt;&gt;0,$A63&lt;&gt;"",OR(RIGHT(Logic!B63,2)="T)",LEFT(Logic!B63,4)="CSD1")),Num_FETS3*0.5*IM_RMS_120*VDC_AVG*Z63*n*FSW*k/GDR_SINK/3,"")</f>
        <v>3.3333333333333327E-3</v>
      </c>
      <c r="AJ63" s="127">
        <f t="shared" si="28"/>
        <v>1.1040000000000002E-3</v>
      </c>
      <c r="AK63" s="127">
        <f t="shared" si="29"/>
        <v>1.5518209871433389E-2</v>
      </c>
      <c r="AL63" s="127">
        <f t="shared" si="30"/>
        <v>2.0433999999999999E-3</v>
      </c>
      <c r="AM63" s="127">
        <f t="shared" si="26"/>
        <v>0.46554629614300186</v>
      </c>
      <c r="AN63" s="127">
        <f>IF(AND($A63&lt;&gt;0,$A63&lt;&gt;"",OR(RIGHT(Logic!B63,2)="C)",LEFT(Logic!B63,4)="CSD1")),SUM(AD63:AF63)+(AJ63/3)+AK63+AL63/6+AM63/6,AN64)</f>
        <v>0.32562021735508268</v>
      </c>
      <c r="AO63" s="127">
        <f>IF(AND($A63&lt;&gt;0,$A63&lt;&gt;"",OR(RIGHT(Logic!B63,2)="T)",LEFT(Logic!B63,4)="CSD1")),SUM(AG63:AI63)+(AJ63/3)+AL63/6+AM63/6,AO62)</f>
        <v>0.29622362846506739</v>
      </c>
      <c r="AP63" s="48">
        <f t="shared" si="27"/>
        <v>0.62</v>
      </c>
      <c r="AQ63" s="35" t="str">
        <f>IF(AND(A63&lt;&gt;0,A63&lt;&gt;""),LOOKUP(A63,Discrete_NFET[PARTNUMBER],Discrete_NFET[TI_EQ_PACKAGE]),"")</f>
        <v>SON5X6</v>
      </c>
      <c r="AR63" s="49">
        <f>IF(AND(A63&lt;&gt;0,A63&lt;&gt;""),LOOKUP(A63,Discrete_NFET[PARTNUMBER],Discrete_NFET[1KPRICE]),"")</f>
        <v>0.24</v>
      </c>
      <c r="AS63" s="35" t="str">
        <f>IF(AND($A63&lt;&gt;0,$A63&lt;&gt;""),CONCATENATE(TEXT(AP63,"0.00"),"W, ",IF('User Input'!H$11="Single Discrete",A63,IF('User Input'!H$11="Dual/Power Block",LEFT(A63,FIND(")",A63)-7),A63)),", ",AQ63,", ",TEXT(AR63,"$0.00")),"Invalid Part")</f>
        <v>0.62W, CSD18514Q5A, SON5X6, $0.24</v>
      </c>
      <c r="AT63" t="s">
        <v>843</v>
      </c>
      <c r="AW63"/>
    </row>
    <row r="64" spans="1:49" ht="15" customHeight="1" x14ac:dyDescent="0.25">
      <c r="A64" s="35" t="str">
        <f>IF(OR(AND(FET_config3="Dual/Power Block",LEFT(Logic!B64,4)="CSD8"),AND(FET_config3="Single Discrete",LEFT(Logic!B64,4)="CSD1")),Logic!B64,"")</f>
        <v>CSD18531Q5A</v>
      </c>
      <c r="B64" s="37" t="str">
        <f>IF(OR($A64=0,$A64=""),"0",IF(LOOKUP($A64,Discrete_NFET[PARTNUMBER],Discrete_NFET[RDSON25])="(NULL)","0","1"))</f>
        <v>0</v>
      </c>
      <c r="C64" s="38" t="str">
        <f>IF(OR($A64=0,$A64=""),"0",IF(LOOKUP($A64,Discrete_NFET[PARTNUMBER],Discrete_NFET[RDSON3])="(NULL)","0","1"))</f>
        <v>0</v>
      </c>
      <c r="D64" s="40" t="str">
        <f>IF(OR($A64=0,$A64=""),"0",IF(LOOKUP($A64,Discrete_NFET[PARTNUMBER],Discrete_NFET[RDSON45])="(NULL)","0","1"))</f>
        <v>1</v>
      </c>
      <c r="E64" s="45" t="str">
        <f>IF(OR($A64=0,$A64=""),"0",IF(LOOKUP($A64,Discrete_NFET[PARTNUMBER],Discrete_NFET[RDSON6])="(NULL)","0","1"))</f>
        <v>0</v>
      </c>
      <c r="F64" s="34" t="str">
        <f>IF(OR($A64=0,$A64=""),"0",IF(LOOKUP($A64,Discrete_NFET[PARTNUMBER],Discrete_NFET[RDSON8])="(NULL)","0","1"))</f>
        <v>0</v>
      </c>
      <c r="G64" s="43" t="str">
        <f>IF(OR($A64=0,$A64=""),"0",IF(LOOKUP($A64,Discrete_NFET[PARTNUMBER],Discrete_NFET[RDSON10])="(NULL)","0","1"))</f>
        <v>1</v>
      </c>
      <c r="H64" s="36" t="b">
        <f t="shared" si="12"/>
        <v>0</v>
      </c>
      <c r="I64" s="39" t="b">
        <f t="shared" si="13"/>
        <v>0</v>
      </c>
      <c r="J64" s="41" t="b">
        <f t="shared" si="14"/>
        <v>1</v>
      </c>
      <c r="K64" s="46" t="b">
        <f t="shared" si="15"/>
        <v>0</v>
      </c>
      <c r="L64" s="42" t="b">
        <f t="shared" si="16"/>
        <v>0</v>
      </c>
      <c r="M64" s="44" t="b">
        <f t="shared" si="17"/>
        <v>1</v>
      </c>
      <c r="N64" s="47" t="b">
        <f t="shared" si="18"/>
        <v>1</v>
      </c>
      <c r="O64" s="36" t="b">
        <f t="shared" si="19"/>
        <v>0</v>
      </c>
      <c r="P64" s="39" t="b">
        <f t="shared" si="20"/>
        <v>0</v>
      </c>
      <c r="Q64" s="41" t="b">
        <f t="shared" si="21"/>
        <v>1</v>
      </c>
      <c r="R64" s="46" t="b">
        <f t="shared" si="22"/>
        <v>0</v>
      </c>
      <c r="S64" s="42" t="b">
        <f t="shared" si="23"/>
        <v>0</v>
      </c>
      <c r="T64" s="44" t="b">
        <f t="shared" si="24"/>
        <v>1</v>
      </c>
      <c r="U64" s="148">
        <f>IF(T64,LOOKUP(A64,Discrete_NFET[PARTNUMBER],Discrete_NFET[RDSON10])*1000,IF(S64,LOOKUP(A64,Discrete_NFET[PARTNUMBER],Discrete_NFET[RDSON8])*1000,IF(R64,LOOKUP(A64,Discrete_NFET[PARTNUMBER],Discrete_NFET[RDSON6])*1000,IF(Q64,LOOKUP(A64,Discrete_NFET[PARTNUMBER],Discrete_NFET[RDSON45])*1000,IF(P64,LOOKUP(A64,Discrete_NFET[PARTNUMBER],Discrete_NFET[RDSON3])*1000,IF(O64,LOOKUP(A64,Discrete_NFET[PARTNUMBER],Discrete_NFET[RDSON25])*1000,""))))))</f>
        <v>4.5999999999999996</v>
      </c>
      <c r="V64" s="48">
        <f>IF(AND(A64&lt;&gt;0,A64&lt;&gt;""),U64*(1+(Tj-25)*(LOOKUP(A64,Discrete_NFET[PARTNUMBER],Discrete_NFET[RDSDELTA])/((LOOKUP(A64,Discrete_NFET[PARTNUMBER],Discrete_NFET[TJMAX])-25)))),"")</f>
        <v>5.4739999999999993</v>
      </c>
      <c r="W64" s="35">
        <f>IF(AND($A64&lt;&gt;0,$A64&lt;&gt;""),LOOKUP($A64,Discrete_NFET[PARTNUMBER],Discrete_NFET[QGS]),"")</f>
        <v>6.9</v>
      </c>
      <c r="X64" s="35">
        <f>IF(AND($A64&lt;&gt;0,$A64&lt;&gt;""),LOOKUP($A64,Discrete_NFET[PARTNUMBER],Discrete_NFET[QGD]),"")</f>
        <v>5.9</v>
      </c>
      <c r="Y64" s="35">
        <f>IF(AND($A64&lt;&gt;0,$A64&lt;&gt;""),LOOKUP($A64,Discrete_NFET[PARTNUMBER],Discrete_NFET[QGTH]),"")</f>
        <v>5.2</v>
      </c>
      <c r="Z64" s="35">
        <f t="shared" si="25"/>
        <v>7.6000000000000005</v>
      </c>
      <c r="AA64" s="35">
        <f>IF(AND($A64&lt;&gt;0,$A64&lt;&gt;""),LOOKUP($A64,Discrete_NFET[PARTNUMBER],Discrete_NFET[QOSSTYP]),"")</f>
        <v>32</v>
      </c>
      <c r="AB64" s="35">
        <f>IF(AND($A64&lt;&gt;0,$A64&lt;&gt;""),LOOKUP($A64,Discrete_NFET[PARTNUMBER],Discrete_NFET[QRR]),"")</f>
        <v>100</v>
      </c>
      <c r="AC64" s="35">
        <f>IF(AND(A64&lt;&gt;0,A64&lt;&gt;""),LOOKUP(A64,Discrete_NFET[PARTNUMBER],Discrete_NFET[VF_TYP]),"")</f>
        <v>0.8</v>
      </c>
      <c r="AD64" s="127">
        <f>IF(AND($A64&lt;&gt;0,$A64&lt;&gt;"",OR(RIGHT(Logic!B64,2)="C)",LEFT(Logic!B64,4)="CSD1")),(1+(1-DUTY))*IM_RMS_120^2*V64*m/3/Num_FETS3,"")</f>
        <v>0.23034731840566322</v>
      </c>
      <c r="AE64" s="127">
        <f>IF(AND($A64&lt;&gt;0,$A64&lt;&gt;"",OR(RIGHT(Logic!B64,2)="C)",LEFT(Logic!B64,4)="CSD1")),Num_FETS3*0.5*IM_RMS_120*VDC_AVG*Z64*n*MOT_ELEC_FREQ/GDR_SRC,"")</f>
        <v>2.4509803921568633E-5</v>
      </c>
      <c r="AF64" s="127">
        <f>IF(AND($A64&lt;&gt;0,$A64&lt;&gt;"",OR(RIGHT(Logic!B64,2)="C)",LEFT(Logic!B64,4)="CSD1")),Num_FETS3*0.5*IM_RMS_120*VDC_AVG*Z64*n*MOT_ELEC_FREQ/GDR_SINK,"")</f>
        <v>1.6666666666666671E-5</v>
      </c>
      <c r="AG64" s="127">
        <f>IF(AND($A64&lt;&gt;0,$A64&lt;&gt;"",OR(RIGHT(Logic!B64,2)="T)",LEFT(Logic!B64,4)="CSD1")),DUTY*IM_RMS_120^2*V64*m/3/Num_FETS3,"")</f>
        <v>0.2084094785575048</v>
      </c>
      <c r="AH64" s="127">
        <f>IF(AND($A64&lt;&gt;0,$A64&lt;&gt;"",OR(RIGHT(Logic!B64,2)="T)",LEFT(Logic!B64,4)="CSD1")),Num_FETS3*0.5*IM_RMS_120*VDC_AVG*Z64*n*FSW*k/GDR_SRC/3,"")</f>
        <v>4.9019607843137263E-3</v>
      </c>
      <c r="AI64" s="127">
        <f>IF(AND($A64&lt;&gt;0,$A64&lt;&gt;"",OR(RIGHT(Logic!B64,2)="T)",LEFT(Logic!B64,4)="CSD1")),Num_FETS3*0.5*IM_RMS_120*VDC_AVG*Z64*n*FSW*k/GDR_SINK/3,"")</f>
        <v>3.333333333333334E-3</v>
      </c>
      <c r="AJ64" s="127">
        <f t="shared" si="28"/>
        <v>3.8400000000000001E-3</v>
      </c>
      <c r="AK64" s="127">
        <f t="shared" si="29"/>
        <v>1.2414567897146714E-2</v>
      </c>
      <c r="AL64" s="127">
        <f t="shared" si="30"/>
        <v>2.4040000000000002E-2</v>
      </c>
      <c r="AM64" s="127">
        <f t="shared" si="26"/>
        <v>0.37243703691440144</v>
      </c>
      <c r="AN64" s="127">
        <f>IF(AND($A64&lt;&gt;0,$A64&lt;&gt;"",OR(RIGHT(Logic!B64,2)="C)",LEFT(Logic!B64,4)="CSD1")),SUM(AD64:AF64)+(AJ64/3)+AK64+AL64/6+AM64/6,AN65)</f>
        <v>0.31016256892579841</v>
      </c>
      <c r="AO64" s="127">
        <f>IF(AND($A64&lt;&gt;0,$A64&lt;&gt;"",OR(RIGHT(Logic!B64,2)="T)",LEFT(Logic!B64,4)="CSD1")),SUM(AG64:AI64)+(AJ64/3)+AL64/6+AM64/6,AO63)</f>
        <v>0.28400427882755208</v>
      </c>
      <c r="AP64" s="48">
        <f t="shared" si="27"/>
        <v>0.59</v>
      </c>
      <c r="AQ64" s="35" t="str">
        <f>IF(AND(A64&lt;&gt;0,A64&lt;&gt;""),LOOKUP(A64,Discrete_NFET[PARTNUMBER],Discrete_NFET[TI_EQ_PACKAGE]),"")</f>
        <v>SON5X6</v>
      </c>
      <c r="AR64" s="49">
        <f>IF(AND(A64&lt;&gt;0,A64&lt;&gt;""),LOOKUP(A64,Discrete_NFET[PARTNUMBER],Discrete_NFET[1KPRICE]),"")</f>
        <v>0.56000000000000005</v>
      </c>
      <c r="AS64" s="35" t="str">
        <f>IF(AND($A64&lt;&gt;0,$A64&lt;&gt;""),CONCATENATE(TEXT(AP64,"0.00"),"W, ",IF('User Input'!H$11="Single Discrete",A64,IF('User Input'!H$11="Dual/Power Block",LEFT(A64,FIND(")",A64)-7),A64)),", ",AQ64,", ",TEXT(AR64,"$0.00")),"Invalid Part")</f>
        <v>0.59W, CSD18531Q5A, SON5X6, $0.56</v>
      </c>
      <c r="AT64" t="s">
        <v>832</v>
      </c>
      <c r="AW64"/>
    </row>
    <row r="65" spans="1:49" ht="15" customHeight="1" x14ac:dyDescent="0.25">
      <c r="A65" s="35" t="str">
        <f>IF(OR(AND(FET_config3="Dual/Power Block",LEFT(Logic!B65,4)="CSD8"),AND(FET_config3="Single Discrete",LEFT(Logic!B65,4)="CSD1")),Logic!B65,"")</f>
        <v>CSD18532KCS</v>
      </c>
      <c r="B65" s="37" t="str">
        <f>IF(OR($A65=0,$A65=""),"0",IF(LOOKUP($A65,Discrete_NFET[PARTNUMBER],Discrete_NFET[RDSON25])="(NULL)","0","1"))</f>
        <v>0</v>
      </c>
      <c r="C65" s="38" t="str">
        <f>IF(OR($A65=0,$A65=""),"0",IF(LOOKUP($A65,Discrete_NFET[PARTNUMBER],Discrete_NFET[RDSON3])="(NULL)","0","1"))</f>
        <v>0</v>
      </c>
      <c r="D65" s="40" t="str">
        <f>IF(OR($A65=0,$A65=""),"0",IF(LOOKUP($A65,Discrete_NFET[PARTNUMBER],Discrete_NFET[RDSON45])="(NULL)","0","1"))</f>
        <v>1</v>
      </c>
      <c r="E65" s="45" t="str">
        <f>IF(OR($A65=0,$A65=""),"0",IF(LOOKUP($A65,Discrete_NFET[PARTNUMBER],Discrete_NFET[RDSON6])="(NULL)","0","1"))</f>
        <v>0</v>
      </c>
      <c r="F65" s="34" t="str">
        <f>IF(OR($A65=0,$A65=""),"0",IF(LOOKUP($A65,Discrete_NFET[PARTNUMBER],Discrete_NFET[RDSON8])="(NULL)","0","1"))</f>
        <v>0</v>
      </c>
      <c r="G65" s="43" t="str">
        <f>IF(OR($A65=0,$A65=""),"0",IF(LOOKUP($A65,Discrete_NFET[PARTNUMBER],Discrete_NFET[RDSON10])="(NULL)","0","1"))</f>
        <v>1</v>
      </c>
      <c r="H65" s="36" t="b">
        <f t="shared" si="12"/>
        <v>0</v>
      </c>
      <c r="I65" s="39" t="b">
        <f t="shared" si="13"/>
        <v>0</v>
      </c>
      <c r="J65" s="41" t="b">
        <f t="shared" si="14"/>
        <v>1</v>
      </c>
      <c r="K65" s="46" t="b">
        <f t="shared" si="15"/>
        <v>0</v>
      </c>
      <c r="L65" s="42" t="b">
        <f t="shared" si="16"/>
        <v>0</v>
      </c>
      <c r="M65" s="44" t="b">
        <f t="shared" si="17"/>
        <v>1</v>
      </c>
      <c r="N65" s="47" t="b">
        <f t="shared" si="18"/>
        <v>1</v>
      </c>
      <c r="O65" s="36" t="b">
        <f t="shared" si="19"/>
        <v>0</v>
      </c>
      <c r="P65" s="39" t="b">
        <f t="shared" si="20"/>
        <v>0</v>
      </c>
      <c r="Q65" s="41" t="b">
        <f t="shared" si="21"/>
        <v>1</v>
      </c>
      <c r="R65" s="46" t="b">
        <f t="shared" si="22"/>
        <v>0</v>
      </c>
      <c r="S65" s="42" t="b">
        <f t="shared" si="23"/>
        <v>0</v>
      </c>
      <c r="T65" s="44" t="b">
        <f t="shared" si="24"/>
        <v>1</v>
      </c>
      <c r="U65" s="148">
        <f>IF(T65,LOOKUP(A65,Discrete_NFET[PARTNUMBER],Discrete_NFET[RDSON10])*1000,IF(S65,LOOKUP(A65,Discrete_NFET[PARTNUMBER],Discrete_NFET[RDSON8])*1000,IF(R65,LOOKUP(A65,Discrete_NFET[PARTNUMBER],Discrete_NFET[RDSON6])*1000,IF(Q65,LOOKUP(A65,Discrete_NFET[PARTNUMBER],Discrete_NFET[RDSON45])*1000,IF(P65,LOOKUP(A65,Discrete_NFET[PARTNUMBER],Discrete_NFET[RDSON3])*1000,IF(O65,LOOKUP(A65,Discrete_NFET[PARTNUMBER],Discrete_NFET[RDSON25])*1000,""))))))</f>
        <v>4.2</v>
      </c>
      <c r="V65" s="48">
        <f>IF(AND(A65&lt;&gt;0,A65&lt;&gt;""),U65*(1+(Tj-25)*(LOOKUP(A65,Discrete_NFET[PARTNUMBER],Discrete_NFET[RDSDELTA])/((LOOKUP(A65,Discrete_NFET[PARTNUMBER],Discrete_NFET[TJMAX])-25)))),"")</f>
        <v>4.8790000000000004</v>
      </c>
      <c r="W65" s="35">
        <f>IF(AND($A65&lt;&gt;0,$A65&lt;&gt;""),LOOKUP($A65,Discrete_NFET[PARTNUMBER],Discrete_NFET[QGS]),"")</f>
        <v>10</v>
      </c>
      <c r="X65" s="35">
        <f>IF(AND($A65&lt;&gt;0,$A65&lt;&gt;""),LOOKUP($A65,Discrete_NFET[PARTNUMBER],Discrete_NFET[QGD]),"")</f>
        <v>6.9</v>
      </c>
      <c r="Y65" s="35">
        <f>IF(AND($A65&lt;&gt;0,$A65&lt;&gt;""),LOOKUP($A65,Discrete_NFET[PARTNUMBER],Discrete_NFET[QGTH]),"")</f>
        <v>7.3</v>
      </c>
      <c r="Z65" s="35">
        <f t="shared" si="25"/>
        <v>9.5999999999999979</v>
      </c>
      <c r="AA65" s="35">
        <f>IF(AND($A65&lt;&gt;0,$A65&lt;&gt;""),LOOKUP($A65,Discrete_NFET[PARTNUMBER],Discrete_NFET[QOSSTYP]),"")</f>
        <v>52</v>
      </c>
      <c r="AB65" s="35">
        <f>IF(AND($A65&lt;&gt;0,$A65&lt;&gt;""),LOOKUP($A65,Discrete_NFET[PARTNUMBER],Discrete_NFET[QRR]),"")</f>
        <v>127</v>
      </c>
      <c r="AC65" s="35">
        <f>IF(AND(A65&lt;&gt;0,A65&lt;&gt;""),LOOKUP(A65,Discrete_NFET[PARTNUMBER],Discrete_NFET[VF_TYP]),"")</f>
        <v>0.8</v>
      </c>
      <c r="AD65" s="127">
        <f>IF(AND($A65&lt;&gt;0,$A65&lt;&gt;"",OR(RIGHT(Logic!B65,2)="C)",LEFT(Logic!B65,4)="CSD1")),(1+(1-DUTY))*IM_RMS_120^2*V65*m/3/Num_FETS3,"")</f>
        <v>0.20530956640504769</v>
      </c>
      <c r="AE65" s="127">
        <f>IF(AND($A65&lt;&gt;0,$A65&lt;&gt;"",OR(RIGHT(Logic!B65,2)="C)",LEFT(Logic!B65,4)="CSD1")),Num_FETS3*0.5*IM_RMS_120*VDC_AVG*Z65*n*MOT_ELEC_FREQ/GDR_SRC,"")</f>
        <v>3.0959752321981418E-5</v>
      </c>
      <c r="AF65" s="127">
        <f>IF(AND($A65&lt;&gt;0,$A65&lt;&gt;"",OR(RIGHT(Logic!B65,2)="C)",LEFT(Logic!B65,4)="CSD1")),Num_FETS3*0.5*IM_RMS_120*VDC_AVG*Z65*n*MOT_ELEC_FREQ/GDR_SINK,"")</f>
        <v>2.1052631578947366E-5</v>
      </c>
      <c r="AG65" s="127">
        <f>IF(AND($A65&lt;&gt;0,$A65&lt;&gt;"",OR(RIGHT(Logic!B65,2)="T)",LEFT(Logic!B65,4)="CSD1")),DUTY*IM_RMS_120^2*V65*m/3/Num_FETS3,"")</f>
        <v>0.18575627436647171</v>
      </c>
      <c r="AH65" s="127">
        <f>IF(AND($A65&lt;&gt;0,$A65&lt;&gt;"",OR(RIGHT(Logic!B65,2)="T)",LEFT(Logic!B65,4)="CSD1")),Num_FETS3*0.5*IM_RMS_120*VDC_AVG*Z65*n*FSW*k/GDR_SRC/3,"")</f>
        <v>6.1919504643962826E-3</v>
      </c>
      <c r="AI65" s="127">
        <f>IF(AND($A65&lt;&gt;0,$A65&lt;&gt;"",OR(RIGHT(Logic!B65,2)="T)",LEFT(Logic!B65,4)="CSD1")),Num_FETS3*0.5*IM_RMS_120*VDC_AVG*Z65*n*FSW*k/GDR_SINK/3,"")</f>
        <v>4.2105263157894727E-3</v>
      </c>
      <c r="AJ65" s="127">
        <f t="shared" si="28"/>
        <v>6.2400000000000008E-3</v>
      </c>
      <c r="AK65" s="127">
        <f t="shared" si="29"/>
        <v>1.2414567897146714E-2</v>
      </c>
      <c r="AL65" s="127">
        <f t="shared" si="30"/>
        <v>3.05308E-2</v>
      </c>
      <c r="AM65" s="127">
        <f t="shared" si="26"/>
        <v>0.37243703691440144</v>
      </c>
      <c r="AN65" s="127">
        <f>IF(AND($A65&lt;&gt;0,$A65&lt;&gt;"",OR(RIGHT(Logic!B65,2)="C)",LEFT(Logic!B65,4)="CSD1")),SUM(AD65:AF65)+(AJ65/3)+AK65+AL65/6+AM65/6,AN66)</f>
        <v>0.28701745283849556</v>
      </c>
      <c r="AO65" s="127">
        <f>IF(AND($A65&lt;&gt;0,$A65&lt;&gt;"",OR(RIGHT(Logic!B65,2)="T)",LEFT(Logic!B65,4)="CSD1")),SUM(AG65:AI65)+(AJ65/3)+AL65/6+AM65/6,AO64)</f>
        <v>0.26540005729905769</v>
      </c>
      <c r="AP65" s="48">
        <f t="shared" si="27"/>
        <v>0.55000000000000004</v>
      </c>
      <c r="AQ65" s="35" t="str">
        <f>IF(AND(A65&lt;&gt;0,A65&lt;&gt;""),LOOKUP(A65,Discrete_NFET[PARTNUMBER],Discrete_NFET[TI_EQ_PACKAGE]),"")</f>
        <v>TO-220</v>
      </c>
      <c r="AR65" s="49">
        <f>IF(AND(A65&lt;&gt;0,A65&lt;&gt;""),LOOKUP(A65,Discrete_NFET[PARTNUMBER],Discrete_NFET[1KPRICE]),"")</f>
        <v>0.78</v>
      </c>
      <c r="AS65" s="35" t="str">
        <f>IF(AND($A65&lt;&gt;0,$A65&lt;&gt;""),CONCATENATE(TEXT(AP65,"0.00"),"W, ",IF('User Input'!H$11="Single Discrete",A65,IF('User Input'!H$11="Dual/Power Block",LEFT(A65,FIND(")",A65)-7),A65)),", ",AQ65,", ",TEXT(AR65,"$0.00")),"Invalid Part")</f>
        <v>0.55W, CSD18532KCS, TO-220, $0.78</v>
      </c>
      <c r="AT65" t="s">
        <v>842</v>
      </c>
      <c r="AW65"/>
    </row>
    <row r="66" spans="1:49" ht="15" customHeight="1" x14ac:dyDescent="0.25">
      <c r="A66" s="35" t="str">
        <f>IF(OR(AND(FET_config3="Dual/Power Block",LEFT(Logic!B66,4)="CSD8"),AND(FET_config3="Single Discrete",LEFT(Logic!B66,4)="CSD1")),Logic!B66,"")</f>
        <v>CSD18532NQ5B</v>
      </c>
      <c r="B66" s="37" t="str">
        <f>IF(OR($A66=0,$A66=""),"0",IF(LOOKUP($A66,Discrete_NFET[PARTNUMBER],Discrete_NFET[RDSON25])="(NULL)","0","1"))</f>
        <v>0</v>
      </c>
      <c r="C66" s="38" t="str">
        <f>IF(OR($A66=0,$A66=""),"0",IF(LOOKUP($A66,Discrete_NFET[PARTNUMBER],Discrete_NFET[RDSON3])="(NULL)","0","1"))</f>
        <v>0</v>
      </c>
      <c r="D66" s="40" t="str">
        <f>IF(OR($A66=0,$A66=""),"0",IF(LOOKUP($A66,Discrete_NFET[PARTNUMBER],Discrete_NFET[RDSON45])="(NULL)","0","1"))</f>
        <v>0</v>
      </c>
      <c r="E66" s="45" t="str">
        <f>IF(OR($A66=0,$A66=""),"0",IF(LOOKUP($A66,Discrete_NFET[PARTNUMBER],Discrete_NFET[RDSON6])="(NULL)","0","1"))</f>
        <v>1</v>
      </c>
      <c r="F66" s="34" t="str">
        <f>IF(OR($A66=0,$A66=""),"0",IF(LOOKUP($A66,Discrete_NFET[PARTNUMBER],Discrete_NFET[RDSON8])="(NULL)","0","1"))</f>
        <v>0</v>
      </c>
      <c r="G66" s="43" t="str">
        <f>IF(OR($A66=0,$A66=""),"0",IF(LOOKUP($A66,Discrete_NFET[PARTNUMBER],Discrete_NFET[RDSON10])="(NULL)","0","1"))</f>
        <v>1</v>
      </c>
      <c r="H66" s="36" t="b">
        <f t="shared" si="12"/>
        <v>0</v>
      </c>
      <c r="I66" s="39" t="b">
        <f t="shared" si="13"/>
        <v>0</v>
      </c>
      <c r="J66" s="41" t="b">
        <f t="shared" si="14"/>
        <v>0</v>
      </c>
      <c r="K66" s="46" t="b">
        <f t="shared" si="15"/>
        <v>1</v>
      </c>
      <c r="L66" s="42" t="b">
        <f t="shared" si="16"/>
        <v>0</v>
      </c>
      <c r="M66" s="44" t="b">
        <f t="shared" si="17"/>
        <v>1</v>
      </c>
      <c r="N66" s="47" t="b">
        <f t="shared" si="18"/>
        <v>1</v>
      </c>
      <c r="O66" s="36" t="b">
        <f t="shared" si="19"/>
        <v>0</v>
      </c>
      <c r="P66" s="39" t="b">
        <f t="shared" si="20"/>
        <v>0</v>
      </c>
      <c r="Q66" s="41" t="b">
        <f t="shared" si="21"/>
        <v>0</v>
      </c>
      <c r="R66" s="46" t="b">
        <f t="shared" si="22"/>
        <v>1</v>
      </c>
      <c r="S66" s="42" t="b">
        <f t="shared" si="23"/>
        <v>0</v>
      </c>
      <c r="T66" s="44" t="b">
        <f t="shared" si="24"/>
        <v>1</v>
      </c>
      <c r="U66" s="148">
        <f>IF(T66,LOOKUP(A66,Discrete_NFET[PARTNUMBER],Discrete_NFET[RDSON10])*1000,IF(S66,LOOKUP(A66,Discrete_NFET[PARTNUMBER],Discrete_NFET[RDSON8])*1000,IF(R66,LOOKUP(A66,Discrete_NFET[PARTNUMBER],Discrete_NFET[RDSON6])*1000,IF(Q66,LOOKUP(A66,Discrete_NFET[PARTNUMBER],Discrete_NFET[RDSON45])*1000,IF(P66,LOOKUP(A66,Discrete_NFET[PARTNUMBER],Discrete_NFET[RDSON3])*1000,IF(O66,LOOKUP(A66,Discrete_NFET[PARTNUMBER],Discrete_NFET[RDSON25])*1000,""))))))</f>
        <v>3.4</v>
      </c>
      <c r="V66" s="48">
        <f>IF(AND(A66&lt;&gt;0,A66&lt;&gt;""),U66*(1+(Tj-25)*(LOOKUP(A66,Discrete_NFET[PARTNUMBER],Discrete_NFET[RDSDELTA])/((LOOKUP(A66,Discrete_NFET[PARTNUMBER],Discrete_NFET[TJMAX])-25)))),"")</f>
        <v>3.9779999999999998</v>
      </c>
      <c r="W66" s="35">
        <f>IF(AND($A66&lt;&gt;0,$A66&lt;&gt;""),LOOKUP($A66,Discrete_NFET[PARTNUMBER],Discrete_NFET[QGS]),"")</f>
        <v>16</v>
      </c>
      <c r="X66" s="35">
        <f>IF(AND($A66&lt;&gt;0,$A66&lt;&gt;""),LOOKUP($A66,Discrete_NFET[PARTNUMBER],Discrete_NFET[QGD]),"")</f>
        <v>7.9</v>
      </c>
      <c r="Y66" s="35">
        <f>IF(AND($A66&lt;&gt;0,$A66&lt;&gt;""),LOOKUP($A66,Discrete_NFET[PARTNUMBER],Discrete_NFET[QGTH]),"")</f>
        <v>11</v>
      </c>
      <c r="Z66" s="35">
        <f t="shared" si="25"/>
        <v>12.899999999999999</v>
      </c>
      <c r="AA66" s="35">
        <f>IF(AND($A66&lt;&gt;0,$A66&lt;&gt;""),LOOKUP($A66,Discrete_NFET[PARTNUMBER],Discrete_NFET[QOSSTYP]),"")</f>
        <v>69</v>
      </c>
      <c r="AB66" s="35">
        <f>IF(AND($A66&lt;&gt;0,$A66&lt;&gt;""),LOOKUP($A66,Discrete_NFET[PARTNUMBER],Discrete_NFET[QRR]),"")</f>
        <v>139</v>
      </c>
      <c r="AC66" s="35">
        <f>IF(AND(A66&lt;&gt;0,A66&lt;&gt;""),LOOKUP(A66,Discrete_NFET[PARTNUMBER],Discrete_NFET[VF_TYP]),"")</f>
        <v>0.8</v>
      </c>
      <c r="AD66" s="127">
        <f>IF(AND($A66&lt;&gt;0,$A66&lt;&gt;"",OR(RIGHT(Logic!B66,2)="C)",LEFT(Logic!B66,4)="CSD1")),(1+(1-DUTY))*IM_RMS_120^2*V66*m/3/Num_FETS3,"")</f>
        <v>0.16739525623268695</v>
      </c>
      <c r="AE66" s="127">
        <f>IF(AND($A66&lt;&gt;0,$A66&lt;&gt;"",OR(RIGHT(Logic!B66,2)="C)",LEFT(Logic!B66,4)="CSD1")),Num_FETS3*0.5*IM_RMS_120*VDC_AVG*Z66*n*MOT_ELEC_FREQ/GDR_SRC,"")</f>
        <v>4.1602167182662536E-5</v>
      </c>
      <c r="AF66" s="127">
        <f>IF(AND($A66&lt;&gt;0,$A66&lt;&gt;"",OR(RIGHT(Logic!B66,2)="C)",LEFT(Logic!B66,4)="CSD1")),Num_FETS3*0.5*IM_RMS_120*VDC_AVG*Z66*n*MOT_ELEC_FREQ/GDR_SINK,"")</f>
        <v>2.8289473684210525E-5</v>
      </c>
      <c r="AG66" s="127">
        <f>IF(AND($A66&lt;&gt;0,$A66&lt;&gt;"",OR(RIGHT(Logic!B66,2)="T)",LEFT(Logic!B66,4)="CSD1")),DUTY*IM_RMS_120^2*V66*m/3/Num_FETS3,"")</f>
        <v>0.15145285087719293</v>
      </c>
      <c r="AH66" s="127">
        <f>IF(AND($A66&lt;&gt;0,$A66&lt;&gt;"",OR(RIGHT(Logic!B66,2)="T)",LEFT(Logic!B66,4)="CSD1")),Num_FETS3*0.5*IM_RMS_120*VDC_AVG*Z66*n*FSW*k/GDR_SRC/3,"")</f>
        <v>8.3204334365325067E-3</v>
      </c>
      <c r="AI66" s="127">
        <f>IF(AND($A66&lt;&gt;0,$A66&lt;&gt;"",OR(RIGHT(Logic!B66,2)="T)",LEFT(Logic!B66,4)="CSD1")),Num_FETS3*0.5*IM_RMS_120*VDC_AVG*Z66*n*FSW*k/GDR_SINK/3,"")</f>
        <v>5.6578947368421048E-3</v>
      </c>
      <c r="AJ66" s="127">
        <f t="shared" ref="AJ66:AJ97" si="31">IF(AND($A66&lt;&gt;0,$A66&lt;&gt;""),Num_FETS3*((AA66*VDC_AVG)*((FSW*k)))*n/2,"")</f>
        <v>8.2800000000000009E-3</v>
      </c>
      <c r="AK66" s="127">
        <f t="shared" ref="AK66:AK97" si="32">IF(AND($A66&lt;&gt;0,$A66&lt;&gt;""),2*T_DEAD*n*AC66*IM_PEAK*(FSW*k)/3,"")</f>
        <v>1.2414567897146714E-2</v>
      </c>
      <c r="AL66" s="127">
        <f t="shared" ref="AL66:AL97" si="33">IF(AND($A66&lt;&gt;0,$A66&lt;&gt;""),Num_FETS3*((AB66*VDC_AVG)*((MOT_ELEC_FREQ+FSW*k)))*n,"")</f>
        <v>3.3415599999999997E-2</v>
      </c>
      <c r="AM66" s="127">
        <f t="shared" si="26"/>
        <v>0.37243703691440144</v>
      </c>
      <c r="AN66" s="127">
        <f>IF(AND($A66&lt;&gt;0,$A66&lt;&gt;"",OR(RIGHT(Logic!B66,2)="C)",LEFT(Logic!B66,4)="CSD1")),SUM(AD66:AF66)+(AJ66/3)+AK66+AL66/6+AM66/6,AN67)</f>
        <v>0.25028182192310078</v>
      </c>
      <c r="AO66" s="127">
        <f>IF(AND($A66&lt;&gt;0,$A66&lt;&gt;"",OR(RIGHT(Logic!B66,2)="T)",LEFT(Logic!B66,4)="CSD1")),SUM(AG66:AI66)+(AJ66/3)+AL66/6+AM66/6,AO65)</f>
        <v>0.23583328520296781</v>
      </c>
      <c r="AP66" s="48">
        <f t="shared" si="27"/>
        <v>0.49</v>
      </c>
      <c r="AQ66" s="35" t="str">
        <f>IF(AND(A66&lt;&gt;0,A66&lt;&gt;""),LOOKUP(A66,Discrete_NFET[PARTNUMBER],Discrete_NFET[TI_EQ_PACKAGE]),"")</f>
        <v>SON5X6</v>
      </c>
      <c r="AR66" s="49">
        <f>IF(AND(A66&lt;&gt;0,A66&lt;&gt;""),LOOKUP(A66,Discrete_NFET[PARTNUMBER],Discrete_NFET[1KPRICE]),"")</f>
        <v>0.81</v>
      </c>
      <c r="AS66" s="35" t="str">
        <f>IF(AND($A66&lt;&gt;0,$A66&lt;&gt;""),CONCATENATE(TEXT(AP66,"0.00"),"W, ",IF('User Input'!H$11="Single Discrete",A66,IF('User Input'!H$11="Dual/Power Block",LEFT(A66,FIND(")",A66)-7),A66)),", ",AQ66,", ",TEXT(AR66,"$0.00")),"Invalid Part")</f>
        <v>0.49W, CSD18532NQ5B, SON5X6, $0.81</v>
      </c>
      <c r="AT66" t="s">
        <v>872</v>
      </c>
      <c r="AW66"/>
    </row>
    <row r="67" spans="1:49" ht="15" customHeight="1" x14ac:dyDescent="0.25">
      <c r="A67" s="35" t="str">
        <f>IF(OR(AND(FET_config3="Dual/Power Block",LEFT(Logic!B67,4)="CSD8"),AND(FET_config3="Single Discrete",LEFT(Logic!B67,4)="CSD1")),Logic!B67,"")</f>
        <v>CSD18532Q5B</v>
      </c>
      <c r="B67" s="37" t="str">
        <f>IF(OR($A67=0,$A67=""),"0",IF(LOOKUP($A67,Discrete_NFET[PARTNUMBER],Discrete_NFET[RDSON25])="(NULL)","0","1"))</f>
        <v>0</v>
      </c>
      <c r="C67" s="38" t="str">
        <f>IF(OR($A67=0,$A67=""),"0",IF(LOOKUP($A67,Discrete_NFET[PARTNUMBER],Discrete_NFET[RDSON3])="(NULL)","0","1"))</f>
        <v>0</v>
      </c>
      <c r="D67" s="40" t="str">
        <f>IF(OR($A67=0,$A67=""),"0",IF(LOOKUP($A67,Discrete_NFET[PARTNUMBER],Discrete_NFET[RDSON45])="(NULL)","0","1"))</f>
        <v>1</v>
      </c>
      <c r="E67" s="45" t="str">
        <f>IF(OR($A67=0,$A67=""),"0",IF(LOOKUP($A67,Discrete_NFET[PARTNUMBER],Discrete_NFET[RDSON6])="(NULL)","0","1"))</f>
        <v>0</v>
      </c>
      <c r="F67" s="34" t="str">
        <f>IF(OR($A67=0,$A67=""),"0",IF(LOOKUP($A67,Discrete_NFET[PARTNUMBER],Discrete_NFET[RDSON8])="(NULL)","0","1"))</f>
        <v>0</v>
      </c>
      <c r="G67" s="43" t="str">
        <f>IF(OR($A67=0,$A67=""),"0",IF(LOOKUP($A67,Discrete_NFET[PARTNUMBER],Discrete_NFET[RDSON10])="(NULL)","0","1"))</f>
        <v>1</v>
      </c>
      <c r="H67" s="36" t="b">
        <f t="shared" si="12"/>
        <v>0</v>
      </c>
      <c r="I67" s="39" t="b">
        <f t="shared" si="13"/>
        <v>0</v>
      </c>
      <c r="J67" s="41" t="b">
        <f t="shared" si="14"/>
        <v>1</v>
      </c>
      <c r="K67" s="46" t="b">
        <f t="shared" si="15"/>
        <v>0</v>
      </c>
      <c r="L67" s="42" t="b">
        <f t="shared" si="16"/>
        <v>0</v>
      </c>
      <c r="M67" s="44" t="b">
        <f t="shared" si="17"/>
        <v>1</v>
      </c>
      <c r="N67" s="47" t="b">
        <f t="shared" si="18"/>
        <v>1</v>
      </c>
      <c r="O67" s="36" t="b">
        <f t="shared" si="19"/>
        <v>0</v>
      </c>
      <c r="P67" s="39" t="b">
        <f t="shared" si="20"/>
        <v>0</v>
      </c>
      <c r="Q67" s="41" t="b">
        <f t="shared" si="21"/>
        <v>1</v>
      </c>
      <c r="R67" s="46" t="b">
        <f t="shared" si="22"/>
        <v>0</v>
      </c>
      <c r="S67" s="42" t="b">
        <f t="shared" si="23"/>
        <v>0</v>
      </c>
      <c r="T67" s="44" t="b">
        <f t="shared" si="24"/>
        <v>1</v>
      </c>
      <c r="U67" s="148">
        <f>IF(T67,LOOKUP(A67,Discrete_NFET[PARTNUMBER],Discrete_NFET[RDSON10])*1000,IF(S67,LOOKUP(A67,Discrete_NFET[PARTNUMBER],Discrete_NFET[RDSON8])*1000,IF(R67,LOOKUP(A67,Discrete_NFET[PARTNUMBER],Discrete_NFET[RDSON6])*1000,IF(Q67,LOOKUP(A67,Discrete_NFET[PARTNUMBER],Discrete_NFET[RDSON45])*1000,IF(P67,LOOKUP(A67,Discrete_NFET[PARTNUMBER],Discrete_NFET[RDSON3])*1000,IF(O67,LOOKUP(A67,Discrete_NFET[PARTNUMBER],Discrete_NFET[RDSON25])*1000,""))))))</f>
        <v>3.2</v>
      </c>
      <c r="V67" s="48">
        <f>IF(AND(A67&lt;&gt;0,A67&lt;&gt;""),U67*(1+(Tj-25)*(LOOKUP(A67,Discrete_NFET[PARTNUMBER],Discrete_NFET[RDSDELTA])/((LOOKUP(A67,Discrete_NFET[PARTNUMBER],Discrete_NFET[TJMAX])-25)))),"")</f>
        <v>3.8656000000000001</v>
      </c>
      <c r="W67" s="35">
        <f>IF(AND($A67&lt;&gt;0,$A67&lt;&gt;""),LOOKUP($A67,Discrete_NFET[PARTNUMBER],Discrete_NFET[QGS]),"")</f>
        <v>10</v>
      </c>
      <c r="X67" s="35">
        <f>IF(AND($A67&lt;&gt;0,$A67&lt;&gt;""),LOOKUP($A67,Discrete_NFET[PARTNUMBER],Discrete_NFET[QGD]),"")</f>
        <v>6.9</v>
      </c>
      <c r="Y67" s="35">
        <f>IF(AND($A67&lt;&gt;0,$A67&lt;&gt;""),LOOKUP($A67,Discrete_NFET[PARTNUMBER],Discrete_NFET[QGTH]),"")</f>
        <v>6.3</v>
      </c>
      <c r="Z67" s="35">
        <f t="shared" si="25"/>
        <v>10.599999999999998</v>
      </c>
      <c r="AA67" s="35">
        <f>IF(AND($A67&lt;&gt;0,$A67&lt;&gt;""),LOOKUP($A67,Discrete_NFET[PARTNUMBER],Discrete_NFET[QOSSTYP]),"")</f>
        <v>52</v>
      </c>
      <c r="AB67" s="35">
        <f>IF(AND($A67&lt;&gt;0,$A67&lt;&gt;""),LOOKUP($A67,Discrete_NFET[PARTNUMBER],Discrete_NFET[QRR]),"")</f>
        <v>111</v>
      </c>
      <c r="AC67" s="35">
        <f>IF(AND(A67&lt;&gt;0,A67&lt;&gt;""),LOOKUP(A67,Discrete_NFET[PARTNUMBER],Discrete_NFET[VF_TYP]),"")</f>
        <v>0.8</v>
      </c>
      <c r="AD67" s="127">
        <f>IF(AND($A67&lt;&gt;0,$A67&lt;&gt;"",OR(RIGHT(Logic!B67,2)="C)",LEFT(Logic!B67,4)="CSD1")),(1+(1-DUTY))*IM_RMS_120^2*V67*m/3/Num_FETS3,"")</f>
        <v>0.16266543551862109</v>
      </c>
      <c r="AE67" s="127">
        <f>IF(AND($A67&lt;&gt;0,$A67&lt;&gt;"",OR(RIGHT(Logic!B67,2)="C)",LEFT(Logic!B67,4)="CSD1")),Num_FETS3*0.5*IM_RMS_120*VDC_AVG*Z67*n*MOT_ELEC_FREQ/GDR_SRC,"")</f>
        <v>3.4184726522187812E-5</v>
      </c>
      <c r="AF67" s="127">
        <f>IF(AND($A67&lt;&gt;0,$A67&lt;&gt;"",OR(RIGHT(Logic!B67,2)="C)",LEFT(Logic!B67,4)="CSD1")),Num_FETS3*0.5*IM_RMS_120*VDC_AVG*Z67*n*MOT_ELEC_FREQ/GDR_SINK,"")</f>
        <v>2.3245614035087715E-5</v>
      </c>
      <c r="AG67" s="127">
        <f>IF(AND($A67&lt;&gt;0,$A67&lt;&gt;"",OR(RIGHT(Logic!B67,2)="T)",LEFT(Logic!B67,4)="CSD1")),DUTY*IM_RMS_120^2*V67*m/3/Num_FETS3,"")</f>
        <v>0.14717348927875243</v>
      </c>
      <c r="AH67" s="127">
        <f>IF(AND($A67&lt;&gt;0,$A67&lt;&gt;"",OR(RIGHT(Logic!B67,2)="T)",LEFT(Logic!B67,4)="CSD1")),Num_FETS3*0.5*IM_RMS_120*VDC_AVG*Z67*n*FSW*k/GDR_SRC/3,"")</f>
        <v>6.8369453044375616E-3</v>
      </c>
      <c r="AI67" s="127">
        <f>IF(AND($A67&lt;&gt;0,$A67&lt;&gt;"",OR(RIGHT(Logic!B67,2)="T)",LEFT(Logic!B67,4)="CSD1")),Num_FETS3*0.5*IM_RMS_120*VDC_AVG*Z67*n*FSW*k/GDR_SINK/3,"")</f>
        <v>4.6491228070175425E-3</v>
      </c>
      <c r="AJ67" s="127">
        <f t="shared" si="31"/>
        <v>6.2400000000000008E-3</v>
      </c>
      <c r="AK67" s="127">
        <f t="shared" si="32"/>
        <v>1.2414567897146714E-2</v>
      </c>
      <c r="AL67" s="127">
        <f t="shared" si="33"/>
        <v>2.66844E-2</v>
      </c>
      <c r="AM67" s="127">
        <f t="shared" si="26"/>
        <v>0.37243703691440144</v>
      </c>
      <c r="AN67" s="127">
        <f>IF(AND($A67&lt;&gt;0,$A67&lt;&gt;"",OR(RIGHT(Logic!B67,2)="C)",LEFT(Logic!B67,4)="CSD1")),SUM(AD67:AF67)+(AJ67/3)+AK67+AL67/6+AM67/6,AN68)</f>
        <v>0.24373767324205864</v>
      </c>
      <c r="AO67" s="127">
        <f>IF(AND($A67&lt;&gt;0,$A67&lt;&gt;"",OR(RIGHT(Logic!B67,2)="T)",LEFT(Logic!B67,4)="CSD1")),SUM(AG67:AI67)+(AJ67/3)+AL67/6+AM67/6,AO66)</f>
        <v>0.22725979687594111</v>
      </c>
      <c r="AP67" s="48">
        <f t="shared" si="27"/>
        <v>0.47</v>
      </c>
      <c r="AQ67" s="35" t="str">
        <f>IF(AND(A67&lt;&gt;0,A67&lt;&gt;""),LOOKUP(A67,Discrete_NFET[PARTNUMBER],Discrete_NFET[TI_EQ_PACKAGE]),"")</f>
        <v>SON5X6</v>
      </c>
      <c r="AR67" s="49">
        <f>IF(AND(A67&lt;&gt;0,A67&lt;&gt;""),LOOKUP(A67,Discrete_NFET[PARTNUMBER],Discrete_NFET[1KPRICE]),"")</f>
        <v>0.81</v>
      </c>
      <c r="AS67" s="35" t="str">
        <f>IF(AND($A67&lt;&gt;0,$A67&lt;&gt;""),CONCATENATE(TEXT(AP67,"0.00"),"W, ",IF('User Input'!H$11="Single Discrete",A67,IF('User Input'!H$11="Dual/Power Block",LEFT(A67,FIND(")",A67)-7),A67)),", ",AQ67,", ",TEXT(AR67,"$0.00")),"Invalid Part")</f>
        <v>0.47W, CSD18532Q5B, SON5X6, $0.81</v>
      </c>
      <c r="AT67" t="s">
        <v>873</v>
      </c>
      <c r="AW67"/>
    </row>
    <row r="68" spans="1:49" ht="15" customHeight="1" x14ac:dyDescent="0.25">
      <c r="A68" s="35" t="str">
        <f>IF(OR(AND(FET_config3="Dual/Power Block",LEFT(Logic!B68,4)="CSD8"),AND(FET_config3="Single Discrete",LEFT(Logic!B68,4)="CSD1")),Logic!B68,"")</f>
        <v>CSD18533KCS</v>
      </c>
      <c r="B68" s="37" t="str">
        <f>IF(OR($A68=0,$A68=""),"0",IF(LOOKUP($A68,Discrete_NFET[PARTNUMBER],Discrete_NFET[RDSON25])="(NULL)","0","1"))</f>
        <v>0</v>
      </c>
      <c r="C68" s="38" t="str">
        <f>IF(OR($A68=0,$A68=""),"0",IF(LOOKUP($A68,Discrete_NFET[PARTNUMBER],Discrete_NFET[RDSON3])="(NULL)","0","1"))</f>
        <v>0</v>
      </c>
      <c r="D68" s="40" t="str">
        <f>IF(OR($A68=0,$A68=""),"0",IF(LOOKUP($A68,Discrete_NFET[PARTNUMBER],Discrete_NFET[RDSON45])="(NULL)","0","1"))</f>
        <v>1</v>
      </c>
      <c r="E68" s="45" t="str">
        <f>IF(OR($A68=0,$A68=""),"0",IF(LOOKUP($A68,Discrete_NFET[PARTNUMBER],Discrete_NFET[RDSON6])="(NULL)","0","1"))</f>
        <v>0</v>
      </c>
      <c r="F68" s="34" t="str">
        <f>IF(OR($A68=0,$A68=""),"0",IF(LOOKUP($A68,Discrete_NFET[PARTNUMBER],Discrete_NFET[RDSON8])="(NULL)","0","1"))</f>
        <v>0</v>
      </c>
      <c r="G68" s="43" t="str">
        <f>IF(OR($A68=0,$A68=""),"0",IF(LOOKUP($A68,Discrete_NFET[PARTNUMBER],Discrete_NFET[RDSON10])="(NULL)","0","1"))</f>
        <v>1</v>
      </c>
      <c r="H68" s="36" t="b">
        <f t="shared" ref="H68:H131" si="34">AND(AV$2,B68="1")</f>
        <v>0</v>
      </c>
      <c r="I68" s="39" t="b">
        <f t="shared" ref="I68:I131" si="35">AND(AW$2,C68="1")</f>
        <v>0</v>
      </c>
      <c r="J68" s="41" t="b">
        <f t="shared" ref="J68:J131" si="36">AND(AX$2,D68="1")</f>
        <v>1</v>
      </c>
      <c r="K68" s="46" t="b">
        <f t="shared" ref="K68:K131" si="37">AND(AY$2,E68="1")</f>
        <v>0</v>
      </c>
      <c r="L68" s="42" t="b">
        <f t="shared" ref="L68:L131" si="38">AND(AZ$2,F68="1")</f>
        <v>0</v>
      </c>
      <c r="M68" s="44" t="b">
        <f t="shared" ref="M68:M131" si="39">AND(BA$2,G68="1")</f>
        <v>1</v>
      </c>
      <c r="N68" s="47" t="b">
        <f t="shared" ref="N68:N131" si="40">OR(H68:M68)</f>
        <v>1</v>
      </c>
      <c r="O68" s="36" t="b">
        <f t="shared" ref="O68:O131" si="41">IF($N68,H68,IF((B68="1"),OR($AU$2,$AU$9)))</f>
        <v>0</v>
      </c>
      <c r="P68" s="39" t="b">
        <f t="shared" ref="P68:P131" si="42">IF($N68,I68,IF((C68="1"),OR(AU$2,AU$9,AX$2,J68)))</f>
        <v>0</v>
      </c>
      <c r="Q68" s="41" t="b">
        <f t="shared" ref="Q68:Q131" si="43">IF($N68,J68,IF((D68="1"),OR(AW$2,I68,AY$2,K68)))</f>
        <v>1</v>
      </c>
      <c r="R68" s="46" t="b">
        <f t="shared" ref="R68:R131" si="44">IF($N68,K68,IF((E68="1"),OR(AX$2,J68,AZ$2,L68)))</f>
        <v>0</v>
      </c>
      <c r="S68" s="42" t="b">
        <f t="shared" ref="S68:S131" si="45">IF($N68,L68,IF((F68="1"),OR(AY$2,K68,BA$2,M68)))</f>
        <v>0</v>
      </c>
      <c r="T68" s="44" t="b">
        <f t="shared" ref="T68:T131" si="46">IF($N68,M68,IF((G68="1"),OR(AZ$2,L68)))</f>
        <v>1</v>
      </c>
      <c r="U68" s="148">
        <f>IF(T68,LOOKUP(A68,Discrete_NFET[PARTNUMBER],Discrete_NFET[RDSON10])*1000,IF(S68,LOOKUP(A68,Discrete_NFET[PARTNUMBER],Discrete_NFET[RDSON8])*1000,IF(R68,LOOKUP(A68,Discrete_NFET[PARTNUMBER],Discrete_NFET[RDSON6])*1000,IF(Q68,LOOKUP(A68,Discrete_NFET[PARTNUMBER],Discrete_NFET[RDSON45])*1000,IF(P68,LOOKUP(A68,Discrete_NFET[PARTNUMBER],Discrete_NFET[RDSON3])*1000,IF(O68,LOOKUP(A68,Discrete_NFET[PARTNUMBER],Discrete_NFET[RDSON25])*1000,""))))))</f>
        <v>6.3</v>
      </c>
      <c r="V68" s="48">
        <f>IF(AND(A68&lt;&gt;0,A68&lt;&gt;""),U68*(1+(Tj-25)*(LOOKUP(A68,Discrete_NFET[PARTNUMBER],Discrete_NFET[RDSDELTA])/((LOOKUP(A68,Discrete_NFET[PARTNUMBER],Discrete_NFET[TJMAX])-25)))),"")</f>
        <v>7.3079999999999989</v>
      </c>
      <c r="W68" s="35">
        <f>IF(AND($A68&lt;&gt;0,$A68&lt;&gt;""),LOOKUP($A68,Discrete_NFET[PARTNUMBER],Discrete_NFET[QGS]),"")</f>
        <v>9.4</v>
      </c>
      <c r="X68" s="35">
        <f>IF(AND($A68&lt;&gt;0,$A68&lt;&gt;""),LOOKUP($A68,Discrete_NFET[PARTNUMBER],Discrete_NFET[QGD]),"")</f>
        <v>3.9</v>
      </c>
      <c r="Y68" s="35">
        <f>IF(AND($A68&lt;&gt;0,$A68&lt;&gt;""),LOOKUP($A68,Discrete_NFET[PARTNUMBER],Discrete_NFET[QGTH]),"")</f>
        <v>4.5999999999999996</v>
      </c>
      <c r="Z68" s="35">
        <f t="shared" ref="Z68:Z131" si="47">IF(AND(A68&lt;&gt;0,A68&lt;&gt;""),W68+X68-Y68,"")</f>
        <v>8.7000000000000011</v>
      </c>
      <c r="AA68" s="35">
        <f>IF(AND($A68&lt;&gt;0,$A68&lt;&gt;""),LOOKUP($A68,Discrete_NFET[PARTNUMBER],Discrete_NFET[QOSSTYP]),"")</f>
        <v>31</v>
      </c>
      <c r="AB68" s="35">
        <f>IF(AND($A68&lt;&gt;0,$A68&lt;&gt;""),LOOKUP($A68,Discrete_NFET[PARTNUMBER],Discrete_NFET[QRR]),"")</f>
        <v>97</v>
      </c>
      <c r="AC68" s="35">
        <f>IF(AND(A68&lt;&gt;0,A68&lt;&gt;""),LOOKUP(A68,Discrete_NFET[PARTNUMBER],Discrete_NFET[VF_TYP]),"")</f>
        <v>0.8</v>
      </c>
      <c r="AD68" s="127">
        <f>IF(AND($A68&lt;&gt;0,$A68&lt;&gt;"",OR(RIGHT(Logic!B68,2)="C)",LEFT(Logic!B68,4)="CSD1")),(1+(1-DUTY))*IM_RMS_120^2*V68*m/3/Num_FETS3,"")</f>
        <v>0.30752250692520766</v>
      </c>
      <c r="AE68" s="127">
        <f>IF(AND($A68&lt;&gt;0,$A68&lt;&gt;"",OR(RIGHT(Logic!B68,2)="C)",LEFT(Logic!B68,4)="CSD1")),Num_FETS3*0.5*IM_RMS_120*VDC_AVG*Z68*n*MOT_ELEC_FREQ/GDR_SRC,"")</f>
        <v>2.8057275541795665E-5</v>
      </c>
      <c r="AF68" s="127">
        <f>IF(AND($A68&lt;&gt;0,$A68&lt;&gt;"",OR(RIGHT(Logic!B68,2)="C)",LEFT(Logic!B68,4)="CSD1")),Num_FETS3*0.5*IM_RMS_120*VDC_AVG*Z68*n*MOT_ELEC_FREQ/GDR_SINK,"")</f>
        <v>1.9078947368421053E-5</v>
      </c>
      <c r="AG68" s="127">
        <f>IF(AND($A68&lt;&gt;0,$A68&lt;&gt;"",OR(RIGHT(Logic!B68,2)="T)",LEFT(Logic!B68,4)="CSD1")),DUTY*IM_RMS_120^2*V68*m/3/Num_FETS3,"")</f>
        <v>0.27823464912280688</v>
      </c>
      <c r="AH68" s="127">
        <f>IF(AND($A68&lt;&gt;0,$A68&lt;&gt;"",OR(RIGHT(Logic!B68,2)="T)",LEFT(Logic!B68,4)="CSD1")),Num_FETS3*0.5*IM_RMS_120*VDC_AVG*Z68*n*FSW*k/GDR_SRC/3,"")</f>
        <v>5.6114551083591329E-3</v>
      </c>
      <c r="AI68" s="127">
        <f>IF(AND($A68&lt;&gt;0,$A68&lt;&gt;"",OR(RIGHT(Logic!B68,2)="T)",LEFT(Logic!B68,4)="CSD1")),Num_FETS3*0.5*IM_RMS_120*VDC_AVG*Z68*n*FSW*k/GDR_SINK/3,"")</f>
        <v>3.8157894736842103E-3</v>
      </c>
      <c r="AJ68" s="127">
        <f t="shared" si="31"/>
        <v>3.7200000000000002E-3</v>
      </c>
      <c r="AK68" s="127">
        <f t="shared" si="32"/>
        <v>1.2414567897146714E-2</v>
      </c>
      <c r="AL68" s="127">
        <f t="shared" si="33"/>
        <v>2.3318800000000001E-2</v>
      </c>
      <c r="AM68" s="127">
        <f t="shared" ref="AM68:AM131" si="48">IF(AND($A68&lt;&gt;0,$A68&lt;&gt;""),6*0.5*AC68*IM_PEAK*MOT_COM_TIME*m*MOT_ELEC_FREQ,"")</f>
        <v>0.37243703691440144</v>
      </c>
      <c r="AN68" s="127">
        <f>IF(AND($A68&lt;&gt;0,$A68&lt;&gt;"",OR(RIGHT(Logic!B68,2)="C)",LEFT(Logic!B68,4)="CSD1")),SUM(AD68:AF68)+(AJ68/3)+AK68+AL68/6+AM68/6,AN69)</f>
        <v>0.38718351719766481</v>
      </c>
      <c r="AO68" s="127">
        <f>IF(AND($A68&lt;&gt;0,$A68&lt;&gt;"",OR(RIGHT(Logic!B68,2)="T)",LEFT(Logic!B68,4)="CSD1")),SUM(AG68:AI68)+(AJ68/3)+AL68/6+AM68/6,AO67)</f>
        <v>0.35486119985725045</v>
      </c>
      <c r="AP68" s="48">
        <f t="shared" ref="AP68:AP131" si="49">IF(AND($A68&lt;&gt;0,$A68&lt;&gt;""),ROUND(SUM(AN68:AO68),2),"")</f>
        <v>0.74</v>
      </c>
      <c r="AQ68" s="35" t="str">
        <f>IF(AND(A68&lt;&gt;0,A68&lt;&gt;""),LOOKUP(A68,Discrete_NFET[PARTNUMBER],Discrete_NFET[TI_EQ_PACKAGE]),"")</f>
        <v>TO-220</v>
      </c>
      <c r="AR68" s="49">
        <f>IF(AND(A68&lt;&gt;0,A68&lt;&gt;""),LOOKUP(A68,Discrete_NFET[PARTNUMBER],Discrete_NFET[1KPRICE]),"")</f>
        <v>0.55000000000000004</v>
      </c>
      <c r="AS68" s="35" t="str">
        <f>IF(AND($A68&lt;&gt;0,$A68&lt;&gt;""),CONCATENATE(TEXT(AP68,"0.00"),"W, ",IF('User Input'!H$11="Single Discrete",A68,IF('User Input'!H$11="Dual/Power Block",LEFT(A68,FIND(")",A68)-7),A68)),", ",AQ68,", ",TEXT(AR68,"$0.00")),"Invalid Part")</f>
        <v>0.74W, CSD18533KCS, TO-220, $0.55</v>
      </c>
      <c r="AT68" t="s">
        <v>797</v>
      </c>
      <c r="AW68"/>
    </row>
    <row r="69" spans="1:49" ht="15" customHeight="1" x14ac:dyDescent="0.25">
      <c r="A69" s="35" t="str">
        <f>IF(OR(AND(FET_config3="Dual/Power Block",LEFT(Logic!B69,4)="CSD8"),AND(FET_config3="Single Discrete",LEFT(Logic!B69,4)="CSD1")),Logic!B69,"")</f>
        <v>CSD18533Q5A</v>
      </c>
      <c r="B69" s="37" t="str">
        <f>IF(OR($A69=0,$A69=""),"0",IF(LOOKUP($A69,Discrete_NFET[PARTNUMBER],Discrete_NFET[RDSON25])="(NULL)","0","1"))</f>
        <v>0</v>
      </c>
      <c r="C69" s="38" t="str">
        <f>IF(OR($A69=0,$A69=""),"0",IF(LOOKUP($A69,Discrete_NFET[PARTNUMBER],Discrete_NFET[RDSON3])="(NULL)","0","1"))</f>
        <v>0</v>
      </c>
      <c r="D69" s="40" t="str">
        <f>IF(OR($A69=0,$A69=""),"0",IF(LOOKUP($A69,Discrete_NFET[PARTNUMBER],Discrete_NFET[RDSON45])="(NULL)","0","1"))</f>
        <v>1</v>
      </c>
      <c r="E69" s="45" t="str">
        <f>IF(OR($A69=0,$A69=""),"0",IF(LOOKUP($A69,Discrete_NFET[PARTNUMBER],Discrete_NFET[RDSON6])="(NULL)","0","1"))</f>
        <v>0</v>
      </c>
      <c r="F69" s="34" t="str">
        <f>IF(OR($A69=0,$A69=""),"0",IF(LOOKUP($A69,Discrete_NFET[PARTNUMBER],Discrete_NFET[RDSON8])="(NULL)","0","1"))</f>
        <v>0</v>
      </c>
      <c r="G69" s="43" t="str">
        <f>IF(OR($A69=0,$A69=""),"0",IF(LOOKUP($A69,Discrete_NFET[PARTNUMBER],Discrete_NFET[RDSON10])="(NULL)","0","1"))</f>
        <v>1</v>
      </c>
      <c r="H69" s="36" t="b">
        <f t="shared" si="34"/>
        <v>0</v>
      </c>
      <c r="I69" s="39" t="b">
        <f t="shared" si="35"/>
        <v>0</v>
      </c>
      <c r="J69" s="41" t="b">
        <f t="shared" si="36"/>
        <v>1</v>
      </c>
      <c r="K69" s="46" t="b">
        <f t="shared" si="37"/>
        <v>0</v>
      </c>
      <c r="L69" s="42" t="b">
        <f t="shared" si="38"/>
        <v>0</v>
      </c>
      <c r="M69" s="44" t="b">
        <f t="shared" si="39"/>
        <v>1</v>
      </c>
      <c r="N69" s="47" t="b">
        <f t="shared" si="40"/>
        <v>1</v>
      </c>
      <c r="O69" s="36" t="b">
        <f t="shared" si="41"/>
        <v>0</v>
      </c>
      <c r="P69" s="39" t="b">
        <f t="shared" si="42"/>
        <v>0</v>
      </c>
      <c r="Q69" s="41" t="b">
        <f t="shared" si="43"/>
        <v>1</v>
      </c>
      <c r="R69" s="46" t="b">
        <f t="shared" si="44"/>
        <v>0</v>
      </c>
      <c r="S69" s="42" t="b">
        <f t="shared" si="45"/>
        <v>0</v>
      </c>
      <c r="T69" s="44" t="b">
        <f t="shared" si="46"/>
        <v>1</v>
      </c>
      <c r="U69" s="148">
        <f>IF(T69,LOOKUP(A69,Discrete_NFET[PARTNUMBER],Discrete_NFET[RDSON10])*1000,IF(S69,LOOKUP(A69,Discrete_NFET[PARTNUMBER],Discrete_NFET[RDSON8])*1000,IF(R69,LOOKUP(A69,Discrete_NFET[PARTNUMBER],Discrete_NFET[RDSON6])*1000,IF(Q69,LOOKUP(A69,Discrete_NFET[PARTNUMBER],Discrete_NFET[RDSON45])*1000,IF(P69,LOOKUP(A69,Discrete_NFET[PARTNUMBER],Discrete_NFET[RDSON3])*1000,IF(O69,LOOKUP(A69,Discrete_NFET[PARTNUMBER],Discrete_NFET[RDSON25])*1000,""))))))</f>
        <v>5.8999999999999995</v>
      </c>
      <c r="V69" s="48">
        <f>IF(AND(A69&lt;&gt;0,A69&lt;&gt;""),U69*(1+(Tj-25)*(LOOKUP(A69,Discrete_NFET[PARTNUMBER],Discrete_NFET[RDSDELTA])/((LOOKUP(A69,Discrete_NFET[PARTNUMBER],Discrete_NFET[TJMAX])-25)))),"")</f>
        <v>7.0799999999999992</v>
      </c>
      <c r="W69" s="35">
        <f>IF(AND($A69&lt;&gt;0,$A69&lt;&gt;""),LOOKUP($A69,Discrete_NFET[PARTNUMBER],Discrete_NFET[QGS]),"")</f>
        <v>6.6</v>
      </c>
      <c r="X69" s="35">
        <f>IF(AND($A69&lt;&gt;0,$A69&lt;&gt;""),LOOKUP($A69,Discrete_NFET[PARTNUMBER],Discrete_NFET[QGD]),"")</f>
        <v>5.4</v>
      </c>
      <c r="Y69" s="35">
        <f>IF(AND($A69&lt;&gt;0,$A69&lt;&gt;""),LOOKUP($A69,Discrete_NFET[PARTNUMBER],Discrete_NFET[QGTH]),"")</f>
        <v>4.7</v>
      </c>
      <c r="Z69" s="35">
        <f t="shared" si="47"/>
        <v>7.3</v>
      </c>
      <c r="AA69" s="35">
        <f>IF(AND($A69&lt;&gt;0,$A69&lt;&gt;""),LOOKUP($A69,Discrete_NFET[PARTNUMBER],Discrete_NFET[QOSSTYP]),"")</f>
        <v>31</v>
      </c>
      <c r="AB69" s="35">
        <f>IF(AND($A69&lt;&gt;0,$A69&lt;&gt;""),LOOKUP($A69,Discrete_NFET[PARTNUMBER],Discrete_NFET[QRR]),"")</f>
        <v>68</v>
      </c>
      <c r="AC69" s="35">
        <f>IF(AND(A69&lt;&gt;0,A69&lt;&gt;""),LOOKUP(A69,Discrete_NFET[PARTNUMBER],Discrete_NFET[VF_TYP]),"")</f>
        <v>0.8</v>
      </c>
      <c r="AD69" s="127">
        <f>IF(AND($A69&lt;&gt;0,$A69&lt;&gt;"",OR(RIGHT(Logic!B69,2)="C)",LEFT(Logic!B69,4)="CSD1")),(1+(1-DUTY))*IM_RMS_120^2*V69*m/3/Num_FETS3,"")</f>
        <v>0.29792820867959363</v>
      </c>
      <c r="AE69" s="127">
        <f>IF(AND($A69&lt;&gt;0,$A69&lt;&gt;"",OR(RIGHT(Logic!B69,2)="C)",LEFT(Logic!B69,4)="CSD1")),Num_FETS3*0.5*IM_RMS_120*VDC_AVG*Z69*n*MOT_ELEC_FREQ/GDR_SRC,"")</f>
        <v>2.3542311661506708E-5</v>
      </c>
      <c r="AF69" s="127">
        <f>IF(AND($A69&lt;&gt;0,$A69&lt;&gt;"",OR(RIGHT(Logic!B69,2)="C)",LEFT(Logic!B69,4)="CSD1")),Num_FETS3*0.5*IM_RMS_120*VDC_AVG*Z69*n*MOT_ELEC_FREQ/GDR_SINK,"")</f>
        <v>1.6008771929824562E-5</v>
      </c>
      <c r="AG69" s="127">
        <f>IF(AND($A69&lt;&gt;0,$A69&lt;&gt;"",OR(RIGHT(Logic!B69,2)="T)",LEFT(Logic!B69,4)="CSD1")),DUTY*IM_RMS_120^2*V69*m/3/Num_FETS3,"")</f>
        <v>0.26955409356725135</v>
      </c>
      <c r="AH69" s="127">
        <f>IF(AND($A69&lt;&gt;0,$A69&lt;&gt;"",OR(RIGHT(Logic!B69,2)="T)",LEFT(Logic!B69,4)="CSD1")),Num_FETS3*0.5*IM_RMS_120*VDC_AVG*Z69*n*FSW*k/GDR_SRC/3,"")</f>
        <v>4.708462332301341E-3</v>
      </c>
      <c r="AI69" s="127">
        <f>IF(AND($A69&lt;&gt;0,$A69&lt;&gt;"",OR(RIGHT(Logic!B69,2)="T)",LEFT(Logic!B69,4)="CSD1")),Num_FETS3*0.5*IM_RMS_120*VDC_AVG*Z69*n*FSW*k/GDR_SINK/3,"")</f>
        <v>3.2017543859649122E-3</v>
      </c>
      <c r="AJ69" s="127">
        <f t="shared" si="31"/>
        <v>3.7200000000000002E-3</v>
      </c>
      <c r="AK69" s="127">
        <f t="shared" si="32"/>
        <v>1.2414567897146714E-2</v>
      </c>
      <c r="AL69" s="127">
        <f t="shared" si="33"/>
        <v>1.6347199999999999E-2</v>
      </c>
      <c r="AM69" s="127">
        <f t="shared" si="48"/>
        <v>0.37243703691440144</v>
      </c>
      <c r="AN69" s="127">
        <f>IF(AND($A69&lt;&gt;0,$A69&lt;&gt;"",OR(RIGHT(Logic!B69,2)="C)",LEFT(Logic!B69,4)="CSD1")),SUM(AD69:AF69)+(AJ69/3)+AK69+AL69/6+AM69/6,AN70)</f>
        <v>0.3764197004793986</v>
      </c>
      <c r="AO69" s="127">
        <f>IF(AND($A69&lt;&gt;0,$A69&lt;&gt;"",OR(RIGHT(Logic!B69,2)="T)",LEFT(Logic!B69,4)="CSD1")),SUM(AG69:AI69)+(AJ69/3)+AL69/6+AM69/6,AO68)</f>
        <v>0.34350168310458451</v>
      </c>
      <c r="AP69" s="48">
        <f t="shared" si="49"/>
        <v>0.72</v>
      </c>
      <c r="AQ69" s="35" t="str">
        <f>IF(AND(A69&lt;&gt;0,A69&lt;&gt;""),LOOKUP(A69,Discrete_NFET[PARTNUMBER],Discrete_NFET[TI_EQ_PACKAGE]),"")</f>
        <v>SON5X6</v>
      </c>
      <c r="AR69" s="49">
        <f>IF(AND(A69&lt;&gt;0,A69&lt;&gt;""),LOOKUP(A69,Discrete_NFET[PARTNUMBER],Discrete_NFET[1KPRICE]),"")</f>
        <v>0.44</v>
      </c>
      <c r="AS69" s="35" t="str">
        <f>IF(AND($A69&lt;&gt;0,$A69&lt;&gt;""),CONCATENATE(TEXT(AP69,"0.00"),"W, ",IF('User Input'!H$11="Single Discrete",A69,IF('User Input'!H$11="Dual/Power Block",LEFT(A69,FIND(")",A69)-7),A69)),", ",AQ69,", ",TEXT(AR69,"$0.00")),"Invalid Part")</f>
        <v>0.72W, CSD18533Q5A, SON5X6, $0.44</v>
      </c>
      <c r="AT69" t="s">
        <v>795</v>
      </c>
      <c r="AW69"/>
    </row>
    <row r="70" spans="1:49" ht="15" customHeight="1" x14ac:dyDescent="0.25">
      <c r="A70" s="35" t="str">
        <f>IF(OR(AND(FET_config3="Dual/Power Block",LEFT(Logic!B70,4)="CSD8"),AND(FET_config3="Single Discrete",LEFT(Logic!B70,4)="CSD1")),Logic!B70,"")</f>
        <v>CSD18534KCS</v>
      </c>
      <c r="B70" s="37" t="str">
        <f>IF(OR($A70=0,$A70=""),"0",IF(LOOKUP($A70,Discrete_NFET[PARTNUMBER],Discrete_NFET[RDSON25])="(NULL)","0","1"))</f>
        <v>0</v>
      </c>
      <c r="C70" s="38" t="str">
        <f>IF(OR($A70=0,$A70=""),"0",IF(LOOKUP($A70,Discrete_NFET[PARTNUMBER],Discrete_NFET[RDSON3])="(NULL)","0","1"))</f>
        <v>0</v>
      </c>
      <c r="D70" s="40" t="str">
        <f>IF(OR($A70=0,$A70=""),"0",IF(LOOKUP($A70,Discrete_NFET[PARTNUMBER],Discrete_NFET[RDSON45])="(NULL)","0","1"))</f>
        <v>1</v>
      </c>
      <c r="E70" s="45" t="str">
        <f>IF(OR($A70=0,$A70=""),"0",IF(LOOKUP($A70,Discrete_NFET[PARTNUMBER],Discrete_NFET[RDSON6])="(NULL)","0","1"))</f>
        <v>0</v>
      </c>
      <c r="F70" s="34" t="str">
        <f>IF(OR($A70=0,$A70=""),"0",IF(LOOKUP($A70,Discrete_NFET[PARTNUMBER],Discrete_NFET[RDSON8])="(NULL)","0","1"))</f>
        <v>0</v>
      </c>
      <c r="G70" s="43" t="str">
        <f>IF(OR($A70=0,$A70=""),"0",IF(LOOKUP($A70,Discrete_NFET[PARTNUMBER],Discrete_NFET[RDSON10])="(NULL)","0","1"))</f>
        <v>1</v>
      </c>
      <c r="H70" s="36" t="b">
        <f t="shared" si="34"/>
        <v>0</v>
      </c>
      <c r="I70" s="39" t="b">
        <f t="shared" si="35"/>
        <v>0</v>
      </c>
      <c r="J70" s="41" t="b">
        <f t="shared" si="36"/>
        <v>1</v>
      </c>
      <c r="K70" s="46" t="b">
        <f t="shared" si="37"/>
        <v>0</v>
      </c>
      <c r="L70" s="42" t="b">
        <f t="shared" si="38"/>
        <v>0</v>
      </c>
      <c r="M70" s="44" t="b">
        <f t="shared" si="39"/>
        <v>1</v>
      </c>
      <c r="N70" s="47" t="b">
        <f t="shared" si="40"/>
        <v>1</v>
      </c>
      <c r="O70" s="36" t="b">
        <f t="shared" si="41"/>
        <v>0</v>
      </c>
      <c r="P70" s="39" t="b">
        <f t="shared" si="42"/>
        <v>0</v>
      </c>
      <c r="Q70" s="41" t="b">
        <f t="shared" si="43"/>
        <v>1</v>
      </c>
      <c r="R70" s="46" t="b">
        <f t="shared" si="44"/>
        <v>0</v>
      </c>
      <c r="S70" s="42" t="b">
        <f t="shared" si="45"/>
        <v>0</v>
      </c>
      <c r="T70" s="44" t="b">
        <f t="shared" si="46"/>
        <v>1</v>
      </c>
      <c r="U70" s="148">
        <f>IF(T70,LOOKUP(A70,Discrete_NFET[PARTNUMBER],Discrete_NFET[RDSON10])*1000,IF(S70,LOOKUP(A70,Discrete_NFET[PARTNUMBER],Discrete_NFET[RDSON8])*1000,IF(R70,LOOKUP(A70,Discrete_NFET[PARTNUMBER],Discrete_NFET[RDSON6])*1000,IF(Q70,LOOKUP(A70,Discrete_NFET[PARTNUMBER],Discrete_NFET[RDSON45])*1000,IF(P70,LOOKUP(A70,Discrete_NFET[PARTNUMBER],Discrete_NFET[RDSON3])*1000,IF(O70,LOOKUP(A70,Discrete_NFET[PARTNUMBER],Discrete_NFET[RDSON25])*1000,""))))))</f>
        <v>9.5</v>
      </c>
      <c r="V70" s="48">
        <f>IF(AND(A70&lt;&gt;0,A70&lt;&gt;""),U70*(1+(Tj-25)*(LOOKUP(A70,Discrete_NFET[PARTNUMBER],Discrete_NFET[RDSDELTA])/((LOOKUP(A70,Discrete_NFET[PARTNUMBER],Discrete_NFET[TJMAX])-25)))),"")</f>
        <v>11.1625</v>
      </c>
      <c r="W70" s="35">
        <f>IF(AND($A70&lt;&gt;0,$A70&lt;&gt;""),LOOKUP($A70,Discrete_NFET[PARTNUMBER],Discrete_NFET[QGS]),"")</f>
        <v>4.8</v>
      </c>
      <c r="X70" s="35">
        <f>IF(AND($A70&lt;&gt;0,$A70&lt;&gt;""),LOOKUP($A70,Discrete_NFET[PARTNUMBER],Discrete_NFET[QGD]),"")</f>
        <v>3.1</v>
      </c>
      <c r="Y70" s="35">
        <f>IF(AND($A70&lt;&gt;0,$A70&lt;&gt;""),LOOKUP($A70,Discrete_NFET[PARTNUMBER],Discrete_NFET[QGTH]),"")</f>
        <v>3.3</v>
      </c>
      <c r="Z70" s="35">
        <f t="shared" si="47"/>
        <v>4.6000000000000005</v>
      </c>
      <c r="AA70" s="35">
        <f>IF(AND($A70&lt;&gt;0,$A70&lt;&gt;""),LOOKUP($A70,Discrete_NFET[PARTNUMBER],Discrete_NFET[QOSSTYP]),"")</f>
        <v>18</v>
      </c>
      <c r="AB70" s="35">
        <f>IF(AND($A70&lt;&gt;0,$A70&lt;&gt;""),LOOKUP($A70,Discrete_NFET[PARTNUMBER],Discrete_NFET[QRR]),"")</f>
        <v>68</v>
      </c>
      <c r="AC70" s="35">
        <f>IF(AND(A70&lt;&gt;0,A70&lt;&gt;""),LOOKUP(A70,Discrete_NFET[PARTNUMBER],Discrete_NFET[VF_TYP]),"")</f>
        <v>0.8</v>
      </c>
      <c r="AD70" s="127">
        <f>IF(AND($A70&lt;&gt;0,$A70&lt;&gt;"",OR(RIGHT(Logic!B70,2)="C)",LEFT(Logic!B70,4)="CSD1")),(1+(1-DUTY))*IM_RMS_120^2*V70*m/3/Num_FETS3,"")</f>
        <v>0.46972085160818705</v>
      </c>
      <c r="AE70" s="127">
        <f>IF(AND($A70&lt;&gt;0,$A70&lt;&gt;"",OR(RIGHT(Logic!B70,2)="C)",LEFT(Logic!B70,4)="CSD1")),Num_FETS3*0.5*IM_RMS_120*VDC_AVG*Z70*n*MOT_ELEC_FREQ/GDR_SRC,"")</f>
        <v>1.4834881320949433E-5</v>
      </c>
      <c r="AF70" s="127">
        <f>IF(AND($A70&lt;&gt;0,$A70&lt;&gt;"",OR(RIGHT(Logic!B70,2)="C)",LEFT(Logic!B70,4)="CSD1")),Num_FETS3*0.5*IM_RMS_120*VDC_AVG*Z70*n*MOT_ELEC_FREQ/GDR_SINK,"")</f>
        <v>1.0087719298245615E-5</v>
      </c>
      <c r="AG70" s="127">
        <f>IF(AND($A70&lt;&gt;0,$A70&lt;&gt;"",OR(RIGHT(Logic!B70,2)="T)",LEFT(Logic!B70,4)="CSD1")),DUTY*IM_RMS_120^2*V70*m/3/Num_FETS3,"")</f>
        <v>0.42498553240740727</v>
      </c>
      <c r="AH70" s="127">
        <f>IF(AND($A70&lt;&gt;0,$A70&lt;&gt;"",OR(RIGHT(Logic!B70,2)="T)",LEFT(Logic!B70,4)="CSD1")),Num_FETS3*0.5*IM_RMS_120*VDC_AVG*Z70*n*FSW*k/GDR_SRC/3,"")</f>
        <v>2.9669762641898866E-3</v>
      </c>
      <c r="AI70" s="127">
        <f>IF(AND($A70&lt;&gt;0,$A70&lt;&gt;"",OR(RIGHT(Logic!B70,2)="T)",LEFT(Logic!B70,4)="CSD1")),Num_FETS3*0.5*IM_RMS_120*VDC_AVG*Z70*n*FSW*k/GDR_SINK/3,"")</f>
        <v>2.0175438596491233E-3</v>
      </c>
      <c r="AJ70" s="127">
        <f t="shared" si="31"/>
        <v>2.16E-3</v>
      </c>
      <c r="AK70" s="127">
        <f t="shared" si="32"/>
        <v>1.2414567897146714E-2</v>
      </c>
      <c r="AL70" s="127">
        <f t="shared" si="33"/>
        <v>1.6347199999999999E-2</v>
      </c>
      <c r="AM70" s="127">
        <f t="shared" si="48"/>
        <v>0.37243703691440144</v>
      </c>
      <c r="AN70" s="127">
        <f>IF(AND($A70&lt;&gt;0,$A70&lt;&gt;"",OR(RIGHT(Logic!B70,2)="C)",LEFT(Logic!B70,4)="CSD1")),SUM(AD70:AF70)+(AJ70/3)+AK70+AL70/6+AM70/6,AN71)</f>
        <v>0.54767771492501982</v>
      </c>
      <c r="AO70" s="127">
        <f>IF(AND($A70&lt;&gt;0,$A70&lt;&gt;"",OR(RIGHT(Logic!B70,2)="T)",LEFT(Logic!B70,4)="CSD1")),SUM(AG70:AI70)+(AJ70/3)+AL70/6+AM70/6,AO69)</f>
        <v>0.4954874253503132</v>
      </c>
      <c r="AP70" s="48">
        <f t="shared" si="49"/>
        <v>1.04</v>
      </c>
      <c r="AQ70" s="35" t="str">
        <f>IF(AND(A70&lt;&gt;0,A70&lt;&gt;""),LOOKUP(A70,Discrete_NFET[PARTNUMBER],Discrete_NFET[TI_EQ_PACKAGE]),"")</f>
        <v>TO-220</v>
      </c>
      <c r="AR70" s="49">
        <f>IF(AND(A70&lt;&gt;0,A70&lt;&gt;""),LOOKUP(A70,Discrete_NFET[PARTNUMBER],Discrete_NFET[1KPRICE]),"")</f>
        <v>0.44</v>
      </c>
      <c r="AS70" s="35" t="str">
        <f>IF(AND($A70&lt;&gt;0,$A70&lt;&gt;""),CONCATENATE(TEXT(AP70,"0.00"),"W, ",IF('User Input'!H$11="Single Discrete",A70,IF('User Input'!H$11="Dual/Power Block",LEFT(A70,FIND(")",A70)-7),A70)),", ",AQ70,", ",TEXT(AR70,"$0.00")),"Invalid Part")</f>
        <v>1.04W, CSD18534KCS, TO-220, $0.44</v>
      </c>
      <c r="AT70" t="s">
        <v>815</v>
      </c>
      <c r="AW70"/>
    </row>
    <row r="71" spans="1:49" ht="15" customHeight="1" x14ac:dyDescent="0.25">
      <c r="A71" s="35" t="str">
        <f>IF(OR(AND(FET_config3="Dual/Power Block",LEFT(Logic!B71,4)="CSD8"),AND(FET_config3="Single Discrete",LEFT(Logic!B71,4)="CSD1")),Logic!B71,"")</f>
        <v>CSD18534Q5A</v>
      </c>
      <c r="B71" s="37" t="str">
        <f>IF(OR($A71=0,$A71=""),"0",IF(LOOKUP($A71,Discrete_NFET[PARTNUMBER],Discrete_NFET[RDSON25])="(NULL)","0","1"))</f>
        <v>0</v>
      </c>
      <c r="C71" s="38" t="str">
        <f>IF(OR($A71=0,$A71=""),"0",IF(LOOKUP($A71,Discrete_NFET[PARTNUMBER],Discrete_NFET[RDSON3])="(NULL)","0","1"))</f>
        <v>0</v>
      </c>
      <c r="D71" s="40" t="str">
        <f>IF(OR($A71=0,$A71=""),"0",IF(LOOKUP($A71,Discrete_NFET[PARTNUMBER],Discrete_NFET[RDSON45])="(NULL)","0","1"))</f>
        <v>1</v>
      </c>
      <c r="E71" s="45" t="str">
        <f>IF(OR($A71=0,$A71=""),"0",IF(LOOKUP($A71,Discrete_NFET[PARTNUMBER],Discrete_NFET[RDSON6])="(NULL)","0","1"))</f>
        <v>0</v>
      </c>
      <c r="F71" s="34" t="str">
        <f>IF(OR($A71=0,$A71=""),"0",IF(LOOKUP($A71,Discrete_NFET[PARTNUMBER],Discrete_NFET[RDSON8])="(NULL)","0","1"))</f>
        <v>0</v>
      </c>
      <c r="G71" s="43" t="str">
        <f>IF(OR($A71=0,$A71=""),"0",IF(LOOKUP($A71,Discrete_NFET[PARTNUMBER],Discrete_NFET[RDSON10])="(NULL)","0","1"))</f>
        <v>1</v>
      </c>
      <c r="H71" s="36" t="b">
        <f t="shared" si="34"/>
        <v>0</v>
      </c>
      <c r="I71" s="39" t="b">
        <f t="shared" si="35"/>
        <v>0</v>
      </c>
      <c r="J71" s="41" t="b">
        <f t="shared" si="36"/>
        <v>1</v>
      </c>
      <c r="K71" s="46" t="b">
        <f t="shared" si="37"/>
        <v>0</v>
      </c>
      <c r="L71" s="42" t="b">
        <f t="shared" si="38"/>
        <v>0</v>
      </c>
      <c r="M71" s="44" t="b">
        <f t="shared" si="39"/>
        <v>1</v>
      </c>
      <c r="N71" s="47" t="b">
        <f t="shared" si="40"/>
        <v>1</v>
      </c>
      <c r="O71" s="36" t="b">
        <f t="shared" si="41"/>
        <v>0</v>
      </c>
      <c r="P71" s="39" t="b">
        <f t="shared" si="42"/>
        <v>0</v>
      </c>
      <c r="Q71" s="41" t="b">
        <f t="shared" si="43"/>
        <v>1</v>
      </c>
      <c r="R71" s="46" t="b">
        <f t="shared" si="44"/>
        <v>0</v>
      </c>
      <c r="S71" s="42" t="b">
        <f t="shared" si="45"/>
        <v>0</v>
      </c>
      <c r="T71" s="44" t="b">
        <f t="shared" si="46"/>
        <v>1</v>
      </c>
      <c r="U71" s="148">
        <f>IF(T71,LOOKUP(A71,Discrete_NFET[PARTNUMBER],Discrete_NFET[RDSON10])*1000,IF(S71,LOOKUP(A71,Discrete_NFET[PARTNUMBER],Discrete_NFET[RDSON8])*1000,IF(R71,LOOKUP(A71,Discrete_NFET[PARTNUMBER],Discrete_NFET[RDSON6])*1000,IF(Q71,LOOKUP(A71,Discrete_NFET[PARTNUMBER],Discrete_NFET[RDSON45])*1000,IF(P71,LOOKUP(A71,Discrete_NFET[PARTNUMBER],Discrete_NFET[RDSON3])*1000,IF(O71,LOOKUP(A71,Discrete_NFET[PARTNUMBER],Discrete_NFET[RDSON25])*1000,""))))))</f>
        <v>9.7999999999999989</v>
      </c>
      <c r="V71" s="48">
        <f>IF(AND(A71&lt;&gt;0,A71&lt;&gt;""),U71*(1+(Tj-25)*(LOOKUP(A71,Discrete_NFET[PARTNUMBER],Discrete_NFET[RDSDELTA])/((LOOKUP(A71,Discrete_NFET[PARTNUMBER],Discrete_NFET[TJMAX])-25)))),"")</f>
        <v>11.642399999999999</v>
      </c>
      <c r="W71" s="35">
        <f>IF(AND($A71&lt;&gt;0,$A71&lt;&gt;""),LOOKUP($A71,Discrete_NFET[PARTNUMBER],Discrete_NFET[QGS]),"")</f>
        <v>3.2</v>
      </c>
      <c r="X71" s="35">
        <f>IF(AND($A71&lt;&gt;0,$A71&lt;&gt;""),LOOKUP($A71,Discrete_NFET[PARTNUMBER],Discrete_NFET[QGD]),"")</f>
        <v>3.5</v>
      </c>
      <c r="Y71" s="35">
        <f>IF(AND($A71&lt;&gt;0,$A71&lt;&gt;""),LOOKUP($A71,Discrete_NFET[PARTNUMBER],Discrete_NFET[QGTH]),"")</f>
        <v>2.6</v>
      </c>
      <c r="Z71" s="35">
        <f t="shared" si="47"/>
        <v>4.0999999999999996</v>
      </c>
      <c r="AA71" s="35">
        <f>IF(AND($A71&lt;&gt;0,$A71&lt;&gt;""),LOOKUP($A71,Discrete_NFET[PARTNUMBER],Discrete_NFET[QOSSTYP]),"")</f>
        <v>19</v>
      </c>
      <c r="AB71" s="35">
        <f>IF(AND($A71&lt;&gt;0,$A71&lt;&gt;""),LOOKUP($A71,Discrete_NFET[PARTNUMBER],Discrete_NFET[QRR]),"")</f>
        <v>54</v>
      </c>
      <c r="AC71" s="35">
        <f>IF(AND(A71&lt;&gt;0,A71&lt;&gt;""),LOOKUP(A71,Discrete_NFET[PARTNUMBER],Discrete_NFET[VF_TYP]),"")</f>
        <v>0.8</v>
      </c>
      <c r="AD71" s="127">
        <f>IF(AND($A71&lt;&gt;0,$A71&lt;&gt;"",OR(RIGHT(Logic!B71,2)="C)",LEFT(Logic!B71,4)="CSD1")),(1+(1-DUTY))*IM_RMS_120^2*V71*m/3/Num_FETS3,"")</f>
        <v>0.48991516620498604</v>
      </c>
      <c r="AE71" s="127">
        <f>IF(AND($A71&lt;&gt;0,$A71&lt;&gt;"",OR(RIGHT(Logic!B71,2)="C)",LEFT(Logic!B71,4)="CSD1")),Num_FETS3*0.5*IM_RMS_120*VDC_AVG*Z71*n*MOT_ELEC_FREQ/GDR_SRC,"")</f>
        <v>1.322239422084623E-5</v>
      </c>
      <c r="AF71" s="127">
        <f>IF(AND($A71&lt;&gt;0,$A71&lt;&gt;"",OR(RIGHT(Logic!B71,2)="C)",LEFT(Logic!B71,4)="CSD1")),Num_FETS3*0.5*IM_RMS_120*VDC_AVG*Z71*n*MOT_ELEC_FREQ/GDR_SINK,"")</f>
        <v>8.9912280701754374E-6</v>
      </c>
      <c r="AG71" s="127">
        <f>IF(AND($A71&lt;&gt;0,$A71&lt;&gt;"",OR(RIGHT(Logic!B71,2)="T)",LEFT(Logic!B71,4)="CSD1")),DUTY*IM_RMS_120^2*V71*m/3/Num_FETS3,"")</f>
        <v>0.44325657894736831</v>
      </c>
      <c r="AH71" s="127">
        <f>IF(AND($A71&lt;&gt;0,$A71&lt;&gt;"",OR(RIGHT(Logic!B71,2)="T)",LEFT(Logic!B71,4)="CSD1")),Num_FETS3*0.5*IM_RMS_120*VDC_AVG*Z71*n*FSW*k/GDR_SRC/3,"")</f>
        <v>2.6444788441692458E-3</v>
      </c>
      <c r="AI71" s="127">
        <f>IF(AND($A71&lt;&gt;0,$A71&lt;&gt;"",OR(RIGHT(Logic!B71,2)="T)",LEFT(Logic!B71,4)="CSD1")),Num_FETS3*0.5*IM_RMS_120*VDC_AVG*Z71*n*FSW*k/GDR_SINK/3,"")</f>
        <v>1.7982456140350873E-3</v>
      </c>
      <c r="AJ71" s="127">
        <f t="shared" si="31"/>
        <v>2.2800000000000003E-3</v>
      </c>
      <c r="AK71" s="127">
        <f t="shared" si="32"/>
        <v>1.2414567897146714E-2</v>
      </c>
      <c r="AL71" s="127">
        <f t="shared" si="33"/>
        <v>1.2981600000000001E-2</v>
      </c>
      <c r="AM71" s="127">
        <f t="shared" si="48"/>
        <v>0.37243703691440144</v>
      </c>
      <c r="AN71" s="127">
        <f>IF(AND($A71&lt;&gt;0,$A71&lt;&gt;"",OR(RIGHT(Logic!B71,2)="C)",LEFT(Logic!B71,4)="CSD1")),SUM(AD71:AF71)+(AJ71/3)+AK71+AL71/6+AM71/6,AN72)</f>
        <v>0.56734838721015746</v>
      </c>
      <c r="AO71" s="127">
        <f>IF(AND($A71&lt;&gt;0,$A71&lt;&gt;"",OR(RIGHT(Logic!B71,2)="T)",LEFT(Logic!B71,4)="CSD1")),SUM(AG71:AI71)+(AJ71/3)+AL71/6+AM71/6,AO70)</f>
        <v>0.51269574289130615</v>
      </c>
      <c r="AP71" s="48">
        <f t="shared" si="49"/>
        <v>1.08</v>
      </c>
      <c r="AQ71" s="35" t="str">
        <f>IF(AND(A71&lt;&gt;0,A71&lt;&gt;""),LOOKUP(A71,Discrete_NFET[PARTNUMBER],Discrete_NFET[TI_EQ_PACKAGE]),"")</f>
        <v>SON5X6</v>
      </c>
      <c r="AR71" s="49">
        <f>IF(AND(A71&lt;&gt;0,A71&lt;&gt;""),LOOKUP(A71,Discrete_NFET[PARTNUMBER],Discrete_NFET[1KPRICE]),"")</f>
        <v>0.31</v>
      </c>
      <c r="AS71" s="35" t="str">
        <f>IF(AND($A71&lt;&gt;0,$A71&lt;&gt;""),CONCATENATE(TEXT(AP71,"0.00"),"W, ",IF('User Input'!H$11="Single Discrete",A71,IF('User Input'!H$11="Dual/Power Block",LEFT(A71,FIND(")",A71)-7),A71)),", ",AQ71,", ",TEXT(AR71,"$0.00")),"Invalid Part")</f>
        <v>1.08W, CSD18534Q5A, SON5X6, $0.31</v>
      </c>
      <c r="AT71" t="s">
        <v>808</v>
      </c>
      <c r="AU71" s="35" t="e">
        <f>IF('User Input'!F55&lt;&gt;"Dual/Power Block",LEFT(A73,FIND("L",A73)-1),A73)</f>
        <v>#VALUE!</v>
      </c>
      <c r="AW71"/>
    </row>
    <row r="72" spans="1:49" ht="15" customHeight="1" x14ac:dyDescent="0.25">
      <c r="A72" s="35" t="str">
        <f>IF(OR(AND(FET_config3="Dual/Power Block",LEFT(Logic!B72,4)="CSD8"),AND(FET_config3="Single Discrete",LEFT(Logic!B72,4)="CSD1")),Logic!B72,"")</f>
        <v>CSD18535KCS</v>
      </c>
      <c r="B72" s="37" t="str">
        <f>IF(OR($A72=0,$A72=""),"0",IF(LOOKUP($A72,Discrete_NFET[PARTNUMBER],Discrete_NFET[RDSON25])="(NULL)","0","1"))</f>
        <v>0</v>
      </c>
      <c r="C72" s="38" t="str">
        <f>IF(OR($A72=0,$A72=""),"0",IF(LOOKUP($A72,Discrete_NFET[PARTNUMBER],Discrete_NFET[RDSON3])="(NULL)","0","1"))</f>
        <v>0</v>
      </c>
      <c r="D72" s="40" t="str">
        <f>IF(OR($A72=0,$A72=""),"0",IF(LOOKUP($A72,Discrete_NFET[PARTNUMBER],Discrete_NFET[RDSON45])="(NULL)","0","1"))</f>
        <v>1</v>
      </c>
      <c r="E72" s="45" t="str">
        <f>IF(OR($A72=0,$A72=""),"0",IF(LOOKUP($A72,Discrete_NFET[PARTNUMBER],Discrete_NFET[RDSON6])="(NULL)","0","1"))</f>
        <v>0</v>
      </c>
      <c r="F72" s="34" t="str">
        <f>IF(OR($A72=0,$A72=""),"0",IF(LOOKUP($A72,Discrete_NFET[PARTNUMBER],Discrete_NFET[RDSON8])="(NULL)","0","1"))</f>
        <v>0</v>
      </c>
      <c r="G72" s="43" t="str">
        <f>IF(OR($A72=0,$A72=""),"0",IF(LOOKUP($A72,Discrete_NFET[PARTNUMBER],Discrete_NFET[RDSON10])="(NULL)","0","1"))</f>
        <v>1</v>
      </c>
      <c r="H72" s="36" t="b">
        <f t="shared" si="34"/>
        <v>0</v>
      </c>
      <c r="I72" s="39" t="b">
        <f t="shared" si="35"/>
        <v>0</v>
      </c>
      <c r="J72" s="41" t="b">
        <f t="shared" si="36"/>
        <v>1</v>
      </c>
      <c r="K72" s="46" t="b">
        <f t="shared" si="37"/>
        <v>0</v>
      </c>
      <c r="L72" s="42" t="b">
        <f t="shared" si="38"/>
        <v>0</v>
      </c>
      <c r="M72" s="44" t="b">
        <f t="shared" si="39"/>
        <v>1</v>
      </c>
      <c r="N72" s="47" t="b">
        <f t="shared" si="40"/>
        <v>1</v>
      </c>
      <c r="O72" s="36" t="b">
        <f t="shared" si="41"/>
        <v>0</v>
      </c>
      <c r="P72" s="39" t="b">
        <f t="shared" si="42"/>
        <v>0</v>
      </c>
      <c r="Q72" s="41" t="b">
        <f t="shared" si="43"/>
        <v>1</v>
      </c>
      <c r="R72" s="46" t="b">
        <f t="shared" si="44"/>
        <v>0</v>
      </c>
      <c r="S72" s="42" t="b">
        <f t="shared" si="45"/>
        <v>0</v>
      </c>
      <c r="T72" s="44" t="b">
        <f t="shared" si="46"/>
        <v>1</v>
      </c>
      <c r="U72" s="148">
        <f>IF(T72,LOOKUP(A72,Discrete_NFET[PARTNUMBER],Discrete_NFET[RDSON10])*1000,IF(S72,LOOKUP(A72,Discrete_NFET[PARTNUMBER],Discrete_NFET[RDSON8])*1000,IF(R72,LOOKUP(A72,Discrete_NFET[PARTNUMBER],Discrete_NFET[RDSON6])*1000,IF(Q72,LOOKUP(A72,Discrete_NFET[PARTNUMBER],Discrete_NFET[RDSON45])*1000,IF(P72,LOOKUP(A72,Discrete_NFET[PARTNUMBER],Discrete_NFET[RDSON3])*1000,IF(O72,LOOKUP(A72,Discrete_NFET[PARTNUMBER],Discrete_NFET[RDSON25])*1000,""))))))</f>
        <v>2</v>
      </c>
      <c r="V72" s="48">
        <f>IF(AND(A72&lt;&gt;0,A72&lt;&gt;""),U72*(1+(Tj-25)*(LOOKUP(A72,Discrete_NFET[PARTNUMBER],Discrete_NFET[RDSDELTA])/((LOOKUP(A72,Discrete_NFET[PARTNUMBER],Discrete_NFET[TJMAX])-25)))),"")</f>
        <v>2.25</v>
      </c>
      <c r="W72" s="35">
        <f>IF(AND($A72&lt;&gt;0,$A72&lt;&gt;""),LOOKUP($A72,Discrete_NFET[PARTNUMBER],Discrete_NFET[QGS]),"")</f>
        <v>15.7</v>
      </c>
      <c r="X72" s="35">
        <f>IF(AND($A72&lt;&gt;0,$A72&lt;&gt;""),LOOKUP($A72,Discrete_NFET[PARTNUMBER],Discrete_NFET[QGD]),"")</f>
        <v>10.4</v>
      </c>
      <c r="Y72" s="35">
        <f>IF(AND($A72&lt;&gt;0,$A72&lt;&gt;""),LOOKUP($A72,Discrete_NFET[PARTNUMBER],Discrete_NFET[QGTH]),"")</f>
        <v>9.4</v>
      </c>
      <c r="Z72" s="35">
        <f t="shared" si="47"/>
        <v>16.700000000000003</v>
      </c>
      <c r="AA72" s="35">
        <f>IF(AND($A72&lt;&gt;0,$A72&lt;&gt;""),LOOKUP($A72,Discrete_NFET[PARTNUMBER],Discrete_NFET[QOSSTYP]),"")</f>
        <v>140</v>
      </c>
      <c r="AB72" s="35">
        <f>IF(AND($A72&lt;&gt;0,$A72&lt;&gt;""),LOOKUP($A72,Discrete_NFET[PARTNUMBER],Discrete_NFET[QRR]),"")</f>
        <v>214</v>
      </c>
      <c r="AC72" s="35">
        <f>IF(AND(A72&lt;&gt;0,A72&lt;&gt;""),LOOKUP(A72,Discrete_NFET[PARTNUMBER],Discrete_NFET[VF_TYP]),"")</f>
        <v>0.9</v>
      </c>
      <c r="AD72" s="127">
        <f>IF(AND($A72&lt;&gt;0,$A72&lt;&gt;"",OR(RIGHT(Logic!B72,2)="C)",LEFT(Logic!B72,4)="CSD1")),(1+(1-DUTY))*IM_RMS_120^2*V72*m/3/Num_FETS3,"")</f>
        <v>9.4680574792243746E-2</v>
      </c>
      <c r="AE72" s="127">
        <f>IF(AND($A72&lt;&gt;0,$A72&lt;&gt;"",OR(RIGHT(Logic!B72,2)="C)",LEFT(Logic!B72,4)="CSD1")),Num_FETS3*0.5*IM_RMS_120*VDC_AVG*Z72*n*MOT_ELEC_FREQ/GDR_SRC,"")</f>
        <v>5.3857069143446857E-5</v>
      </c>
      <c r="AF72" s="127">
        <f>IF(AND($A72&lt;&gt;0,$A72&lt;&gt;"",OR(RIGHT(Logic!B72,2)="C)",LEFT(Logic!B72,4)="CSD1")),Num_FETS3*0.5*IM_RMS_120*VDC_AVG*Z72*n*MOT_ELEC_FREQ/GDR_SINK,"")</f>
        <v>3.6622807017543865E-5</v>
      </c>
      <c r="AG72" s="127">
        <f>IF(AND($A72&lt;&gt;0,$A72&lt;&gt;"",OR(RIGHT(Logic!B72,2)="T)",LEFT(Logic!B72,4)="CSD1")),DUTY*IM_RMS_120^2*V72*m/3/Num_FETS3,"")</f>
        <v>8.5663377192982434E-2</v>
      </c>
      <c r="AH72" s="127">
        <f>IF(AND($A72&lt;&gt;0,$A72&lt;&gt;"",OR(RIGHT(Logic!B72,2)="T)",LEFT(Logic!B72,4)="CSD1")),Num_FETS3*0.5*IM_RMS_120*VDC_AVG*Z72*n*FSW*k/GDR_SRC/3,"")</f>
        <v>1.0771413828689373E-2</v>
      </c>
      <c r="AI72" s="127">
        <f>IF(AND($A72&lt;&gt;0,$A72&lt;&gt;"",OR(RIGHT(Logic!B72,2)="T)",LEFT(Logic!B72,4)="CSD1")),Num_FETS3*0.5*IM_RMS_120*VDC_AVG*Z72*n*FSW*k/GDR_SINK/3,"")</f>
        <v>7.3245614035087727E-3</v>
      </c>
      <c r="AJ72" s="127">
        <f t="shared" si="31"/>
        <v>1.6800000000000002E-2</v>
      </c>
      <c r="AK72" s="127">
        <f t="shared" si="32"/>
        <v>1.3966388884290052E-2</v>
      </c>
      <c r="AL72" s="127">
        <f t="shared" si="33"/>
        <v>5.1445600000000001E-2</v>
      </c>
      <c r="AM72" s="127">
        <f t="shared" si="48"/>
        <v>0.41899166652870157</v>
      </c>
      <c r="AN72" s="127">
        <f>IF(AND($A72&lt;&gt;0,$A72&lt;&gt;"",OR(RIGHT(Logic!B72,2)="C)",LEFT(Logic!B72,4)="CSD1")),SUM(AD72:AF72)+(AJ72/3)+AK72+AL72/6+AM72/6,AN73)</f>
        <v>0.19274365464081172</v>
      </c>
      <c r="AO72" s="127">
        <f>IF(AND($A72&lt;&gt;0,$A72&lt;&gt;"",OR(RIGHT(Logic!B72,2)="T)",LEFT(Logic!B72,4)="CSD1")),SUM(AG72:AI72)+(AJ72/3)+AL72/6+AM72/6,AO71)</f>
        <v>0.18776556351329748</v>
      </c>
      <c r="AP72" s="48">
        <f t="shared" si="49"/>
        <v>0.38</v>
      </c>
      <c r="AQ72" s="35" t="str">
        <f>IF(AND(A72&lt;&gt;0,A72&lt;&gt;""),LOOKUP(A72,Discrete_NFET[PARTNUMBER],Discrete_NFET[TI_EQ_PACKAGE]),"")</f>
        <v>TO-220</v>
      </c>
      <c r="AR72" s="49">
        <f>IF(AND(A72&lt;&gt;0,A72&lt;&gt;""),LOOKUP(A72,Discrete_NFET[PARTNUMBER],Discrete_NFET[1KPRICE]),"")</f>
        <v>1.1599999999999999</v>
      </c>
      <c r="AS72" s="35" t="str">
        <f>IF(AND($A72&lt;&gt;0,$A72&lt;&gt;""),CONCATENATE(TEXT(AP72,"0.00"),"W, ",IF('User Input'!H$11="Single Discrete",A72,IF('User Input'!H$11="Dual/Power Block",LEFT(A72,FIND(")",A72)-7),A72)),", ",AQ72,", ",TEXT(AR72,"$0.00")),"Invalid Part")</f>
        <v>0.38W, CSD18535KCS, TO-220, $1.16</v>
      </c>
      <c r="AT72" t="s">
        <v>833</v>
      </c>
      <c r="AW72"/>
    </row>
    <row r="73" spans="1:49" ht="15" customHeight="1" x14ac:dyDescent="0.25">
      <c r="A73" s="35" t="str">
        <f>IF(OR(AND(FET_config3="Dual/Power Block",LEFT(Logic!B73,4)="CSD8"),AND(FET_config3="Single Discrete",LEFT(Logic!B73,4)="CSD1")),Logic!B73,"")</f>
        <v>CSD18535KTT</v>
      </c>
      <c r="B73" s="37" t="str">
        <f>IF(OR($A73=0,$A73=""),"0",IF(LOOKUP($A73,Discrete_NFET[PARTNUMBER],Discrete_NFET[RDSON25])="(NULL)","0","1"))</f>
        <v>0</v>
      </c>
      <c r="C73" s="38" t="str">
        <f>IF(OR($A73=0,$A73=""),"0",IF(LOOKUP($A73,Discrete_NFET[PARTNUMBER],Discrete_NFET[RDSON3])="(NULL)","0","1"))</f>
        <v>0</v>
      </c>
      <c r="D73" s="40" t="str">
        <f>IF(OR($A73=0,$A73=""),"0",IF(LOOKUP($A73,Discrete_NFET[PARTNUMBER],Discrete_NFET[RDSON45])="(NULL)","0","1"))</f>
        <v>1</v>
      </c>
      <c r="E73" s="45" t="str">
        <f>IF(OR($A73=0,$A73=""),"0",IF(LOOKUP($A73,Discrete_NFET[PARTNUMBER],Discrete_NFET[RDSON6])="(NULL)","0","1"))</f>
        <v>0</v>
      </c>
      <c r="F73" s="34" t="str">
        <f>IF(OR($A73=0,$A73=""),"0",IF(LOOKUP($A73,Discrete_NFET[PARTNUMBER],Discrete_NFET[RDSON8])="(NULL)","0","1"))</f>
        <v>0</v>
      </c>
      <c r="G73" s="43" t="str">
        <f>IF(OR($A73=0,$A73=""),"0",IF(LOOKUP($A73,Discrete_NFET[PARTNUMBER],Discrete_NFET[RDSON10])="(NULL)","0","1"))</f>
        <v>1</v>
      </c>
      <c r="H73" s="36" t="b">
        <f t="shared" si="34"/>
        <v>0</v>
      </c>
      <c r="I73" s="39" t="b">
        <f t="shared" si="35"/>
        <v>0</v>
      </c>
      <c r="J73" s="41" t="b">
        <f t="shared" si="36"/>
        <v>1</v>
      </c>
      <c r="K73" s="46" t="b">
        <f t="shared" si="37"/>
        <v>0</v>
      </c>
      <c r="L73" s="42" t="b">
        <f t="shared" si="38"/>
        <v>0</v>
      </c>
      <c r="M73" s="44" t="b">
        <f t="shared" si="39"/>
        <v>1</v>
      </c>
      <c r="N73" s="47" t="b">
        <f t="shared" si="40"/>
        <v>1</v>
      </c>
      <c r="O73" s="36" t="b">
        <f t="shared" si="41"/>
        <v>0</v>
      </c>
      <c r="P73" s="39" t="b">
        <f t="shared" si="42"/>
        <v>0</v>
      </c>
      <c r="Q73" s="41" t="b">
        <f t="shared" si="43"/>
        <v>1</v>
      </c>
      <c r="R73" s="46" t="b">
        <f t="shared" si="44"/>
        <v>0</v>
      </c>
      <c r="S73" s="42" t="b">
        <f t="shared" si="45"/>
        <v>0</v>
      </c>
      <c r="T73" s="44" t="b">
        <f t="shared" si="46"/>
        <v>1</v>
      </c>
      <c r="U73" s="148">
        <f>IF(T73,LOOKUP(A73,Discrete_NFET[PARTNUMBER],Discrete_NFET[RDSON10])*1000,IF(S73,LOOKUP(A73,Discrete_NFET[PARTNUMBER],Discrete_NFET[RDSON8])*1000,IF(R73,LOOKUP(A73,Discrete_NFET[PARTNUMBER],Discrete_NFET[RDSON6])*1000,IF(Q73,LOOKUP(A73,Discrete_NFET[PARTNUMBER],Discrete_NFET[RDSON45])*1000,IF(P73,LOOKUP(A73,Discrete_NFET[PARTNUMBER],Discrete_NFET[RDSON3])*1000,IF(O73,LOOKUP(A73,Discrete_NFET[PARTNUMBER],Discrete_NFET[RDSON25])*1000,""))))))</f>
        <v>2</v>
      </c>
      <c r="V73" s="48">
        <f>IF(AND(A73&lt;&gt;0,A73&lt;&gt;""),U73*(1+(Tj-25)*(LOOKUP(A73,Discrete_NFET[PARTNUMBER],Discrete_NFET[RDSDELTA])/((LOOKUP(A73,Discrete_NFET[PARTNUMBER],Discrete_NFET[TJMAX])-25)))),"")</f>
        <v>2.31</v>
      </c>
      <c r="W73" s="35">
        <f>IF(AND($A73&lt;&gt;0,$A73&lt;&gt;""),LOOKUP($A73,Discrete_NFET[PARTNUMBER],Discrete_NFET[QGS]),"")</f>
        <v>15.7</v>
      </c>
      <c r="X73" s="35">
        <f>IF(AND($A73&lt;&gt;0,$A73&lt;&gt;""),LOOKUP($A73,Discrete_NFET[PARTNUMBER],Discrete_NFET[QGD]),"")</f>
        <v>10.4</v>
      </c>
      <c r="Y73" s="35">
        <f>IF(AND($A73&lt;&gt;0,$A73&lt;&gt;""),LOOKUP($A73,Discrete_NFET[PARTNUMBER],Discrete_NFET[QGTH]),"")</f>
        <v>9.4</v>
      </c>
      <c r="Z73" s="35">
        <f t="shared" si="47"/>
        <v>16.700000000000003</v>
      </c>
      <c r="AA73" s="35">
        <f>IF(AND($A73&lt;&gt;0,$A73&lt;&gt;""),LOOKUP($A73,Discrete_NFET[PARTNUMBER],Discrete_NFET[QOSSTYP]),"")</f>
        <v>140</v>
      </c>
      <c r="AB73" s="35">
        <f>IF(AND($A73&lt;&gt;0,$A73&lt;&gt;""),LOOKUP($A73,Discrete_NFET[PARTNUMBER],Discrete_NFET[QRR]),"")</f>
        <v>214</v>
      </c>
      <c r="AC73" s="35">
        <f>IF(AND(A73&lt;&gt;0,A73&lt;&gt;""),LOOKUP(A73,Discrete_NFET[PARTNUMBER],Discrete_NFET[VF_TYP]),"")</f>
        <v>0.9</v>
      </c>
      <c r="AD73" s="127">
        <f>IF(AND($A73&lt;&gt;0,$A73&lt;&gt;"",OR(RIGHT(Logic!B73,2)="C)",LEFT(Logic!B73,4)="CSD1")),(1+(1-DUTY))*IM_RMS_120^2*V73*m/3/Num_FETS3,"")</f>
        <v>9.7205390120036914E-2</v>
      </c>
      <c r="AE73" s="127">
        <f>IF(AND($A73&lt;&gt;0,$A73&lt;&gt;"",OR(RIGHT(Logic!B73,2)="C)",LEFT(Logic!B73,4)="CSD1")),Num_FETS3*0.5*IM_RMS_120*VDC_AVG*Z73*n*MOT_ELEC_FREQ/GDR_SRC,"")</f>
        <v>5.3857069143446857E-5</v>
      </c>
      <c r="AF73" s="127">
        <f>IF(AND($A73&lt;&gt;0,$A73&lt;&gt;"",OR(RIGHT(Logic!B73,2)="C)",LEFT(Logic!B73,4)="CSD1")),Num_FETS3*0.5*IM_RMS_120*VDC_AVG*Z73*n*MOT_ELEC_FREQ/GDR_SINK,"")</f>
        <v>3.6622807017543865E-5</v>
      </c>
      <c r="AG73" s="127">
        <f>IF(AND($A73&lt;&gt;0,$A73&lt;&gt;"",OR(RIGHT(Logic!B73,2)="T)",LEFT(Logic!B73,4)="CSD1")),DUTY*IM_RMS_120^2*V73*m/3/Num_FETS3,"")</f>
        <v>8.7947733918128643E-2</v>
      </c>
      <c r="AH73" s="127">
        <f>IF(AND($A73&lt;&gt;0,$A73&lt;&gt;"",OR(RIGHT(Logic!B73,2)="T)",LEFT(Logic!B73,4)="CSD1")),Num_FETS3*0.5*IM_RMS_120*VDC_AVG*Z73*n*FSW*k/GDR_SRC/3,"")</f>
        <v>1.0771413828689373E-2</v>
      </c>
      <c r="AI73" s="127">
        <f>IF(AND($A73&lt;&gt;0,$A73&lt;&gt;"",OR(RIGHT(Logic!B73,2)="T)",LEFT(Logic!B73,4)="CSD1")),Num_FETS3*0.5*IM_RMS_120*VDC_AVG*Z73*n*FSW*k/GDR_SINK/3,"")</f>
        <v>7.3245614035087727E-3</v>
      </c>
      <c r="AJ73" s="127">
        <f t="shared" si="31"/>
        <v>1.6800000000000002E-2</v>
      </c>
      <c r="AK73" s="127">
        <f t="shared" si="32"/>
        <v>1.3966388884290052E-2</v>
      </c>
      <c r="AL73" s="127">
        <f t="shared" si="33"/>
        <v>5.1445600000000001E-2</v>
      </c>
      <c r="AM73" s="127">
        <f t="shared" si="48"/>
        <v>0.41899166652870157</v>
      </c>
      <c r="AN73" s="127">
        <f>IF(AND($A73&lt;&gt;0,$A73&lt;&gt;"",OR(RIGHT(Logic!B73,2)="C)",LEFT(Logic!B73,4)="CSD1")),SUM(AD73:AF73)+(AJ73/3)+AK73+AL73/6+AM73/6,AN74)</f>
        <v>0.19526846996860486</v>
      </c>
      <c r="AO73" s="127">
        <f>IF(AND($A73&lt;&gt;0,$A73&lt;&gt;"",OR(RIGHT(Logic!B73,2)="T)",LEFT(Logic!B73,4)="CSD1")),SUM(AG73:AI73)+(AJ73/3)+AL73/6+AM73/6,AO72)</f>
        <v>0.19004992023844369</v>
      </c>
      <c r="AP73" s="48">
        <f t="shared" si="49"/>
        <v>0.39</v>
      </c>
      <c r="AQ73" s="35" t="str">
        <f>IF(AND(A73&lt;&gt;0,A73&lt;&gt;""),LOOKUP(A73,Discrete_NFET[PARTNUMBER],Discrete_NFET[TI_EQ_PACKAGE]),"")</f>
        <v>DDPAK</v>
      </c>
      <c r="AR73" s="49">
        <f>IF(AND(A73&lt;&gt;0,A73&lt;&gt;""),LOOKUP(A73,Discrete_NFET[PARTNUMBER],Discrete_NFET[1KPRICE]),"")</f>
        <v>1.21</v>
      </c>
      <c r="AS73" s="35" t="str">
        <f>IF(AND($A73&lt;&gt;0,$A73&lt;&gt;""),CONCATENATE(TEXT(AP73,"0.00"),"W, ",IF('User Input'!H$11="Single Discrete",A73,IF('User Input'!H$11="Dual/Power Block",LEFT(A73,FIND(")",A73)-7),A73)),", ",AQ73,", ",TEXT(AR73,"$0.00")),"Invalid Part")</f>
        <v>0.39W, CSD18535KTT, DDPAK, $1.21</v>
      </c>
      <c r="AT73" t="s">
        <v>818</v>
      </c>
      <c r="AW73"/>
    </row>
    <row r="74" spans="1:49" ht="15" customHeight="1" x14ac:dyDescent="0.25">
      <c r="A74" s="35" t="str">
        <f>IF(OR(AND(FET_config3="Dual/Power Block",LEFT(Logic!B74,4)="CSD8"),AND(FET_config3="Single Discrete",LEFT(Logic!B74,4)="CSD1")),Logic!B74,"")</f>
        <v>CSD18536KCS</v>
      </c>
      <c r="B74" s="37" t="str">
        <f>IF(OR($A74=0,$A74=""),"0",IF(LOOKUP($A74,Discrete_NFET[PARTNUMBER],Discrete_NFET[RDSON25])="(NULL)","0","1"))</f>
        <v>0</v>
      </c>
      <c r="C74" s="38" t="str">
        <f>IF(OR($A74=0,$A74=""),"0",IF(LOOKUP($A74,Discrete_NFET[PARTNUMBER],Discrete_NFET[RDSON3])="(NULL)","0","1"))</f>
        <v>0</v>
      </c>
      <c r="D74" s="40" t="str">
        <f>IF(OR($A74=0,$A74=""),"0",IF(LOOKUP($A74,Discrete_NFET[PARTNUMBER],Discrete_NFET[RDSON45])="(NULL)","0","1"))</f>
        <v>1</v>
      </c>
      <c r="E74" s="45" t="str">
        <f>IF(OR($A74=0,$A74=""),"0",IF(LOOKUP($A74,Discrete_NFET[PARTNUMBER],Discrete_NFET[RDSON6])="(NULL)","0","1"))</f>
        <v>0</v>
      </c>
      <c r="F74" s="34" t="str">
        <f>IF(OR($A74=0,$A74=""),"0",IF(LOOKUP($A74,Discrete_NFET[PARTNUMBER],Discrete_NFET[RDSON8])="(NULL)","0","1"))</f>
        <v>0</v>
      </c>
      <c r="G74" s="43" t="str">
        <f>IF(OR($A74=0,$A74=""),"0",IF(LOOKUP($A74,Discrete_NFET[PARTNUMBER],Discrete_NFET[RDSON10])="(NULL)","0","1"))</f>
        <v>1</v>
      </c>
      <c r="H74" s="36" t="b">
        <f t="shared" si="34"/>
        <v>0</v>
      </c>
      <c r="I74" s="39" t="b">
        <f t="shared" si="35"/>
        <v>0</v>
      </c>
      <c r="J74" s="41" t="b">
        <f t="shared" si="36"/>
        <v>1</v>
      </c>
      <c r="K74" s="46" t="b">
        <f t="shared" si="37"/>
        <v>0</v>
      </c>
      <c r="L74" s="42" t="b">
        <f t="shared" si="38"/>
        <v>0</v>
      </c>
      <c r="M74" s="44" t="b">
        <f t="shared" si="39"/>
        <v>1</v>
      </c>
      <c r="N74" s="47" t="b">
        <f t="shared" si="40"/>
        <v>1</v>
      </c>
      <c r="O74" s="36" t="b">
        <f t="shared" si="41"/>
        <v>0</v>
      </c>
      <c r="P74" s="39" t="b">
        <f t="shared" si="42"/>
        <v>0</v>
      </c>
      <c r="Q74" s="41" t="b">
        <f t="shared" si="43"/>
        <v>1</v>
      </c>
      <c r="R74" s="46" t="b">
        <f t="shared" si="44"/>
        <v>0</v>
      </c>
      <c r="S74" s="42" t="b">
        <f t="shared" si="45"/>
        <v>0</v>
      </c>
      <c r="T74" s="44" t="b">
        <f t="shared" si="46"/>
        <v>1</v>
      </c>
      <c r="U74" s="148">
        <f>IF(T74,LOOKUP(A74,Discrete_NFET[PARTNUMBER],Discrete_NFET[RDSON10])*1000,IF(S74,LOOKUP(A74,Discrete_NFET[PARTNUMBER],Discrete_NFET[RDSON8])*1000,IF(R74,LOOKUP(A74,Discrete_NFET[PARTNUMBER],Discrete_NFET[RDSON6])*1000,IF(Q74,LOOKUP(A74,Discrete_NFET[PARTNUMBER],Discrete_NFET[RDSON45])*1000,IF(P74,LOOKUP(A74,Discrete_NFET[PARTNUMBER],Discrete_NFET[RDSON3])*1000,IF(O74,LOOKUP(A74,Discrete_NFET[PARTNUMBER],Discrete_NFET[RDSON25])*1000,""))))))</f>
        <v>1.6</v>
      </c>
      <c r="V74" s="48">
        <f>IF(AND(A74&lt;&gt;0,A74&lt;&gt;""),U74*(1+(Tj-25)*(LOOKUP(A74,Discrete_NFET[PARTNUMBER],Discrete_NFET[RDSDELTA])/((LOOKUP(A74,Discrete_NFET[PARTNUMBER],Discrete_NFET[TJMAX])-25)))),"")</f>
        <v>1.7920000000000003</v>
      </c>
      <c r="W74" s="35">
        <f>IF(AND($A74&lt;&gt;0,$A74&lt;&gt;""),LOOKUP($A74,Discrete_NFET[PARTNUMBER],Discrete_NFET[QGS]),"")</f>
        <v>18</v>
      </c>
      <c r="X74" s="35">
        <f>IF(AND($A74&lt;&gt;0,$A74&lt;&gt;""),LOOKUP($A74,Discrete_NFET[PARTNUMBER],Discrete_NFET[QGD]),"")</f>
        <v>14</v>
      </c>
      <c r="Y74" s="35">
        <f>IF(AND($A74&lt;&gt;0,$A74&lt;&gt;""),LOOKUP($A74,Discrete_NFET[PARTNUMBER],Discrete_NFET[QGTH]),"")</f>
        <v>17</v>
      </c>
      <c r="Z74" s="35">
        <f t="shared" si="47"/>
        <v>15</v>
      </c>
      <c r="AA74" s="35">
        <f>IF(AND($A74&lt;&gt;0,$A74&lt;&gt;""),LOOKUP($A74,Discrete_NFET[PARTNUMBER],Discrete_NFET[QOSSTYP]),"")</f>
        <v>230</v>
      </c>
      <c r="AB74" s="35">
        <f>IF(AND($A74&lt;&gt;0,$A74&lt;&gt;""),LOOKUP($A74,Discrete_NFET[PARTNUMBER],Discrete_NFET[QRR]),"")</f>
        <v>323</v>
      </c>
      <c r="AC74" s="35">
        <f>IF(AND(A74&lt;&gt;0,A74&lt;&gt;""),LOOKUP(A74,Discrete_NFET[PARTNUMBER],Discrete_NFET[VF_TYP]),"")</f>
        <v>0.9</v>
      </c>
      <c r="AD74" s="127">
        <f>IF(AND($A74&lt;&gt;0,$A74&lt;&gt;"",OR(RIGHT(Logic!B74,2)="C)",LEFT(Logic!B74,4)="CSD1")),(1+(1-DUTY))*IM_RMS_120^2*V74*m/3/Num_FETS3,"")</f>
        <v>7.540781779008926E-2</v>
      </c>
      <c r="AE74" s="127">
        <f>IF(AND($A74&lt;&gt;0,$A74&lt;&gt;"",OR(RIGHT(Logic!B74,2)="C)",LEFT(Logic!B74,4)="CSD1")),Num_FETS3*0.5*IM_RMS_120*VDC_AVG*Z74*n*MOT_ELEC_FREQ/GDR_SRC,"")</f>
        <v>4.8374613003095971E-5</v>
      </c>
      <c r="AF74" s="127">
        <f>IF(AND($A74&lt;&gt;0,$A74&lt;&gt;"",OR(RIGHT(Logic!B74,2)="C)",LEFT(Logic!B74,4)="CSD1")),Num_FETS3*0.5*IM_RMS_120*VDC_AVG*Z74*n*MOT_ELEC_FREQ/GDR_SINK,"")</f>
        <v>3.2894736842105262E-5</v>
      </c>
      <c r="AG74" s="127">
        <f>IF(AND($A74&lt;&gt;0,$A74&lt;&gt;"",OR(RIGHT(Logic!B74,2)="T)",LEFT(Logic!B74,4)="CSD1")),DUTY*IM_RMS_120^2*V74*m/3/Num_FETS3,"")</f>
        <v>6.8226120857699801E-2</v>
      </c>
      <c r="AH74" s="127">
        <f>IF(AND($A74&lt;&gt;0,$A74&lt;&gt;"",OR(RIGHT(Logic!B74,2)="T)",LEFT(Logic!B74,4)="CSD1")),Num_FETS3*0.5*IM_RMS_120*VDC_AVG*Z74*n*FSW*k/GDR_SRC/3,"")</f>
        <v>9.674922600619194E-3</v>
      </c>
      <c r="AI74" s="127">
        <f>IF(AND($A74&lt;&gt;0,$A74&lt;&gt;"",OR(RIGHT(Logic!B74,2)="T)",LEFT(Logic!B74,4)="CSD1")),Num_FETS3*0.5*IM_RMS_120*VDC_AVG*Z74*n*FSW*k/GDR_SINK/3,"")</f>
        <v>6.5789473684210523E-3</v>
      </c>
      <c r="AJ74" s="127">
        <f t="shared" si="31"/>
        <v>2.7600000000000003E-2</v>
      </c>
      <c r="AK74" s="127">
        <f t="shared" si="32"/>
        <v>1.3966388884290052E-2</v>
      </c>
      <c r="AL74" s="127">
        <f t="shared" si="33"/>
        <v>7.7649200000000002E-2</v>
      </c>
      <c r="AM74" s="127">
        <f t="shared" si="48"/>
        <v>0.41899166652870157</v>
      </c>
      <c r="AN74" s="127">
        <f>IF(AND($A74&lt;&gt;0,$A74&lt;&gt;"",OR(RIGHT(Logic!B74,2)="C)",LEFT(Logic!B74,4)="CSD1")),SUM(AD74:AF74)+(AJ74/3)+AK74+AL74/6+AM74/6,AN75)</f>
        <v>0.18142895377900811</v>
      </c>
      <c r="AO74" s="127">
        <f>IF(AND($A74&lt;&gt;0,$A74&lt;&gt;"",OR(RIGHT(Logic!B74,2)="T)",LEFT(Logic!B74,4)="CSD1")),SUM(AG74:AI74)+(AJ74/3)+AL74/6+AM74/6,AO73)</f>
        <v>0.17645346858152364</v>
      </c>
      <c r="AP74" s="48">
        <f t="shared" si="49"/>
        <v>0.36</v>
      </c>
      <c r="AQ74" s="35" t="str">
        <f>IF(AND(A74&lt;&gt;0,A74&lt;&gt;""),LOOKUP(A74,Discrete_NFET[PARTNUMBER],Discrete_NFET[TI_EQ_PACKAGE]),"")</f>
        <v>TO-220</v>
      </c>
      <c r="AR74" s="49">
        <f>IF(AND(A74&lt;&gt;0,A74&lt;&gt;""),LOOKUP(A74,Discrete_NFET[PARTNUMBER],Discrete_NFET[1KPRICE]),"")</f>
        <v>1.76</v>
      </c>
      <c r="AS74" s="35" t="str">
        <f>IF(AND($A74&lt;&gt;0,$A74&lt;&gt;""),CONCATENATE(TEXT(AP74,"0.00"),"W, ",IF('User Input'!H$11="Single Discrete",A74,IF('User Input'!H$11="Dual/Power Block",LEFT(A74,FIND(")",A74)-7),A74)),", ",AQ74,", ",TEXT(AR74,"$0.00")),"Invalid Part")</f>
        <v>0.36W, CSD18536KCS, TO-220, $1.76</v>
      </c>
      <c r="AT74" t="s">
        <v>817</v>
      </c>
      <c r="AW74"/>
    </row>
    <row r="75" spans="1:49" ht="15" customHeight="1" x14ac:dyDescent="0.25">
      <c r="A75" s="35" t="str">
        <f>IF(OR(AND(FET_config3="Dual/Power Block",LEFT(Logic!B75,4)="CSD8"),AND(FET_config3="Single Discrete",LEFT(Logic!B75,4)="CSD1")),Logic!B75,"")</f>
        <v>CSD18536KTT</v>
      </c>
      <c r="B75" s="37" t="str">
        <f>IF(OR($A75=0,$A75=""),"0",IF(LOOKUP($A75,Discrete_NFET[PARTNUMBER],Discrete_NFET[RDSON25])="(NULL)","0","1"))</f>
        <v>0</v>
      </c>
      <c r="C75" s="38" t="str">
        <f>IF(OR($A75=0,$A75=""),"0",IF(LOOKUP($A75,Discrete_NFET[PARTNUMBER],Discrete_NFET[RDSON3])="(NULL)","0","1"))</f>
        <v>0</v>
      </c>
      <c r="D75" s="40" t="str">
        <f>IF(OR($A75=0,$A75=""),"0",IF(LOOKUP($A75,Discrete_NFET[PARTNUMBER],Discrete_NFET[RDSON45])="(NULL)","0","1"))</f>
        <v>1</v>
      </c>
      <c r="E75" s="45" t="str">
        <f>IF(OR($A75=0,$A75=""),"0",IF(LOOKUP($A75,Discrete_NFET[PARTNUMBER],Discrete_NFET[RDSON6])="(NULL)","0","1"))</f>
        <v>0</v>
      </c>
      <c r="F75" s="34" t="str">
        <f>IF(OR($A75=0,$A75=""),"0",IF(LOOKUP($A75,Discrete_NFET[PARTNUMBER],Discrete_NFET[RDSON8])="(NULL)","0","1"))</f>
        <v>0</v>
      </c>
      <c r="G75" s="43" t="str">
        <f>IF(OR($A75=0,$A75=""),"0",IF(LOOKUP($A75,Discrete_NFET[PARTNUMBER],Discrete_NFET[RDSON10])="(NULL)","0","1"))</f>
        <v>1</v>
      </c>
      <c r="H75" s="36" t="b">
        <f t="shared" si="34"/>
        <v>0</v>
      </c>
      <c r="I75" s="39" t="b">
        <f t="shared" si="35"/>
        <v>0</v>
      </c>
      <c r="J75" s="41" t="b">
        <f t="shared" si="36"/>
        <v>1</v>
      </c>
      <c r="K75" s="46" t="b">
        <f t="shared" si="37"/>
        <v>0</v>
      </c>
      <c r="L75" s="42" t="b">
        <f t="shared" si="38"/>
        <v>0</v>
      </c>
      <c r="M75" s="44" t="b">
        <f t="shared" si="39"/>
        <v>1</v>
      </c>
      <c r="N75" s="47" t="b">
        <f t="shared" si="40"/>
        <v>1</v>
      </c>
      <c r="O75" s="36" t="b">
        <f t="shared" si="41"/>
        <v>0</v>
      </c>
      <c r="P75" s="39" t="b">
        <f t="shared" si="42"/>
        <v>0</v>
      </c>
      <c r="Q75" s="41" t="b">
        <f t="shared" si="43"/>
        <v>1</v>
      </c>
      <c r="R75" s="46" t="b">
        <f t="shared" si="44"/>
        <v>0</v>
      </c>
      <c r="S75" s="42" t="b">
        <f t="shared" si="45"/>
        <v>0</v>
      </c>
      <c r="T75" s="44" t="b">
        <f t="shared" si="46"/>
        <v>1</v>
      </c>
      <c r="U75" s="148">
        <f>IF(T75,LOOKUP(A75,Discrete_NFET[PARTNUMBER],Discrete_NFET[RDSON10])*1000,IF(S75,LOOKUP(A75,Discrete_NFET[PARTNUMBER],Discrete_NFET[RDSON8])*1000,IF(R75,LOOKUP(A75,Discrete_NFET[PARTNUMBER],Discrete_NFET[RDSON6])*1000,IF(Q75,LOOKUP(A75,Discrete_NFET[PARTNUMBER],Discrete_NFET[RDSON45])*1000,IF(P75,LOOKUP(A75,Discrete_NFET[PARTNUMBER],Discrete_NFET[RDSON3])*1000,IF(O75,LOOKUP(A75,Discrete_NFET[PARTNUMBER],Discrete_NFET[RDSON25])*1000,""))))))</f>
        <v>1.6</v>
      </c>
      <c r="V75" s="48">
        <f>IF(AND(A75&lt;&gt;0,A75&lt;&gt;""),U75*(1+(Tj-25)*(LOOKUP(A75,Discrete_NFET[PARTNUMBER],Discrete_NFET[RDSDELTA])/((LOOKUP(A75,Discrete_NFET[PARTNUMBER],Discrete_NFET[TJMAX])-25)))),"")</f>
        <v>1.8346666666666669</v>
      </c>
      <c r="W75" s="35">
        <f>IF(AND($A75&lt;&gt;0,$A75&lt;&gt;""),LOOKUP($A75,Discrete_NFET[PARTNUMBER],Discrete_NFET[QGS]),"")</f>
        <v>18</v>
      </c>
      <c r="X75" s="35">
        <f>IF(AND($A75&lt;&gt;0,$A75&lt;&gt;""),LOOKUP($A75,Discrete_NFET[PARTNUMBER],Discrete_NFET[QGD]),"")</f>
        <v>14</v>
      </c>
      <c r="Y75" s="35">
        <f>IF(AND($A75&lt;&gt;0,$A75&lt;&gt;""),LOOKUP($A75,Discrete_NFET[PARTNUMBER],Discrete_NFET[QGTH]),"")</f>
        <v>17</v>
      </c>
      <c r="Z75" s="35">
        <f t="shared" si="47"/>
        <v>15</v>
      </c>
      <c r="AA75" s="35">
        <f>IF(AND($A75&lt;&gt;0,$A75&lt;&gt;""),LOOKUP($A75,Discrete_NFET[PARTNUMBER],Discrete_NFET[QOSSTYP]),"")</f>
        <v>230</v>
      </c>
      <c r="AB75" s="35">
        <f>IF(AND($A75&lt;&gt;0,$A75&lt;&gt;""),LOOKUP($A75,Discrete_NFET[PARTNUMBER],Discrete_NFET[QRR]),"")</f>
        <v>323</v>
      </c>
      <c r="AC75" s="35">
        <f>IF(AND(A75&lt;&gt;0,A75&lt;&gt;""),LOOKUP(A75,Discrete_NFET[PARTNUMBER],Discrete_NFET[VF_TYP]),"")</f>
        <v>0.9</v>
      </c>
      <c r="AD75" s="127">
        <f>IF(AND($A75&lt;&gt;0,$A75&lt;&gt;"",OR(RIGHT(Logic!B75,2)="C)",LEFT(Logic!B75,4)="CSD1")),(1+(1-DUTY))*IM_RMS_120^2*V75*m/3/Num_FETS3,"")</f>
        <v>7.7203242023186625E-2</v>
      </c>
      <c r="AE75" s="127">
        <f>IF(AND($A75&lt;&gt;0,$A75&lt;&gt;"",OR(RIGHT(Logic!B75,2)="C)",LEFT(Logic!B75,4)="CSD1")),Num_FETS3*0.5*IM_RMS_120*VDC_AVG*Z75*n*MOT_ELEC_FREQ/GDR_SRC,"")</f>
        <v>4.8374613003095971E-5</v>
      </c>
      <c r="AF75" s="127">
        <f>IF(AND($A75&lt;&gt;0,$A75&lt;&gt;"",OR(RIGHT(Logic!B75,2)="C)",LEFT(Logic!B75,4)="CSD1")),Num_FETS3*0.5*IM_RMS_120*VDC_AVG*Z75*n*MOT_ELEC_FREQ/GDR_SINK,"")</f>
        <v>3.2894736842105262E-5</v>
      </c>
      <c r="AG75" s="127">
        <f>IF(AND($A75&lt;&gt;0,$A75&lt;&gt;"",OR(RIGHT(Logic!B75,2)="T)",LEFT(Logic!B75,4)="CSD1")),DUTY*IM_RMS_120^2*V75*m/3/Num_FETS3,"")</f>
        <v>6.985055230669264E-2</v>
      </c>
      <c r="AH75" s="127">
        <f>IF(AND($A75&lt;&gt;0,$A75&lt;&gt;"",OR(RIGHT(Logic!B75,2)="T)",LEFT(Logic!B75,4)="CSD1")),Num_FETS3*0.5*IM_RMS_120*VDC_AVG*Z75*n*FSW*k/GDR_SRC/3,"")</f>
        <v>9.674922600619194E-3</v>
      </c>
      <c r="AI75" s="127">
        <f>IF(AND($A75&lt;&gt;0,$A75&lt;&gt;"",OR(RIGHT(Logic!B75,2)="T)",LEFT(Logic!B75,4)="CSD1")),Num_FETS3*0.5*IM_RMS_120*VDC_AVG*Z75*n*FSW*k/GDR_SINK/3,"")</f>
        <v>6.5789473684210523E-3</v>
      </c>
      <c r="AJ75" s="127">
        <f t="shared" si="31"/>
        <v>2.7600000000000003E-2</v>
      </c>
      <c r="AK75" s="127">
        <f t="shared" si="32"/>
        <v>1.3966388884290052E-2</v>
      </c>
      <c r="AL75" s="127">
        <f t="shared" si="33"/>
        <v>7.7649200000000002E-2</v>
      </c>
      <c r="AM75" s="127">
        <f t="shared" si="48"/>
        <v>0.41899166652870157</v>
      </c>
      <c r="AN75" s="127">
        <f>IF(AND($A75&lt;&gt;0,$A75&lt;&gt;"",OR(RIGHT(Logic!B75,2)="C)",LEFT(Logic!B75,4)="CSD1")),SUM(AD75:AF75)+(AJ75/3)+AK75+AL75/6+AM75/6,AN76)</f>
        <v>0.18322437801210548</v>
      </c>
      <c r="AO75" s="127">
        <f>IF(AND($A75&lt;&gt;0,$A75&lt;&gt;"",OR(RIGHT(Logic!B75,2)="T)",LEFT(Logic!B75,4)="CSD1")),SUM(AG75:AI75)+(AJ75/3)+AL75/6+AM75/6,AO74)</f>
        <v>0.17807790003051649</v>
      </c>
      <c r="AP75" s="48">
        <f t="shared" si="49"/>
        <v>0.36</v>
      </c>
      <c r="AQ75" s="35" t="str">
        <f>IF(AND(A75&lt;&gt;0,A75&lt;&gt;""),LOOKUP(A75,Discrete_NFET[PARTNUMBER],Discrete_NFET[TI_EQ_PACKAGE]),"")</f>
        <v>DDPAK</v>
      </c>
      <c r="AR75" s="49">
        <f>IF(AND(A75&lt;&gt;0,A75&lt;&gt;""),LOOKUP(A75,Discrete_NFET[PARTNUMBER],Discrete_NFET[1KPRICE]),"")</f>
        <v>1.8</v>
      </c>
      <c r="AS75" s="35" t="str">
        <f>IF(AND($A75&lt;&gt;0,$A75&lt;&gt;""),CONCATENATE(TEXT(AP75,"0.00"),"W, ",IF('User Input'!H$11="Single Discrete",A75,IF('User Input'!H$11="Dual/Power Block",LEFT(A75,FIND(")",A75)-7),A75)),", ",AQ75,", ",TEXT(AR75,"$0.00")),"Invalid Part")</f>
        <v>0.36W, CSD18536KTT, DDPAK, $1.80</v>
      </c>
      <c r="AT75" t="s">
        <v>875</v>
      </c>
      <c r="AW75"/>
    </row>
    <row r="76" spans="1:49" ht="15" customHeight="1" x14ac:dyDescent="0.25">
      <c r="A76" s="35" t="str">
        <f>IF(OR(AND(FET_config3="Dual/Power Block",LEFT(Logic!B76,4)="CSD8"),AND(FET_config3="Single Discrete",LEFT(Logic!B76,4)="CSD1")),Logic!B76,"")</f>
        <v>CSD18537NKCS</v>
      </c>
      <c r="B76" s="37" t="str">
        <f>IF(OR($A76=0,$A76=""),"0",IF(LOOKUP($A76,Discrete_NFET[PARTNUMBER],Discrete_NFET[RDSON25])="(NULL)","0","1"))</f>
        <v>0</v>
      </c>
      <c r="C76" s="38" t="str">
        <f>IF(OR($A76=0,$A76=""),"0",IF(LOOKUP($A76,Discrete_NFET[PARTNUMBER],Discrete_NFET[RDSON3])="(NULL)","0","1"))</f>
        <v>0</v>
      </c>
      <c r="D76" s="40" t="str">
        <f>IF(OR($A76=0,$A76=""),"0",IF(LOOKUP($A76,Discrete_NFET[PARTNUMBER],Discrete_NFET[RDSON45])="(NULL)","0","1"))</f>
        <v>0</v>
      </c>
      <c r="E76" s="45" t="str">
        <f>IF(OR($A76=0,$A76=""),"0",IF(LOOKUP($A76,Discrete_NFET[PARTNUMBER],Discrete_NFET[RDSON6])="(NULL)","0","1"))</f>
        <v>1</v>
      </c>
      <c r="F76" s="34" t="str">
        <f>IF(OR($A76=0,$A76=""),"0",IF(LOOKUP($A76,Discrete_NFET[PARTNUMBER],Discrete_NFET[RDSON8])="(NULL)","0","1"))</f>
        <v>0</v>
      </c>
      <c r="G76" s="43" t="str">
        <f>IF(OR($A76=0,$A76=""),"0",IF(LOOKUP($A76,Discrete_NFET[PARTNUMBER],Discrete_NFET[RDSON10])="(NULL)","0","1"))</f>
        <v>1</v>
      </c>
      <c r="H76" s="36" t="b">
        <f t="shared" si="34"/>
        <v>0</v>
      </c>
      <c r="I76" s="39" t="b">
        <f t="shared" si="35"/>
        <v>0</v>
      </c>
      <c r="J76" s="41" t="b">
        <f t="shared" si="36"/>
        <v>0</v>
      </c>
      <c r="K76" s="46" t="b">
        <f t="shared" si="37"/>
        <v>1</v>
      </c>
      <c r="L76" s="42" t="b">
        <f t="shared" si="38"/>
        <v>0</v>
      </c>
      <c r="M76" s="44" t="b">
        <f t="shared" si="39"/>
        <v>1</v>
      </c>
      <c r="N76" s="47" t="b">
        <f t="shared" si="40"/>
        <v>1</v>
      </c>
      <c r="O76" s="36" t="b">
        <f t="shared" si="41"/>
        <v>0</v>
      </c>
      <c r="P76" s="39" t="b">
        <f t="shared" si="42"/>
        <v>0</v>
      </c>
      <c r="Q76" s="41" t="b">
        <f t="shared" si="43"/>
        <v>0</v>
      </c>
      <c r="R76" s="46" t="b">
        <f t="shared" si="44"/>
        <v>1</v>
      </c>
      <c r="S76" s="42" t="b">
        <f t="shared" si="45"/>
        <v>0</v>
      </c>
      <c r="T76" s="44" t="b">
        <f t="shared" si="46"/>
        <v>1</v>
      </c>
      <c r="U76" s="148">
        <f>IF(T76,LOOKUP(A76,Discrete_NFET[PARTNUMBER],Discrete_NFET[RDSON10])*1000,IF(S76,LOOKUP(A76,Discrete_NFET[PARTNUMBER],Discrete_NFET[RDSON8])*1000,IF(R76,LOOKUP(A76,Discrete_NFET[PARTNUMBER],Discrete_NFET[RDSON6])*1000,IF(Q76,LOOKUP(A76,Discrete_NFET[PARTNUMBER],Discrete_NFET[RDSON45])*1000,IF(P76,LOOKUP(A76,Discrete_NFET[PARTNUMBER],Discrete_NFET[RDSON3])*1000,IF(O76,LOOKUP(A76,Discrete_NFET[PARTNUMBER],Discrete_NFET[RDSON25])*1000,""))))))</f>
        <v>14</v>
      </c>
      <c r="V76" s="48">
        <f>IF(AND(A76&lt;&gt;0,A76&lt;&gt;""),U76*(1+(Tj-25)*(LOOKUP(A76,Discrete_NFET[PARTNUMBER],Discrete_NFET[RDSDELTA])/((LOOKUP(A76,Discrete_NFET[PARTNUMBER],Discrete_NFET[TJMAX])-25)))),"")</f>
        <v>16.193333333333335</v>
      </c>
      <c r="W76" s="35">
        <f>IF(AND($A76&lt;&gt;0,$A76&lt;&gt;""),LOOKUP($A76,Discrete_NFET[PARTNUMBER],Discrete_NFET[QGS]),"")</f>
        <v>5.2</v>
      </c>
      <c r="X76" s="35">
        <f>IF(AND($A76&lt;&gt;0,$A76&lt;&gt;""),LOOKUP($A76,Discrete_NFET[PARTNUMBER],Discrete_NFET[QGD]),"")</f>
        <v>2.2999999999999998</v>
      </c>
      <c r="Y76" s="35">
        <f>IF(AND($A76&lt;&gt;0,$A76&lt;&gt;""),LOOKUP($A76,Discrete_NFET[PARTNUMBER],Discrete_NFET[QGTH]),"")</f>
        <v>3.3</v>
      </c>
      <c r="Z76" s="35">
        <f t="shared" si="47"/>
        <v>4.2</v>
      </c>
      <c r="AA76" s="35">
        <f>IF(AND($A76&lt;&gt;0,$A76&lt;&gt;""),LOOKUP($A76,Discrete_NFET[PARTNUMBER],Discrete_NFET[QOSSTYP]),"")</f>
        <v>25</v>
      </c>
      <c r="AB76" s="35">
        <f>IF(AND($A76&lt;&gt;0,$A76&lt;&gt;""),LOOKUP($A76,Discrete_NFET[PARTNUMBER],Discrete_NFET[QRR]),"")</f>
        <v>77</v>
      </c>
      <c r="AC76" s="35">
        <f>IF(AND(A76&lt;&gt;0,A76&lt;&gt;""),LOOKUP(A76,Discrete_NFET[PARTNUMBER],Discrete_NFET[VF_TYP]),"")</f>
        <v>0.9</v>
      </c>
      <c r="AD76" s="127">
        <f>IF(AND($A76&lt;&gt;0,$A76&lt;&gt;"",OR(RIGHT(Logic!B76,2)="C)",LEFT(Logic!B76,4)="CSD1")),(1+(1-DUTY))*IM_RMS_120^2*V76*m/3/Num_FETS3,"")</f>
        <v>0.68141960346773367</v>
      </c>
      <c r="AE76" s="127">
        <f>IF(AND($A76&lt;&gt;0,$A76&lt;&gt;"",OR(RIGHT(Logic!B76,2)="C)",LEFT(Logic!B76,4)="CSD1")),Num_FETS3*0.5*IM_RMS_120*VDC_AVG*Z76*n*MOT_ELEC_FREQ/GDR_SRC,"")</f>
        <v>1.3544891640866875E-5</v>
      </c>
      <c r="AF76" s="127">
        <f>IF(AND($A76&lt;&gt;0,$A76&lt;&gt;"",OR(RIGHT(Logic!B76,2)="C)",LEFT(Logic!B76,4)="CSD1")),Num_FETS3*0.5*IM_RMS_120*VDC_AVG*Z76*n*MOT_ELEC_FREQ/GDR_SINK,"")</f>
        <v>9.2105263157894754E-6</v>
      </c>
      <c r="AG76" s="127">
        <f>IF(AND($A76&lt;&gt;0,$A76&lt;&gt;"",OR(RIGHT(Logic!B76,2)="T)",LEFT(Logic!B76,4)="CSD1")),DUTY*IM_RMS_120^2*V76*m/3/Num_FETS3,"")</f>
        <v>0.6165224983755685</v>
      </c>
      <c r="AH76" s="127">
        <f>IF(AND($A76&lt;&gt;0,$A76&lt;&gt;"",OR(RIGHT(Logic!B76,2)="T)",LEFT(Logic!B76,4)="CSD1")),Num_FETS3*0.5*IM_RMS_120*VDC_AVG*Z76*n*FSW*k/GDR_SRC/3,"")</f>
        <v>2.7089783281733747E-3</v>
      </c>
      <c r="AI76" s="127">
        <f>IF(AND($A76&lt;&gt;0,$A76&lt;&gt;"",OR(RIGHT(Logic!B76,2)="T)",LEFT(Logic!B76,4)="CSD1")),Num_FETS3*0.5*IM_RMS_120*VDC_AVG*Z76*n*FSW*k/GDR_SINK/3,"")</f>
        <v>1.8421052631578949E-3</v>
      </c>
      <c r="AJ76" s="127">
        <f t="shared" si="31"/>
        <v>3.0000000000000001E-3</v>
      </c>
      <c r="AK76" s="127">
        <f t="shared" si="32"/>
        <v>1.3966388884290052E-2</v>
      </c>
      <c r="AL76" s="127">
        <f t="shared" si="33"/>
        <v>1.8510800000000001E-2</v>
      </c>
      <c r="AM76" s="127">
        <f t="shared" si="48"/>
        <v>0.41899166652870157</v>
      </c>
      <c r="AN76" s="127">
        <f>IF(AND($A76&lt;&gt;0,$A76&lt;&gt;"",OR(RIGHT(Logic!B76,2)="C)",LEFT(Logic!B76,4)="CSD1")),SUM(AD76:AF76)+(AJ76/3)+AK76+AL76/6+AM76/6,AN77)</f>
        <v>0.76932582552476392</v>
      </c>
      <c r="AO76" s="127">
        <f>IF(AND($A76&lt;&gt;0,$A76&lt;&gt;"",OR(RIGHT(Logic!B76,2)="T)",LEFT(Logic!B76,4)="CSD1")),SUM(AG76:AI76)+(AJ76/3)+AL76/6+AM76/6,AO75)</f>
        <v>0.69499065972168339</v>
      </c>
      <c r="AP76" s="48">
        <f t="shared" si="49"/>
        <v>1.46</v>
      </c>
      <c r="AQ76" s="35" t="str">
        <f>IF(AND(A76&lt;&gt;0,A76&lt;&gt;""),LOOKUP(A76,Discrete_NFET[PARTNUMBER],Discrete_NFET[TI_EQ_PACKAGE]),"")</f>
        <v>TO-220</v>
      </c>
      <c r="AR76" s="49">
        <f>IF(AND(A76&lt;&gt;0,A76&lt;&gt;""),LOOKUP(A76,Discrete_NFET[PARTNUMBER],Discrete_NFET[1KPRICE]),"")</f>
        <v>0.39</v>
      </c>
      <c r="AS76" s="35" t="str">
        <f>IF(AND($A76&lt;&gt;0,$A76&lt;&gt;""),CONCATENATE(TEXT(AP76,"0.00"),"W, ",IF('User Input'!H$11="Single Discrete",A76,IF('User Input'!H$11="Dual/Power Block",LEFT(A76,FIND(")",A76)-7),A76)),", ",AQ76,", ",TEXT(AR76,"$0.00")),"Invalid Part")</f>
        <v>1.46W, CSD18537NKCS, TO-220, $0.39</v>
      </c>
      <c r="AT76" t="s">
        <v>834</v>
      </c>
      <c r="AW76"/>
    </row>
    <row r="77" spans="1:49" ht="15" customHeight="1" x14ac:dyDescent="0.25">
      <c r="A77" s="35" t="str">
        <f>IF(OR(AND(FET_config3="Dual/Power Block",LEFT(Logic!B77,4)="CSD8"),AND(FET_config3="Single Discrete",LEFT(Logic!B77,4)="CSD1")),Logic!B77,"")</f>
        <v>CSD18537NQ5A</v>
      </c>
      <c r="B77" s="37" t="str">
        <f>IF(OR($A77=0,$A77=""),"0",IF(LOOKUP($A77,Discrete_NFET[PARTNUMBER],Discrete_NFET[RDSON25])="(NULL)","0","1"))</f>
        <v>0</v>
      </c>
      <c r="C77" s="38" t="str">
        <f>IF(OR($A77=0,$A77=""),"0",IF(LOOKUP($A77,Discrete_NFET[PARTNUMBER],Discrete_NFET[RDSON3])="(NULL)","0","1"))</f>
        <v>0</v>
      </c>
      <c r="D77" s="40" t="str">
        <f>IF(OR($A77=0,$A77=""),"0",IF(LOOKUP($A77,Discrete_NFET[PARTNUMBER],Discrete_NFET[RDSON45])="(NULL)","0","1"))</f>
        <v>0</v>
      </c>
      <c r="E77" s="45" t="str">
        <f>IF(OR($A77=0,$A77=""),"0",IF(LOOKUP($A77,Discrete_NFET[PARTNUMBER],Discrete_NFET[RDSON6])="(NULL)","0","1"))</f>
        <v>1</v>
      </c>
      <c r="F77" s="34" t="str">
        <f>IF(OR($A77=0,$A77=""),"0",IF(LOOKUP($A77,Discrete_NFET[PARTNUMBER],Discrete_NFET[RDSON8])="(NULL)","0","1"))</f>
        <v>0</v>
      </c>
      <c r="G77" s="43" t="str">
        <f>IF(OR($A77=0,$A77=""),"0",IF(LOOKUP($A77,Discrete_NFET[PARTNUMBER],Discrete_NFET[RDSON10])="(NULL)","0","1"))</f>
        <v>1</v>
      </c>
      <c r="H77" s="36" t="b">
        <f t="shared" si="34"/>
        <v>0</v>
      </c>
      <c r="I77" s="39" t="b">
        <f t="shared" si="35"/>
        <v>0</v>
      </c>
      <c r="J77" s="41" t="b">
        <f t="shared" si="36"/>
        <v>0</v>
      </c>
      <c r="K77" s="46" t="b">
        <f t="shared" si="37"/>
        <v>1</v>
      </c>
      <c r="L77" s="42" t="b">
        <f t="shared" si="38"/>
        <v>0</v>
      </c>
      <c r="M77" s="44" t="b">
        <f t="shared" si="39"/>
        <v>1</v>
      </c>
      <c r="N77" s="47" t="b">
        <f t="shared" si="40"/>
        <v>1</v>
      </c>
      <c r="O77" s="36" t="b">
        <f t="shared" si="41"/>
        <v>0</v>
      </c>
      <c r="P77" s="39" t="b">
        <f t="shared" si="42"/>
        <v>0</v>
      </c>
      <c r="Q77" s="41" t="b">
        <f t="shared" si="43"/>
        <v>0</v>
      </c>
      <c r="R77" s="46" t="b">
        <f t="shared" si="44"/>
        <v>1</v>
      </c>
      <c r="S77" s="42" t="b">
        <f t="shared" si="45"/>
        <v>0</v>
      </c>
      <c r="T77" s="44" t="b">
        <f t="shared" si="46"/>
        <v>1</v>
      </c>
      <c r="U77" s="148">
        <f>IF(T77,LOOKUP(A77,Discrete_NFET[PARTNUMBER],Discrete_NFET[RDSON10])*1000,IF(S77,LOOKUP(A77,Discrete_NFET[PARTNUMBER],Discrete_NFET[RDSON8])*1000,IF(R77,LOOKUP(A77,Discrete_NFET[PARTNUMBER],Discrete_NFET[RDSON6])*1000,IF(Q77,LOOKUP(A77,Discrete_NFET[PARTNUMBER],Discrete_NFET[RDSON45])*1000,IF(P77,LOOKUP(A77,Discrete_NFET[PARTNUMBER],Discrete_NFET[RDSON3])*1000,IF(O77,LOOKUP(A77,Discrete_NFET[PARTNUMBER],Discrete_NFET[RDSON25])*1000,""))))))</f>
        <v>13</v>
      </c>
      <c r="V77" s="48">
        <f>IF(AND(A77&lt;&gt;0,A77&lt;&gt;""),U77*(1+(Tj-25)*(LOOKUP(A77,Discrete_NFET[PARTNUMBER],Discrete_NFET[RDSDELTA])/((LOOKUP(A77,Discrete_NFET[PARTNUMBER],Discrete_NFET[TJMAX])-25)))),"")</f>
        <v>15.469999999999999</v>
      </c>
      <c r="W77" s="35">
        <f>IF(AND($A77&lt;&gt;0,$A77&lt;&gt;""),LOOKUP($A77,Discrete_NFET[PARTNUMBER],Discrete_NFET[QGS]),"")</f>
        <v>4.7</v>
      </c>
      <c r="X77" s="35">
        <f>IF(AND($A77&lt;&gt;0,$A77&lt;&gt;""),LOOKUP($A77,Discrete_NFET[PARTNUMBER],Discrete_NFET[QGD]),"")</f>
        <v>2.2999999999999998</v>
      </c>
      <c r="Y77" s="35">
        <f>IF(AND($A77&lt;&gt;0,$A77&lt;&gt;""),LOOKUP($A77,Discrete_NFET[PARTNUMBER],Discrete_NFET[QGTH]),"")</f>
        <v>3.3</v>
      </c>
      <c r="Z77" s="35">
        <f t="shared" si="47"/>
        <v>3.7</v>
      </c>
      <c r="AA77" s="35">
        <f>IF(AND($A77&lt;&gt;0,$A77&lt;&gt;""),LOOKUP($A77,Discrete_NFET[PARTNUMBER],Discrete_NFET[QOSSTYP]),"")</f>
        <v>25</v>
      </c>
      <c r="AB77" s="35">
        <f>IF(AND($A77&lt;&gt;0,$A77&lt;&gt;""),LOOKUP($A77,Discrete_NFET[PARTNUMBER],Discrete_NFET[QRR]),"")</f>
        <v>54</v>
      </c>
      <c r="AC77" s="35">
        <f>IF(AND(A77&lt;&gt;0,A77&lt;&gt;""),LOOKUP(A77,Discrete_NFET[PARTNUMBER],Discrete_NFET[VF_TYP]),"")</f>
        <v>0.8</v>
      </c>
      <c r="AD77" s="127">
        <f>IF(AND($A77&lt;&gt;0,$A77&lt;&gt;"",OR(RIGHT(Logic!B77,2)="C)",LEFT(Logic!B77,4)="CSD1")),(1+(1-DUTY))*IM_RMS_120^2*V77*m/3/Num_FETS3,"")</f>
        <v>0.65098155201600472</v>
      </c>
      <c r="AE77" s="127">
        <f>IF(AND($A77&lt;&gt;0,$A77&lt;&gt;"",OR(RIGHT(Logic!B77,2)="C)",LEFT(Logic!B77,4)="CSD1")),Num_FETS3*0.5*IM_RMS_120*VDC_AVG*Z77*n*MOT_ELEC_FREQ/GDR_SRC,"")</f>
        <v>1.1932404540763674E-5</v>
      </c>
      <c r="AF77" s="127">
        <f>IF(AND($A77&lt;&gt;0,$A77&lt;&gt;"",OR(RIGHT(Logic!B77,2)="C)",LEFT(Logic!B77,4)="CSD1")),Num_FETS3*0.5*IM_RMS_120*VDC_AVG*Z77*n*MOT_ELEC_FREQ/GDR_SINK,"")</f>
        <v>8.1140350877192992E-6</v>
      </c>
      <c r="AG77" s="127">
        <f>IF(AND($A77&lt;&gt;0,$A77&lt;&gt;"",OR(RIGHT(Logic!B77,2)="T)",LEFT(Logic!B77,4)="CSD1")),DUTY*IM_RMS_120^2*V77*m/3/Num_FETS3,"")</f>
        <v>0.58898330896686135</v>
      </c>
      <c r="AH77" s="127">
        <f>IF(AND($A77&lt;&gt;0,$A77&lt;&gt;"",OR(RIGHT(Logic!B77,2)="T)",LEFT(Logic!B77,4)="CSD1")),Num_FETS3*0.5*IM_RMS_120*VDC_AVG*Z77*n*FSW*k/GDR_SRC/3,"")</f>
        <v>2.3864809081527343E-3</v>
      </c>
      <c r="AI77" s="127">
        <f>IF(AND($A77&lt;&gt;0,$A77&lt;&gt;"",OR(RIGHT(Logic!B77,2)="T)",LEFT(Logic!B77,4)="CSD1")),Num_FETS3*0.5*IM_RMS_120*VDC_AVG*Z77*n*FSW*k/GDR_SINK/3,"")</f>
        <v>1.6228070175438594E-3</v>
      </c>
      <c r="AJ77" s="127">
        <f t="shared" si="31"/>
        <v>3.0000000000000001E-3</v>
      </c>
      <c r="AK77" s="127">
        <f t="shared" si="32"/>
        <v>1.2414567897146714E-2</v>
      </c>
      <c r="AL77" s="127">
        <f t="shared" si="33"/>
        <v>1.2981600000000001E-2</v>
      </c>
      <c r="AM77" s="127">
        <f t="shared" si="48"/>
        <v>0.37243703691440144</v>
      </c>
      <c r="AN77" s="127">
        <f>IF(AND($A77&lt;&gt;0,$A77&lt;&gt;"",OR(RIGHT(Logic!B77,2)="C)",LEFT(Logic!B77,4)="CSD1")),SUM(AD77:AF77)+(AJ77/3)+AK77+AL77/6+AM77/6,AN78)</f>
        <v>0.72865260583851355</v>
      </c>
      <c r="AO77" s="127">
        <f>IF(AND($A77&lt;&gt;0,$A77&lt;&gt;"",OR(RIGHT(Logic!B77,2)="T)",LEFT(Logic!B77,4)="CSD1")),SUM(AG77:AI77)+(AJ77/3)+AL77/6+AM77/6,AO76)</f>
        <v>0.65822903637829167</v>
      </c>
      <c r="AP77" s="48">
        <f t="shared" si="49"/>
        <v>1.39</v>
      </c>
      <c r="AQ77" s="35" t="str">
        <f>IF(AND(A77&lt;&gt;0,A77&lt;&gt;""),LOOKUP(A77,Discrete_NFET[PARTNUMBER],Discrete_NFET[TI_EQ_PACKAGE]),"")</f>
        <v>SON5X6</v>
      </c>
      <c r="AR77" s="49">
        <f>IF(AND(A77&lt;&gt;0,A77&lt;&gt;""),LOOKUP(A77,Discrete_NFET[PARTNUMBER],Discrete_NFET[1KPRICE]),"")</f>
        <v>0.26</v>
      </c>
      <c r="AS77" s="35" t="str">
        <f>IF(AND($A77&lt;&gt;0,$A77&lt;&gt;""),CONCATENATE(TEXT(AP77,"0.00"),"W, ",IF('User Input'!H$11="Single Discrete",A77,IF('User Input'!H$11="Dual/Power Block",LEFT(A77,FIND(")",A77)-7),A77)),", ",AQ77,", ",TEXT(AR77,"$0.00")),"Invalid Part")</f>
        <v>1.39W, CSD18537NQ5A, SON5X6, $0.26</v>
      </c>
      <c r="AT77" t="s">
        <v>801</v>
      </c>
      <c r="AW77"/>
    </row>
    <row r="78" spans="1:49" ht="15" customHeight="1" x14ac:dyDescent="0.25">
      <c r="A78" s="35" t="str">
        <f>IF(OR(AND(FET_config3="Dual/Power Block",LEFT(Logic!B78,4)="CSD8"),AND(FET_config3="Single Discrete",LEFT(Logic!B78,4)="CSD1")),Logic!B78,"")</f>
        <v>CSD18540Q5B</v>
      </c>
      <c r="B78" s="37" t="str">
        <f>IF(OR($A78=0,$A78=""),"0",IF(LOOKUP($A78,Discrete_NFET[PARTNUMBER],Discrete_NFET[RDSON25])="(NULL)","0","1"))</f>
        <v>0</v>
      </c>
      <c r="C78" s="38" t="str">
        <f>IF(OR($A78=0,$A78=""),"0",IF(LOOKUP($A78,Discrete_NFET[PARTNUMBER],Discrete_NFET[RDSON3])="(NULL)","0","1"))</f>
        <v>0</v>
      </c>
      <c r="D78" s="40" t="str">
        <f>IF(OR($A78=0,$A78=""),"0",IF(LOOKUP($A78,Discrete_NFET[PARTNUMBER],Discrete_NFET[RDSON45])="(NULL)","0","1"))</f>
        <v>1</v>
      </c>
      <c r="E78" s="45" t="str">
        <f>IF(OR($A78=0,$A78=""),"0",IF(LOOKUP($A78,Discrete_NFET[PARTNUMBER],Discrete_NFET[RDSON6])="(NULL)","0","1"))</f>
        <v>0</v>
      </c>
      <c r="F78" s="34" t="str">
        <f>IF(OR($A78=0,$A78=""),"0",IF(LOOKUP($A78,Discrete_NFET[PARTNUMBER],Discrete_NFET[RDSON8])="(NULL)","0","1"))</f>
        <v>0</v>
      </c>
      <c r="G78" s="43" t="str">
        <f>IF(OR($A78=0,$A78=""),"0",IF(LOOKUP($A78,Discrete_NFET[PARTNUMBER],Discrete_NFET[RDSON10])="(NULL)","0","1"))</f>
        <v>1</v>
      </c>
      <c r="H78" s="36" t="b">
        <f t="shared" si="34"/>
        <v>0</v>
      </c>
      <c r="I78" s="39" t="b">
        <f t="shared" si="35"/>
        <v>0</v>
      </c>
      <c r="J78" s="41" t="b">
        <f t="shared" si="36"/>
        <v>1</v>
      </c>
      <c r="K78" s="46" t="b">
        <f t="shared" si="37"/>
        <v>0</v>
      </c>
      <c r="L78" s="42" t="b">
        <f t="shared" si="38"/>
        <v>0</v>
      </c>
      <c r="M78" s="44" t="b">
        <f t="shared" si="39"/>
        <v>1</v>
      </c>
      <c r="N78" s="47" t="b">
        <f t="shared" si="40"/>
        <v>1</v>
      </c>
      <c r="O78" s="36" t="b">
        <f t="shared" si="41"/>
        <v>0</v>
      </c>
      <c r="P78" s="39" t="b">
        <f t="shared" si="42"/>
        <v>0</v>
      </c>
      <c r="Q78" s="41" t="b">
        <f t="shared" si="43"/>
        <v>1</v>
      </c>
      <c r="R78" s="46" t="b">
        <f t="shared" si="44"/>
        <v>0</v>
      </c>
      <c r="S78" s="42" t="b">
        <f t="shared" si="45"/>
        <v>0</v>
      </c>
      <c r="T78" s="44" t="b">
        <f t="shared" si="46"/>
        <v>1</v>
      </c>
      <c r="U78" s="148">
        <f>IF(T78,LOOKUP(A78,Discrete_NFET[PARTNUMBER],Discrete_NFET[RDSON10])*1000,IF(S78,LOOKUP(A78,Discrete_NFET[PARTNUMBER],Discrete_NFET[RDSON8])*1000,IF(R78,LOOKUP(A78,Discrete_NFET[PARTNUMBER],Discrete_NFET[RDSON6])*1000,IF(Q78,LOOKUP(A78,Discrete_NFET[PARTNUMBER],Discrete_NFET[RDSON45])*1000,IF(P78,LOOKUP(A78,Discrete_NFET[PARTNUMBER],Discrete_NFET[RDSON3])*1000,IF(O78,LOOKUP(A78,Discrete_NFET[PARTNUMBER],Discrete_NFET[RDSON25])*1000,""))))))</f>
        <v>2.2000000000000002</v>
      </c>
      <c r="V78" s="48">
        <f>IF(AND(A78&lt;&gt;0,A78&lt;&gt;""),U78*(1+(Tj-25)*(LOOKUP(A78,Discrete_NFET[PARTNUMBER],Discrete_NFET[RDSDELTA])/((LOOKUP(A78,Discrete_NFET[PARTNUMBER],Discrete_NFET[TJMAX])-25)))),"")</f>
        <v>2.500666666666667</v>
      </c>
      <c r="W78" s="35">
        <f>IF(AND($A78&lt;&gt;0,$A78&lt;&gt;""),LOOKUP($A78,Discrete_NFET[PARTNUMBER],Discrete_NFET[QGS]),"")</f>
        <v>8.6</v>
      </c>
      <c r="X78" s="35">
        <f>IF(AND($A78&lt;&gt;0,$A78&lt;&gt;""),LOOKUP($A78,Discrete_NFET[PARTNUMBER],Discrete_NFET[QGD]),"")</f>
        <v>6.7</v>
      </c>
      <c r="Y78" s="35">
        <f>IF(AND($A78&lt;&gt;0,$A78&lt;&gt;""),LOOKUP($A78,Discrete_NFET[PARTNUMBER],Discrete_NFET[QGTH]),"")</f>
        <v>6.3</v>
      </c>
      <c r="Z78" s="35">
        <f t="shared" si="47"/>
        <v>9</v>
      </c>
      <c r="AA78" s="35">
        <f>IF(AND($A78&lt;&gt;0,$A78&lt;&gt;""),LOOKUP($A78,Discrete_NFET[PARTNUMBER],Discrete_NFET[QOSSTYP]),"")</f>
        <v>83</v>
      </c>
      <c r="AB78" s="35">
        <f>IF(AND($A78&lt;&gt;0,$A78&lt;&gt;""),LOOKUP($A78,Discrete_NFET[PARTNUMBER],Discrete_NFET[QRR]),"")</f>
        <v>145</v>
      </c>
      <c r="AC78" s="35">
        <f>IF(AND(A78&lt;&gt;0,A78&lt;&gt;""),LOOKUP(A78,Discrete_NFET[PARTNUMBER],Discrete_NFET[VF_TYP]),"")</f>
        <v>0.8</v>
      </c>
      <c r="AD78" s="127">
        <f>IF(AND($A78&lt;&gt;0,$A78&lt;&gt;"",OR(RIGHT(Logic!B78,2)="C)",LEFT(Logic!B78,4)="CSD1")),(1+(1-DUTY))*IM_RMS_120^2*V78*m/3/Num_FETS3,"")</f>
        <v>0.10522869216169077</v>
      </c>
      <c r="AE78" s="127">
        <f>IF(AND($A78&lt;&gt;0,$A78&lt;&gt;"",OR(RIGHT(Logic!B78,2)="C)",LEFT(Logic!B78,4)="CSD1")),Num_FETS3*0.5*IM_RMS_120*VDC_AVG*Z78*n*MOT_ELEC_FREQ/GDR_SRC,"")</f>
        <v>2.9024767801857583E-5</v>
      </c>
      <c r="AF78" s="127">
        <f>IF(AND($A78&lt;&gt;0,$A78&lt;&gt;"",OR(RIGHT(Logic!B78,2)="C)",LEFT(Logic!B78,4)="CSD1")),Num_FETS3*0.5*IM_RMS_120*VDC_AVG*Z78*n*MOT_ELEC_FREQ/GDR_SINK,"")</f>
        <v>1.9736842105263158E-5</v>
      </c>
      <c r="AG78" s="127">
        <f>IF(AND($A78&lt;&gt;0,$A78&lt;&gt;"",OR(RIGHT(Logic!B78,2)="T)",LEFT(Logic!B78,4)="CSD1")),DUTY*IM_RMS_120^2*V78*m/3/Num_FETS3,"")</f>
        <v>9.5206911955815446E-2</v>
      </c>
      <c r="AH78" s="127">
        <f>IF(AND($A78&lt;&gt;0,$A78&lt;&gt;"",OR(RIGHT(Logic!B78,2)="T)",LEFT(Logic!B78,4)="CSD1")),Num_FETS3*0.5*IM_RMS_120*VDC_AVG*Z78*n*FSW*k/GDR_SRC/3,"")</f>
        <v>5.8049535603715155E-3</v>
      </c>
      <c r="AI78" s="127">
        <f>IF(AND($A78&lt;&gt;0,$A78&lt;&gt;"",OR(RIGHT(Logic!B78,2)="T)",LEFT(Logic!B78,4)="CSD1")),Num_FETS3*0.5*IM_RMS_120*VDC_AVG*Z78*n*FSW*k/GDR_SINK/3,"")</f>
        <v>3.9473684210526308E-3</v>
      </c>
      <c r="AJ78" s="127">
        <f t="shared" si="31"/>
        <v>9.9600000000000001E-3</v>
      </c>
      <c r="AK78" s="127">
        <f t="shared" si="32"/>
        <v>1.2414567897146714E-2</v>
      </c>
      <c r="AL78" s="127">
        <f t="shared" si="33"/>
        <v>3.4858E-2</v>
      </c>
      <c r="AM78" s="127">
        <f t="shared" si="48"/>
        <v>0.37243703691440144</v>
      </c>
      <c r="AN78" s="127">
        <f>IF(AND($A78&lt;&gt;0,$A78&lt;&gt;"",OR(RIGHT(Logic!B78,2)="C)",LEFT(Logic!B78,4)="CSD1")),SUM(AD78:AF78)+(AJ78/3)+AK78+AL78/6+AM78/6,AN79)</f>
        <v>0.18889452782114485</v>
      </c>
      <c r="AO78" s="127">
        <f>IF(AND($A78&lt;&gt;0,$A78&lt;&gt;"",OR(RIGHT(Logic!B78,2)="T)",LEFT(Logic!B78,4)="CSD1")),SUM(AG78:AI78)+(AJ78/3)+AL78/6+AM78/6,AO77)</f>
        <v>0.17616174008963983</v>
      </c>
      <c r="AP78" s="48">
        <f t="shared" si="49"/>
        <v>0.37</v>
      </c>
      <c r="AQ78" s="35" t="str">
        <f>IF(AND(A78&lt;&gt;0,A78&lt;&gt;""),LOOKUP(A78,Discrete_NFET[PARTNUMBER],Discrete_NFET[TI_EQ_PACKAGE]),"")</f>
        <v>SON5X6</v>
      </c>
      <c r="AR78" s="49">
        <f>IF(AND(A78&lt;&gt;0,A78&lt;&gt;""),LOOKUP(A78,Discrete_NFET[PARTNUMBER],Discrete_NFET[1KPRICE]),"")</f>
        <v>0.83</v>
      </c>
      <c r="AS78" s="35" t="str">
        <f>IF(AND($A78&lt;&gt;0,$A78&lt;&gt;""),CONCATENATE(TEXT(AP78,"0.00"),"W, ",IF('User Input'!H$11="Single Discrete",A78,IF('User Input'!H$11="Dual/Power Block",LEFT(A78,FIND(")",A78)-7),A78)),", ",AQ78,", ",TEXT(AR78,"$0.00")),"Invalid Part")</f>
        <v>0.37W, CSD18540Q5B, SON5X6, $0.83</v>
      </c>
      <c r="AT78" t="s">
        <v>860</v>
      </c>
      <c r="AW78"/>
    </row>
    <row r="79" spans="1:49" ht="15" customHeight="1" x14ac:dyDescent="0.25">
      <c r="A79" s="35" t="str">
        <f>IF(OR(AND(FET_config3="Dual/Power Block",LEFT(Logic!B79,4)="CSD8"),AND(FET_config3="Single Discrete",LEFT(Logic!B79,4)="CSD1")),Logic!B79,"")</f>
        <v>CSD18542KCS</v>
      </c>
      <c r="B79" s="37" t="str">
        <f>IF(OR($A79=0,$A79=""),"0",IF(LOOKUP($A79,Discrete_NFET[PARTNUMBER],Discrete_NFET[RDSON25])="(NULL)","0","1"))</f>
        <v>0</v>
      </c>
      <c r="C79" s="38" t="str">
        <f>IF(OR($A79=0,$A79=""),"0",IF(LOOKUP($A79,Discrete_NFET[PARTNUMBER],Discrete_NFET[RDSON3])="(NULL)","0","1"))</f>
        <v>0</v>
      </c>
      <c r="D79" s="40" t="str">
        <f>IF(OR($A79=0,$A79=""),"0",IF(LOOKUP($A79,Discrete_NFET[PARTNUMBER],Discrete_NFET[RDSON45])="(NULL)","0","1"))</f>
        <v>1</v>
      </c>
      <c r="E79" s="45" t="str">
        <f>IF(OR($A79=0,$A79=""),"0",IF(LOOKUP($A79,Discrete_NFET[PARTNUMBER],Discrete_NFET[RDSON6])="(NULL)","0","1"))</f>
        <v>0</v>
      </c>
      <c r="F79" s="34" t="str">
        <f>IF(OR($A79=0,$A79=""),"0",IF(LOOKUP($A79,Discrete_NFET[PARTNUMBER],Discrete_NFET[RDSON8])="(NULL)","0","1"))</f>
        <v>0</v>
      </c>
      <c r="G79" s="43" t="str">
        <f>IF(OR($A79=0,$A79=""),"0",IF(LOOKUP($A79,Discrete_NFET[PARTNUMBER],Discrete_NFET[RDSON10])="(NULL)","0","1"))</f>
        <v>1</v>
      </c>
      <c r="H79" s="36" t="b">
        <f t="shared" si="34"/>
        <v>0</v>
      </c>
      <c r="I79" s="39" t="b">
        <f t="shared" si="35"/>
        <v>0</v>
      </c>
      <c r="J79" s="41" t="b">
        <f t="shared" si="36"/>
        <v>1</v>
      </c>
      <c r="K79" s="46" t="b">
        <f t="shared" si="37"/>
        <v>0</v>
      </c>
      <c r="L79" s="42" t="b">
        <f t="shared" si="38"/>
        <v>0</v>
      </c>
      <c r="M79" s="44" t="b">
        <f t="shared" si="39"/>
        <v>1</v>
      </c>
      <c r="N79" s="47" t="b">
        <f t="shared" si="40"/>
        <v>1</v>
      </c>
      <c r="O79" s="36" t="b">
        <f t="shared" si="41"/>
        <v>0</v>
      </c>
      <c r="P79" s="39" t="b">
        <f t="shared" si="42"/>
        <v>0</v>
      </c>
      <c r="Q79" s="41" t="b">
        <f t="shared" si="43"/>
        <v>1</v>
      </c>
      <c r="R79" s="46" t="b">
        <f t="shared" si="44"/>
        <v>0</v>
      </c>
      <c r="S79" s="42" t="b">
        <f t="shared" si="45"/>
        <v>0</v>
      </c>
      <c r="T79" s="44" t="b">
        <f t="shared" si="46"/>
        <v>1</v>
      </c>
      <c r="U79" s="148">
        <f>IF(T79,LOOKUP(A79,Discrete_NFET[PARTNUMBER],Discrete_NFET[RDSON10])*1000,IF(S79,LOOKUP(A79,Discrete_NFET[PARTNUMBER],Discrete_NFET[RDSON8])*1000,IF(R79,LOOKUP(A79,Discrete_NFET[PARTNUMBER],Discrete_NFET[RDSON6])*1000,IF(Q79,LOOKUP(A79,Discrete_NFET[PARTNUMBER],Discrete_NFET[RDSON45])*1000,IF(P79,LOOKUP(A79,Discrete_NFET[PARTNUMBER],Discrete_NFET[RDSON3])*1000,IF(O79,LOOKUP(A79,Discrete_NFET[PARTNUMBER],Discrete_NFET[RDSON25])*1000,""))))))</f>
        <v>4</v>
      </c>
      <c r="V79" s="48">
        <f>IF(AND(A79&lt;&gt;0,A79&lt;&gt;""),U79*(1+(Tj-25)*(LOOKUP(A79,Discrete_NFET[PARTNUMBER],Discrete_NFET[RDSDELTA])/((LOOKUP(A79,Discrete_NFET[PARTNUMBER],Discrete_NFET[TJMAX])-25)))),"")</f>
        <v>4.6266666666666669</v>
      </c>
      <c r="W79" s="35">
        <f>IF(AND($A79&lt;&gt;0,$A79&lt;&gt;""),LOOKUP($A79,Discrete_NFET[PARTNUMBER],Discrete_NFET[QGS]),"")</f>
        <v>10</v>
      </c>
      <c r="X79" s="35">
        <f>IF(AND($A79&lt;&gt;0,$A79&lt;&gt;""),LOOKUP($A79,Discrete_NFET[PARTNUMBER],Discrete_NFET[QGD]),"")</f>
        <v>6.9</v>
      </c>
      <c r="Y79" s="35">
        <f>IF(AND($A79&lt;&gt;0,$A79&lt;&gt;""),LOOKUP($A79,Discrete_NFET[PARTNUMBER],Discrete_NFET[QGTH]),"")</f>
        <v>7.3</v>
      </c>
      <c r="Z79" s="35">
        <f t="shared" si="47"/>
        <v>9.5999999999999979</v>
      </c>
      <c r="AA79" s="35">
        <f>IF(AND($A79&lt;&gt;0,$A79&lt;&gt;""),LOOKUP($A79,Discrete_NFET[PARTNUMBER],Discrete_NFET[QOSSTYP]),"")</f>
        <v>63</v>
      </c>
      <c r="AB79" s="35">
        <f>IF(AND($A79&lt;&gt;0,$A79&lt;&gt;""),LOOKUP($A79,Discrete_NFET[PARTNUMBER],Discrete_NFET[QRR]),"")</f>
        <v>148</v>
      </c>
      <c r="AC79" s="35">
        <f>IF(AND(A79&lt;&gt;0,A79&lt;&gt;""),LOOKUP(A79,Discrete_NFET[PARTNUMBER],Discrete_NFET[VF_TYP]),"")</f>
        <v>0.9</v>
      </c>
      <c r="AD79" s="127">
        <f>IF(AND($A79&lt;&gt;0,$A79&lt;&gt;"",OR(RIGHT(Logic!B79,2)="C)",LEFT(Logic!B79,4)="CSD1")),(1+(1-DUTY))*IM_RMS_120^2*V79*m/3/Num_FETS3,"")</f>
        <v>0.1946913152764953</v>
      </c>
      <c r="AE79" s="127">
        <f>IF(AND($A79&lt;&gt;0,$A79&lt;&gt;"",OR(RIGHT(Logic!B79,2)="C)",LEFT(Logic!B79,4)="CSD1")),Num_FETS3*0.5*IM_RMS_120*VDC_AVG*Z79*n*MOT_ELEC_FREQ/GDR_SRC,"")</f>
        <v>3.0959752321981418E-5</v>
      </c>
      <c r="AF79" s="127">
        <f>IF(AND($A79&lt;&gt;0,$A79&lt;&gt;"",OR(RIGHT(Logic!B79,2)="C)",LEFT(Logic!B79,4)="CSD1")),Num_FETS3*0.5*IM_RMS_120*VDC_AVG*Z79*n*MOT_ELEC_FREQ/GDR_SINK,"")</f>
        <v>2.1052631578947366E-5</v>
      </c>
      <c r="AG79" s="127">
        <f>IF(AND($A79&lt;&gt;0,$A79&lt;&gt;"",OR(RIGHT(Logic!B79,2)="T)",LEFT(Logic!B79,4)="CSD1")),DUTY*IM_RMS_120^2*V79*m/3/Num_FETS3,"")</f>
        <v>0.17614928525016238</v>
      </c>
      <c r="AH79" s="127">
        <f>IF(AND($A79&lt;&gt;0,$A79&lt;&gt;"",OR(RIGHT(Logic!B79,2)="T)",LEFT(Logic!B79,4)="CSD1")),Num_FETS3*0.5*IM_RMS_120*VDC_AVG*Z79*n*FSW*k/GDR_SRC/3,"")</f>
        <v>6.1919504643962826E-3</v>
      </c>
      <c r="AI79" s="127">
        <f>IF(AND($A79&lt;&gt;0,$A79&lt;&gt;"",OR(RIGHT(Logic!B79,2)="T)",LEFT(Logic!B79,4)="CSD1")),Num_FETS3*0.5*IM_RMS_120*VDC_AVG*Z79*n*FSW*k/GDR_SINK/3,"")</f>
        <v>4.2105263157894727E-3</v>
      </c>
      <c r="AJ79" s="127">
        <f t="shared" si="31"/>
        <v>7.5600000000000007E-3</v>
      </c>
      <c r="AK79" s="127">
        <f t="shared" si="32"/>
        <v>1.3966388884290052E-2</v>
      </c>
      <c r="AL79" s="127">
        <f t="shared" si="33"/>
        <v>3.5579200000000005E-2</v>
      </c>
      <c r="AM79" s="127">
        <f t="shared" si="48"/>
        <v>0.41899166652870157</v>
      </c>
      <c r="AN79" s="127">
        <f>IF(AND($A79&lt;&gt;0,$A79&lt;&gt;"",OR(RIGHT(Logic!B79,2)="C)",LEFT(Logic!B79,4)="CSD1")),SUM(AD79:AF79)+(AJ79/3)+AK79+AL79/6+AM79/6,AN80)</f>
        <v>0.28699152763280322</v>
      </c>
      <c r="AO79" s="127">
        <f>IF(AND($A79&lt;&gt;0,$A79&lt;&gt;"",OR(RIGHT(Logic!B79,2)="T)",LEFT(Logic!B79,4)="CSD1")),SUM(AG79:AI79)+(AJ79/3)+AL79/6+AM79/6,AO78)</f>
        <v>0.26483357311846506</v>
      </c>
      <c r="AP79" s="48">
        <f t="shared" si="49"/>
        <v>0.55000000000000004</v>
      </c>
      <c r="AQ79" s="35" t="str">
        <f>IF(AND(A79&lt;&gt;0,A79&lt;&gt;""),LOOKUP(A79,Discrete_NFET[PARTNUMBER],Discrete_NFET[TI_EQ_PACKAGE]),"")</f>
        <v>TO-220</v>
      </c>
      <c r="AR79" s="49">
        <f>IF(AND(A79&lt;&gt;0,A79&lt;&gt;""),LOOKUP(A79,Discrete_NFET[PARTNUMBER],Discrete_NFET[1KPRICE]),"")</f>
        <v>0.78</v>
      </c>
      <c r="AS79" s="35" t="str">
        <f>IF(AND($A79&lt;&gt;0,$A79&lt;&gt;""),CONCATENATE(TEXT(AP79,"0.00"),"W, ",IF('User Input'!H$11="Single Discrete",A79,IF('User Input'!H$11="Dual/Power Block",LEFT(A79,FIND(")",A79)-7),A79)),", ",AQ79,", ",TEXT(AR79,"$0.00")),"Invalid Part")</f>
        <v>0.55W, CSD18542KCS, TO-220, $0.78</v>
      </c>
      <c r="AT79" t="s">
        <v>861</v>
      </c>
      <c r="AW79"/>
    </row>
    <row r="80" spans="1:49" ht="15" customHeight="1" x14ac:dyDescent="0.25">
      <c r="A80" s="35" t="str">
        <f>IF(OR(AND(FET_config3="Dual/Power Block",LEFT(Logic!B80,4)="CSD8"),AND(FET_config3="Single Discrete",LEFT(Logic!B80,4)="CSD1")),Logic!B80,"")</f>
        <v>CSD18542KTT</v>
      </c>
      <c r="B80" s="37" t="str">
        <f>IF(OR($A80=0,$A80=""),"0",IF(LOOKUP($A80,Discrete_NFET[PARTNUMBER],Discrete_NFET[RDSON25])="(NULL)","0","1"))</f>
        <v>0</v>
      </c>
      <c r="C80" s="38" t="str">
        <f>IF(OR($A80=0,$A80=""),"0",IF(LOOKUP($A80,Discrete_NFET[PARTNUMBER],Discrete_NFET[RDSON3])="(NULL)","0","1"))</f>
        <v>0</v>
      </c>
      <c r="D80" s="40" t="str">
        <f>IF(OR($A80=0,$A80=""),"0",IF(LOOKUP($A80,Discrete_NFET[PARTNUMBER],Discrete_NFET[RDSON45])="(NULL)","0","1"))</f>
        <v>1</v>
      </c>
      <c r="E80" s="45" t="str">
        <f>IF(OR($A80=0,$A80=""),"0",IF(LOOKUP($A80,Discrete_NFET[PARTNUMBER],Discrete_NFET[RDSON6])="(NULL)","0","1"))</f>
        <v>0</v>
      </c>
      <c r="F80" s="34" t="str">
        <f>IF(OR($A80=0,$A80=""),"0",IF(LOOKUP($A80,Discrete_NFET[PARTNUMBER],Discrete_NFET[RDSON8])="(NULL)","0","1"))</f>
        <v>0</v>
      </c>
      <c r="G80" s="43" t="str">
        <f>IF(OR($A80=0,$A80=""),"0",IF(LOOKUP($A80,Discrete_NFET[PARTNUMBER],Discrete_NFET[RDSON10])="(NULL)","0","1"))</f>
        <v>1</v>
      </c>
      <c r="H80" s="36" t="b">
        <f t="shared" si="34"/>
        <v>0</v>
      </c>
      <c r="I80" s="39" t="b">
        <f t="shared" si="35"/>
        <v>0</v>
      </c>
      <c r="J80" s="41" t="b">
        <f t="shared" si="36"/>
        <v>1</v>
      </c>
      <c r="K80" s="46" t="b">
        <f t="shared" si="37"/>
        <v>0</v>
      </c>
      <c r="L80" s="42" t="b">
        <f t="shared" si="38"/>
        <v>0</v>
      </c>
      <c r="M80" s="44" t="b">
        <f t="shared" si="39"/>
        <v>1</v>
      </c>
      <c r="N80" s="47" t="b">
        <f t="shared" si="40"/>
        <v>1</v>
      </c>
      <c r="O80" s="36" t="b">
        <f t="shared" si="41"/>
        <v>0</v>
      </c>
      <c r="P80" s="39" t="b">
        <f t="shared" si="42"/>
        <v>0</v>
      </c>
      <c r="Q80" s="41" t="b">
        <f t="shared" si="43"/>
        <v>1</v>
      </c>
      <c r="R80" s="46" t="b">
        <f t="shared" si="44"/>
        <v>0</v>
      </c>
      <c r="S80" s="42" t="b">
        <f t="shared" si="45"/>
        <v>0</v>
      </c>
      <c r="T80" s="44" t="b">
        <f t="shared" si="46"/>
        <v>1</v>
      </c>
      <c r="U80" s="148">
        <f>IF(T80,LOOKUP(A80,Discrete_NFET[PARTNUMBER],Discrete_NFET[RDSON10])*1000,IF(S80,LOOKUP(A80,Discrete_NFET[PARTNUMBER],Discrete_NFET[RDSON8])*1000,IF(R80,LOOKUP(A80,Discrete_NFET[PARTNUMBER],Discrete_NFET[RDSON6])*1000,IF(Q80,LOOKUP(A80,Discrete_NFET[PARTNUMBER],Discrete_NFET[RDSON45])*1000,IF(P80,LOOKUP(A80,Discrete_NFET[PARTNUMBER],Discrete_NFET[RDSON3])*1000,IF(O80,LOOKUP(A80,Discrete_NFET[PARTNUMBER],Discrete_NFET[RDSON25])*1000,""))))))</f>
        <v>4</v>
      </c>
      <c r="V80" s="48">
        <f>IF(AND(A80&lt;&gt;0,A80&lt;&gt;""),U80*(1+(Tj-25)*(LOOKUP(A80,Discrete_NFET[PARTNUMBER],Discrete_NFET[RDSDELTA])/((LOOKUP(A80,Discrete_NFET[PARTNUMBER],Discrete_NFET[TJMAX])-25)))),"")</f>
        <v>4.6266666666666669</v>
      </c>
      <c r="W80" s="35">
        <f>IF(AND($A80&lt;&gt;0,$A80&lt;&gt;""),LOOKUP($A80,Discrete_NFET[PARTNUMBER],Discrete_NFET[QGS]),"")</f>
        <v>13</v>
      </c>
      <c r="X80" s="35">
        <f>IF(AND($A80&lt;&gt;0,$A80&lt;&gt;""),LOOKUP($A80,Discrete_NFET[PARTNUMBER],Discrete_NFET[QGD]),"")</f>
        <v>6.9</v>
      </c>
      <c r="Y80" s="35">
        <f>IF(AND($A80&lt;&gt;0,$A80&lt;&gt;""),LOOKUP($A80,Discrete_NFET[PARTNUMBER],Discrete_NFET[QGTH]),"")</f>
        <v>7.3</v>
      </c>
      <c r="Z80" s="35">
        <f t="shared" si="47"/>
        <v>12.599999999999998</v>
      </c>
      <c r="AA80" s="35">
        <f>IF(AND($A80&lt;&gt;0,$A80&lt;&gt;""),LOOKUP($A80,Discrete_NFET[PARTNUMBER],Discrete_NFET[QOSSTYP]),"")</f>
        <v>63</v>
      </c>
      <c r="AB80" s="35">
        <f>IF(AND($A80&lt;&gt;0,$A80&lt;&gt;""),LOOKUP($A80,Discrete_NFET[PARTNUMBER],Discrete_NFET[QRR]),"")</f>
        <v>132</v>
      </c>
      <c r="AC80" s="35">
        <f>IF(AND(A80&lt;&gt;0,A80&lt;&gt;""),LOOKUP(A80,Discrete_NFET[PARTNUMBER],Discrete_NFET[VF_TYP]),"")</f>
        <v>0.9</v>
      </c>
      <c r="AD80" s="127">
        <f>IF(AND($A80&lt;&gt;0,$A80&lt;&gt;"",OR(RIGHT(Logic!B80,2)="C)",LEFT(Logic!B80,4)="CSD1")),(1+(1-DUTY))*IM_RMS_120^2*V80*m/3/Num_FETS3,"")</f>
        <v>0.1946913152764953</v>
      </c>
      <c r="AE80" s="127">
        <f>IF(AND($A80&lt;&gt;0,$A80&lt;&gt;"",OR(RIGHT(Logic!B80,2)="C)",LEFT(Logic!B80,4)="CSD1")),Num_FETS3*0.5*IM_RMS_120*VDC_AVG*Z80*n*MOT_ELEC_FREQ/GDR_SRC,"")</f>
        <v>4.0634674922600607E-5</v>
      </c>
      <c r="AF80" s="127">
        <f>IF(AND($A80&lt;&gt;0,$A80&lt;&gt;"",OR(RIGHT(Logic!B80,2)="C)",LEFT(Logic!B80,4)="CSD1")),Num_FETS3*0.5*IM_RMS_120*VDC_AVG*Z80*n*MOT_ELEC_FREQ/GDR_SINK,"")</f>
        <v>2.7631578947368416E-5</v>
      </c>
      <c r="AG80" s="127">
        <f>IF(AND($A80&lt;&gt;0,$A80&lt;&gt;"",OR(RIGHT(Logic!B80,2)="T)",LEFT(Logic!B80,4)="CSD1")),DUTY*IM_RMS_120^2*V80*m/3/Num_FETS3,"")</f>
        <v>0.17614928525016238</v>
      </c>
      <c r="AH80" s="127">
        <f>IF(AND($A80&lt;&gt;0,$A80&lt;&gt;"",OR(RIGHT(Logic!B80,2)="T)",LEFT(Logic!B80,4)="CSD1")),Num_FETS3*0.5*IM_RMS_120*VDC_AVG*Z80*n*FSW*k/GDR_SRC/3,"")</f>
        <v>8.1269349845201223E-3</v>
      </c>
      <c r="AI80" s="127">
        <f>IF(AND($A80&lt;&gt;0,$A80&lt;&gt;"",OR(RIGHT(Logic!B80,2)="T)",LEFT(Logic!B80,4)="CSD1")),Num_FETS3*0.5*IM_RMS_120*VDC_AVG*Z80*n*FSW*k/GDR_SINK/3,"")</f>
        <v>5.5263157894736839E-3</v>
      </c>
      <c r="AJ80" s="127">
        <f t="shared" si="31"/>
        <v>7.5600000000000007E-3</v>
      </c>
      <c r="AK80" s="127">
        <f t="shared" si="32"/>
        <v>1.3966388884290052E-2</v>
      </c>
      <c r="AL80" s="127">
        <f t="shared" si="33"/>
        <v>3.1732799999999999E-2</v>
      </c>
      <c r="AM80" s="127">
        <f t="shared" si="48"/>
        <v>0.41899166652870157</v>
      </c>
      <c r="AN80" s="127">
        <f>IF(AND($A80&lt;&gt;0,$A80&lt;&gt;"",OR(RIGHT(Logic!B80,2)="C)",LEFT(Logic!B80,4)="CSD1")),SUM(AD80:AF80)+(AJ80/3)+AK80+AL80/6+AM80/6,AN81)</f>
        <v>0.2863667148361056</v>
      </c>
      <c r="AO80" s="127">
        <f>IF(AND($A80&lt;&gt;0,$A80&lt;&gt;"",OR(RIGHT(Logic!B80,2)="T)",LEFT(Logic!B80,4)="CSD1")),SUM(AG80:AI80)+(AJ80/3)+AL80/6+AM80/6,AO79)</f>
        <v>0.26744328044560645</v>
      </c>
      <c r="AP80" s="48">
        <f t="shared" si="49"/>
        <v>0.55000000000000004</v>
      </c>
      <c r="AQ80" s="35" t="str">
        <f>IF(AND(A80&lt;&gt;0,A80&lt;&gt;""),LOOKUP(A80,Discrete_NFET[PARTNUMBER],Discrete_NFET[TI_EQ_PACKAGE]),"")</f>
        <v>DDPAK</v>
      </c>
      <c r="AR80" s="49">
        <f>IF(AND(A80&lt;&gt;0,A80&lt;&gt;""),LOOKUP(A80,Discrete_NFET[PARTNUMBER],Discrete_NFET[1KPRICE]),"")</f>
        <v>0.82</v>
      </c>
      <c r="AS80" s="35" t="str">
        <f>IF(AND($A80&lt;&gt;0,$A80&lt;&gt;""),CONCATENATE(TEXT(AP80,"0.00"),"W, ",IF('User Input'!H$11="Single Discrete",A80,IF('User Input'!H$11="Dual/Power Block",LEFT(A80,FIND(")",A80)-7),A80)),", ",AQ80,", ",TEXT(AR80,"$0.00")),"Invalid Part")</f>
        <v>0.55W, CSD18542KTT, DDPAK, $0.82</v>
      </c>
      <c r="AT80" t="s">
        <v>800</v>
      </c>
      <c r="AW80"/>
    </row>
    <row r="81" spans="1:49" ht="15" customHeight="1" x14ac:dyDescent="0.25">
      <c r="A81" s="35" t="str">
        <f>IF(OR(AND(FET_config3="Dual/Power Block",LEFT(Logic!B81,4)="CSD8"),AND(FET_config3="Single Discrete",LEFT(Logic!B81,4)="CSD1")),Logic!B81,"")</f>
        <v>CSD18543Q3A</v>
      </c>
      <c r="B81" s="37" t="str">
        <f>IF(OR($A81=0,$A81=""),"0",IF(LOOKUP($A81,Discrete_NFET[PARTNUMBER],Discrete_NFET[RDSON25])="(NULL)","0","1"))</f>
        <v>0</v>
      </c>
      <c r="C81" s="38" t="str">
        <f>IF(OR($A81=0,$A81=""),"0",IF(LOOKUP($A81,Discrete_NFET[PARTNUMBER],Discrete_NFET[RDSON3])="(NULL)","0","1"))</f>
        <v>0</v>
      </c>
      <c r="D81" s="40" t="str">
        <f>IF(OR($A81=0,$A81=""),"0",IF(LOOKUP($A81,Discrete_NFET[PARTNUMBER],Discrete_NFET[RDSON45])="(NULL)","0","1"))</f>
        <v>1</v>
      </c>
      <c r="E81" s="45" t="str">
        <f>IF(OR($A81=0,$A81=""),"0",IF(LOOKUP($A81,Discrete_NFET[PARTNUMBER],Discrete_NFET[RDSON6])="(NULL)","0","1"))</f>
        <v>0</v>
      </c>
      <c r="F81" s="34" t="str">
        <f>IF(OR($A81=0,$A81=""),"0",IF(LOOKUP($A81,Discrete_NFET[PARTNUMBER],Discrete_NFET[RDSON8])="(NULL)","0","1"))</f>
        <v>0</v>
      </c>
      <c r="G81" s="43" t="str">
        <f>IF(OR($A81=0,$A81=""),"0",IF(LOOKUP($A81,Discrete_NFET[PARTNUMBER],Discrete_NFET[RDSON10])="(NULL)","0","1"))</f>
        <v>1</v>
      </c>
      <c r="H81" s="36" t="b">
        <f t="shared" si="34"/>
        <v>0</v>
      </c>
      <c r="I81" s="39" t="b">
        <f t="shared" si="35"/>
        <v>0</v>
      </c>
      <c r="J81" s="41" t="b">
        <f t="shared" si="36"/>
        <v>1</v>
      </c>
      <c r="K81" s="46" t="b">
        <f t="shared" si="37"/>
        <v>0</v>
      </c>
      <c r="L81" s="42" t="b">
        <f t="shared" si="38"/>
        <v>0</v>
      </c>
      <c r="M81" s="44" t="b">
        <f t="shared" si="39"/>
        <v>1</v>
      </c>
      <c r="N81" s="47" t="b">
        <f t="shared" si="40"/>
        <v>1</v>
      </c>
      <c r="O81" s="36" t="b">
        <f t="shared" si="41"/>
        <v>0</v>
      </c>
      <c r="P81" s="39" t="b">
        <f t="shared" si="42"/>
        <v>0</v>
      </c>
      <c r="Q81" s="41" t="b">
        <f t="shared" si="43"/>
        <v>1</v>
      </c>
      <c r="R81" s="46" t="b">
        <f t="shared" si="44"/>
        <v>0</v>
      </c>
      <c r="S81" s="42" t="b">
        <f t="shared" si="45"/>
        <v>0</v>
      </c>
      <c r="T81" s="44" t="b">
        <f t="shared" si="46"/>
        <v>1</v>
      </c>
      <c r="U81" s="148">
        <f>IF(T81,LOOKUP(A81,Discrete_NFET[PARTNUMBER],Discrete_NFET[RDSON10])*1000,IF(S81,LOOKUP(A81,Discrete_NFET[PARTNUMBER],Discrete_NFET[RDSON8])*1000,IF(R81,LOOKUP(A81,Discrete_NFET[PARTNUMBER],Discrete_NFET[RDSON6])*1000,IF(Q81,LOOKUP(A81,Discrete_NFET[PARTNUMBER],Discrete_NFET[RDSON45])*1000,IF(P81,LOOKUP(A81,Discrete_NFET[PARTNUMBER],Discrete_NFET[RDSON3])*1000,IF(O81,LOOKUP(A81,Discrete_NFET[PARTNUMBER],Discrete_NFET[RDSON25])*1000,""))))))</f>
        <v>9.9</v>
      </c>
      <c r="V81" s="48">
        <f>IF(AND(A81&lt;&gt;0,A81&lt;&gt;""),U81*(1+(Tj-25)*(LOOKUP(A81,Discrete_NFET[PARTNUMBER],Discrete_NFET[RDSDELTA])/((LOOKUP(A81,Discrete_NFET[PARTNUMBER],Discrete_NFET[TJMAX])-25)))),"")</f>
        <v>11.781000000000001</v>
      </c>
      <c r="W81" s="35">
        <f>IF(AND($A81&lt;&gt;0,$A81&lt;&gt;""),LOOKUP($A81,Discrete_NFET[PARTNUMBER],Discrete_NFET[QGS]),"")</f>
        <v>3.1</v>
      </c>
      <c r="X81" s="35">
        <f>IF(AND($A81&lt;&gt;0,$A81&lt;&gt;""),LOOKUP($A81,Discrete_NFET[PARTNUMBER],Discrete_NFET[QGD]),"")</f>
        <v>1.7</v>
      </c>
      <c r="Y81" s="35">
        <f>IF(AND($A81&lt;&gt;0,$A81&lt;&gt;""),LOOKUP($A81,Discrete_NFET[PARTNUMBER],Discrete_NFET[QGTH]),"")</f>
        <v>2</v>
      </c>
      <c r="Z81" s="35">
        <f t="shared" si="47"/>
        <v>2.8</v>
      </c>
      <c r="AA81" s="35">
        <f>IF(AND($A81&lt;&gt;0,$A81&lt;&gt;""),LOOKUP($A81,Discrete_NFET[PARTNUMBER],Discrete_NFET[QOSSTYP]),"")</f>
        <v>24</v>
      </c>
      <c r="AB81" s="35">
        <f>IF(AND($A81&lt;&gt;0,$A81&lt;&gt;""),LOOKUP($A81,Discrete_NFET[PARTNUMBER],Discrete_NFET[QRR]),"")</f>
        <v>37</v>
      </c>
      <c r="AC81" s="35">
        <f>IF(AND(A81&lt;&gt;0,A81&lt;&gt;""),LOOKUP(A81,Discrete_NFET[PARTNUMBER],Discrete_NFET[VF_TYP]),"")</f>
        <v>0.8</v>
      </c>
      <c r="AD81" s="127">
        <f>IF(AND($A81&lt;&gt;0,$A81&lt;&gt;"",OR(RIGHT(Logic!B81,2)="C)",LEFT(Logic!B81,4)="CSD1")),(1+(1-DUTY))*IM_RMS_120^2*V81*m/3/Num_FETS3,"")</f>
        <v>0.49574748961218834</v>
      </c>
      <c r="AE81" s="127">
        <f>IF(AND($A81&lt;&gt;0,$A81&lt;&gt;"",OR(RIGHT(Logic!B81,2)="C)",LEFT(Logic!B81,4)="CSD1")),Num_FETS3*0.5*IM_RMS_120*VDC_AVG*Z81*n*MOT_ELEC_FREQ/GDR_SRC,"")</f>
        <v>9.0299277605779141E-6</v>
      </c>
      <c r="AF81" s="127">
        <f>IF(AND($A81&lt;&gt;0,$A81&lt;&gt;"",OR(RIGHT(Logic!B81,2)="C)",LEFT(Logic!B81,4)="CSD1")),Num_FETS3*0.5*IM_RMS_120*VDC_AVG*Z81*n*MOT_ELEC_FREQ/GDR_SINK,"")</f>
        <v>6.1403508771929822E-6</v>
      </c>
      <c r="AG81" s="127">
        <f>IF(AND($A81&lt;&gt;0,$A81&lt;&gt;"",OR(RIGHT(Logic!B81,2)="T)",LEFT(Logic!B81,4)="CSD1")),DUTY*IM_RMS_120^2*V81*m/3/Num_FETS3,"")</f>
        <v>0.44853344298245607</v>
      </c>
      <c r="AH81" s="127">
        <f>IF(AND($A81&lt;&gt;0,$A81&lt;&gt;"",OR(RIGHT(Logic!B81,2)="T)",LEFT(Logic!B81,4)="CSD1")),Num_FETS3*0.5*IM_RMS_120*VDC_AVG*Z81*n*FSW*k/GDR_SRC/3,"")</f>
        <v>1.8059855521155828E-3</v>
      </c>
      <c r="AI81" s="127">
        <f>IF(AND($A81&lt;&gt;0,$A81&lt;&gt;"",OR(RIGHT(Logic!B81,2)="T)",LEFT(Logic!B81,4)="CSD1")),Num_FETS3*0.5*IM_RMS_120*VDC_AVG*Z81*n*FSW*k/GDR_SINK/3,"")</f>
        <v>1.2280701754385965E-3</v>
      </c>
      <c r="AJ81" s="127">
        <f t="shared" si="31"/>
        <v>2.8800000000000002E-3</v>
      </c>
      <c r="AK81" s="127">
        <f t="shared" si="32"/>
        <v>1.2414567897146714E-2</v>
      </c>
      <c r="AL81" s="127">
        <f t="shared" si="33"/>
        <v>8.8948000000000013E-3</v>
      </c>
      <c r="AM81" s="127">
        <f t="shared" si="48"/>
        <v>0.37243703691440144</v>
      </c>
      <c r="AN81" s="127">
        <f>IF(AND($A81&lt;&gt;0,$A81&lt;&gt;"",OR(RIGHT(Logic!B81,2)="C)",LEFT(Logic!B81,4)="CSD1")),SUM(AD81:AF81)+(AJ81/3)+AK81+AL81/6+AM81/6,AN82)</f>
        <v>0.57269253394037312</v>
      </c>
      <c r="AO81" s="127">
        <f>IF(AND($A81&lt;&gt;0,$A81&lt;&gt;"",OR(RIGHT(Logic!B81,2)="T)",LEFT(Logic!B81,4)="CSD1")),SUM(AG81:AI81)+(AJ81/3)+AL81/6+AM81/6,AO80)</f>
        <v>0.51608280486241054</v>
      </c>
      <c r="AP81" s="48">
        <f t="shared" si="49"/>
        <v>1.0900000000000001</v>
      </c>
      <c r="AQ81" s="35" t="str">
        <f>IF(AND(A81&lt;&gt;0,A81&lt;&gt;""),LOOKUP(A81,Discrete_NFET[PARTNUMBER],Discrete_NFET[TI_EQ_PACKAGE]),"")</f>
        <v>SON3X3</v>
      </c>
      <c r="AR81" s="49">
        <f>IF(AND(A81&lt;&gt;0,A81&lt;&gt;""),LOOKUP(A81,Discrete_NFET[PARTNUMBER],Discrete_NFET[1KPRICE]),"")</f>
        <v>0.25</v>
      </c>
      <c r="AS81" s="35" t="str">
        <f>IF(AND($A81&lt;&gt;0,$A81&lt;&gt;""),CONCATENATE(TEXT(AP81,"0.00"),"W, ",IF('User Input'!H$11="Single Discrete",A81,IF('User Input'!H$11="Dual/Power Block",LEFT(A81,FIND(")",A81)-7),A81)),", ",AQ81,", ",TEXT(AR81,"$0.00")),"Invalid Part")</f>
        <v>1.09W, CSD18543Q3A, SON3X3, $0.25</v>
      </c>
      <c r="AT81" t="s">
        <v>813</v>
      </c>
      <c r="AW81"/>
    </row>
    <row r="82" spans="1:49" ht="15" customHeight="1" x14ac:dyDescent="0.25">
      <c r="A82" s="35" t="str">
        <f>IF(OR(AND(FET_config3="Dual/Power Block",LEFT(Logic!B82,4)="CSD8"),AND(FET_config3="Single Discrete",LEFT(Logic!B82,4)="CSD1")),Logic!B82,"")</f>
        <v>CSD18563Q5A</v>
      </c>
      <c r="B82" s="37" t="str">
        <f>IF(OR($A82=0,$A82=""),"0",IF(LOOKUP($A82,Discrete_NFET[PARTNUMBER],Discrete_NFET[RDSON25])="(NULL)","0","1"))</f>
        <v>0</v>
      </c>
      <c r="C82" s="38" t="str">
        <f>IF(OR($A82=0,$A82=""),"0",IF(LOOKUP($A82,Discrete_NFET[PARTNUMBER],Discrete_NFET[RDSON3])="(NULL)","0","1"))</f>
        <v>0</v>
      </c>
      <c r="D82" s="40" t="str">
        <f>IF(OR($A82=0,$A82=""),"0",IF(LOOKUP($A82,Discrete_NFET[PARTNUMBER],Discrete_NFET[RDSON45])="(NULL)","0","1"))</f>
        <v>1</v>
      </c>
      <c r="E82" s="45" t="str">
        <f>IF(OR($A82=0,$A82=""),"0",IF(LOOKUP($A82,Discrete_NFET[PARTNUMBER],Discrete_NFET[RDSON6])="(NULL)","0","1"))</f>
        <v>0</v>
      </c>
      <c r="F82" s="34" t="str">
        <f>IF(OR($A82=0,$A82=""),"0",IF(LOOKUP($A82,Discrete_NFET[PARTNUMBER],Discrete_NFET[RDSON8])="(NULL)","0","1"))</f>
        <v>0</v>
      </c>
      <c r="G82" s="43" t="str">
        <f>IF(OR($A82=0,$A82=""),"0",IF(LOOKUP($A82,Discrete_NFET[PARTNUMBER],Discrete_NFET[RDSON10])="(NULL)","0","1"))</f>
        <v>1</v>
      </c>
      <c r="H82" s="36" t="b">
        <f t="shared" si="34"/>
        <v>0</v>
      </c>
      <c r="I82" s="39" t="b">
        <f t="shared" si="35"/>
        <v>0</v>
      </c>
      <c r="J82" s="41" t="b">
        <f t="shared" si="36"/>
        <v>1</v>
      </c>
      <c r="K82" s="46" t="b">
        <f t="shared" si="37"/>
        <v>0</v>
      </c>
      <c r="L82" s="42" t="b">
        <f t="shared" si="38"/>
        <v>0</v>
      </c>
      <c r="M82" s="44" t="b">
        <f t="shared" si="39"/>
        <v>1</v>
      </c>
      <c r="N82" s="47" t="b">
        <f t="shared" si="40"/>
        <v>1</v>
      </c>
      <c r="O82" s="36" t="b">
        <f t="shared" si="41"/>
        <v>0</v>
      </c>
      <c r="P82" s="39" t="b">
        <f t="shared" si="42"/>
        <v>0</v>
      </c>
      <c r="Q82" s="41" t="b">
        <f t="shared" si="43"/>
        <v>1</v>
      </c>
      <c r="R82" s="46" t="b">
        <f t="shared" si="44"/>
        <v>0</v>
      </c>
      <c r="S82" s="42" t="b">
        <f t="shared" si="45"/>
        <v>0</v>
      </c>
      <c r="T82" s="44" t="b">
        <f t="shared" si="46"/>
        <v>1</v>
      </c>
      <c r="U82" s="148">
        <f>IF(T82,LOOKUP(A82,Discrete_NFET[PARTNUMBER],Discrete_NFET[RDSON10])*1000,IF(S82,LOOKUP(A82,Discrete_NFET[PARTNUMBER],Discrete_NFET[RDSON8])*1000,IF(R82,LOOKUP(A82,Discrete_NFET[PARTNUMBER],Discrete_NFET[RDSON6])*1000,IF(Q82,LOOKUP(A82,Discrete_NFET[PARTNUMBER],Discrete_NFET[RDSON45])*1000,IF(P82,LOOKUP(A82,Discrete_NFET[PARTNUMBER],Discrete_NFET[RDSON3])*1000,IF(O82,LOOKUP(A82,Discrete_NFET[PARTNUMBER],Discrete_NFET[RDSON25])*1000,""))))))</f>
        <v>6.8</v>
      </c>
      <c r="V82" s="48">
        <f>IF(AND(A82&lt;&gt;0,A82&lt;&gt;""),U82*(1+(Tj-25)*(LOOKUP(A82,Discrete_NFET[PARTNUMBER],Discrete_NFET[RDSDELTA])/((LOOKUP(A82,Discrete_NFET[PARTNUMBER],Discrete_NFET[TJMAX])-25)))),"")</f>
        <v>8.0919999999999987</v>
      </c>
      <c r="W82" s="35">
        <f>IF(AND($A82&lt;&gt;0,$A82&lt;&gt;""),LOOKUP($A82,Discrete_NFET[PARTNUMBER],Discrete_NFET[QGS]),"")</f>
        <v>3.3</v>
      </c>
      <c r="X82" s="35">
        <f>IF(AND($A82&lt;&gt;0,$A82&lt;&gt;""),LOOKUP($A82,Discrete_NFET[PARTNUMBER],Discrete_NFET[QGD]),"")</f>
        <v>2.9</v>
      </c>
      <c r="Y82" s="35">
        <f>IF(AND($A82&lt;&gt;0,$A82&lt;&gt;""),LOOKUP($A82,Discrete_NFET[PARTNUMBER],Discrete_NFET[QGTH]),"")</f>
        <v>2.2999999999999998</v>
      </c>
      <c r="Z82" s="35">
        <f t="shared" si="47"/>
        <v>3.8999999999999995</v>
      </c>
      <c r="AA82" s="35">
        <f>IF(AND($A82&lt;&gt;0,$A82&lt;&gt;""),LOOKUP($A82,Discrete_NFET[PARTNUMBER],Discrete_NFET[QOSSTYP]),"")</f>
        <v>36</v>
      </c>
      <c r="AB82" s="35">
        <f>IF(AND($A82&lt;&gt;0,$A82&lt;&gt;""),LOOKUP($A82,Discrete_NFET[PARTNUMBER],Discrete_NFET[QRR]),"")</f>
        <v>63</v>
      </c>
      <c r="AC82" s="35">
        <f>IF(AND(A82&lt;&gt;0,A82&lt;&gt;""),LOOKUP(A82,Discrete_NFET[PARTNUMBER],Discrete_NFET[VF_TYP]),"")</f>
        <v>0.8</v>
      </c>
      <c r="AD82" s="127">
        <f>IF(AND($A82&lt;&gt;0,$A82&lt;&gt;"",OR(RIGHT(Logic!B82,2)="C)",LEFT(Logic!B82,4)="CSD1")),(1+(1-DUTY))*IM_RMS_120^2*V82*m/3/Num_FETS3,"")</f>
        <v>0.34051342720837169</v>
      </c>
      <c r="AE82" s="127">
        <f>IF(AND($A82&lt;&gt;0,$A82&lt;&gt;"",OR(RIGHT(Logic!B82,2)="C)",LEFT(Logic!B82,4)="CSD1")),Num_FETS3*0.5*IM_RMS_120*VDC_AVG*Z82*n*MOT_ELEC_FREQ/GDR_SRC,"")</f>
        <v>1.2577399380804951E-5</v>
      </c>
      <c r="AF82" s="127">
        <f>IF(AND($A82&lt;&gt;0,$A82&lt;&gt;"",OR(RIGHT(Logic!B82,2)="C)",LEFT(Logic!B82,4)="CSD1")),Num_FETS3*0.5*IM_RMS_120*VDC_AVG*Z82*n*MOT_ELEC_FREQ/GDR_SINK,"")</f>
        <v>8.5526315789473666E-6</v>
      </c>
      <c r="AG82" s="127">
        <f>IF(AND($A82&lt;&gt;0,$A82&lt;&gt;"",OR(RIGHT(Logic!B82,2)="T)",LEFT(Logic!B82,4)="CSD1")),DUTY*IM_RMS_120^2*V82*m/3/Num_FETS3,"")</f>
        <v>0.30808357699805056</v>
      </c>
      <c r="AH82" s="127">
        <f>IF(AND($A82&lt;&gt;0,$A82&lt;&gt;"",OR(RIGHT(Logic!B82,2)="T)",LEFT(Logic!B82,4)="CSD1")),Num_FETS3*0.5*IM_RMS_120*VDC_AVG*Z82*n*FSW*k/GDR_SRC/3,"")</f>
        <v>2.5154798761609898E-3</v>
      </c>
      <c r="AI82" s="127">
        <f>IF(AND($A82&lt;&gt;0,$A82&lt;&gt;"",OR(RIGHT(Logic!B82,2)="T)",LEFT(Logic!B82,4)="CSD1")),Num_FETS3*0.5*IM_RMS_120*VDC_AVG*Z82*n*FSW*k/GDR_SINK/3,"")</f>
        <v>1.7105263157894731E-3</v>
      </c>
      <c r="AJ82" s="127">
        <f t="shared" si="31"/>
        <v>4.3200000000000001E-3</v>
      </c>
      <c r="AK82" s="127">
        <f t="shared" si="32"/>
        <v>1.2414567897146714E-2</v>
      </c>
      <c r="AL82" s="127">
        <f t="shared" si="33"/>
        <v>1.5145200000000001E-2</v>
      </c>
      <c r="AM82" s="127">
        <f t="shared" si="48"/>
        <v>0.37243703691440144</v>
      </c>
      <c r="AN82" s="127">
        <f>IF(AND($A82&lt;&gt;0,$A82&lt;&gt;"",OR(RIGHT(Logic!B82,2)="C)",LEFT(Logic!B82,4)="CSD1")),SUM(AD82:AF82)+(AJ82/3)+AK82+AL82/6+AM82/6,AN83)</f>
        <v>0.41898616462221172</v>
      </c>
      <c r="AO82" s="127">
        <f>IF(AND($A82&lt;&gt;0,$A82&lt;&gt;"",OR(RIGHT(Logic!B82,2)="T)",LEFT(Logic!B82,4)="CSD1")),SUM(AG82:AI82)+(AJ82/3)+AL82/6+AM82/6,AO81)</f>
        <v>0.37834662267573455</v>
      </c>
      <c r="AP82" s="48">
        <f t="shared" si="49"/>
        <v>0.8</v>
      </c>
      <c r="AQ82" s="35" t="str">
        <f>IF(AND(A82&lt;&gt;0,A82&lt;&gt;""),LOOKUP(A82,Discrete_NFET[PARTNUMBER],Discrete_NFET[TI_EQ_PACKAGE]),"")</f>
        <v>SON5X6</v>
      </c>
      <c r="AR82" s="49">
        <f>IF(AND(A82&lt;&gt;0,A82&lt;&gt;""),LOOKUP(A82,Discrete_NFET[PARTNUMBER],Discrete_NFET[1KPRICE]),"")</f>
        <v>0.45</v>
      </c>
      <c r="AS82" s="35" t="str">
        <f>IF(AND($A82&lt;&gt;0,$A82&lt;&gt;""),CONCATENATE(TEXT(AP82,"0.00"),"W, ",IF('User Input'!H$11="Single Discrete",A82,IF('User Input'!H$11="Dual/Power Block",LEFT(A82,FIND(")",A82)-7),A82)),", ",AQ82,", ",TEXT(AR82,"$0.00")),"Invalid Part")</f>
        <v>0.80W, CSD18563Q5A, SON5X6, $0.45</v>
      </c>
      <c r="AT82" t="s">
        <v>871</v>
      </c>
      <c r="AW82"/>
    </row>
    <row r="83" spans="1:49" ht="15" customHeight="1" x14ac:dyDescent="0.25">
      <c r="A83" s="35" t="str">
        <f>IF(OR(AND(FET_config3="Dual/Power Block",LEFT(Logic!B83,4)="CSD8"),AND(FET_config3="Single Discrete",LEFT(Logic!B83,4)="CSD1")),Logic!B83,"")</f>
        <v>CSD19501KCS</v>
      </c>
      <c r="B83" s="37" t="str">
        <f>IF(OR($A83=0,$A83=""),"0",IF(LOOKUP($A83,Discrete_NFET[PARTNUMBER],Discrete_NFET[RDSON25])="(NULL)","0","1"))</f>
        <v>0</v>
      </c>
      <c r="C83" s="38" t="str">
        <f>IF(OR($A83=0,$A83=""),"0",IF(LOOKUP($A83,Discrete_NFET[PARTNUMBER],Discrete_NFET[RDSON3])="(NULL)","0","1"))</f>
        <v>0</v>
      </c>
      <c r="D83" s="40" t="str">
        <f>IF(OR($A83=0,$A83=""),"0",IF(LOOKUP($A83,Discrete_NFET[PARTNUMBER],Discrete_NFET[RDSON45])="(NULL)","0","1"))</f>
        <v>0</v>
      </c>
      <c r="E83" s="45" t="str">
        <f>IF(OR($A83=0,$A83=""),"0",IF(LOOKUP($A83,Discrete_NFET[PARTNUMBER],Discrete_NFET[RDSON6])="(NULL)","0","1"))</f>
        <v>1</v>
      </c>
      <c r="F83" s="34" t="str">
        <f>IF(OR($A83=0,$A83=""),"0",IF(LOOKUP($A83,Discrete_NFET[PARTNUMBER],Discrete_NFET[RDSON8])="(NULL)","0","1"))</f>
        <v>0</v>
      </c>
      <c r="G83" s="43" t="str">
        <f>IF(OR($A83=0,$A83=""),"0",IF(LOOKUP($A83,Discrete_NFET[PARTNUMBER],Discrete_NFET[RDSON10])="(NULL)","0","1"))</f>
        <v>1</v>
      </c>
      <c r="H83" s="36" t="b">
        <f t="shared" si="34"/>
        <v>0</v>
      </c>
      <c r="I83" s="39" t="b">
        <f t="shared" si="35"/>
        <v>0</v>
      </c>
      <c r="J83" s="41" t="b">
        <f t="shared" si="36"/>
        <v>0</v>
      </c>
      <c r="K83" s="46" t="b">
        <f t="shared" si="37"/>
        <v>1</v>
      </c>
      <c r="L83" s="42" t="b">
        <f t="shared" si="38"/>
        <v>0</v>
      </c>
      <c r="M83" s="44" t="b">
        <f t="shared" si="39"/>
        <v>1</v>
      </c>
      <c r="N83" s="47" t="b">
        <f t="shared" si="40"/>
        <v>1</v>
      </c>
      <c r="O83" s="36" t="b">
        <f t="shared" si="41"/>
        <v>0</v>
      </c>
      <c r="P83" s="39" t="b">
        <f t="shared" si="42"/>
        <v>0</v>
      </c>
      <c r="Q83" s="41" t="b">
        <f t="shared" si="43"/>
        <v>0</v>
      </c>
      <c r="R83" s="46" t="b">
        <f t="shared" si="44"/>
        <v>1</v>
      </c>
      <c r="S83" s="42" t="b">
        <f t="shared" si="45"/>
        <v>0</v>
      </c>
      <c r="T83" s="44" t="b">
        <f t="shared" si="46"/>
        <v>1</v>
      </c>
      <c r="U83" s="148">
        <f>IF(T83,LOOKUP(A83,Discrete_NFET[PARTNUMBER],Discrete_NFET[RDSON10])*1000,IF(S83,LOOKUP(A83,Discrete_NFET[PARTNUMBER],Discrete_NFET[RDSON8])*1000,IF(R83,LOOKUP(A83,Discrete_NFET[PARTNUMBER],Discrete_NFET[RDSON6])*1000,IF(Q83,LOOKUP(A83,Discrete_NFET[PARTNUMBER],Discrete_NFET[RDSON45])*1000,IF(P83,LOOKUP(A83,Discrete_NFET[PARTNUMBER],Discrete_NFET[RDSON3])*1000,IF(O83,LOOKUP(A83,Discrete_NFET[PARTNUMBER],Discrete_NFET[RDSON25])*1000,""))))))</f>
        <v>6.6</v>
      </c>
      <c r="V83" s="48">
        <f>IF(AND(A83&lt;&gt;0,A83&lt;&gt;""),U83*(1+(Tj-25)*(LOOKUP(A83,Discrete_NFET[PARTNUMBER],Discrete_NFET[RDSDELTA])/((LOOKUP(A83,Discrete_NFET[PARTNUMBER],Discrete_NFET[TJMAX])-25)))),"")</f>
        <v>7.6340000000000003</v>
      </c>
      <c r="W83" s="35">
        <f>IF(AND($A83&lt;&gt;0,$A83&lt;&gt;""),LOOKUP($A83,Discrete_NFET[PARTNUMBER],Discrete_NFET[QGS]),"")</f>
        <v>12.4</v>
      </c>
      <c r="X83" s="35">
        <f>IF(AND($A83&lt;&gt;0,$A83&lt;&gt;""),LOOKUP($A83,Discrete_NFET[PARTNUMBER],Discrete_NFET[QGD]),"")</f>
        <v>5.8</v>
      </c>
      <c r="Y83" s="35">
        <f>IF(AND($A83&lt;&gt;0,$A83&lt;&gt;""),LOOKUP($A83,Discrete_NFET[PARTNUMBER],Discrete_NFET[QGTH]),"")</f>
        <v>7.5</v>
      </c>
      <c r="Z83" s="35">
        <f t="shared" si="47"/>
        <v>10.7</v>
      </c>
      <c r="AA83" s="35">
        <f>IF(AND($A83&lt;&gt;0,$A83&lt;&gt;""),LOOKUP($A83,Discrete_NFET[PARTNUMBER],Discrete_NFET[QOSSTYP]),"")</f>
        <v>98</v>
      </c>
      <c r="AB83" s="35">
        <f>IF(AND($A83&lt;&gt;0,$A83&lt;&gt;""),LOOKUP($A83,Discrete_NFET[PARTNUMBER],Discrete_NFET[QRR]),"")</f>
        <v>230</v>
      </c>
      <c r="AC83" s="35">
        <f>IF(AND(A83&lt;&gt;0,A83&lt;&gt;""),LOOKUP(A83,Discrete_NFET[PARTNUMBER],Discrete_NFET[VF_TYP]),"")</f>
        <v>0.9</v>
      </c>
      <c r="AD83" s="127">
        <f>IF(AND($A83&lt;&gt;0,$A83&lt;&gt;"",OR(RIGHT(Logic!B83,2)="C)",LEFT(Logic!B83,4)="CSD1")),(1+(1-DUTY))*IM_RMS_120^2*V83*m/3/Num_FETS3,"")</f>
        <v>0.32124067020621727</v>
      </c>
      <c r="AE83" s="127">
        <f>IF(AND($A83&lt;&gt;0,$A83&lt;&gt;"",OR(RIGHT(Logic!B83,2)="C)",LEFT(Logic!B83,4)="CSD1")),Num_FETS3*0.5*IM_RMS_120*VDC_AVG*Z83*n*MOT_ELEC_FREQ/GDR_SRC,"")</f>
        <v>3.4507223942208453E-5</v>
      </c>
      <c r="AF83" s="127">
        <f>IF(AND($A83&lt;&gt;0,$A83&lt;&gt;"",OR(RIGHT(Logic!B83,2)="C)",LEFT(Logic!B83,4)="CSD1")),Num_FETS3*0.5*IM_RMS_120*VDC_AVG*Z83*n*MOT_ELEC_FREQ/GDR_SINK,"")</f>
        <v>2.3464912280701751E-5</v>
      </c>
      <c r="AG83" s="127">
        <f>IF(AND($A83&lt;&gt;0,$A83&lt;&gt;"",OR(RIGHT(Logic!B83,2)="T)",LEFT(Logic!B83,4)="CSD1")),DUTY*IM_RMS_120^2*V83*m/3/Num_FETS3,"")</f>
        <v>0.29064632066276802</v>
      </c>
      <c r="AH83" s="127">
        <f>IF(AND($A83&lt;&gt;0,$A83&lt;&gt;"",OR(RIGHT(Logic!B83,2)="T)",LEFT(Logic!B83,4)="CSD1")),Num_FETS3*0.5*IM_RMS_120*VDC_AVG*Z83*n*FSW*k/GDR_SRC/3,"")</f>
        <v>6.9014447884416909E-3</v>
      </c>
      <c r="AI83" s="127">
        <f>IF(AND($A83&lt;&gt;0,$A83&lt;&gt;"",OR(RIGHT(Logic!B83,2)="T)",LEFT(Logic!B83,4)="CSD1")),Num_FETS3*0.5*IM_RMS_120*VDC_AVG*Z83*n*FSW*k/GDR_SINK/3,"")</f>
        <v>4.6929824561403504E-3</v>
      </c>
      <c r="AJ83" s="127">
        <f t="shared" si="31"/>
        <v>1.1760000000000001E-2</v>
      </c>
      <c r="AK83" s="127">
        <f t="shared" si="32"/>
        <v>1.3966388884290052E-2</v>
      </c>
      <c r="AL83" s="127">
        <f t="shared" si="33"/>
        <v>5.5292000000000001E-2</v>
      </c>
      <c r="AM83" s="127">
        <f t="shared" si="48"/>
        <v>0.41899166652870157</v>
      </c>
      <c r="AN83" s="127">
        <f>IF(AND($A83&lt;&gt;0,$A83&lt;&gt;"",OR(RIGHT(Logic!B83,2)="C)",LEFT(Logic!B83,4)="CSD1")),SUM(AD83:AF83)+(AJ83/3)+AK83+AL83/6+AM83/6,AN84)</f>
        <v>0.41823230898151381</v>
      </c>
      <c r="AO83" s="127">
        <f>IF(AND($A83&lt;&gt;0,$A83&lt;&gt;"",OR(RIGHT(Logic!B83,2)="T)",LEFT(Logic!B83,4)="CSD1")),SUM(AG83:AI83)+(AJ83/3)+AL83/6+AM83/6,AO82)</f>
        <v>0.38520802566213364</v>
      </c>
      <c r="AP83" s="48">
        <f t="shared" si="49"/>
        <v>0.8</v>
      </c>
      <c r="AQ83" s="35" t="str">
        <f>IF(AND(A83&lt;&gt;0,A83&lt;&gt;""),LOOKUP(A83,Discrete_NFET[PARTNUMBER],Discrete_NFET[TI_EQ_PACKAGE]),"")</f>
        <v>TO-220</v>
      </c>
      <c r="AR83" s="49">
        <f>IF(AND(A83&lt;&gt;0,A83&lt;&gt;""),LOOKUP(A83,Discrete_NFET[PARTNUMBER],Discrete_NFET[1KPRICE]),"")</f>
        <v>0.69</v>
      </c>
      <c r="AS83" s="35" t="str">
        <f>IF(AND($A83&lt;&gt;0,$A83&lt;&gt;""),CONCATENATE(TEXT(AP83,"0.00"),"W, ",IF('User Input'!H$11="Single Discrete",A83,IF('User Input'!H$11="Dual/Power Block",LEFT(A83,FIND(")",A83)-7),A83)),", ",AQ83,", ",TEXT(AR83,"$0.00")),"Invalid Part")</f>
        <v>0.80W, CSD19501KCS, TO-220, $0.69</v>
      </c>
      <c r="AT83" t="s">
        <v>816</v>
      </c>
      <c r="AW83"/>
    </row>
    <row r="84" spans="1:49" ht="15" customHeight="1" x14ac:dyDescent="0.25">
      <c r="A84" s="35" t="str">
        <f>IF(OR(AND(FET_config3="Dual/Power Block",LEFT(Logic!B84,4)="CSD8"),AND(FET_config3="Single Discrete",LEFT(Logic!B84,4)="CSD1")),Logic!B84,"")</f>
        <v>CSD19502Q5B</v>
      </c>
      <c r="B84" s="37" t="str">
        <f>IF(OR($A84=0,$A84=""),"0",IF(LOOKUP($A84,Discrete_NFET[PARTNUMBER],Discrete_NFET[RDSON25])="(NULL)","0","1"))</f>
        <v>0</v>
      </c>
      <c r="C84" s="38" t="str">
        <f>IF(OR($A84=0,$A84=""),"0",IF(LOOKUP($A84,Discrete_NFET[PARTNUMBER],Discrete_NFET[RDSON3])="(NULL)","0","1"))</f>
        <v>0</v>
      </c>
      <c r="D84" s="40" t="str">
        <f>IF(OR($A84=0,$A84=""),"0",IF(LOOKUP($A84,Discrete_NFET[PARTNUMBER],Discrete_NFET[RDSON45])="(NULL)","0","1"))</f>
        <v>0</v>
      </c>
      <c r="E84" s="45" t="str">
        <f>IF(OR($A84=0,$A84=""),"0",IF(LOOKUP($A84,Discrete_NFET[PARTNUMBER],Discrete_NFET[RDSON6])="(NULL)","0","1"))</f>
        <v>1</v>
      </c>
      <c r="F84" s="34" t="str">
        <f>IF(OR($A84=0,$A84=""),"0",IF(LOOKUP($A84,Discrete_NFET[PARTNUMBER],Discrete_NFET[RDSON8])="(NULL)","0","1"))</f>
        <v>0</v>
      </c>
      <c r="G84" s="43" t="str">
        <f>IF(OR($A84=0,$A84=""),"0",IF(LOOKUP($A84,Discrete_NFET[PARTNUMBER],Discrete_NFET[RDSON10])="(NULL)","0","1"))</f>
        <v>1</v>
      </c>
      <c r="H84" s="36" t="b">
        <f t="shared" si="34"/>
        <v>0</v>
      </c>
      <c r="I84" s="39" t="b">
        <f t="shared" si="35"/>
        <v>0</v>
      </c>
      <c r="J84" s="41" t="b">
        <f t="shared" si="36"/>
        <v>0</v>
      </c>
      <c r="K84" s="46" t="b">
        <f t="shared" si="37"/>
        <v>1</v>
      </c>
      <c r="L84" s="42" t="b">
        <f t="shared" si="38"/>
        <v>0</v>
      </c>
      <c r="M84" s="44" t="b">
        <f t="shared" si="39"/>
        <v>1</v>
      </c>
      <c r="N84" s="47" t="b">
        <f t="shared" si="40"/>
        <v>1</v>
      </c>
      <c r="O84" s="36" t="b">
        <f t="shared" si="41"/>
        <v>0</v>
      </c>
      <c r="P84" s="39" t="b">
        <f t="shared" si="42"/>
        <v>0</v>
      </c>
      <c r="Q84" s="41" t="b">
        <f t="shared" si="43"/>
        <v>0</v>
      </c>
      <c r="R84" s="46" t="b">
        <f t="shared" si="44"/>
        <v>1</v>
      </c>
      <c r="S84" s="42" t="b">
        <f t="shared" si="45"/>
        <v>0</v>
      </c>
      <c r="T84" s="44" t="b">
        <f t="shared" si="46"/>
        <v>1</v>
      </c>
      <c r="U84" s="148">
        <f>IF(T84,LOOKUP(A84,Discrete_NFET[PARTNUMBER],Discrete_NFET[RDSON10])*1000,IF(S84,LOOKUP(A84,Discrete_NFET[PARTNUMBER],Discrete_NFET[RDSON8])*1000,IF(R84,LOOKUP(A84,Discrete_NFET[PARTNUMBER],Discrete_NFET[RDSON6])*1000,IF(Q84,LOOKUP(A84,Discrete_NFET[PARTNUMBER],Discrete_NFET[RDSON45])*1000,IF(P84,LOOKUP(A84,Discrete_NFET[PARTNUMBER],Discrete_NFET[RDSON3])*1000,IF(O84,LOOKUP(A84,Discrete_NFET[PARTNUMBER],Discrete_NFET[RDSON25])*1000,""))))))</f>
        <v>4.1000000000000005</v>
      </c>
      <c r="V84" s="48">
        <f>IF(AND(A84&lt;&gt;0,A84&lt;&gt;""),U84*(1+(Tj-25)*(LOOKUP(A84,Discrete_NFET[PARTNUMBER],Discrete_NFET[RDSDELTA])/((LOOKUP(A84,Discrete_NFET[PARTNUMBER],Discrete_NFET[TJMAX])-25)))),"")</f>
        <v>4.8626000000000005</v>
      </c>
      <c r="W84" s="35">
        <f>IF(AND($A84&lt;&gt;0,$A84&lt;&gt;""),LOOKUP($A84,Discrete_NFET[PARTNUMBER],Discrete_NFET[QGS]),"")</f>
        <v>14</v>
      </c>
      <c r="X84" s="35">
        <f>IF(AND($A84&lt;&gt;0,$A84&lt;&gt;""),LOOKUP($A84,Discrete_NFET[PARTNUMBER],Discrete_NFET[QGD]),"")</f>
        <v>8.6</v>
      </c>
      <c r="Y84" s="35">
        <f>IF(AND($A84&lt;&gt;0,$A84&lt;&gt;""),LOOKUP($A84,Discrete_NFET[PARTNUMBER],Discrete_NFET[QGTH]),"")</f>
        <v>10</v>
      </c>
      <c r="Z84" s="35">
        <f t="shared" si="47"/>
        <v>12.600000000000001</v>
      </c>
      <c r="AA84" s="35">
        <f>IF(AND($A84&lt;&gt;0,$A84&lt;&gt;""),LOOKUP($A84,Discrete_NFET[PARTNUMBER],Discrete_NFET[QOSSTYP]),"")</f>
        <v>130</v>
      </c>
      <c r="AB84" s="35">
        <f>IF(AND($A84&lt;&gt;0,$A84&lt;&gt;""),LOOKUP($A84,Discrete_NFET[PARTNUMBER],Discrete_NFET[QRR]),"")</f>
        <v>275</v>
      </c>
      <c r="AC84" s="35">
        <f>IF(AND(A84&lt;&gt;0,A84&lt;&gt;""),LOOKUP(A84,Discrete_NFET[PARTNUMBER],Discrete_NFET[VF_TYP]),"")</f>
        <v>0.8</v>
      </c>
      <c r="AD84" s="127">
        <f>IF(AND($A84&lt;&gt;0,$A84&lt;&gt;"",OR(RIGHT(Logic!B84,2)="C)",LEFT(Logic!B84,4)="CSD1")),(1+(1-DUTY))*IM_RMS_120^2*V84*m/3/Num_FETS3,"")</f>
        <v>0.20461945021545089</v>
      </c>
      <c r="AE84" s="127">
        <f>IF(AND($A84&lt;&gt;0,$A84&lt;&gt;"",OR(RIGHT(Logic!B84,2)="C)",LEFT(Logic!B84,4)="CSD1")),Num_FETS3*0.5*IM_RMS_120*VDC_AVG*Z84*n*MOT_ELEC_FREQ/GDR_SRC,"")</f>
        <v>4.063467492260062E-5</v>
      </c>
      <c r="AF84" s="127">
        <f>IF(AND($A84&lt;&gt;0,$A84&lt;&gt;"",OR(RIGHT(Logic!B84,2)="C)",LEFT(Logic!B84,4)="CSD1")),Num_FETS3*0.5*IM_RMS_120*VDC_AVG*Z84*n*MOT_ELEC_FREQ/GDR_SINK,"")</f>
        <v>2.7631578947368423E-5</v>
      </c>
      <c r="AG84" s="127">
        <f>IF(AND($A84&lt;&gt;0,$A84&lt;&gt;"",OR(RIGHT(Logic!B84,2)="T)",LEFT(Logic!B84,4)="CSD1")),DUTY*IM_RMS_120^2*V84*m/3/Num_FETS3,"")</f>
        <v>0.18513188352826507</v>
      </c>
      <c r="AH84" s="127">
        <f>IF(AND($A84&lt;&gt;0,$A84&lt;&gt;"",OR(RIGHT(Logic!B84,2)="T)",LEFT(Logic!B84,4)="CSD1")),Num_FETS3*0.5*IM_RMS_120*VDC_AVG*Z84*n*FSW*k/GDR_SRC/3,"")</f>
        <v>8.126934984520124E-3</v>
      </c>
      <c r="AI84" s="127">
        <f>IF(AND($A84&lt;&gt;0,$A84&lt;&gt;"",OR(RIGHT(Logic!B84,2)="T)",LEFT(Logic!B84,4)="CSD1")),Num_FETS3*0.5*IM_RMS_120*VDC_AVG*Z84*n*FSW*k/GDR_SINK/3,"")</f>
        <v>5.5263157894736847E-3</v>
      </c>
      <c r="AJ84" s="127">
        <f t="shared" si="31"/>
        <v>1.5600000000000001E-2</v>
      </c>
      <c r="AK84" s="127">
        <f t="shared" si="32"/>
        <v>1.2414567897146714E-2</v>
      </c>
      <c r="AL84" s="127">
        <f t="shared" si="33"/>
        <v>6.6110000000000002E-2</v>
      </c>
      <c r="AM84" s="127">
        <f t="shared" si="48"/>
        <v>0.37243703691440144</v>
      </c>
      <c r="AN84" s="127">
        <f>IF(AND($A84&lt;&gt;0,$A84&lt;&gt;"",OR(RIGHT(Logic!B84,2)="C)",LEFT(Logic!B84,4)="CSD1")),SUM(AD84:AF84)+(AJ84/3)+AK84+AL84/6+AM84/6,AN85)</f>
        <v>0.29539345718553445</v>
      </c>
      <c r="AO84" s="127">
        <f>IF(AND($A84&lt;&gt;0,$A84&lt;&gt;"",OR(RIGHT(Logic!B84,2)="T)",LEFT(Logic!B84,4)="CSD1")),SUM(AG84:AI84)+(AJ84/3)+AL84/6+AM84/6,AO83)</f>
        <v>0.2770763071213258</v>
      </c>
      <c r="AP84" s="48">
        <f t="shared" si="49"/>
        <v>0.56999999999999995</v>
      </c>
      <c r="AQ84" s="35" t="str">
        <f>IF(AND(A84&lt;&gt;0,A84&lt;&gt;""),LOOKUP(A84,Discrete_NFET[PARTNUMBER],Discrete_NFET[TI_EQ_PACKAGE]),"")</f>
        <v>SON5X6</v>
      </c>
      <c r="AR84" s="49">
        <f>IF(AND(A84&lt;&gt;0,A84&lt;&gt;""),LOOKUP(A84,Discrete_NFET[PARTNUMBER],Discrete_NFET[1KPRICE]),"")</f>
        <v>0.85</v>
      </c>
      <c r="AS84" s="35" t="str">
        <f>IF(AND($A84&lt;&gt;0,$A84&lt;&gt;""),CONCATENATE(TEXT(AP84,"0.00"),"W, ",IF('User Input'!H$11="Single Discrete",A84,IF('User Input'!H$11="Dual/Power Block",LEFT(A84,FIND(")",A84)-7),A84)),", ",AQ84,", ",TEXT(AR84,"$0.00")),"Invalid Part")</f>
        <v>0.57W, CSD19502Q5B, SON5X6, $0.85</v>
      </c>
      <c r="AT84" t="s">
        <v>809</v>
      </c>
      <c r="AW84"/>
    </row>
    <row r="85" spans="1:49" ht="15" customHeight="1" x14ac:dyDescent="0.25">
      <c r="A85" s="35" t="str">
        <f>IF(OR(AND(FET_config3="Dual/Power Block",LEFT(Logic!B85,4)="CSD8"),AND(FET_config3="Single Discrete",LEFT(Logic!B85,4)="CSD1")),Logic!B85,"")</f>
        <v>CSD19503KCS</v>
      </c>
      <c r="B85" s="37" t="str">
        <f>IF(OR($A85=0,$A85=""),"0",IF(LOOKUP($A85,Discrete_NFET[PARTNUMBER],Discrete_NFET[RDSON25])="(NULL)","0","1"))</f>
        <v>0</v>
      </c>
      <c r="C85" s="38" t="str">
        <f>IF(OR($A85=0,$A85=""),"0",IF(LOOKUP($A85,Discrete_NFET[PARTNUMBER],Discrete_NFET[RDSON3])="(NULL)","0","1"))</f>
        <v>0</v>
      </c>
      <c r="D85" s="40" t="str">
        <f>IF(OR($A85=0,$A85=""),"0",IF(LOOKUP($A85,Discrete_NFET[PARTNUMBER],Discrete_NFET[RDSON45])="(NULL)","0","1"))</f>
        <v>0</v>
      </c>
      <c r="E85" s="45" t="str">
        <f>IF(OR($A85=0,$A85=""),"0",IF(LOOKUP($A85,Discrete_NFET[PARTNUMBER],Discrete_NFET[RDSON6])="(NULL)","0","1"))</f>
        <v>1</v>
      </c>
      <c r="F85" s="34" t="str">
        <f>IF(OR($A85=0,$A85=""),"0",IF(LOOKUP($A85,Discrete_NFET[PARTNUMBER],Discrete_NFET[RDSON8])="(NULL)","0","1"))</f>
        <v>0</v>
      </c>
      <c r="G85" s="43" t="str">
        <f>IF(OR($A85=0,$A85=""),"0",IF(LOOKUP($A85,Discrete_NFET[PARTNUMBER],Discrete_NFET[RDSON10])="(NULL)","0","1"))</f>
        <v>1</v>
      </c>
      <c r="H85" s="36" t="b">
        <f t="shared" si="34"/>
        <v>0</v>
      </c>
      <c r="I85" s="39" t="b">
        <f t="shared" si="35"/>
        <v>0</v>
      </c>
      <c r="J85" s="41" t="b">
        <f t="shared" si="36"/>
        <v>0</v>
      </c>
      <c r="K85" s="46" t="b">
        <f t="shared" si="37"/>
        <v>1</v>
      </c>
      <c r="L85" s="42" t="b">
        <f t="shared" si="38"/>
        <v>0</v>
      </c>
      <c r="M85" s="44" t="b">
        <f t="shared" si="39"/>
        <v>1</v>
      </c>
      <c r="N85" s="47" t="b">
        <f t="shared" si="40"/>
        <v>1</v>
      </c>
      <c r="O85" s="36" t="b">
        <f t="shared" si="41"/>
        <v>0</v>
      </c>
      <c r="P85" s="39" t="b">
        <f t="shared" si="42"/>
        <v>0</v>
      </c>
      <c r="Q85" s="41" t="b">
        <f t="shared" si="43"/>
        <v>0</v>
      </c>
      <c r="R85" s="46" t="b">
        <f t="shared" si="44"/>
        <v>1</v>
      </c>
      <c r="S85" s="42" t="b">
        <f t="shared" si="45"/>
        <v>0</v>
      </c>
      <c r="T85" s="44" t="b">
        <f t="shared" si="46"/>
        <v>1</v>
      </c>
      <c r="U85" s="148">
        <f>IF(T85,LOOKUP(A85,Discrete_NFET[PARTNUMBER],Discrete_NFET[RDSON10])*1000,IF(S85,LOOKUP(A85,Discrete_NFET[PARTNUMBER],Discrete_NFET[RDSON8])*1000,IF(R85,LOOKUP(A85,Discrete_NFET[PARTNUMBER],Discrete_NFET[RDSON6])*1000,IF(Q85,LOOKUP(A85,Discrete_NFET[PARTNUMBER],Discrete_NFET[RDSON45])*1000,IF(P85,LOOKUP(A85,Discrete_NFET[PARTNUMBER],Discrete_NFET[RDSON3])*1000,IF(O85,LOOKUP(A85,Discrete_NFET[PARTNUMBER],Discrete_NFET[RDSON25])*1000,""))))))</f>
        <v>9.1999999999999993</v>
      </c>
      <c r="V85" s="48">
        <f>IF(AND(A85&lt;&gt;0,A85&lt;&gt;""),U85*(1+(Tj-25)*(LOOKUP(A85,Discrete_NFET[PARTNUMBER],Discrete_NFET[RDSDELTA])/((LOOKUP(A85,Discrete_NFET[PARTNUMBER],Discrete_NFET[TJMAX])-25)))),"")</f>
        <v>10.380666666666666</v>
      </c>
      <c r="W85" s="35">
        <f>IF(AND($A85&lt;&gt;0,$A85&lt;&gt;""),LOOKUP($A85,Discrete_NFET[PARTNUMBER],Discrete_NFET[QGS]),"")</f>
        <v>9.8000000000000007</v>
      </c>
      <c r="X85" s="35">
        <f>IF(AND($A85&lt;&gt;0,$A85&lt;&gt;""),LOOKUP($A85,Discrete_NFET[PARTNUMBER],Discrete_NFET[QGD]),"")</f>
        <v>5.4</v>
      </c>
      <c r="Y85" s="35">
        <f>IF(AND($A85&lt;&gt;0,$A85&lt;&gt;""),LOOKUP($A85,Discrete_NFET[PARTNUMBER],Discrete_NFET[QGTH]),"")</f>
        <v>6.1</v>
      </c>
      <c r="Z85" s="35">
        <f t="shared" si="47"/>
        <v>9.1000000000000014</v>
      </c>
      <c r="AA85" s="35">
        <f>IF(AND($A85&lt;&gt;0,$A85&lt;&gt;""),LOOKUP($A85,Discrete_NFET[PARTNUMBER],Discrete_NFET[QOSSTYP]),"")</f>
        <v>71</v>
      </c>
      <c r="AB85" s="35">
        <f>IF(AND($A85&lt;&gt;0,$A85&lt;&gt;""),LOOKUP($A85,Discrete_NFET[PARTNUMBER],Discrete_NFET[QRR]),"")</f>
        <v>119</v>
      </c>
      <c r="AC85" s="35">
        <f>IF(AND(A85&lt;&gt;0,A85&lt;&gt;""),LOOKUP(A85,Discrete_NFET[PARTNUMBER],Discrete_NFET[VF_TYP]),"")</f>
        <v>0.9</v>
      </c>
      <c r="AD85" s="127">
        <f>IF(AND($A85&lt;&gt;0,$A85&lt;&gt;"",OR(RIGHT(Logic!B85,2)="C)",LEFT(Logic!B85,4)="CSD1")),(1+(1-DUTY))*IM_RMS_120^2*V85*m/3/Num_FETS3,"")</f>
        <v>0.43682110521185996</v>
      </c>
      <c r="AE85" s="127">
        <f>IF(AND($A85&lt;&gt;0,$A85&lt;&gt;"",OR(RIGHT(Logic!B85,2)="C)",LEFT(Logic!B85,4)="CSD1")),Num_FETS3*0.5*IM_RMS_120*VDC_AVG*Z85*n*MOT_ELEC_FREQ/GDR_SRC,"")</f>
        <v>2.9347265221878231E-5</v>
      </c>
      <c r="AF85" s="127">
        <f>IF(AND($A85&lt;&gt;0,$A85&lt;&gt;"",OR(RIGHT(Logic!B85,2)="C)",LEFT(Logic!B85,4)="CSD1")),Num_FETS3*0.5*IM_RMS_120*VDC_AVG*Z85*n*MOT_ELEC_FREQ/GDR_SINK,"")</f>
        <v>1.9956140350877198E-5</v>
      </c>
      <c r="AG85" s="127">
        <f>IF(AND($A85&lt;&gt;0,$A85&lt;&gt;"",OR(RIGHT(Logic!B85,2)="T)",LEFT(Logic!B85,4)="CSD1")),DUTY*IM_RMS_120^2*V85*m/3/Num_FETS3,"")</f>
        <v>0.3952190951916828</v>
      </c>
      <c r="AH85" s="127">
        <f>IF(AND($A85&lt;&gt;0,$A85&lt;&gt;"",OR(RIGHT(Logic!B85,2)="T)",LEFT(Logic!B85,4)="CSD1")),Num_FETS3*0.5*IM_RMS_120*VDC_AVG*Z85*n*FSW*k/GDR_SRC/3,"")</f>
        <v>5.8694530443756457E-3</v>
      </c>
      <c r="AI85" s="127">
        <f>IF(AND($A85&lt;&gt;0,$A85&lt;&gt;"",OR(RIGHT(Logic!B85,2)="T)",LEFT(Logic!B85,4)="CSD1")),Num_FETS3*0.5*IM_RMS_120*VDC_AVG*Z85*n*FSW*k/GDR_SINK/3,"")</f>
        <v>3.9912280701754387E-3</v>
      </c>
      <c r="AJ85" s="127">
        <f t="shared" si="31"/>
        <v>8.5199999999999998E-3</v>
      </c>
      <c r="AK85" s="127">
        <f t="shared" si="32"/>
        <v>1.3966388884290052E-2</v>
      </c>
      <c r="AL85" s="127">
        <f t="shared" si="33"/>
        <v>2.86076E-2</v>
      </c>
      <c r="AM85" s="127">
        <f t="shared" si="48"/>
        <v>0.41899166652870157</v>
      </c>
      <c r="AN85" s="127">
        <f>IF(AND($A85&lt;&gt;0,$A85&lt;&gt;"",OR(RIGHT(Logic!B85,2)="C)",LEFT(Logic!B85,4)="CSD1")),SUM(AD85:AF85)+(AJ85/3)+AK85+AL85/6+AM85/6,AN86)</f>
        <v>0.52827667525650635</v>
      </c>
      <c r="AO85" s="127">
        <f>IF(AND($A85&lt;&gt;0,$A85&lt;&gt;"",OR(RIGHT(Logic!B85,2)="T)",LEFT(Logic!B85,4)="CSD1")),SUM(AG85:AI85)+(AJ85/3)+AL85/6+AM85/6,AO84)</f>
        <v>0.48251965406101743</v>
      </c>
      <c r="AP85" s="48">
        <f t="shared" si="49"/>
        <v>1.01</v>
      </c>
      <c r="AQ85" s="35" t="str">
        <f>IF(AND(A85&lt;&gt;0,A85&lt;&gt;""),LOOKUP(A85,Discrete_NFET[PARTNUMBER],Discrete_NFET[TI_EQ_PACKAGE]),"")</f>
        <v>TO-220</v>
      </c>
      <c r="AR85" s="49">
        <f>IF(AND(A85&lt;&gt;0,A85&lt;&gt;""),LOOKUP(A85,Discrete_NFET[PARTNUMBER],Discrete_NFET[1KPRICE]),"")</f>
        <v>0.56000000000000005</v>
      </c>
      <c r="AS85" s="35" t="str">
        <f>IF(AND($A85&lt;&gt;0,$A85&lt;&gt;""),CONCATENATE(TEXT(AP85,"0.00"),"W, ",IF('User Input'!H$11="Single Discrete",A85,IF('User Input'!H$11="Dual/Power Block",LEFT(A85,FIND(")",A85)-7),A85)),", ",AQ85,", ",TEXT(AR85,"$0.00")),"Invalid Part")</f>
        <v>1.01W, CSD19503KCS, TO-220, $0.56</v>
      </c>
      <c r="AT85" t="s">
        <v>867</v>
      </c>
      <c r="AW85"/>
    </row>
    <row r="86" spans="1:49" ht="15" customHeight="1" x14ac:dyDescent="0.25">
      <c r="A86" s="35" t="str">
        <f>IF(OR(AND(FET_config3="Dual/Power Block",LEFT(Logic!B86,4)="CSD8"),AND(FET_config3="Single Discrete",LEFT(Logic!B86,4)="CSD1")),Logic!B86,"")</f>
        <v>CSD19505KCS</v>
      </c>
      <c r="B86" s="37" t="str">
        <f>IF(OR($A86=0,$A86=""),"0",IF(LOOKUP($A86,Discrete_NFET[PARTNUMBER],Discrete_NFET[RDSON25])="(NULL)","0","1"))</f>
        <v>0</v>
      </c>
      <c r="C86" s="38" t="str">
        <f>IF(OR($A86=0,$A86=""),"0",IF(LOOKUP($A86,Discrete_NFET[PARTNUMBER],Discrete_NFET[RDSON3])="(NULL)","0","1"))</f>
        <v>0</v>
      </c>
      <c r="D86" s="40" t="str">
        <f>IF(OR($A86=0,$A86=""),"0",IF(LOOKUP($A86,Discrete_NFET[PARTNUMBER],Discrete_NFET[RDSON45])="(NULL)","0","1"))</f>
        <v>0</v>
      </c>
      <c r="E86" s="45" t="str">
        <f>IF(OR($A86=0,$A86=""),"0",IF(LOOKUP($A86,Discrete_NFET[PARTNUMBER],Discrete_NFET[RDSON6])="(NULL)","0","1"))</f>
        <v>1</v>
      </c>
      <c r="F86" s="34" t="str">
        <f>IF(OR($A86=0,$A86=""),"0",IF(LOOKUP($A86,Discrete_NFET[PARTNUMBER],Discrete_NFET[RDSON8])="(NULL)","0","1"))</f>
        <v>0</v>
      </c>
      <c r="G86" s="43" t="str">
        <f>IF(OR($A86=0,$A86=""),"0",IF(LOOKUP($A86,Discrete_NFET[PARTNUMBER],Discrete_NFET[RDSON10])="(NULL)","0","1"))</f>
        <v>1</v>
      </c>
      <c r="H86" s="36" t="b">
        <f t="shared" si="34"/>
        <v>0</v>
      </c>
      <c r="I86" s="39" t="b">
        <f t="shared" si="35"/>
        <v>0</v>
      </c>
      <c r="J86" s="41" t="b">
        <f t="shared" si="36"/>
        <v>0</v>
      </c>
      <c r="K86" s="46" t="b">
        <f t="shared" si="37"/>
        <v>1</v>
      </c>
      <c r="L86" s="42" t="b">
        <f t="shared" si="38"/>
        <v>0</v>
      </c>
      <c r="M86" s="44" t="b">
        <f t="shared" si="39"/>
        <v>1</v>
      </c>
      <c r="N86" s="47" t="b">
        <f t="shared" si="40"/>
        <v>1</v>
      </c>
      <c r="O86" s="36" t="b">
        <f t="shared" si="41"/>
        <v>0</v>
      </c>
      <c r="P86" s="39" t="b">
        <f t="shared" si="42"/>
        <v>0</v>
      </c>
      <c r="Q86" s="41" t="b">
        <f t="shared" si="43"/>
        <v>0</v>
      </c>
      <c r="R86" s="46" t="b">
        <f t="shared" si="44"/>
        <v>1</v>
      </c>
      <c r="S86" s="42" t="b">
        <f t="shared" si="45"/>
        <v>0</v>
      </c>
      <c r="T86" s="44" t="b">
        <f t="shared" si="46"/>
        <v>1</v>
      </c>
      <c r="U86" s="148">
        <f>IF(T86,LOOKUP(A86,Discrete_NFET[PARTNUMBER],Discrete_NFET[RDSON10])*1000,IF(S86,LOOKUP(A86,Discrete_NFET[PARTNUMBER],Discrete_NFET[RDSON8])*1000,IF(R86,LOOKUP(A86,Discrete_NFET[PARTNUMBER],Discrete_NFET[RDSON6])*1000,IF(Q86,LOOKUP(A86,Discrete_NFET[PARTNUMBER],Discrete_NFET[RDSON45])*1000,IF(P86,LOOKUP(A86,Discrete_NFET[PARTNUMBER],Discrete_NFET[RDSON3])*1000,IF(O86,LOOKUP(A86,Discrete_NFET[PARTNUMBER],Discrete_NFET[RDSON25])*1000,""))))))</f>
        <v>3.1</v>
      </c>
      <c r="V86" s="48">
        <f>IF(AND(A86&lt;&gt;0,A86&lt;&gt;""),U86*(1+(Tj-25)*(LOOKUP(A86,Discrete_NFET[PARTNUMBER],Discrete_NFET[RDSDELTA])/((LOOKUP(A86,Discrete_NFET[PARTNUMBER],Discrete_NFET[TJMAX])-25)))),"")</f>
        <v>3.5753333333333335</v>
      </c>
      <c r="W86" s="35">
        <f>IF(AND($A86&lt;&gt;0,$A86&lt;&gt;""),LOOKUP($A86,Discrete_NFET[PARTNUMBER],Discrete_NFET[QGS]),"")</f>
        <v>25</v>
      </c>
      <c r="X86" s="35">
        <f>IF(AND($A86&lt;&gt;0,$A86&lt;&gt;""),LOOKUP($A86,Discrete_NFET[PARTNUMBER],Discrete_NFET[QGD]),"")</f>
        <v>11</v>
      </c>
      <c r="Y86" s="35">
        <f>IF(AND($A86&lt;&gt;0,$A86&lt;&gt;""),LOOKUP($A86,Discrete_NFET[PARTNUMBER],Discrete_NFET[QGTH]),"")</f>
        <v>15</v>
      </c>
      <c r="Z86" s="35">
        <f t="shared" si="47"/>
        <v>21</v>
      </c>
      <c r="AA86" s="35">
        <f>IF(AND($A86&lt;&gt;0,$A86&lt;&gt;""),LOOKUP($A86,Discrete_NFET[PARTNUMBER],Discrete_NFET[QOSSTYP]),"")</f>
        <v>214</v>
      </c>
      <c r="AB86" s="35">
        <f>IF(AND($A86&lt;&gt;0,$A86&lt;&gt;""),LOOKUP($A86,Discrete_NFET[PARTNUMBER],Discrete_NFET[QRR]),"")</f>
        <v>400</v>
      </c>
      <c r="AC86" s="35">
        <f>IF(AND(A86&lt;&gt;0,A86&lt;&gt;""),LOOKUP(A86,Discrete_NFET[PARTNUMBER],Discrete_NFET[VF_TYP]),"")</f>
        <v>0.9</v>
      </c>
      <c r="AD86" s="127">
        <f>IF(AND($A86&lt;&gt;0,$A86&lt;&gt;"",OR(RIGHT(Logic!B86,2)="C)",LEFT(Logic!B86,4)="CSD1")),(1+(1-DUTY))*IM_RMS_120^2*V86*m/3/Num_FETS3,"")</f>
        <v>0.1504509400328306</v>
      </c>
      <c r="AE86" s="127">
        <f>IF(AND($A86&lt;&gt;0,$A86&lt;&gt;"",OR(RIGHT(Logic!B86,2)="C)",LEFT(Logic!B86,4)="CSD1")),Num_FETS3*0.5*IM_RMS_120*VDC_AVG*Z86*n*MOT_ELEC_FREQ/GDR_SRC,"")</f>
        <v>6.7724458204334356E-5</v>
      </c>
      <c r="AF86" s="127">
        <f>IF(AND($A86&lt;&gt;0,$A86&lt;&gt;"",OR(RIGHT(Logic!B86,2)="C)",LEFT(Logic!B86,4)="CSD1")),Num_FETS3*0.5*IM_RMS_120*VDC_AVG*Z86*n*MOT_ELEC_FREQ/GDR_SINK,"")</f>
        <v>4.6052631578947363E-5</v>
      </c>
      <c r="AG86" s="127">
        <f>IF(AND($A86&lt;&gt;0,$A86&lt;&gt;"",OR(RIGHT(Logic!B86,2)="T)",LEFT(Logic!B86,4)="CSD1")),DUTY*IM_RMS_120^2*V86*m/3/Num_FETS3,"")</f>
        <v>0.13612227907732291</v>
      </c>
      <c r="AH86" s="127">
        <f>IF(AND($A86&lt;&gt;0,$A86&lt;&gt;"",OR(RIGHT(Logic!B86,2)="T)",LEFT(Logic!B86,4)="CSD1")),Num_FETS3*0.5*IM_RMS_120*VDC_AVG*Z86*n*FSW*k/GDR_SRC/3,"")</f>
        <v>1.354489164086687E-2</v>
      </c>
      <c r="AI86" s="127">
        <f>IF(AND($A86&lt;&gt;0,$A86&lt;&gt;"",OR(RIGHT(Logic!B86,2)="T)",LEFT(Logic!B86,4)="CSD1")),Num_FETS3*0.5*IM_RMS_120*VDC_AVG*Z86*n*FSW*k/GDR_SINK/3,"")</f>
        <v>9.2105263157894728E-3</v>
      </c>
      <c r="AJ86" s="127">
        <f t="shared" si="31"/>
        <v>2.5680000000000001E-2</v>
      </c>
      <c r="AK86" s="127">
        <f t="shared" si="32"/>
        <v>1.3966388884290052E-2</v>
      </c>
      <c r="AL86" s="127">
        <f t="shared" si="33"/>
        <v>9.6160000000000009E-2</v>
      </c>
      <c r="AM86" s="127">
        <f t="shared" si="48"/>
        <v>0.41899166652870157</v>
      </c>
      <c r="AN86" s="127">
        <f>IF(AND($A86&lt;&gt;0,$A86&lt;&gt;"",OR(RIGHT(Logic!B86,2)="C)",LEFT(Logic!B86,4)="CSD1")),SUM(AD86:AF86)+(AJ86/3)+AK86+AL86/6+AM86/6,AN87)</f>
        <v>0.25894971709502085</v>
      </c>
      <c r="AO86" s="127">
        <f>IF(AND($A86&lt;&gt;0,$A86&lt;&gt;"",OR(RIGHT(Logic!B86,2)="T)",LEFT(Logic!B86,4)="CSD1")),SUM(AG86:AI86)+(AJ86/3)+AL86/6+AM86/6,AO85)</f>
        <v>0.25329630812209619</v>
      </c>
      <c r="AP86" s="48">
        <f t="shared" si="49"/>
        <v>0.51</v>
      </c>
      <c r="AQ86" s="35" t="str">
        <f>IF(AND(A86&lt;&gt;0,A86&lt;&gt;""),LOOKUP(A86,Discrete_NFET[PARTNUMBER],Discrete_NFET[TI_EQ_PACKAGE]),"")</f>
        <v>TO-220</v>
      </c>
      <c r="AR86" s="49">
        <f>IF(AND(A86&lt;&gt;0,A86&lt;&gt;""),LOOKUP(A86,Discrete_NFET[PARTNUMBER],Discrete_NFET[1KPRICE]),"")</f>
        <v>1.21</v>
      </c>
      <c r="AS86" s="35" t="str">
        <f>IF(AND($A86&lt;&gt;0,$A86&lt;&gt;""),CONCATENATE(TEXT(AP86,"0.00"),"W, ",IF('User Input'!H$11="Single Discrete",A86,IF('User Input'!H$11="Dual/Power Block",LEFT(A86,FIND(")",A86)-7),A86)),", ",AQ86,", ",TEXT(AR86,"$0.00")),"Invalid Part")</f>
        <v>0.51W, CSD19505KCS, TO-220, $1.21</v>
      </c>
      <c r="AT86" t="s">
        <v>866</v>
      </c>
      <c r="AW86"/>
    </row>
    <row r="87" spans="1:49" ht="15" customHeight="1" x14ac:dyDescent="0.25">
      <c r="A87" s="35" t="str">
        <f>IF(OR(AND(FET_config3="Dual/Power Block",LEFT(Logic!B87,4)="CSD8"),AND(FET_config3="Single Discrete",LEFT(Logic!B87,4)="CSD1")),Logic!B87,"")</f>
        <v>CSD19505KTT</v>
      </c>
      <c r="B87" s="37" t="str">
        <f>IF(OR($A87=0,$A87=""),"0",IF(LOOKUP($A87,Discrete_NFET[PARTNUMBER],Discrete_NFET[RDSON25])="(NULL)","0","1"))</f>
        <v>0</v>
      </c>
      <c r="C87" s="38" t="str">
        <f>IF(OR($A87=0,$A87=""),"0",IF(LOOKUP($A87,Discrete_NFET[PARTNUMBER],Discrete_NFET[RDSON3])="(NULL)","0","1"))</f>
        <v>0</v>
      </c>
      <c r="D87" s="40" t="str">
        <f>IF(OR($A87=0,$A87=""),"0",IF(LOOKUP($A87,Discrete_NFET[PARTNUMBER],Discrete_NFET[RDSON45])="(NULL)","0","1"))</f>
        <v>0</v>
      </c>
      <c r="E87" s="45" t="str">
        <f>IF(OR($A87=0,$A87=""),"0",IF(LOOKUP($A87,Discrete_NFET[PARTNUMBER],Discrete_NFET[RDSON6])="(NULL)","0","1"))</f>
        <v>1</v>
      </c>
      <c r="F87" s="34" t="str">
        <f>IF(OR($A87=0,$A87=""),"0",IF(LOOKUP($A87,Discrete_NFET[PARTNUMBER],Discrete_NFET[RDSON8])="(NULL)","0","1"))</f>
        <v>0</v>
      </c>
      <c r="G87" s="43" t="str">
        <f>IF(OR($A87=0,$A87=""),"0",IF(LOOKUP($A87,Discrete_NFET[PARTNUMBER],Discrete_NFET[RDSON10])="(NULL)","0","1"))</f>
        <v>1</v>
      </c>
      <c r="H87" s="36" t="b">
        <f t="shared" si="34"/>
        <v>0</v>
      </c>
      <c r="I87" s="39" t="b">
        <f t="shared" si="35"/>
        <v>0</v>
      </c>
      <c r="J87" s="41" t="b">
        <f t="shared" si="36"/>
        <v>0</v>
      </c>
      <c r="K87" s="46" t="b">
        <f t="shared" si="37"/>
        <v>1</v>
      </c>
      <c r="L87" s="42" t="b">
        <f t="shared" si="38"/>
        <v>0</v>
      </c>
      <c r="M87" s="44" t="b">
        <f t="shared" si="39"/>
        <v>1</v>
      </c>
      <c r="N87" s="47" t="b">
        <f t="shared" si="40"/>
        <v>1</v>
      </c>
      <c r="O87" s="36" t="b">
        <f t="shared" si="41"/>
        <v>0</v>
      </c>
      <c r="P87" s="39" t="b">
        <f t="shared" si="42"/>
        <v>0</v>
      </c>
      <c r="Q87" s="41" t="b">
        <f t="shared" si="43"/>
        <v>0</v>
      </c>
      <c r="R87" s="46" t="b">
        <f t="shared" si="44"/>
        <v>1</v>
      </c>
      <c r="S87" s="42" t="b">
        <f t="shared" si="45"/>
        <v>0</v>
      </c>
      <c r="T87" s="44" t="b">
        <f t="shared" si="46"/>
        <v>1</v>
      </c>
      <c r="U87" s="148">
        <f>IF(T87,LOOKUP(A87,Discrete_NFET[PARTNUMBER],Discrete_NFET[RDSON10])*1000,IF(S87,LOOKUP(A87,Discrete_NFET[PARTNUMBER],Discrete_NFET[RDSON8])*1000,IF(R87,LOOKUP(A87,Discrete_NFET[PARTNUMBER],Discrete_NFET[RDSON6])*1000,IF(Q87,LOOKUP(A87,Discrete_NFET[PARTNUMBER],Discrete_NFET[RDSON45])*1000,IF(P87,LOOKUP(A87,Discrete_NFET[PARTNUMBER],Discrete_NFET[RDSON3])*1000,IF(O87,LOOKUP(A87,Discrete_NFET[PARTNUMBER],Discrete_NFET[RDSON25])*1000,""))))))</f>
        <v>3.1</v>
      </c>
      <c r="V87" s="48">
        <f>IF(AND(A87&lt;&gt;0,A87&lt;&gt;""),U87*(1+(Tj-25)*(LOOKUP(A87,Discrete_NFET[PARTNUMBER],Discrete_NFET[RDSDELTA])/((LOOKUP(A87,Discrete_NFET[PARTNUMBER],Discrete_NFET[TJMAX])-25)))),"")</f>
        <v>3.5753333333333335</v>
      </c>
      <c r="W87" s="35">
        <f>IF(AND($A87&lt;&gt;0,$A87&lt;&gt;""),LOOKUP($A87,Discrete_NFET[PARTNUMBER],Discrete_NFET[QGS]),"")</f>
        <v>25</v>
      </c>
      <c r="X87" s="35">
        <f>IF(AND($A87&lt;&gt;0,$A87&lt;&gt;""),LOOKUP($A87,Discrete_NFET[PARTNUMBER],Discrete_NFET[QGD]),"")</f>
        <v>11</v>
      </c>
      <c r="Y87" s="35">
        <f>IF(AND($A87&lt;&gt;0,$A87&lt;&gt;""),LOOKUP($A87,Discrete_NFET[PARTNUMBER],Discrete_NFET[QGTH]),"")</f>
        <v>15</v>
      </c>
      <c r="Z87" s="35">
        <f t="shared" si="47"/>
        <v>21</v>
      </c>
      <c r="AA87" s="35">
        <f>IF(AND($A87&lt;&gt;0,$A87&lt;&gt;""),LOOKUP($A87,Discrete_NFET[PARTNUMBER],Discrete_NFET[QOSSTYP]),"")</f>
        <v>214</v>
      </c>
      <c r="AB87" s="35">
        <f>IF(AND($A87&lt;&gt;0,$A87&lt;&gt;""),LOOKUP($A87,Discrete_NFET[PARTNUMBER],Discrete_NFET[QRR]),"")</f>
        <v>400</v>
      </c>
      <c r="AC87" s="35">
        <f>IF(AND(A87&lt;&gt;0,A87&lt;&gt;""),LOOKUP(A87,Discrete_NFET[PARTNUMBER],Discrete_NFET[VF_TYP]),"")</f>
        <v>0.9</v>
      </c>
      <c r="AD87" s="127">
        <f>IF(AND($A87&lt;&gt;0,$A87&lt;&gt;"",OR(RIGHT(Logic!B87,2)="C)",LEFT(Logic!B87,4)="CSD1")),(1+(1-DUTY))*IM_RMS_120^2*V87*m/3/Num_FETS3,"")</f>
        <v>0.1504509400328306</v>
      </c>
      <c r="AE87" s="127">
        <f>IF(AND($A87&lt;&gt;0,$A87&lt;&gt;"",OR(RIGHT(Logic!B87,2)="C)",LEFT(Logic!B87,4)="CSD1")),Num_FETS3*0.5*IM_RMS_120*VDC_AVG*Z87*n*MOT_ELEC_FREQ/GDR_SRC,"")</f>
        <v>6.7724458204334356E-5</v>
      </c>
      <c r="AF87" s="127">
        <f>IF(AND($A87&lt;&gt;0,$A87&lt;&gt;"",OR(RIGHT(Logic!B87,2)="C)",LEFT(Logic!B87,4)="CSD1")),Num_FETS3*0.5*IM_RMS_120*VDC_AVG*Z87*n*MOT_ELEC_FREQ/GDR_SINK,"")</f>
        <v>4.6052631578947363E-5</v>
      </c>
      <c r="AG87" s="127">
        <f>IF(AND($A87&lt;&gt;0,$A87&lt;&gt;"",OR(RIGHT(Logic!B87,2)="T)",LEFT(Logic!B87,4)="CSD1")),DUTY*IM_RMS_120^2*V87*m/3/Num_FETS3,"")</f>
        <v>0.13612227907732291</v>
      </c>
      <c r="AH87" s="127">
        <f>IF(AND($A87&lt;&gt;0,$A87&lt;&gt;"",OR(RIGHT(Logic!B87,2)="T)",LEFT(Logic!B87,4)="CSD1")),Num_FETS3*0.5*IM_RMS_120*VDC_AVG*Z87*n*FSW*k/GDR_SRC/3,"")</f>
        <v>1.354489164086687E-2</v>
      </c>
      <c r="AI87" s="127">
        <f>IF(AND($A87&lt;&gt;0,$A87&lt;&gt;"",OR(RIGHT(Logic!B87,2)="T)",LEFT(Logic!B87,4)="CSD1")),Num_FETS3*0.5*IM_RMS_120*VDC_AVG*Z87*n*FSW*k/GDR_SINK/3,"")</f>
        <v>9.2105263157894728E-3</v>
      </c>
      <c r="AJ87" s="127">
        <f t="shared" si="31"/>
        <v>2.5680000000000001E-2</v>
      </c>
      <c r="AK87" s="127">
        <f t="shared" si="32"/>
        <v>1.3966388884290052E-2</v>
      </c>
      <c r="AL87" s="127">
        <f t="shared" si="33"/>
        <v>9.6160000000000009E-2</v>
      </c>
      <c r="AM87" s="127">
        <f t="shared" si="48"/>
        <v>0.41899166652870157</v>
      </c>
      <c r="AN87" s="127">
        <f>IF(AND($A87&lt;&gt;0,$A87&lt;&gt;"",OR(RIGHT(Logic!B87,2)="C)",LEFT(Logic!B87,4)="CSD1")),SUM(AD87:AF87)+(AJ87/3)+AK87+AL87/6+AM87/6,AN88)</f>
        <v>0.25894971709502085</v>
      </c>
      <c r="AO87" s="127">
        <f>IF(AND($A87&lt;&gt;0,$A87&lt;&gt;"",OR(RIGHT(Logic!B87,2)="T)",LEFT(Logic!B87,4)="CSD1")),SUM(AG87:AI87)+(AJ87/3)+AL87/6+AM87/6,AO86)</f>
        <v>0.25329630812209619</v>
      </c>
      <c r="AP87" s="48">
        <f t="shared" si="49"/>
        <v>0.51</v>
      </c>
      <c r="AQ87" s="35" t="str">
        <f>IF(AND(A87&lt;&gt;0,A87&lt;&gt;""),LOOKUP(A87,Discrete_NFET[PARTNUMBER],Discrete_NFET[TI_EQ_PACKAGE]),"")</f>
        <v>DDPAK</v>
      </c>
      <c r="AR87" s="49">
        <f>IF(AND(A87&lt;&gt;0,A87&lt;&gt;""),LOOKUP(A87,Discrete_NFET[PARTNUMBER],Discrete_NFET[1KPRICE]),"")</f>
        <v>1.25</v>
      </c>
      <c r="AS87" s="35" t="str">
        <f>IF(AND($A87&lt;&gt;0,$A87&lt;&gt;""),CONCATENATE(TEXT(AP87,"0.00"),"W, ",IF('User Input'!H$11="Single Discrete",A87,IF('User Input'!H$11="Dual/Power Block",LEFT(A87,FIND(")",A87)-7),A87)),", ",AQ87,", ",TEXT(AR87,"$0.00")),"Invalid Part")</f>
        <v>0.51W, CSD19505KTT, DDPAK, $1.25</v>
      </c>
      <c r="AT87" t="s">
        <v>807</v>
      </c>
      <c r="AW87"/>
    </row>
    <row r="88" spans="1:49" ht="15" customHeight="1" x14ac:dyDescent="0.25">
      <c r="A88" s="35" t="str">
        <f>IF(OR(AND(FET_config3="Dual/Power Block",LEFT(Logic!B88,4)="CSD8"),AND(FET_config3="Single Discrete",LEFT(Logic!B88,4)="CSD1")),Logic!B88,"")</f>
        <v>CSD19506KCS</v>
      </c>
      <c r="B88" s="37" t="str">
        <f>IF(OR($A88=0,$A88=""),"0",IF(LOOKUP($A88,Discrete_NFET[PARTNUMBER],Discrete_NFET[RDSON25])="(NULL)","0","1"))</f>
        <v>0</v>
      </c>
      <c r="C88" s="38" t="str">
        <f>IF(OR($A88=0,$A88=""),"0",IF(LOOKUP($A88,Discrete_NFET[PARTNUMBER],Discrete_NFET[RDSON3])="(NULL)","0","1"))</f>
        <v>0</v>
      </c>
      <c r="D88" s="40" t="str">
        <f>IF(OR($A88=0,$A88=""),"0",IF(LOOKUP($A88,Discrete_NFET[PARTNUMBER],Discrete_NFET[RDSON45])="(NULL)","0","1"))</f>
        <v>0</v>
      </c>
      <c r="E88" s="45" t="str">
        <f>IF(OR($A88=0,$A88=""),"0",IF(LOOKUP($A88,Discrete_NFET[PARTNUMBER],Discrete_NFET[RDSON6])="(NULL)","0","1"))</f>
        <v>1</v>
      </c>
      <c r="F88" s="34" t="str">
        <f>IF(OR($A88=0,$A88=""),"0",IF(LOOKUP($A88,Discrete_NFET[PARTNUMBER],Discrete_NFET[RDSON8])="(NULL)","0","1"))</f>
        <v>0</v>
      </c>
      <c r="G88" s="43" t="str">
        <f>IF(OR($A88=0,$A88=""),"0",IF(LOOKUP($A88,Discrete_NFET[PARTNUMBER],Discrete_NFET[RDSON10])="(NULL)","0","1"))</f>
        <v>1</v>
      </c>
      <c r="H88" s="36" t="b">
        <f t="shared" si="34"/>
        <v>0</v>
      </c>
      <c r="I88" s="39" t="b">
        <f t="shared" si="35"/>
        <v>0</v>
      </c>
      <c r="J88" s="41" t="b">
        <f t="shared" si="36"/>
        <v>0</v>
      </c>
      <c r="K88" s="46" t="b">
        <f t="shared" si="37"/>
        <v>1</v>
      </c>
      <c r="L88" s="42" t="b">
        <f t="shared" si="38"/>
        <v>0</v>
      </c>
      <c r="M88" s="44" t="b">
        <f t="shared" si="39"/>
        <v>1</v>
      </c>
      <c r="N88" s="47" t="b">
        <f t="shared" si="40"/>
        <v>1</v>
      </c>
      <c r="O88" s="36" t="b">
        <f t="shared" si="41"/>
        <v>0</v>
      </c>
      <c r="P88" s="39" t="b">
        <f t="shared" si="42"/>
        <v>0</v>
      </c>
      <c r="Q88" s="41" t="b">
        <f t="shared" si="43"/>
        <v>0</v>
      </c>
      <c r="R88" s="46" t="b">
        <f t="shared" si="44"/>
        <v>1</v>
      </c>
      <c r="S88" s="42" t="b">
        <f t="shared" si="45"/>
        <v>0</v>
      </c>
      <c r="T88" s="44" t="b">
        <f t="shared" si="46"/>
        <v>1</v>
      </c>
      <c r="U88" s="148">
        <f>IF(T88,LOOKUP(A88,Discrete_NFET[PARTNUMBER],Discrete_NFET[RDSON10])*1000,IF(S88,LOOKUP(A88,Discrete_NFET[PARTNUMBER],Discrete_NFET[RDSON8])*1000,IF(R88,LOOKUP(A88,Discrete_NFET[PARTNUMBER],Discrete_NFET[RDSON6])*1000,IF(Q88,LOOKUP(A88,Discrete_NFET[PARTNUMBER],Discrete_NFET[RDSON45])*1000,IF(P88,LOOKUP(A88,Discrete_NFET[PARTNUMBER],Discrete_NFET[RDSON3])*1000,IF(O88,LOOKUP(A88,Discrete_NFET[PARTNUMBER],Discrete_NFET[RDSON25])*1000,""))))))</f>
        <v>2.2999999999999998</v>
      </c>
      <c r="V88" s="48">
        <f>IF(AND(A88&lt;&gt;0,A88&lt;&gt;""),U88*(1+(Tj-25)*(LOOKUP(A88,Discrete_NFET[PARTNUMBER],Discrete_NFET[RDSDELTA])/((LOOKUP(A88,Discrete_NFET[PARTNUMBER],Discrete_NFET[TJMAX])-25)))),"")</f>
        <v>2.6143333333333332</v>
      </c>
      <c r="W88" s="35">
        <f>IF(AND($A88&lt;&gt;0,$A88&lt;&gt;""),LOOKUP($A88,Discrete_NFET[PARTNUMBER],Discrete_NFET[QGS]),"")</f>
        <v>37</v>
      </c>
      <c r="X88" s="35">
        <f>IF(AND($A88&lt;&gt;0,$A88&lt;&gt;""),LOOKUP($A88,Discrete_NFET[PARTNUMBER],Discrete_NFET[QGD]),"")</f>
        <v>20</v>
      </c>
      <c r="Y88" s="35">
        <f>IF(AND($A88&lt;&gt;0,$A88&lt;&gt;""),LOOKUP($A88,Discrete_NFET[PARTNUMBER],Discrete_NFET[QGTH]),"")</f>
        <v>25</v>
      </c>
      <c r="Z88" s="35">
        <f t="shared" si="47"/>
        <v>32</v>
      </c>
      <c r="AA88" s="35">
        <f>IF(AND($A88&lt;&gt;0,$A88&lt;&gt;""),LOOKUP($A88,Discrete_NFET[PARTNUMBER],Discrete_NFET[QOSSTYP]),"")</f>
        <v>345</v>
      </c>
      <c r="AB88" s="35">
        <f>IF(AND($A88&lt;&gt;0,$A88&lt;&gt;""),LOOKUP($A88,Discrete_NFET[PARTNUMBER],Discrete_NFET[QRR]),"")</f>
        <v>525</v>
      </c>
      <c r="AC88" s="35">
        <f>IF(AND(A88&lt;&gt;0,A88&lt;&gt;""),LOOKUP(A88,Discrete_NFET[PARTNUMBER],Discrete_NFET[VF_TYP]),"")</f>
        <v>0.9</v>
      </c>
      <c r="AD88" s="127">
        <f>IF(AND($A88&lt;&gt;0,$A88&lt;&gt;"",OR(RIGHT(Logic!B88,2)="C)",LEFT(Logic!B88,4)="CSD1")),(1+(1-DUTY))*IM_RMS_120^2*V88*m/3/Num_FETS3,"")</f>
        <v>0.11001181453267671</v>
      </c>
      <c r="AE88" s="127">
        <f>IF(AND($A88&lt;&gt;0,$A88&lt;&gt;"",OR(RIGHT(Logic!B88,2)="C)",LEFT(Logic!B88,4)="CSD1")),Num_FETS3*0.5*IM_RMS_120*VDC_AVG*Z88*n*MOT_ELEC_FREQ/GDR_SRC,"")</f>
        <v>1.0319917440660473E-4</v>
      </c>
      <c r="AF88" s="127">
        <f>IF(AND($A88&lt;&gt;0,$A88&lt;&gt;"",OR(RIGHT(Logic!B88,2)="C)",LEFT(Logic!B88,4)="CSD1")),Num_FETS3*0.5*IM_RMS_120*VDC_AVG*Z88*n*MOT_ELEC_FREQ/GDR_SINK,"")</f>
        <v>7.0175438596491223E-5</v>
      </c>
      <c r="AG88" s="127">
        <f>IF(AND($A88&lt;&gt;0,$A88&lt;&gt;"",OR(RIGHT(Logic!B88,2)="T)",LEFT(Logic!B88,4)="CSD1")),DUTY*IM_RMS_120^2*V88*m/3/Num_FETS3,"")</f>
        <v>9.953449886289796E-2</v>
      </c>
      <c r="AH88" s="127">
        <f>IF(AND($A88&lt;&gt;0,$A88&lt;&gt;"",OR(RIGHT(Logic!B88,2)="T)",LEFT(Logic!B88,4)="CSD1")),Num_FETS3*0.5*IM_RMS_120*VDC_AVG*Z88*n*FSW*k/GDR_SRC/3,"")</f>
        <v>2.0639834881320946E-2</v>
      </c>
      <c r="AI88" s="127">
        <f>IF(AND($A88&lt;&gt;0,$A88&lt;&gt;"",OR(RIGHT(Logic!B88,2)="T)",LEFT(Logic!B88,4)="CSD1")),Num_FETS3*0.5*IM_RMS_120*VDC_AVG*Z88*n*FSW*k/GDR_SINK/3,"")</f>
        <v>1.4035087719298242E-2</v>
      </c>
      <c r="AJ88" s="127">
        <f t="shared" si="31"/>
        <v>4.1399999999999999E-2</v>
      </c>
      <c r="AK88" s="127">
        <f t="shared" si="32"/>
        <v>1.3966388884290052E-2</v>
      </c>
      <c r="AL88" s="127">
        <f t="shared" si="33"/>
        <v>0.12620999999999999</v>
      </c>
      <c r="AM88" s="127">
        <f t="shared" si="48"/>
        <v>0.41899166652870157</v>
      </c>
      <c r="AN88" s="127">
        <f>IF(AND($A88&lt;&gt;0,$A88&lt;&gt;"",OR(RIGHT(Logic!B88,2)="C)",LEFT(Logic!B88,4)="CSD1")),SUM(AD88:AF88)+(AJ88/3)+AK88+AL88/6+AM88/6,AN89)</f>
        <v>0.22881852245142009</v>
      </c>
      <c r="AO88" s="127">
        <f>IF(AND($A88&lt;&gt;0,$A88&lt;&gt;"",OR(RIGHT(Logic!B88,2)="T)",LEFT(Logic!B88,4)="CSD1")),SUM(AG88:AI88)+(AJ88/3)+AL88/6+AM88/6,AO87)</f>
        <v>0.23887636588496741</v>
      </c>
      <c r="AP88" s="48">
        <f t="shared" si="49"/>
        <v>0.47</v>
      </c>
      <c r="AQ88" s="35" t="str">
        <f>IF(AND(A88&lt;&gt;0,A88&lt;&gt;""),LOOKUP(A88,Discrete_NFET[PARTNUMBER],Discrete_NFET[TI_EQ_PACKAGE]),"")</f>
        <v>TO-220</v>
      </c>
      <c r="AR88" s="49">
        <f>IF(AND(A88&lt;&gt;0,A88&lt;&gt;""),LOOKUP(A88,Discrete_NFET[PARTNUMBER],Discrete_NFET[1KPRICE]),"")</f>
        <v>1.83</v>
      </c>
      <c r="AS88" s="35" t="str">
        <f>IF(AND($A88&lt;&gt;0,$A88&lt;&gt;""),CONCATENATE(TEXT(AP88,"0.00"),"W, ",IF('User Input'!H$11="Single Discrete",A88,IF('User Input'!H$11="Dual/Power Block",LEFT(A88,FIND(")",A88)-7),A88)),", ",AQ88,", ",TEXT(AR88,"$0.00")),"Invalid Part")</f>
        <v>0.47W, CSD19506KCS, TO-220, $1.83</v>
      </c>
      <c r="AT88" t="s">
        <v>825</v>
      </c>
      <c r="AW88"/>
    </row>
    <row r="89" spans="1:49" ht="15" customHeight="1" x14ac:dyDescent="0.25">
      <c r="A89" s="35" t="str">
        <f>IF(OR(AND(FET_config3="Dual/Power Block",LEFT(Logic!B89,4)="CSD8"),AND(FET_config3="Single Discrete",LEFT(Logic!B89,4)="CSD1")),Logic!B89,"")</f>
        <v>CSD19506KTT</v>
      </c>
      <c r="B89" s="37" t="str">
        <f>IF(OR($A89=0,$A89=""),"0",IF(LOOKUP($A89,Discrete_NFET[PARTNUMBER],Discrete_NFET[RDSON25])="(NULL)","0","1"))</f>
        <v>0</v>
      </c>
      <c r="C89" s="38" t="str">
        <f>IF(OR($A89=0,$A89=""),"0",IF(LOOKUP($A89,Discrete_NFET[PARTNUMBER],Discrete_NFET[RDSON3])="(NULL)","0","1"))</f>
        <v>0</v>
      </c>
      <c r="D89" s="40" t="str">
        <f>IF(OR($A89=0,$A89=""),"0",IF(LOOKUP($A89,Discrete_NFET[PARTNUMBER],Discrete_NFET[RDSON45])="(NULL)","0","1"))</f>
        <v>0</v>
      </c>
      <c r="E89" s="45" t="str">
        <f>IF(OR($A89=0,$A89=""),"0",IF(LOOKUP($A89,Discrete_NFET[PARTNUMBER],Discrete_NFET[RDSON6])="(NULL)","0","1"))</f>
        <v>1</v>
      </c>
      <c r="F89" s="34" t="str">
        <f>IF(OR($A89=0,$A89=""),"0",IF(LOOKUP($A89,Discrete_NFET[PARTNUMBER],Discrete_NFET[RDSON8])="(NULL)","0","1"))</f>
        <v>0</v>
      </c>
      <c r="G89" s="43" t="str">
        <f>IF(OR($A89=0,$A89=""),"0",IF(LOOKUP($A89,Discrete_NFET[PARTNUMBER],Discrete_NFET[RDSON10])="(NULL)","0","1"))</f>
        <v>1</v>
      </c>
      <c r="H89" s="36" t="b">
        <f t="shared" si="34"/>
        <v>0</v>
      </c>
      <c r="I89" s="39" t="b">
        <f t="shared" si="35"/>
        <v>0</v>
      </c>
      <c r="J89" s="41" t="b">
        <f t="shared" si="36"/>
        <v>0</v>
      </c>
      <c r="K89" s="46" t="b">
        <f t="shared" si="37"/>
        <v>1</v>
      </c>
      <c r="L89" s="42" t="b">
        <f t="shared" si="38"/>
        <v>0</v>
      </c>
      <c r="M89" s="44" t="b">
        <f t="shared" si="39"/>
        <v>1</v>
      </c>
      <c r="N89" s="47" t="b">
        <f t="shared" si="40"/>
        <v>1</v>
      </c>
      <c r="O89" s="36" t="b">
        <f t="shared" si="41"/>
        <v>0</v>
      </c>
      <c r="P89" s="39" t="b">
        <f t="shared" si="42"/>
        <v>0</v>
      </c>
      <c r="Q89" s="41" t="b">
        <f t="shared" si="43"/>
        <v>0</v>
      </c>
      <c r="R89" s="46" t="b">
        <f t="shared" si="44"/>
        <v>1</v>
      </c>
      <c r="S89" s="42" t="b">
        <f t="shared" si="45"/>
        <v>0</v>
      </c>
      <c r="T89" s="44" t="b">
        <f t="shared" si="46"/>
        <v>1</v>
      </c>
      <c r="U89" s="148">
        <f>IF(T89,LOOKUP(A89,Discrete_NFET[PARTNUMBER],Discrete_NFET[RDSON10])*1000,IF(S89,LOOKUP(A89,Discrete_NFET[PARTNUMBER],Discrete_NFET[RDSON8])*1000,IF(R89,LOOKUP(A89,Discrete_NFET[PARTNUMBER],Discrete_NFET[RDSON6])*1000,IF(Q89,LOOKUP(A89,Discrete_NFET[PARTNUMBER],Discrete_NFET[RDSON45])*1000,IF(P89,LOOKUP(A89,Discrete_NFET[PARTNUMBER],Discrete_NFET[RDSON3])*1000,IF(O89,LOOKUP(A89,Discrete_NFET[PARTNUMBER],Discrete_NFET[RDSON25])*1000,""))))))</f>
        <v>2.2999999999999998</v>
      </c>
      <c r="V89" s="48">
        <f>IF(AND(A89&lt;&gt;0,A89&lt;&gt;""),U89*(1+(Tj-25)*(LOOKUP(A89,Discrete_NFET[PARTNUMBER],Discrete_NFET[RDSDELTA])/((LOOKUP(A89,Discrete_NFET[PARTNUMBER],Discrete_NFET[TJMAX])-25)))),"")</f>
        <v>2.6143333333333332</v>
      </c>
      <c r="W89" s="35">
        <f>IF(AND($A89&lt;&gt;0,$A89&lt;&gt;""),LOOKUP($A89,Discrete_NFET[PARTNUMBER],Discrete_NFET[QGS]),"")</f>
        <v>37</v>
      </c>
      <c r="X89" s="35">
        <f>IF(AND($A89&lt;&gt;0,$A89&lt;&gt;""),LOOKUP($A89,Discrete_NFET[PARTNUMBER],Discrete_NFET[QGD]),"")</f>
        <v>20</v>
      </c>
      <c r="Y89" s="35">
        <f>IF(AND($A89&lt;&gt;0,$A89&lt;&gt;""),LOOKUP($A89,Discrete_NFET[PARTNUMBER],Discrete_NFET[QGTH]),"")</f>
        <v>25</v>
      </c>
      <c r="Z89" s="35">
        <f t="shared" si="47"/>
        <v>32</v>
      </c>
      <c r="AA89" s="35">
        <f>IF(AND($A89&lt;&gt;0,$A89&lt;&gt;""),LOOKUP($A89,Discrete_NFET[PARTNUMBER],Discrete_NFET[QOSSTYP]),"")</f>
        <v>345</v>
      </c>
      <c r="AB89" s="35">
        <f>IF(AND($A89&lt;&gt;0,$A89&lt;&gt;""),LOOKUP($A89,Discrete_NFET[PARTNUMBER],Discrete_NFET[QRR]),"")</f>
        <v>525</v>
      </c>
      <c r="AC89" s="35">
        <f>IF(AND(A89&lt;&gt;0,A89&lt;&gt;""),LOOKUP(A89,Discrete_NFET[PARTNUMBER],Discrete_NFET[VF_TYP]),"")</f>
        <v>0.9</v>
      </c>
      <c r="AD89" s="127">
        <f>IF(AND($A89&lt;&gt;0,$A89&lt;&gt;"",OR(RIGHT(Logic!B89,2)="C)",LEFT(Logic!B89,4)="CSD1")),(1+(1-DUTY))*IM_RMS_120^2*V89*m/3/Num_FETS3,"")</f>
        <v>0.11001181453267671</v>
      </c>
      <c r="AE89" s="127">
        <f>IF(AND($A89&lt;&gt;0,$A89&lt;&gt;"",OR(RIGHT(Logic!B89,2)="C)",LEFT(Logic!B89,4)="CSD1")),Num_FETS3*0.5*IM_RMS_120*VDC_AVG*Z89*n*MOT_ELEC_FREQ/GDR_SRC,"")</f>
        <v>1.0319917440660473E-4</v>
      </c>
      <c r="AF89" s="127">
        <f>IF(AND($A89&lt;&gt;0,$A89&lt;&gt;"",OR(RIGHT(Logic!B89,2)="C)",LEFT(Logic!B89,4)="CSD1")),Num_FETS3*0.5*IM_RMS_120*VDC_AVG*Z89*n*MOT_ELEC_FREQ/GDR_SINK,"")</f>
        <v>7.0175438596491223E-5</v>
      </c>
      <c r="AG89" s="127">
        <f>IF(AND($A89&lt;&gt;0,$A89&lt;&gt;"",OR(RIGHT(Logic!B89,2)="T)",LEFT(Logic!B89,4)="CSD1")),DUTY*IM_RMS_120^2*V89*m/3/Num_FETS3,"")</f>
        <v>9.953449886289796E-2</v>
      </c>
      <c r="AH89" s="127">
        <f>IF(AND($A89&lt;&gt;0,$A89&lt;&gt;"",OR(RIGHT(Logic!B89,2)="T)",LEFT(Logic!B89,4)="CSD1")),Num_FETS3*0.5*IM_RMS_120*VDC_AVG*Z89*n*FSW*k/GDR_SRC/3,"")</f>
        <v>2.0639834881320946E-2</v>
      </c>
      <c r="AI89" s="127">
        <f>IF(AND($A89&lt;&gt;0,$A89&lt;&gt;"",OR(RIGHT(Logic!B89,2)="T)",LEFT(Logic!B89,4)="CSD1")),Num_FETS3*0.5*IM_RMS_120*VDC_AVG*Z89*n*FSW*k/GDR_SINK/3,"")</f>
        <v>1.4035087719298242E-2</v>
      </c>
      <c r="AJ89" s="127">
        <f t="shared" si="31"/>
        <v>4.1399999999999999E-2</v>
      </c>
      <c r="AK89" s="127">
        <f t="shared" si="32"/>
        <v>1.3966388884290052E-2</v>
      </c>
      <c r="AL89" s="127">
        <f t="shared" si="33"/>
        <v>0.12620999999999999</v>
      </c>
      <c r="AM89" s="127">
        <f t="shared" si="48"/>
        <v>0.41899166652870157</v>
      </c>
      <c r="AN89" s="127">
        <f>IF(AND($A89&lt;&gt;0,$A89&lt;&gt;"",OR(RIGHT(Logic!B89,2)="C)",LEFT(Logic!B89,4)="CSD1")),SUM(AD89:AF89)+(AJ89/3)+AK89+AL89/6+AM89/6,AN90)</f>
        <v>0.22881852245142009</v>
      </c>
      <c r="AO89" s="127">
        <f>IF(AND($A89&lt;&gt;0,$A89&lt;&gt;"",OR(RIGHT(Logic!B89,2)="T)",LEFT(Logic!B89,4)="CSD1")),SUM(AG89:AI89)+(AJ89/3)+AL89/6+AM89/6,AO88)</f>
        <v>0.23887636588496741</v>
      </c>
      <c r="AP89" s="48">
        <f t="shared" si="49"/>
        <v>0.47</v>
      </c>
      <c r="AQ89" s="35" t="str">
        <f>IF(AND(A89&lt;&gt;0,A89&lt;&gt;""),LOOKUP(A89,Discrete_NFET[PARTNUMBER],Discrete_NFET[TI_EQ_PACKAGE]),"")</f>
        <v>DDPAK</v>
      </c>
      <c r="AR89" s="49">
        <f>IF(AND(A89&lt;&gt;0,A89&lt;&gt;""),LOOKUP(A89,Discrete_NFET[PARTNUMBER],Discrete_NFET[1KPRICE]),"")</f>
        <v>1.88</v>
      </c>
      <c r="AS89" s="35" t="str">
        <f>IF(AND($A89&lt;&gt;0,$A89&lt;&gt;""),CONCATENATE(TEXT(AP89,"0.00"),"W, ",IF('User Input'!H$11="Single Discrete",A89,IF('User Input'!H$11="Dual/Power Block",LEFT(A89,FIND(")",A89)-7),A89)),", ",AQ89,", ",TEXT(AR89,"$0.00")),"Invalid Part")</f>
        <v>0.47W, CSD19506KTT, DDPAK, $1.88</v>
      </c>
      <c r="AT89" t="s">
        <v>806</v>
      </c>
      <c r="AW89"/>
    </row>
    <row r="90" spans="1:49" ht="15" customHeight="1" x14ac:dyDescent="0.25">
      <c r="A90" s="35" t="str">
        <f>IF(OR(AND(FET_config3="Dual/Power Block",LEFT(Logic!B90,4)="CSD8"),AND(FET_config3="Single Discrete",LEFT(Logic!B90,4)="CSD1")),Logic!B90,"")</f>
        <v/>
      </c>
      <c r="B90" s="37" t="str">
        <f>IF(OR($A90=0,$A90=""),"0",IF(LOOKUP($A90,Discrete_NFET[PARTNUMBER],Discrete_NFET[RDSON25])="(NULL)","0","1"))</f>
        <v>0</v>
      </c>
      <c r="C90" s="38" t="str">
        <f>IF(OR($A90=0,$A90=""),"0",IF(LOOKUP($A90,Discrete_NFET[PARTNUMBER],Discrete_NFET[RDSON3])="(NULL)","0","1"))</f>
        <v>0</v>
      </c>
      <c r="D90" s="40" t="str">
        <f>IF(OR($A90=0,$A90=""),"0",IF(LOOKUP($A90,Discrete_NFET[PARTNUMBER],Discrete_NFET[RDSON45])="(NULL)","0","1"))</f>
        <v>0</v>
      </c>
      <c r="E90" s="45" t="str">
        <f>IF(OR($A90=0,$A90=""),"0",IF(LOOKUP($A90,Discrete_NFET[PARTNUMBER],Discrete_NFET[RDSON6])="(NULL)","0","1"))</f>
        <v>0</v>
      </c>
      <c r="F90" s="34" t="str">
        <f>IF(OR($A90=0,$A90=""),"0",IF(LOOKUP($A90,Discrete_NFET[PARTNUMBER],Discrete_NFET[RDSON8])="(NULL)","0","1"))</f>
        <v>0</v>
      </c>
      <c r="G90" s="43" t="str">
        <f>IF(OR($A90=0,$A90=""),"0",IF(LOOKUP($A90,Discrete_NFET[PARTNUMBER],Discrete_NFET[RDSON10])="(NULL)","0","1"))</f>
        <v>0</v>
      </c>
      <c r="H90" s="36" t="b">
        <f t="shared" si="34"/>
        <v>0</v>
      </c>
      <c r="I90" s="39" t="b">
        <f t="shared" si="35"/>
        <v>0</v>
      </c>
      <c r="J90" s="41" t="b">
        <f t="shared" si="36"/>
        <v>0</v>
      </c>
      <c r="K90" s="46" t="b">
        <f t="shared" si="37"/>
        <v>0</v>
      </c>
      <c r="L90" s="42" t="b">
        <f t="shared" si="38"/>
        <v>0</v>
      </c>
      <c r="M90" s="44" t="b">
        <f t="shared" si="39"/>
        <v>0</v>
      </c>
      <c r="N90" s="47" t="b">
        <f t="shared" si="40"/>
        <v>0</v>
      </c>
      <c r="O90" s="36" t="b">
        <f t="shared" si="41"/>
        <v>0</v>
      </c>
      <c r="P90" s="39" t="b">
        <f t="shared" si="42"/>
        <v>0</v>
      </c>
      <c r="Q90" s="41" t="b">
        <f t="shared" si="43"/>
        <v>0</v>
      </c>
      <c r="R90" s="46" t="b">
        <f t="shared" si="44"/>
        <v>0</v>
      </c>
      <c r="S90" s="42" t="b">
        <f t="shared" si="45"/>
        <v>0</v>
      </c>
      <c r="T90" s="44" t="b">
        <f t="shared" si="46"/>
        <v>0</v>
      </c>
      <c r="U90" s="148" t="str">
        <f>IF(T90,LOOKUP(A90,Discrete_NFET[PARTNUMBER],Discrete_NFET[RDSON10])*1000,IF(S90,LOOKUP(A90,Discrete_NFET[PARTNUMBER],Discrete_NFET[RDSON8])*1000,IF(R90,LOOKUP(A90,Discrete_NFET[PARTNUMBER],Discrete_NFET[RDSON6])*1000,IF(Q90,LOOKUP(A90,Discrete_NFET[PARTNUMBER],Discrete_NFET[RDSON45])*1000,IF(P90,LOOKUP(A90,Discrete_NFET[PARTNUMBER],Discrete_NFET[RDSON3])*1000,IF(O90,LOOKUP(A90,Discrete_NFET[PARTNUMBER],Discrete_NFET[RDSON25])*1000,""))))))</f>
        <v/>
      </c>
      <c r="V90" s="48" t="str">
        <f>IF(AND(A90&lt;&gt;0,A90&lt;&gt;""),U90*(1+(Tj-25)*(LOOKUP(A90,Discrete_NFET[PARTNUMBER],Discrete_NFET[RDSDELTA])/((LOOKUP(A90,Discrete_NFET[PARTNUMBER],Discrete_NFET[TJMAX])-25)))),"")</f>
        <v/>
      </c>
      <c r="W90" s="35" t="str">
        <f>IF(AND($A90&lt;&gt;0,$A90&lt;&gt;""),LOOKUP($A90,Discrete_NFET[PARTNUMBER],Discrete_NFET[QGS]),"")</f>
        <v/>
      </c>
      <c r="X90" s="35" t="str">
        <f>IF(AND($A90&lt;&gt;0,$A90&lt;&gt;""),LOOKUP($A90,Discrete_NFET[PARTNUMBER],Discrete_NFET[QGD]),"")</f>
        <v/>
      </c>
      <c r="Y90" s="35" t="str">
        <f>IF(AND($A90&lt;&gt;0,$A90&lt;&gt;""),LOOKUP($A90,Discrete_NFET[PARTNUMBER],Discrete_NFET[QGTH]),"")</f>
        <v/>
      </c>
      <c r="Z90" s="35" t="str">
        <f t="shared" si="47"/>
        <v/>
      </c>
      <c r="AA90" s="35" t="str">
        <f>IF(AND($A90&lt;&gt;0,$A90&lt;&gt;""),LOOKUP($A90,Discrete_NFET[PARTNUMBER],Discrete_NFET[QOSSTYP]),"")</f>
        <v/>
      </c>
      <c r="AB90" s="35" t="str">
        <f>IF(AND($A90&lt;&gt;0,$A90&lt;&gt;""),LOOKUP($A90,Discrete_NFET[PARTNUMBER],Discrete_NFET[QRR]),"")</f>
        <v/>
      </c>
      <c r="AC90" s="35" t="str">
        <f>IF(AND(A90&lt;&gt;0,A90&lt;&gt;""),LOOKUP(A90,Discrete_NFET[PARTNUMBER],Discrete_NFET[VF_TYP]),"")</f>
        <v/>
      </c>
      <c r="AD90" s="127" t="str">
        <f>IF(AND($A90&lt;&gt;0,$A90&lt;&gt;"",OR(RIGHT(Logic!B90,2)="C)",LEFT(Logic!B90,4)="CSD1")),(1+(1-DUTY))*IM_RMS_120^2*V90*m/3/Num_FETS3,"")</f>
        <v/>
      </c>
      <c r="AE90" s="127" t="str">
        <f>IF(AND($A90&lt;&gt;0,$A90&lt;&gt;"",OR(RIGHT(Logic!B90,2)="C)",LEFT(Logic!B90,4)="CSD1")),Num_FETS3*0.5*IM_RMS_120*VDC_AVG*Z90*n*MOT_ELEC_FREQ/GDR_SRC,"")</f>
        <v/>
      </c>
      <c r="AF90" s="127" t="str">
        <f>IF(AND($A90&lt;&gt;0,$A90&lt;&gt;"",OR(RIGHT(Logic!B90,2)="C)",LEFT(Logic!B90,4)="CSD1")),Num_FETS3*0.5*IM_RMS_120*VDC_AVG*Z90*n*MOT_ELEC_FREQ/GDR_SINK,"")</f>
        <v/>
      </c>
      <c r="AG90" s="127" t="str">
        <f>IF(AND($A90&lt;&gt;0,$A90&lt;&gt;"",OR(RIGHT(Logic!B90,2)="T)",LEFT(Logic!B90,4)="CSD1")),DUTY*IM_RMS_120^2*V90*m/3/Num_FETS3,"")</f>
        <v/>
      </c>
      <c r="AH90" s="127" t="str">
        <f>IF(AND($A90&lt;&gt;0,$A90&lt;&gt;"",OR(RIGHT(Logic!B90,2)="T)",LEFT(Logic!B90,4)="CSD1")),Num_FETS3*0.5*IM_RMS_120*VDC_AVG*Z90*n*FSW*k/GDR_SRC/3,"")</f>
        <v/>
      </c>
      <c r="AI90" s="127" t="str">
        <f>IF(AND($A90&lt;&gt;0,$A90&lt;&gt;"",OR(RIGHT(Logic!B90,2)="T)",LEFT(Logic!B90,4)="CSD1")),Num_FETS3*0.5*IM_RMS_120*VDC_AVG*Z90*n*FSW*k/GDR_SINK/3,"")</f>
        <v/>
      </c>
      <c r="AJ90" s="127" t="str">
        <f t="shared" si="31"/>
        <v/>
      </c>
      <c r="AK90" s="127" t="str">
        <f t="shared" si="32"/>
        <v/>
      </c>
      <c r="AL90" s="127" t="str">
        <f t="shared" si="33"/>
        <v/>
      </c>
      <c r="AM90" s="127" t="str">
        <f t="shared" si="48"/>
        <v/>
      </c>
      <c r="AN90" s="127">
        <f>IF(AND($A90&lt;&gt;0,$A90&lt;&gt;"",OR(RIGHT(Logic!B90,2)="C)",LEFT(Logic!B90,4)="CSD1")),SUM(AD90:AF90)+(AJ90/3)+AK90+AL90/6+AM90/6,AN91)</f>
        <v>0</v>
      </c>
      <c r="AO90" s="127">
        <f>IF(AND($A90&lt;&gt;0,$A90&lt;&gt;"",OR(RIGHT(Logic!B90,2)="T)",LEFT(Logic!B90,4)="CSD1")),SUM(AG90:AI90)+(AJ90/3)+AL90/6+AM90/6,AO89)</f>
        <v>0.23887636588496741</v>
      </c>
      <c r="AP90" s="48" t="str">
        <f t="shared" si="49"/>
        <v/>
      </c>
      <c r="AQ90" s="35" t="str">
        <f>IF(AND(A90&lt;&gt;0,A90&lt;&gt;""),LOOKUP(A90,Discrete_NFET[PARTNUMBER],Discrete_NFET[TI_EQ_PACKAGE]),"")</f>
        <v/>
      </c>
      <c r="AR90" s="49" t="str">
        <f>IF(AND(A90&lt;&gt;0,A90&lt;&gt;""),LOOKUP(A90,Discrete_NFET[PARTNUMBER],Discrete_NFET[1KPRICE]),"")</f>
        <v/>
      </c>
      <c r="AS90" s="35" t="str">
        <f>IF(AND($A90&lt;&gt;0,$A90&lt;&gt;""),CONCATENATE(TEXT(AP90,"0.00"),"W, ",IF('User Input'!H$11="Single Discrete",A90,IF('User Input'!H$11="Dual/Power Block",LEFT(A90,FIND(")",A90)-7),A90)),", ",AQ90,", ",TEXT(AR90,"$0.00")),"Invalid Part")</f>
        <v>Invalid Part</v>
      </c>
      <c r="AT90"/>
      <c r="AW90"/>
    </row>
    <row r="91" spans="1:49" ht="15" customHeight="1" x14ac:dyDescent="0.25">
      <c r="A91" s="35" t="str">
        <f>IF(OR(AND(FET_config3="Dual/Power Block",LEFT(Logic!B91,4)="CSD8"),AND(FET_config3="Single Discrete",LEFT(Logic!B91,4)="CSD1")),Logic!B91,"")</f>
        <v/>
      </c>
      <c r="B91" s="37" t="str">
        <f>IF(OR($A91=0,$A91=""),"0",IF(LOOKUP($A91,Discrete_NFET[PARTNUMBER],Discrete_NFET[RDSON25])="(NULL)","0","1"))</f>
        <v>0</v>
      </c>
      <c r="C91" s="38" t="str">
        <f>IF(OR($A91=0,$A91=""),"0",IF(LOOKUP($A91,Discrete_NFET[PARTNUMBER],Discrete_NFET[RDSON3])="(NULL)","0","1"))</f>
        <v>0</v>
      </c>
      <c r="D91" s="40" t="str">
        <f>IF(OR($A91=0,$A91=""),"0",IF(LOOKUP($A91,Discrete_NFET[PARTNUMBER],Discrete_NFET[RDSON45])="(NULL)","0","1"))</f>
        <v>0</v>
      </c>
      <c r="E91" s="45" t="str">
        <f>IF(OR($A91=0,$A91=""),"0",IF(LOOKUP($A91,Discrete_NFET[PARTNUMBER],Discrete_NFET[RDSON6])="(NULL)","0","1"))</f>
        <v>0</v>
      </c>
      <c r="F91" s="34" t="str">
        <f>IF(OR($A91=0,$A91=""),"0",IF(LOOKUP($A91,Discrete_NFET[PARTNUMBER],Discrete_NFET[RDSON8])="(NULL)","0","1"))</f>
        <v>0</v>
      </c>
      <c r="G91" s="43" t="str">
        <f>IF(OR($A91=0,$A91=""),"0",IF(LOOKUP($A91,Discrete_NFET[PARTNUMBER],Discrete_NFET[RDSON10])="(NULL)","0","1"))</f>
        <v>0</v>
      </c>
      <c r="H91" s="36" t="b">
        <f t="shared" si="34"/>
        <v>0</v>
      </c>
      <c r="I91" s="39" t="b">
        <f t="shared" si="35"/>
        <v>0</v>
      </c>
      <c r="J91" s="41" t="b">
        <f t="shared" si="36"/>
        <v>0</v>
      </c>
      <c r="K91" s="46" t="b">
        <f t="shared" si="37"/>
        <v>0</v>
      </c>
      <c r="L91" s="42" t="b">
        <f t="shared" si="38"/>
        <v>0</v>
      </c>
      <c r="M91" s="44" t="b">
        <f t="shared" si="39"/>
        <v>0</v>
      </c>
      <c r="N91" s="47" t="b">
        <f t="shared" si="40"/>
        <v>0</v>
      </c>
      <c r="O91" s="36" t="b">
        <f t="shared" si="41"/>
        <v>0</v>
      </c>
      <c r="P91" s="39" t="b">
        <f t="shared" si="42"/>
        <v>0</v>
      </c>
      <c r="Q91" s="41" t="b">
        <f t="shared" si="43"/>
        <v>0</v>
      </c>
      <c r="R91" s="46" t="b">
        <f t="shared" si="44"/>
        <v>0</v>
      </c>
      <c r="S91" s="42" t="b">
        <f t="shared" si="45"/>
        <v>0</v>
      </c>
      <c r="T91" s="44" t="b">
        <f t="shared" si="46"/>
        <v>0</v>
      </c>
      <c r="U91" s="148" t="str">
        <f>IF(T91,LOOKUP(A91,Discrete_NFET[PARTNUMBER],Discrete_NFET[RDSON10])*1000,IF(S91,LOOKUP(A91,Discrete_NFET[PARTNUMBER],Discrete_NFET[RDSON8])*1000,IF(R91,LOOKUP(A91,Discrete_NFET[PARTNUMBER],Discrete_NFET[RDSON6])*1000,IF(Q91,LOOKUP(A91,Discrete_NFET[PARTNUMBER],Discrete_NFET[RDSON45])*1000,IF(P91,LOOKUP(A91,Discrete_NFET[PARTNUMBER],Discrete_NFET[RDSON3])*1000,IF(O91,LOOKUP(A91,Discrete_NFET[PARTNUMBER],Discrete_NFET[RDSON25])*1000,""))))))</f>
        <v/>
      </c>
      <c r="V91" s="48" t="str">
        <f>IF(AND(A91&lt;&gt;0,A91&lt;&gt;""),U91*(1+(Tj-25)*(LOOKUP(A91,Discrete_NFET[PARTNUMBER],Discrete_NFET[RDSDELTA])/((LOOKUP(A91,Discrete_NFET[PARTNUMBER],Discrete_NFET[TJMAX])-25)))),"")</f>
        <v/>
      </c>
      <c r="W91" s="35" t="str">
        <f>IF(AND($A91&lt;&gt;0,$A91&lt;&gt;""),LOOKUP($A91,Discrete_NFET[PARTNUMBER],Discrete_NFET[QGS]),"")</f>
        <v/>
      </c>
      <c r="X91" s="35" t="str">
        <f>IF(AND($A91&lt;&gt;0,$A91&lt;&gt;""),LOOKUP($A91,Discrete_NFET[PARTNUMBER],Discrete_NFET[QGD]),"")</f>
        <v/>
      </c>
      <c r="Y91" s="35" t="str">
        <f>IF(AND($A91&lt;&gt;0,$A91&lt;&gt;""),LOOKUP($A91,Discrete_NFET[PARTNUMBER],Discrete_NFET[QGTH]),"")</f>
        <v/>
      </c>
      <c r="Z91" s="35" t="str">
        <f t="shared" si="47"/>
        <v/>
      </c>
      <c r="AA91" s="35" t="str">
        <f>IF(AND($A91&lt;&gt;0,$A91&lt;&gt;""),LOOKUP($A91,Discrete_NFET[PARTNUMBER],Discrete_NFET[QOSSTYP]),"")</f>
        <v/>
      </c>
      <c r="AB91" s="35" t="str">
        <f>IF(AND($A91&lt;&gt;0,$A91&lt;&gt;""),LOOKUP($A91,Discrete_NFET[PARTNUMBER],Discrete_NFET[QRR]),"")</f>
        <v/>
      </c>
      <c r="AC91" s="35" t="str">
        <f>IF(AND(A91&lt;&gt;0,A91&lt;&gt;""),LOOKUP(A91,Discrete_NFET[PARTNUMBER],Discrete_NFET[VF_TYP]),"")</f>
        <v/>
      </c>
      <c r="AD91" s="127" t="str">
        <f>IF(AND($A91&lt;&gt;0,$A91&lt;&gt;"",OR(RIGHT(Logic!B91,2)="C)",LEFT(Logic!B91,4)="CSD1")),(1+(1-DUTY))*IM_RMS_120^2*V91*m/3/Num_FETS3,"")</f>
        <v/>
      </c>
      <c r="AE91" s="127" t="str">
        <f>IF(AND($A91&lt;&gt;0,$A91&lt;&gt;"",OR(RIGHT(Logic!B91,2)="C)",LEFT(Logic!B91,4)="CSD1")),Num_FETS3*0.5*IM_RMS_120*VDC_AVG*Z91*n*MOT_ELEC_FREQ/GDR_SRC,"")</f>
        <v/>
      </c>
      <c r="AF91" s="127" t="str">
        <f>IF(AND($A91&lt;&gt;0,$A91&lt;&gt;"",OR(RIGHT(Logic!B91,2)="C)",LEFT(Logic!B91,4)="CSD1")),Num_FETS3*0.5*IM_RMS_120*VDC_AVG*Z91*n*MOT_ELEC_FREQ/GDR_SINK,"")</f>
        <v/>
      </c>
      <c r="AG91" s="127" t="str">
        <f>IF(AND($A91&lt;&gt;0,$A91&lt;&gt;"",OR(RIGHT(Logic!B91,2)="T)",LEFT(Logic!B91,4)="CSD1")),DUTY*IM_RMS_120^2*V91*m/3/Num_FETS3,"")</f>
        <v/>
      </c>
      <c r="AH91" s="127" t="str">
        <f>IF(AND($A91&lt;&gt;0,$A91&lt;&gt;"",OR(RIGHT(Logic!B91,2)="T)",LEFT(Logic!B91,4)="CSD1")),Num_FETS3*0.5*IM_RMS_120*VDC_AVG*Z91*n*FSW*k/GDR_SRC/3,"")</f>
        <v/>
      </c>
      <c r="AI91" s="127" t="str">
        <f>IF(AND($A91&lt;&gt;0,$A91&lt;&gt;"",OR(RIGHT(Logic!B91,2)="T)",LEFT(Logic!B91,4)="CSD1")),Num_FETS3*0.5*IM_RMS_120*VDC_AVG*Z91*n*FSW*k/GDR_SINK/3,"")</f>
        <v/>
      </c>
      <c r="AJ91" s="127" t="str">
        <f t="shared" si="31"/>
        <v/>
      </c>
      <c r="AK91" s="127" t="str">
        <f t="shared" si="32"/>
        <v/>
      </c>
      <c r="AL91" s="127" t="str">
        <f t="shared" si="33"/>
        <v/>
      </c>
      <c r="AM91" s="127" t="str">
        <f t="shared" si="48"/>
        <v/>
      </c>
      <c r="AN91" s="127">
        <f>IF(AND($A91&lt;&gt;0,$A91&lt;&gt;"",OR(RIGHT(Logic!B91,2)="C)",LEFT(Logic!B91,4)="CSD1")),SUM(AD91:AF91)+(AJ91/3)+AK91+AL91/6+AM91/6,AN92)</f>
        <v>0</v>
      </c>
      <c r="AO91" s="127">
        <f>IF(AND($A91&lt;&gt;0,$A91&lt;&gt;"",OR(RIGHT(Logic!B91,2)="T)",LEFT(Logic!B91,4)="CSD1")),SUM(AG91:AI91)+(AJ91/3)+AL91/6+AM91/6,AO90)</f>
        <v>0.23887636588496741</v>
      </c>
      <c r="AP91" s="48" t="str">
        <f t="shared" si="49"/>
        <v/>
      </c>
      <c r="AQ91" s="35" t="str">
        <f>IF(AND(A91&lt;&gt;0,A91&lt;&gt;""),LOOKUP(A91,Discrete_NFET[PARTNUMBER],Discrete_NFET[TI_EQ_PACKAGE]),"")</f>
        <v/>
      </c>
      <c r="AR91" s="49" t="str">
        <f>IF(AND(A91&lt;&gt;0,A91&lt;&gt;""),LOOKUP(A91,Discrete_NFET[PARTNUMBER],Discrete_NFET[1KPRICE]),"")</f>
        <v/>
      </c>
      <c r="AS91" s="35" t="str">
        <f>IF(AND($A91&lt;&gt;0,$A91&lt;&gt;""),CONCATENATE(TEXT(AP91,"0.00"),"W, ",IF('User Input'!H$11="Single Discrete",A91,IF('User Input'!H$11="Dual/Power Block",LEFT(A91,FIND(")",A91)-7),A91)),", ",AQ91,", ",TEXT(AR91,"$0.00")),"Invalid Part")</f>
        <v>Invalid Part</v>
      </c>
      <c r="AT91"/>
      <c r="AW91"/>
    </row>
    <row r="92" spans="1:49" ht="15" customHeight="1" x14ac:dyDescent="0.25">
      <c r="A92" s="35" t="str">
        <f>IF(OR(AND(FET_config3="Dual/Power Block",LEFT(Logic!B92,4)="CSD8"),AND(FET_config3="Single Discrete",LEFT(Logic!B92,4)="CSD1")),Logic!B92,"")</f>
        <v/>
      </c>
      <c r="B92" s="37" t="str">
        <f>IF(OR($A92=0,$A92=""),"0",IF(LOOKUP($A92,Discrete_NFET[PARTNUMBER],Discrete_NFET[RDSON25])="(NULL)","0","1"))</f>
        <v>0</v>
      </c>
      <c r="C92" s="38" t="str">
        <f>IF(OR($A92=0,$A92=""),"0",IF(LOOKUP($A92,Discrete_NFET[PARTNUMBER],Discrete_NFET[RDSON3])="(NULL)","0","1"))</f>
        <v>0</v>
      </c>
      <c r="D92" s="40" t="str">
        <f>IF(OR($A92=0,$A92=""),"0",IF(LOOKUP($A92,Discrete_NFET[PARTNUMBER],Discrete_NFET[RDSON45])="(NULL)","0","1"))</f>
        <v>0</v>
      </c>
      <c r="E92" s="45" t="str">
        <f>IF(OR($A92=0,$A92=""),"0",IF(LOOKUP($A92,Discrete_NFET[PARTNUMBER],Discrete_NFET[RDSON6])="(NULL)","0","1"))</f>
        <v>0</v>
      </c>
      <c r="F92" s="34" t="str">
        <f>IF(OR($A92=0,$A92=""),"0",IF(LOOKUP($A92,Discrete_NFET[PARTNUMBER],Discrete_NFET[RDSON8])="(NULL)","0","1"))</f>
        <v>0</v>
      </c>
      <c r="G92" s="43" t="str">
        <f>IF(OR($A92=0,$A92=""),"0",IF(LOOKUP($A92,Discrete_NFET[PARTNUMBER],Discrete_NFET[RDSON10])="(NULL)","0","1"))</f>
        <v>0</v>
      </c>
      <c r="H92" s="36" t="b">
        <f t="shared" si="34"/>
        <v>0</v>
      </c>
      <c r="I92" s="39" t="b">
        <f t="shared" si="35"/>
        <v>0</v>
      </c>
      <c r="J92" s="41" t="b">
        <f t="shared" si="36"/>
        <v>0</v>
      </c>
      <c r="K92" s="46" t="b">
        <f t="shared" si="37"/>
        <v>0</v>
      </c>
      <c r="L92" s="42" t="b">
        <f t="shared" si="38"/>
        <v>0</v>
      </c>
      <c r="M92" s="44" t="b">
        <f t="shared" si="39"/>
        <v>0</v>
      </c>
      <c r="N92" s="47" t="b">
        <f t="shared" si="40"/>
        <v>0</v>
      </c>
      <c r="O92" s="36" t="b">
        <f t="shared" si="41"/>
        <v>0</v>
      </c>
      <c r="P92" s="39" t="b">
        <f t="shared" si="42"/>
        <v>0</v>
      </c>
      <c r="Q92" s="41" t="b">
        <f t="shared" si="43"/>
        <v>0</v>
      </c>
      <c r="R92" s="46" t="b">
        <f t="shared" si="44"/>
        <v>0</v>
      </c>
      <c r="S92" s="42" t="b">
        <f t="shared" si="45"/>
        <v>0</v>
      </c>
      <c r="T92" s="44" t="b">
        <f t="shared" si="46"/>
        <v>0</v>
      </c>
      <c r="U92" s="148" t="str">
        <f>IF(T92,LOOKUP(A92,Discrete_NFET[PARTNUMBER],Discrete_NFET[RDSON10])*1000,IF(S92,LOOKUP(A92,Discrete_NFET[PARTNUMBER],Discrete_NFET[RDSON8])*1000,IF(R92,LOOKUP(A92,Discrete_NFET[PARTNUMBER],Discrete_NFET[RDSON6])*1000,IF(Q92,LOOKUP(A92,Discrete_NFET[PARTNUMBER],Discrete_NFET[RDSON45])*1000,IF(P92,LOOKUP(A92,Discrete_NFET[PARTNUMBER],Discrete_NFET[RDSON3])*1000,IF(O92,LOOKUP(A92,Discrete_NFET[PARTNUMBER],Discrete_NFET[RDSON25])*1000,""))))))</f>
        <v/>
      </c>
      <c r="V92" s="48" t="str">
        <f>IF(AND(A92&lt;&gt;0,A92&lt;&gt;""),U92*(1+(Tj-25)*(LOOKUP(A92,Discrete_NFET[PARTNUMBER],Discrete_NFET[RDSDELTA])/((LOOKUP(A92,Discrete_NFET[PARTNUMBER],Discrete_NFET[TJMAX])-25)))),"")</f>
        <v/>
      </c>
      <c r="W92" s="35" t="str">
        <f>IF(AND($A92&lt;&gt;0,$A92&lt;&gt;""),LOOKUP($A92,Discrete_NFET[PARTNUMBER],Discrete_NFET[QGS]),"")</f>
        <v/>
      </c>
      <c r="X92" s="35" t="str">
        <f>IF(AND($A92&lt;&gt;0,$A92&lt;&gt;""),LOOKUP($A92,Discrete_NFET[PARTNUMBER],Discrete_NFET[QGD]),"")</f>
        <v/>
      </c>
      <c r="Y92" s="35" t="str">
        <f>IF(AND($A92&lt;&gt;0,$A92&lt;&gt;""),LOOKUP($A92,Discrete_NFET[PARTNUMBER],Discrete_NFET[QGTH]),"")</f>
        <v/>
      </c>
      <c r="Z92" s="35" t="str">
        <f t="shared" si="47"/>
        <v/>
      </c>
      <c r="AA92" s="35" t="str">
        <f>IF(AND($A92&lt;&gt;0,$A92&lt;&gt;""),LOOKUP($A92,Discrete_NFET[PARTNUMBER],Discrete_NFET[QOSSTYP]),"")</f>
        <v/>
      </c>
      <c r="AB92" s="35" t="str">
        <f>IF(AND($A92&lt;&gt;0,$A92&lt;&gt;""),LOOKUP($A92,Discrete_NFET[PARTNUMBER],Discrete_NFET[QRR]),"")</f>
        <v/>
      </c>
      <c r="AC92" s="35" t="str">
        <f>IF(AND(A92&lt;&gt;0,A92&lt;&gt;""),LOOKUP(A92,Discrete_NFET[PARTNUMBER],Discrete_NFET[VF_TYP]),"")</f>
        <v/>
      </c>
      <c r="AD92" s="127" t="str">
        <f>IF(AND($A92&lt;&gt;0,$A92&lt;&gt;"",OR(RIGHT(Logic!B92,2)="C)",LEFT(Logic!B92,4)="CSD1")),(1+(1-DUTY))*IM_RMS_120^2*V92*m/3/Num_FETS3,"")</f>
        <v/>
      </c>
      <c r="AE92" s="127" t="str">
        <f>IF(AND($A92&lt;&gt;0,$A92&lt;&gt;"",OR(RIGHT(Logic!B92,2)="C)",LEFT(Logic!B92,4)="CSD1")),Num_FETS3*0.5*IM_RMS_120*VDC_AVG*Z92*n*MOT_ELEC_FREQ/GDR_SRC,"")</f>
        <v/>
      </c>
      <c r="AF92" s="127" t="str">
        <f>IF(AND($A92&lt;&gt;0,$A92&lt;&gt;"",OR(RIGHT(Logic!B92,2)="C)",LEFT(Logic!B92,4)="CSD1")),Num_FETS3*0.5*IM_RMS_120*VDC_AVG*Z92*n*MOT_ELEC_FREQ/GDR_SINK,"")</f>
        <v/>
      </c>
      <c r="AG92" s="127" t="str">
        <f>IF(AND($A92&lt;&gt;0,$A92&lt;&gt;"",OR(RIGHT(Logic!B92,2)="T)",LEFT(Logic!B92,4)="CSD1")),DUTY*IM_RMS_120^2*V92*m/3/Num_FETS3,"")</f>
        <v/>
      </c>
      <c r="AH92" s="127" t="str">
        <f>IF(AND($A92&lt;&gt;0,$A92&lt;&gt;"",OR(RIGHT(Logic!B92,2)="T)",LEFT(Logic!B92,4)="CSD1")),Num_FETS3*0.5*IM_RMS_120*VDC_AVG*Z92*n*FSW*k/GDR_SRC/3,"")</f>
        <v/>
      </c>
      <c r="AI92" s="127" t="str">
        <f>IF(AND($A92&lt;&gt;0,$A92&lt;&gt;"",OR(RIGHT(Logic!B92,2)="T)",LEFT(Logic!B92,4)="CSD1")),Num_FETS3*0.5*IM_RMS_120*VDC_AVG*Z92*n*FSW*k/GDR_SINK/3,"")</f>
        <v/>
      </c>
      <c r="AJ92" s="127" t="str">
        <f t="shared" si="31"/>
        <v/>
      </c>
      <c r="AK92" s="127" t="str">
        <f t="shared" si="32"/>
        <v/>
      </c>
      <c r="AL92" s="127" t="str">
        <f t="shared" si="33"/>
        <v/>
      </c>
      <c r="AM92" s="127" t="str">
        <f t="shared" si="48"/>
        <v/>
      </c>
      <c r="AN92" s="127">
        <f>IF(AND($A92&lt;&gt;0,$A92&lt;&gt;"",OR(RIGHT(Logic!B92,2)="C)",LEFT(Logic!B92,4)="CSD1")),SUM(AD92:AF92)+(AJ92/3)+AK92+AL92/6+AM92/6,AN93)</f>
        <v>0</v>
      </c>
      <c r="AO92" s="127">
        <f>IF(AND($A92&lt;&gt;0,$A92&lt;&gt;"",OR(RIGHT(Logic!B92,2)="T)",LEFT(Logic!B92,4)="CSD1")),SUM(AG92:AI92)+(AJ92/3)+AL92/6+AM92/6,AO91)</f>
        <v>0.23887636588496741</v>
      </c>
      <c r="AP92" s="48" t="str">
        <f t="shared" si="49"/>
        <v/>
      </c>
      <c r="AQ92" s="35" t="str">
        <f>IF(AND(A92&lt;&gt;0,A92&lt;&gt;""),LOOKUP(A92,Discrete_NFET[PARTNUMBER],Discrete_NFET[TI_EQ_PACKAGE]),"")</f>
        <v/>
      </c>
      <c r="AR92" s="49" t="str">
        <f>IF(AND(A92&lt;&gt;0,A92&lt;&gt;""),LOOKUP(A92,Discrete_NFET[PARTNUMBER],Discrete_NFET[1KPRICE]),"")</f>
        <v/>
      </c>
      <c r="AS92" s="35" t="str">
        <f>IF(AND($A92&lt;&gt;0,$A92&lt;&gt;""),CONCATENATE(TEXT(AP92,"0.00"),"W, ",IF('User Input'!H$11="Single Discrete",A92,IF('User Input'!H$11="Dual/Power Block",LEFT(A92,FIND(")",A92)-7),A92)),", ",AQ92,", ",TEXT(AR92,"$0.00")),"Invalid Part")</f>
        <v>Invalid Part</v>
      </c>
      <c r="AT92"/>
      <c r="AW92"/>
    </row>
    <row r="93" spans="1:49" ht="15" customHeight="1" x14ac:dyDescent="0.25">
      <c r="A93" s="35" t="str">
        <f>IF(OR(AND(FET_config3="Dual/Power Block",LEFT(Logic!B93,4)="CSD8"),AND(FET_config3="Single Discrete",LEFT(Logic!B93,4)="CSD1")),Logic!B93,"")</f>
        <v/>
      </c>
      <c r="B93" s="37" t="str">
        <f>IF(OR($A93=0,$A93=""),"0",IF(LOOKUP($A93,Discrete_NFET[PARTNUMBER],Discrete_NFET[RDSON25])="(NULL)","0","1"))</f>
        <v>0</v>
      </c>
      <c r="C93" s="38" t="str">
        <f>IF(OR($A93=0,$A93=""),"0",IF(LOOKUP($A93,Discrete_NFET[PARTNUMBER],Discrete_NFET[RDSON3])="(NULL)","0","1"))</f>
        <v>0</v>
      </c>
      <c r="D93" s="40" t="str">
        <f>IF(OR($A93=0,$A93=""),"0",IF(LOOKUP($A93,Discrete_NFET[PARTNUMBER],Discrete_NFET[RDSON45])="(NULL)","0","1"))</f>
        <v>0</v>
      </c>
      <c r="E93" s="45" t="str">
        <f>IF(OR($A93=0,$A93=""),"0",IF(LOOKUP($A93,Discrete_NFET[PARTNUMBER],Discrete_NFET[RDSON6])="(NULL)","0","1"))</f>
        <v>0</v>
      </c>
      <c r="F93" s="34" t="str">
        <f>IF(OR($A93=0,$A93=""),"0",IF(LOOKUP($A93,Discrete_NFET[PARTNUMBER],Discrete_NFET[RDSON8])="(NULL)","0","1"))</f>
        <v>0</v>
      </c>
      <c r="G93" s="43" t="str">
        <f>IF(OR($A93=0,$A93=""),"0",IF(LOOKUP($A93,Discrete_NFET[PARTNUMBER],Discrete_NFET[RDSON10])="(NULL)","0","1"))</f>
        <v>0</v>
      </c>
      <c r="H93" s="36" t="b">
        <f t="shared" si="34"/>
        <v>0</v>
      </c>
      <c r="I93" s="39" t="b">
        <f t="shared" si="35"/>
        <v>0</v>
      </c>
      <c r="J93" s="41" t="b">
        <f t="shared" si="36"/>
        <v>0</v>
      </c>
      <c r="K93" s="46" t="b">
        <f t="shared" si="37"/>
        <v>0</v>
      </c>
      <c r="L93" s="42" t="b">
        <f t="shared" si="38"/>
        <v>0</v>
      </c>
      <c r="M93" s="44" t="b">
        <f t="shared" si="39"/>
        <v>0</v>
      </c>
      <c r="N93" s="47" t="b">
        <f t="shared" si="40"/>
        <v>0</v>
      </c>
      <c r="O93" s="36" t="b">
        <f t="shared" si="41"/>
        <v>0</v>
      </c>
      <c r="P93" s="39" t="b">
        <f t="shared" si="42"/>
        <v>0</v>
      </c>
      <c r="Q93" s="41" t="b">
        <f t="shared" si="43"/>
        <v>0</v>
      </c>
      <c r="R93" s="46" t="b">
        <f t="shared" si="44"/>
        <v>0</v>
      </c>
      <c r="S93" s="42" t="b">
        <f t="shared" si="45"/>
        <v>0</v>
      </c>
      <c r="T93" s="44" t="b">
        <f t="shared" si="46"/>
        <v>0</v>
      </c>
      <c r="U93" s="148" t="str">
        <f>IF(T93,LOOKUP(A93,Discrete_NFET[PARTNUMBER],Discrete_NFET[RDSON10])*1000,IF(S93,LOOKUP(A93,Discrete_NFET[PARTNUMBER],Discrete_NFET[RDSON8])*1000,IF(R93,LOOKUP(A93,Discrete_NFET[PARTNUMBER],Discrete_NFET[RDSON6])*1000,IF(Q93,LOOKUP(A93,Discrete_NFET[PARTNUMBER],Discrete_NFET[RDSON45])*1000,IF(P93,LOOKUP(A93,Discrete_NFET[PARTNUMBER],Discrete_NFET[RDSON3])*1000,IF(O93,LOOKUP(A93,Discrete_NFET[PARTNUMBER],Discrete_NFET[RDSON25])*1000,""))))))</f>
        <v/>
      </c>
      <c r="V93" s="48" t="str">
        <f>IF(AND(A93&lt;&gt;0,A93&lt;&gt;""),U93*(1+(Tj-25)*(LOOKUP(A93,Discrete_NFET[PARTNUMBER],Discrete_NFET[RDSDELTA])/((LOOKUP(A93,Discrete_NFET[PARTNUMBER],Discrete_NFET[TJMAX])-25)))),"")</f>
        <v/>
      </c>
      <c r="W93" s="35" t="str">
        <f>IF(AND($A93&lt;&gt;0,$A93&lt;&gt;""),LOOKUP($A93,Discrete_NFET[PARTNUMBER],Discrete_NFET[QGS]),"")</f>
        <v/>
      </c>
      <c r="X93" s="35" t="str">
        <f>IF(AND($A93&lt;&gt;0,$A93&lt;&gt;""),LOOKUP($A93,Discrete_NFET[PARTNUMBER],Discrete_NFET[QGD]),"")</f>
        <v/>
      </c>
      <c r="Y93" s="35" t="str">
        <f>IF(AND($A93&lt;&gt;0,$A93&lt;&gt;""),LOOKUP($A93,Discrete_NFET[PARTNUMBER],Discrete_NFET[QGTH]),"")</f>
        <v/>
      </c>
      <c r="Z93" s="35" t="str">
        <f t="shared" si="47"/>
        <v/>
      </c>
      <c r="AA93" s="35" t="str">
        <f>IF(AND($A93&lt;&gt;0,$A93&lt;&gt;""),LOOKUP($A93,Discrete_NFET[PARTNUMBER],Discrete_NFET[QOSSTYP]),"")</f>
        <v/>
      </c>
      <c r="AB93" s="35" t="str">
        <f>IF(AND($A93&lt;&gt;0,$A93&lt;&gt;""),LOOKUP($A93,Discrete_NFET[PARTNUMBER],Discrete_NFET[QRR]),"")</f>
        <v/>
      </c>
      <c r="AC93" s="35" t="str">
        <f>IF(AND(A93&lt;&gt;0,A93&lt;&gt;""),LOOKUP(A93,Discrete_NFET[PARTNUMBER],Discrete_NFET[VF_TYP]),"")</f>
        <v/>
      </c>
      <c r="AD93" s="127" t="str">
        <f>IF(AND($A93&lt;&gt;0,$A93&lt;&gt;"",OR(RIGHT(Logic!B93,2)="C)",LEFT(Logic!B93,4)="CSD1")),(1+(1-DUTY))*IM_RMS_120^2*V93*m/3/Num_FETS3,"")</f>
        <v/>
      </c>
      <c r="AE93" s="127" t="str">
        <f>IF(AND($A93&lt;&gt;0,$A93&lt;&gt;"",OR(RIGHT(Logic!B93,2)="C)",LEFT(Logic!B93,4)="CSD1")),Num_FETS3*0.5*IM_RMS_120*VDC_AVG*Z93*n*MOT_ELEC_FREQ/GDR_SRC,"")</f>
        <v/>
      </c>
      <c r="AF93" s="127" t="str">
        <f>IF(AND($A93&lt;&gt;0,$A93&lt;&gt;"",OR(RIGHT(Logic!B93,2)="C)",LEFT(Logic!B93,4)="CSD1")),Num_FETS3*0.5*IM_RMS_120*VDC_AVG*Z93*n*MOT_ELEC_FREQ/GDR_SINK,"")</f>
        <v/>
      </c>
      <c r="AG93" s="127" t="str">
        <f>IF(AND($A93&lt;&gt;0,$A93&lt;&gt;"",OR(RIGHT(Logic!B93,2)="T)",LEFT(Logic!B93,4)="CSD1")),DUTY*IM_RMS_120^2*V93*m/3/Num_FETS3,"")</f>
        <v/>
      </c>
      <c r="AH93" s="127" t="str">
        <f>IF(AND($A93&lt;&gt;0,$A93&lt;&gt;"",OR(RIGHT(Logic!B93,2)="T)",LEFT(Logic!B93,4)="CSD1")),Num_FETS3*0.5*IM_RMS_120*VDC_AVG*Z93*n*FSW*k/GDR_SRC/3,"")</f>
        <v/>
      </c>
      <c r="AI93" s="127" t="str">
        <f>IF(AND($A93&lt;&gt;0,$A93&lt;&gt;"",OR(RIGHT(Logic!B93,2)="T)",LEFT(Logic!B93,4)="CSD1")),Num_FETS3*0.5*IM_RMS_120*VDC_AVG*Z93*n*FSW*k/GDR_SINK/3,"")</f>
        <v/>
      </c>
      <c r="AJ93" s="127" t="str">
        <f t="shared" si="31"/>
        <v/>
      </c>
      <c r="AK93" s="127" t="str">
        <f t="shared" si="32"/>
        <v/>
      </c>
      <c r="AL93" s="127" t="str">
        <f t="shared" si="33"/>
        <v/>
      </c>
      <c r="AM93" s="127" t="str">
        <f t="shared" si="48"/>
        <v/>
      </c>
      <c r="AN93" s="127">
        <f>IF(AND($A93&lt;&gt;0,$A93&lt;&gt;"",OR(RIGHT(Logic!B93,2)="C)",LEFT(Logic!B93,4)="CSD1")),SUM(AD93:AF93)+(AJ93/3)+AK93+AL93/6+AM93/6,AN94)</f>
        <v>0</v>
      </c>
      <c r="AO93" s="127">
        <f>IF(AND($A93&lt;&gt;0,$A93&lt;&gt;"",OR(RIGHT(Logic!B93,2)="T)",LEFT(Logic!B93,4)="CSD1")),SUM(AG93:AI93)+(AJ93/3)+AL93/6+AM93/6,AO92)</f>
        <v>0.23887636588496741</v>
      </c>
      <c r="AP93" s="48" t="str">
        <f t="shared" si="49"/>
        <v/>
      </c>
      <c r="AQ93" s="35" t="str">
        <f>IF(AND(A93&lt;&gt;0,A93&lt;&gt;""),LOOKUP(A93,Discrete_NFET[PARTNUMBER],Discrete_NFET[TI_EQ_PACKAGE]),"")</f>
        <v/>
      </c>
      <c r="AR93" s="49" t="str">
        <f>IF(AND(A93&lt;&gt;0,A93&lt;&gt;""),LOOKUP(A93,Discrete_NFET[PARTNUMBER],Discrete_NFET[1KPRICE]),"")</f>
        <v/>
      </c>
      <c r="AS93" s="35" t="str">
        <f>IF(AND($A93&lt;&gt;0,$A93&lt;&gt;""),CONCATENATE(TEXT(AP93,"0.00"),"W, ",IF('User Input'!H$11="Single Discrete",A93,IF('User Input'!H$11="Dual/Power Block",LEFT(A93,FIND(")",A93)-7),A93)),", ",AQ93,", ",TEXT(AR93,"$0.00")),"Invalid Part")</f>
        <v>Invalid Part</v>
      </c>
      <c r="AT93"/>
      <c r="AW93"/>
    </row>
    <row r="94" spans="1:49" ht="15" customHeight="1" x14ac:dyDescent="0.25">
      <c r="A94" s="35" t="str">
        <f>IF(OR(AND(FET_config3="Dual/Power Block",LEFT(Logic!B94,4)="CSD8"),AND(FET_config3="Single Discrete",LEFT(Logic!B94,4)="CSD1")),Logic!B94,"")</f>
        <v/>
      </c>
      <c r="B94" s="37" t="str">
        <f>IF(OR($A94=0,$A94=""),"0",IF(LOOKUP($A94,Discrete_NFET[PARTNUMBER],Discrete_NFET[RDSON25])="(NULL)","0","1"))</f>
        <v>0</v>
      </c>
      <c r="C94" s="38" t="str">
        <f>IF(OR($A94=0,$A94=""),"0",IF(LOOKUP($A94,Discrete_NFET[PARTNUMBER],Discrete_NFET[RDSON3])="(NULL)","0","1"))</f>
        <v>0</v>
      </c>
      <c r="D94" s="40" t="str">
        <f>IF(OR($A94=0,$A94=""),"0",IF(LOOKUP($A94,Discrete_NFET[PARTNUMBER],Discrete_NFET[RDSON45])="(NULL)","0","1"))</f>
        <v>0</v>
      </c>
      <c r="E94" s="45" t="str">
        <f>IF(OR($A94=0,$A94=""),"0",IF(LOOKUP($A94,Discrete_NFET[PARTNUMBER],Discrete_NFET[RDSON6])="(NULL)","0","1"))</f>
        <v>0</v>
      </c>
      <c r="F94" s="34" t="str">
        <f>IF(OR($A94=0,$A94=""),"0",IF(LOOKUP($A94,Discrete_NFET[PARTNUMBER],Discrete_NFET[RDSON8])="(NULL)","0","1"))</f>
        <v>0</v>
      </c>
      <c r="G94" s="43" t="str">
        <f>IF(OR($A94=0,$A94=""),"0",IF(LOOKUP($A94,Discrete_NFET[PARTNUMBER],Discrete_NFET[RDSON10])="(NULL)","0","1"))</f>
        <v>0</v>
      </c>
      <c r="H94" s="36" t="b">
        <f t="shared" si="34"/>
        <v>0</v>
      </c>
      <c r="I94" s="39" t="b">
        <f t="shared" si="35"/>
        <v>0</v>
      </c>
      <c r="J94" s="41" t="b">
        <f t="shared" si="36"/>
        <v>0</v>
      </c>
      <c r="K94" s="46" t="b">
        <f t="shared" si="37"/>
        <v>0</v>
      </c>
      <c r="L94" s="42" t="b">
        <f t="shared" si="38"/>
        <v>0</v>
      </c>
      <c r="M94" s="44" t="b">
        <f t="shared" si="39"/>
        <v>0</v>
      </c>
      <c r="N94" s="47" t="b">
        <f t="shared" si="40"/>
        <v>0</v>
      </c>
      <c r="O94" s="36" t="b">
        <f t="shared" si="41"/>
        <v>0</v>
      </c>
      <c r="P94" s="39" t="b">
        <f t="shared" si="42"/>
        <v>0</v>
      </c>
      <c r="Q94" s="41" t="b">
        <f t="shared" si="43"/>
        <v>0</v>
      </c>
      <c r="R94" s="46" t="b">
        <f t="shared" si="44"/>
        <v>0</v>
      </c>
      <c r="S94" s="42" t="b">
        <f t="shared" si="45"/>
        <v>0</v>
      </c>
      <c r="T94" s="44" t="b">
        <f t="shared" si="46"/>
        <v>0</v>
      </c>
      <c r="U94" s="148" t="str">
        <f>IF(T94,LOOKUP(A94,Discrete_NFET[PARTNUMBER],Discrete_NFET[RDSON10])*1000,IF(S94,LOOKUP(A94,Discrete_NFET[PARTNUMBER],Discrete_NFET[RDSON8])*1000,IF(R94,LOOKUP(A94,Discrete_NFET[PARTNUMBER],Discrete_NFET[RDSON6])*1000,IF(Q94,LOOKUP(A94,Discrete_NFET[PARTNUMBER],Discrete_NFET[RDSON45])*1000,IF(P94,LOOKUP(A94,Discrete_NFET[PARTNUMBER],Discrete_NFET[RDSON3])*1000,IF(O94,LOOKUP(A94,Discrete_NFET[PARTNUMBER],Discrete_NFET[RDSON25])*1000,""))))))</f>
        <v/>
      </c>
      <c r="V94" s="48" t="str">
        <f>IF(AND(A94&lt;&gt;0,A94&lt;&gt;""),U94*(1+(Tj-25)*(LOOKUP(A94,Discrete_NFET[PARTNUMBER],Discrete_NFET[RDSDELTA])/((LOOKUP(A94,Discrete_NFET[PARTNUMBER],Discrete_NFET[TJMAX])-25)))),"")</f>
        <v/>
      </c>
      <c r="W94" s="35" t="str">
        <f>IF(AND($A94&lt;&gt;0,$A94&lt;&gt;""),LOOKUP($A94,Discrete_NFET[PARTNUMBER],Discrete_NFET[QGS]),"")</f>
        <v/>
      </c>
      <c r="X94" s="35" t="str">
        <f>IF(AND($A94&lt;&gt;0,$A94&lt;&gt;""),LOOKUP($A94,Discrete_NFET[PARTNUMBER],Discrete_NFET[QGD]),"")</f>
        <v/>
      </c>
      <c r="Y94" s="35" t="str">
        <f>IF(AND($A94&lt;&gt;0,$A94&lt;&gt;""),LOOKUP($A94,Discrete_NFET[PARTNUMBER],Discrete_NFET[QGTH]),"")</f>
        <v/>
      </c>
      <c r="Z94" s="35" t="str">
        <f t="shared" si="47"/>
        <v/>
      </c>
      <c r="AA94" s="35" t="str">
        <f>IF(AND($A94&lt;&gt;0,$A94&lt;&gt;""),LOOKUP($A94,Discrete_NFET[PARTNUMBER],Discrete_NFET[QOSSTYP]),"")</f>
        <v/>
      </c>
      <c r="AB94" s="35" t="str">
        <f>IF(AND($A94&lt;&gt;0,$A94&lt;&gt;""),LOOKUP($A94,Discrete_NFET[PARTNUMBER],Discrete_NFET[QRR]),"")</f>
        <v/>
      </c>
      <c r="AC94" s="35" t="str">
        <f>IF(AND(A94&lt;&gt;0,A94&lt;&gt;""),LOOKUP(A94,Discrete_NFET[PARTNUMBER],Discrete_NFET[VF_TYP]),"")</f>
        <v/>
      </c>
      <c r="AD94" s="127" t="str">
        <f>IF(AND($A94&lt;&gt;0,$A94&lt;&gt;"",OR(RIGHT(Logic!B94,2)="C)",LEFT(Logic!B94,4)="CSD1")),(1+(1-DUTY))*IM_RMS_120^2*V94*m/3/Num_FETS3,"")</f>
        <v/>
      </c>
      <c r="AE94" s="127" t="str">
        <f>IF(AND($A94&lt;&gt;0,$A94&lt;&gt;"",OR(RIGHT(Logic!B94,2)="C)",LEFT(Logic!B94,4)="CSD1")),Num_FETS3*0.5*IM_RMS_120*VDC_AVG*Z94*n*MOT_ELEC_FREQ/GDR_SRC,"")</f>
        <v/>
      </c>
      <c r="AF94" s="127" t="str">
        <f>IF(AND($A94&lt;&gt;0,$A94&lt;&gt;"",OR(RIGHT(Logic!B94,2)="C)",LEFT(Logic!B94,4)="CSD1")),Num_FETS3*0.5*IM_RMS_120*VDC_AVG*Z94*n*MOT_ELEC_FREQ/GDR_SINK,"")</f>
        <v/>
      </c>
      <c r="AG94" s="127" t="str">
        <f>IF(AND($A94&lt;&gt;0,$A94&lt;&gt;"",OR(RIGHT(Logic!B94,2)="T)",LEFT(Logic!B94,4)="CSD1")),DUTY*IM_RMS_120^2*V94*m/3/Num_FETS3,"")</f>
        <v/>
      </c>
      <c r="AH94" s="127" t="str">
        <f>IF(AND($A94&lt;&gt;0,$A94&lt;&gt;"",OR(RIGHT(Logic!B94,2)="T)",LEFT(Logic!B94,4)="CSD1")),Num_FETS3*0.5*IM_RMS_120*VDC_AVG*Z94*n*FSW*k/GDR_SRC/3,"")</f>
        <v/>
      </c>
      <c r="AI94" s="127" t="str">
        <f>IF(AND($A94&lt;&gt;0,$A94&lt;&gt;"",OR(RIGHT(Logic!B94,2)="T)",LEFT(Logic!B94,4)="CSD1")),Num_FETS3*0.5*IM_RMS_120*VDC_AVG*Z94*n*FSW*k/GDR_SINK/3,"")</f>
        <v/>
      </c>
      <c r="AJ94" s="127" t="str">
        <f t="shared" si="31"/>
        <v/>
      </c>
      <c r="AK94" s="127" t="str">
        <f t="shared" si="32"/>
        <v/>
      </c>
      <c r="AL94" s="127" t="str">
        <f t="shared" si="33"/>
        <v/>
      </c>
      <c r="AM94" s="127" t="str">
        <f t="shared" si="48"/>
        <v/>
      </c>
      <c r="AN94" s="127">
        <f>IF(AND($A94&lt;&gt;0,$A94&lt;&gt;"",OR(RIGHT(Logic!B94,2)="C)",LEFT(Logic!B94,4)="CSD1")),SUM(AD94:AF94)+(AJ94/3)+AK94+AL94/6+AM94/6,AN95)</f>
        <v>0</v>
      </c>
      <c r="AO94" s="127">
        <f>IF(AND($A94&lt;&gt;0,$A94&lt;&gt;"",OR(RIGHT(Logic!B94,2)="T)",LEFT(Logic!B94,4)="CSD1")),SUM(AG94:AI94)+(AJ94/3)+AL94/6+AM94/6,AO93)</f>
        <v>0.23887636588496741</v>
      </c>
      <c r="AP94" s="48" t="str">
        <f t="shared" si="49"/>
        <v/>
      </c>
      <c r="AQ94" s="35" t="str">
        <f>IF(AND(A94&lt;&gt;0,A94&lt;&gt;""),LOOKUP(A94,Discrete_NFET[PARTNUMBER],Discrete_NFET[TI_EQ_PACKAGE]),"")</f>
        <v/>
      </c>
      <c r="AR94" s="49" t="str">
        <f>IF(AND(A94&lt;&gt;0,A94&lt;&gt;""),LOOKUP(A94,Discrete_NFET[PARTNUMBER],Discrete_NFET[1KPRICE]),"")</f>
        <v/>
      </c>
      <c r="AS94" s="35" t="str">
        <f>IF(AND($A94&lt;&gt;0,$A94&lt;&gt;""),CONCATENATE(TEXT(AP94,"0.00"),"W, ",IF('User Input'!H$11="Single Discrete",A94,IF('User Input'!H$11="Dual/Power Block",LEFT(A94,FIND(")",A94)-7),A94)),", ",AQ94,", ",TEXT(AR94,"$0.00")),"Invalid Part")</f>
        <v>Invalid Part</v>
      </c>
      <c r="AT94"/>
      <c r="AW94"/>
    </row>
    <row r="95" spans="1:49" ht="15" customHeight="1" x14ac:dyDescent="0.25">
      <c r="A95" s="35" t="str">
        <f>IF(OR(AND(FET_config3="Dual/Power Block",LEFT(Logic!B95,4)="CSD8"),AND(FET_config3="Single Discrete",LEFT(Logic!B95,4)="CSD1")),Logic!B95,"")</f>
        <v/>
      </c>
      <c r="B95" s="37" t="str">
        <f>IF(OR($A95=0,$A95=""),"0",IF(LOOKUP($A95,Discrete_NFET[PARTNUMBER],Discrete_NFET[RDSON25])="(NULL)","0","1"))</f>
        <v>0</v>
      </c>
      <c r="C95" s="38" t="str">
        <f>IF(OR($A95=0,$A95=""),"0",IF(LOOKUP($A95,Discrete_NFET[PARTNUMBER],Discrete_NFET[RDSON3])="(NULL)","0","1"))</f>
        <v>0</v>
      </c>
      <c r="D95" s="40" t="str">
        <f>IF(OR($A95=0,$A95=""),"0",IF(LOOKUP($A95,Discrete_NFET[PARTNUMBER],Discrete_NFET[RDSON45])="(NULL)","0","1"))</f>
        <v>0</v>
      </c>
      <c r="E95" s="45" t="str">
        <f>IF(OR($A95=0,$A95=""),"0",IF(LOOKUP($A95,Discrete_NFET[PARTNUMBER],Discrete_NFET[RDSON6])="(NULL)","0","1"))</f>
        <v>0</v>
      </c>
      <c r="F95" s="34" t="str">
        <f>IF(OR($A95=0,$A95=""),"0",IF(LOOKUP($A95,Discrete_NFET[PARTNUMBER],Discrete_NFET[RDSON8])="(NULL)","0","1"))</f>
        <v>0</v>
      </c>
      <c r="G95" s="43" t="str">
        <f>IF(OR($A95=0,$A95=""),"0",IF(LOOKUP($A95,Discrete_NFET[PARTNUMBER],Discrete_NFET[RDSON10])="(NULL)","0","1"))</f>
        <v>0</v>
      </c>
      <c r="H95" s="36" t="b">
        <f t="shared" si="34"/>
        <v>0</v>
      </c>
      <c r="I95" s="39" t="b">
        <f t="shared" si="35"/>
        <v>0</v>
      </c>
      <c r="J95" s="41" t="b">
        <f t="shared" si="36"/>
        <v>0</v>
      </c>
      <c r="K95" s="46" t="b">
        <f t="shared" si="37"/>
        <v>0</v>
      </c>
      <c r="L95" s="42" t="b">
        <f t="shared" si="38"/>
        <v>0</v>
      </c>
      <c r="M95" s="44" t="b">
        <f t="shared" si="39"/>
        <v>0</v>
      </c>
      <c r="N95" s="47" t="b">
        <f t="shared" si="40"/>
        <v>0</v>
      </c>
      <c r="O95" s="36" t="b">
        <f t="shared" si="41"/>
        <v>0</v>
      </c>
      <c r="P95" s="39" t="b">
        <f t="shared" si="42"/>
        <v>0</v>
      </c>
      <c r="Q95" s="41" t="b">
        <f t="shared" si="43"/>
        <v>0</v>
      </c>
      <c r="R95" s="46" t="b">
        <f t="shared" si="44"/>
        <v>0</v>
      </c>
      <c r="S95" s="42" t="b">
        <f t="shared" si="45"/>
        <v>0</v>
      </c>
      <c r="T95" s="44" t="b">
        <f t="shared" si="46"/>
        <v>0</v>
      </c>
      <c r="U95" s="148" t="str">
        <f>IF(T95,LOOKUP(A95,Discrete_NFET[PARTNUMBER],Discrete_NFET[RDSON10])*1000,IF(S95,LOOKUP(A95,Discrete_NFET[PARTNUMBER],Discrete_NFET[RDSON8])*1000,IF(R95,LOOKUP(A95,Discrete_NFET[PARTNUMBER],Discrete_NFET[RDSON6])*1000,IF(Q95,LOOKUP(A95,Discrete_NFET[PARTNUMBER],Discrete_NFET[RDSON45])*1000,IF(P95,LOOKUP(A95,Discrete_NFET[PARTNUMBER],Discrete_NFET[RDSON3])*1000,IF(O95,LOOKUP(A95,Discrete_NFET[PARTNUMBER],Discrete_NFET[RDSON25])*1000,""))))))</f>
        <v/>
      </c>
      <c r="V95" s="48" t="str">
        <f>IF(AND(A95&lt;&gt;0,A95&lt;&gt;""),U95*(1+(Tj-25)*(LOOKUP(A95,Discrete_NFET[PARTNUMBER],Discrete_NFET[RDSDELTA])/((LOOKUP(A95,Discrete_NFET[PARTNUMBER],Discrete_NFET[TJMAX])-25)))),"")</f>
        <v/>
      </c>
      <c r="W95" s="35" t="str">
        <f>IF(AND($A95&lt;&gt;0,$A95&lt;&gt;""),LOOKUP($A95,Discrete_NFET[PARTNUMBER],Discrete_NFET[QGS]),"")</f>
        <v/>
      </c>
      <c r="X95" s="35" t="str">
        <f>IF(AND($A95&lt;&gt;0,$A95&lt;&gt;""),LOOKUP($A95,Discrete_NFET[PARTNUMBER],Discrete_NFET[QGD]),"")</f>
        <v/>
      </c>
      <c r="Y95" s="35" t="str">
        <f>IF(AND($A95&lt;&gt;0,$A95&lt;&gt;""),LOOKUP($A95,Discrete_NFET[PARTNUMBER],Discrete_NFET[QGTH]),"")</f>
        <v/>
      </c>
      <c r="Z95" s="35" t="str">
        <f t="shared" si="47"/>
        <v/>
      </c>
      <c r="AA95" s="35" t="str">
        <f>IF(AND($A95&lt;&gt;0,$A95&lt;&gt;""),LOOKUP($A95,Discrete_NFET[PARTNUMBER],Discrete_NFET[QOSSTYP]),"")</f>
        <v/>
      </c>
      <c r="AB95" s="35" t="str">
        <f>IF(AND($A95&lt;&gt;0,$A95&lt;&gt;""),LOOKUP($A95,Discrete_NFET[PARTNUMBER],Discrete_NFET[QRR]),"")</f>
        <v/>
      </c>
      <c r="AC95" s="35" t="str">
        <f>IF(AND(A95&lt;&gt;0,A95&lt;&gt;""),LOOKUP(A95,Discrete_NFET[PARTNUMBER],Discrete_NFET[VF_TYP]),"")</f>
        <v/>
      </c>
      <c r="AD95" s="127" t="str">
        <f>IF(AND($A95&lt;&gt;0,$A95&lt;&gt;"",OR(RIGHT(Logic!B95,2)="C)",LEFT(Logic!B95,4)="CSD1")),(1+(1-DUTY))*IM_RMS_120^2*V95*m/3/Num_FETS3,"")</f>
        <v/>
      </c>
      <c r="AE95" s="127" t="str">
        <f>IF(AND($A95&lt;&gt;0,$A95&lt;&gt;"",OR(RIGHT(Logic!B95,2)="C)",LEFT(Logic!B95,4)="CSD1")),Num_FETS3*0.5*IM_RMS_120*VDC_AVG*Z95*n*MOT_ELEC_FREQ/GDR_SRC,"")</f>
        <v/>
      </c>
      <c r="AF95" s="127" t="str">
        <f>IF(AND($A95&lt;&gt;0,$A95&lt;&gt;"",OR(RIGHT(Logic!B95,2)="C)",LEFT(Logic!B95,4)="CSD1")),Num_FETS3*0.5*IM_RMS_120*VDC_AVG*Z95*n*MOT_ELEC_FREQ/GDR_SINK,"")</f>
        <v/>
      </c>
      <c r="AG95" s="127" t="str">
        <f>IF(AND($A95&lt;&gt;0,$A95&lt;&gt;"",OR(RIGHT(Logic!B95,2)="T)",LEFT(Logic!B95,4)="CSD1")),DUTY*IM_RMS_120^2*V95*m/3/Num_FETS3,"")</f>
        <v/>
      </c>
      <c r="AH95" s="127" t="str">
        <f>IF(AND($A95&lt;&gt;0,$A95&lt;&gt;"",OR(RIGHT(Logic!B95,2)="T)",LEFT(Logic!B95,4)="CSD1")),Num_FETS3*0.5*IM_RMS_120*VDC_AVG*Z95*n*FSW*k/GDR_SRC/3,"")</f>
        <v/>
      </c>
      <c r="AI95" s="127" t="str">
        <f>IF(AND($A95&lt;&gt;0,$A95&lt;&gt;"",OR(RIGHT(Logic!B95,2)="T)",LEFT(Logic!B95,4)="CSD1")),Num_FETS3*0.5*IM_RMS_120*VDC_AVG*Z95*n*FSW*k/GDR_SINK/3,"")</f>
        <v/>
      </c>
      <c r="AJ95" s="127" t="str">
        <f t="shared" si="31"/>
        <v/>
      </c>
      <c r="AK95" s="127" t="str">
        <f t="shared" si="32"/>
        <v/>
      </c>
      <c r="AL95" s="127" t="str">
        <f t="shared" si="33"/>
        <v/>
      </c>
      <c r="AM95" s="127" t="str">
        <f t="shared" si="48"/>
        <v/>
      </c>
      <c r="AN95" s="127">
        <f>IF(AND($A95&lt;&gt;0,$A95&lt;&gt;"",OR(RIGHT(Logic!B95,2)="C)",LEFT(Logic!B95,4)="CSD1")),SUM(AD95:AF95)+(AJ95/3)+AK95+AL95/6+AM95/6,AN96)</f>
        <v>0</v>
      </c>
      <c r="AO95" s="127">
        <f>IF(AND($A95&lt;&gt;0,$A95&lt;&gt;"",OR(RIGHT(Logic!B95,2)="T)",LEFT(Logic!B95,4)="CSD1")),SUM(AG95:AI95)+(AJ95/3)+AL95/6+AM95/6,AO94)</f>
        <v>0.23887636588496741</v>
      </c>
      <c r="AP95" s="48" t="str">
        <f t="shared" si="49"/>
        <v/>
      </c>
      <c r="AQ95" s="35" t="str">
        <f>IF(AND(A95&lt;&gt;0,A95&lt;&gt;""),LOOKUP(A95,Discrete_NFET[PARTNUMBER],Discrete_NFET[TI_EQ_PACKAGE]),"")</f>
        <v/>
      </c>
      <c r="AR95" s="49" t="str">
        <f>IF(AND(A95&lt;&gt;0,A95&lt;&gt;""),LOOKUP(A95,Discrete_NFET[PARTNUMBER],Discrete_NFET[1KPRICE]),"")</f>
        <v/>
      </c>
      <c r="AS95" s="35" t="str">
        <f>IF(AND($A95&lt;&gt;0,$A95&lt;&gt;""),CONCATENATE(TEXT(AP95,"0.00"),"W, ",IF('User Input'!H$11="Single Discrete",A95,IF('User Input'!H$11="Dual/Power Block",LEFT(A95,FIND(")",A95)-7),A95)),", ",AQ95,", ",TEXT(AR95,"$0.00")),"Invalid Part")</f>
        <v>Invalid Part</v>
      </c>
      <c r="AT95"/>
      <c r="AW95"/>
    </row>
    <row r="96" spans="1:49" ht="15" customHeight="1" x14ac:dyDescent="0.25">
      <c r="A96" s="35" t="str">
        <f>IF(OR(AND(FET_config3="Dual/Power Block",LEFT(Logic!B96,4)="CSD8"),AND(FET_config3="Single Discrete",LEFT(Logic!B96,4)="CSD1")),Logic!B96,"")</f>
        <v/>
      </c>
      <c r="B96" s="37" t="str">
        <f>IF(OR($A96=0,$A96=""),"0",IF(LOOKUP($A96,Discrete_NFET[PARTNUMBER],Discrete_NFET[RDSON25])="(NULL)","0","1"))</f>
        <v>0</v>
      </c>
      <c r="C96" s="38" t="str">
        <f>IF(OR($A96=0,$A96=""),"0",IF(LOOKUP($A96,Discrete_NFET[PARTNUMBER],Discrete_NFET[RDSON3])="(NULL)","0","1"))</f>
        <v>0</v>
      </c>
      <c r="D96" s="40" t="str">
        <f>IF(OR($A96=0,$A96=""),"0",IF(LOOKUP($A96,Discrete_NFET[PARTNUMBER],Discrete_NFET[RDSON45])="(NULL)","0","1"))</f>
        <v>0</v>
      </c>
      <c r="E96" s="45" t="str">
        <f>IF(OR($A96=0,$A96=""),"0",IF(LOOKUP($A96,Discrete_NFET[PARTNUMBER],Discrete_NFET[RDSON6])="(NULL)","0","1"))</f>
        <v>0</v>
      </c>
      <c r="F96" s="34" t="str">
        <f>IF(OR($A96=0,$A96=""),"0",IF(LOOKUP($A96,Discrete_NFET[PARTNUMBER],Discrete_NFET[RDSON8])="(NULL)","0","1"))</f>
        <v>0</v>
      </c>
      <c r="G96" s="43" t="str">
        <f>IF(OR($A96=0,$A96=""),"0",IF(LOOKUP($A96,Discrete_NFET[PARTNUMBER],Discrete_NFET[RDSON10])="(NULL)","0","1"))</f>
        <v>0</v>
      </c>
      <c r="H96" s="36" t="b">
        <f t="shared" si="34"/>
        <v>0</v>
      </c>
      <c r="I96" s="39" t="b">
        <f t="shared" si="35"/>
        <v>0</v>
      </c>
      <c r="J96" s="41" t="b">
        <f t="shared" si="36"/>
        <v>0</v>
      </c>
      <c r="K96" s="46" t="b">
        <f t="shared" si="37"/>
        <v>0</v>
      </c>
      <c r="L96" s="42" t="b">
        <f t="shared" si="38"/>
        <v>0</v>
      </c>
      <c r="M96" s="44" t="b">
        <f t="shared" si="39"/>
        <v>0</v>
      </c>
      <c r="N96" s="47" t="b">
        <f t="shared" si="40"/>
        <v>0</v>
      </c>
      <c r="O96" s="36" t="b">
        <f t="shared" si="41"/>
        <v>0</v>
      </c>
      <c r="P96" s="39" t="b">
        <f t="shared" si="42"/>
        <v>0</v>
      </c>
      <c r="Q96" s="41" t="b">
        <f t="shared" si="43"/>
        <v>0</v>
      </c>
      <c r="R96" s="46" t="b">
        <f t="shared" si="44"/>
        <v>0</v>
      </c>
      <c r="S96" s="42" t="b">
        <f t="shared" si="45"/>
        <v>0</v>
      </c>
      <c r="T96" s="44" t="b">
        <f t="shared" si="46"/>
        <v>0</v>
      </c>
      <c r="U96" s="148" t="str">
        <f>IF(T96,LOOKUP(A96,Discrete_NFET[PARTNUMBER],Discrete_NFET[RDSON10])*1000,IF(S96,LOOKUP(A96,Discrete_NFET[PARTNUMBER],Discrete_NFET[RDSON8])*1000,IF(R96,LOOKUP(A96,Discrete_NFET[PARTNUMBER],Discrete_NFET[RDSON6])*1000,IF(Q96,LOOKUP(A96,Discrete_NFET[PARTNUMBER],Discrete_NFET[RDSON45])*1000,IF(P96,LOOKUP(A96,Discrete_NFET[PARTNUMBER],Discrete_NFET[RDSON3])*1000,IF(O96,LOOKUP(A96,Discrete_NFET[PARTNUMBER],Discrete_NFET[RDSON25])*1000,""))))))</f>
        <v/>
      </c>
      <c r="V96" s="48" t="str">
        <f>IF(AND(A96&lt;&gt;0,A96&lt;&gt;""),U96*(1+(Tj-25)*(LOOKUP(A96,Discrete_NFET[PARTNUMBER],Discrete_NFET[RDSDELTA])/((LOOKUP(A96,Discrete_NFET[PARTNUMBER],Discrete_NFET[TJMAX])-25)))),"")</f>
        <v/>
      </c>
      <c r="W96" s="35" t="str">
        <f>IF(AND($A96&lt;&gt;0,$A96&lt;&gt;""),LOOKUP($A96,Discrete_NFET[PARTNUMBER],Discrete_NFET[QGS]),"")</f>
        <v/>
      </c>
      <c r="X96" s="35" t="str">
        <f>IF(AND($A96&lt;&gt;0,$A96&lt;&gt;""),LOOKUP($A96,Discrete_NFET[PARTNUMBER],Discrete_NFET[QGD]),"")</f>
        <v/>
      </c>
      <c r="Y96" s="35" t="str">
        <f>IF(AND($A96&lt;&gt;0,$A96&lt;&gt;""),LOOKUP($A96,Discrete_NFET[PARTNUMBER],Discrete_NFET[QGTH]),"")</f>
        <v/>
      </c>
      <c r="Z96" s="35" t="str">
        <f t="shared" si="47"/>
        <v/>
      </c>
      <c r="AA96" s="35" t="str">
        <f>IF(AND($A96&lt;&gt;0,$A96&lt;&gt;""),LOOKUP($A96,Discrete_NFET[PARTNUMBER],Discrete_NFET[QOSSTYP]),"")</f>
        <v/>
      </c>
      <c r="AB96" s="35" t="str">
        <f>IF(AND($A96&lt;&gt;0,$A96&lt;&gt;""),LOOKUP($A96,Discrete_NFET[PARTNUMBER],Discrete_NFET[QRR]),"")</f>
        <v/>
      </c>
      <c r="AC96" s="35" t="str">
        <f>IF(AND(A96&lt;&gt;0,A96&lt;&gt;""),LOOKUP(A96,Discrete_NFET[PARTNUMBER],Discrete_NFET[VF_TYP]),"")</f>
        <v/>
      </c>
      <c r="AD96" s="127" t="str">
        <f>IF(AND($A96&lt;&gt;0,$A96&lt;&gt;"",OR(RIGHT(Logic!B96,2)="C)",LEFT(Logic!B96,4)="CSD1")),(1+(1-DUTY))*IM_RMS_120^2*V96*m/3/Num_FETS3,"")</f>
        <v/>
      </c>
      <c r="AE96" s="127" t="str">
        <f>IF(AND($A96&lt;&gt;0,$A96&lt;&gt;"",OR(RIGHT(Logic!B96,2)="C)",LEFT(Logic!B96,4)="CSD1")),Num_FETS3*0.5*IM_RMS_120*VDC_AVG*Z96*n*MOT_ELEC_FREQ/GDR_SRC,"")</f>
        <v/>
      </c>
      <c r="AF96" s="127" t="str">
        <f>IF(AND($A96&lt;&gt;0,$A96&lt;&gt;"",OR(RIGHT(Logic!B96,2)="C)",LEFT(Logic!B96,4)="CSD1")),Num_FETS3*0.5*IM_RMS_120*VDC_AVG*Z96*n*MOT_ELEC_FREQ/GDR_SINK,"")</f>
        <v/>
      </c>
      <c r="AG96" s="127" t="str">
        <f>IF(AND($A96&lt;&gt;0,$A96&lt;&gt;"",OR(RIGHT(Logic!B96,2)="T)",LEFT(Logic!B96,4)="CSD1")),DUTY*IM_RMS_120^2*V96*m/3/Num_FETS3,"")</f>
        <v/>
      </c>
      <c r="AH96" s="127" t="str">
        <f>IF(AND($A96&lt;&gt;0,$A96&lt;&gt;"",OR(RIGHT(Logic!B96,2)="T)",LEFT(Logic!B96,4)="CSD1")),Num_FETS3*0.5*IM_RMS_120*VDC_AVG*Z96*n*FSW*k/GDR_SRC/3,"")</f>
        <v/>
      </c>
      <c r="AI96" s="127" t="str">
        <f>IF(AND($A96&lt;&gt;0,$A96&lt;&gt;"",OR(RIGHT(Logic!B96,2)="T)",LEFT(Logic!B96,4)="CSD1")),Num_FETS3*0.5*IM_RMS_120*VDC_AVG*Z96*n*FSW*k/GDR_SINK/3,"")</f>
        <v/>
      </c>
      <c r="AJ96" s="127" t="str">
        <f t="shared" si="31"/>
        <v/>
      </c>
      <c r="AK96" s="127" t="str">
        <f t="shared" si="32"/>
        <v/>
      </c>
      <c r="AL96" s="127" t="str">
        <f t="shared" si="33"/>
        <v/>
      </c>
      <c r="AM96" s="127" t="str">
        <f t="shared" si="48"/>
        <v/>
      </c>
      <c r="AN96" s="127">
        <f>IF(AND($A96&lt;&gt;0,$A96&lt;&gt;"",OR(RIGHT(Logic!B96,2)="C)",LEFT(Logic!B96,4)="CSD1")),SUM(AD96:AF96)+(AJ96/3)+AK96+AL96/6+AM96/6,AN97)</f>
        <v>0</v>
      </c>
      <c r="AO96" s="127">
        <f>IF(AND($A96&lt;&gt;0,$A96&lt;&gt;"",OR(RIGHT(Logic!B96,2)="T)",LEFT(Logic!B96,4)="CSD1")),SUM(AG96:AI96)+(AJ96/3)+AL96/6+AM96/6,AO95)</f>
        <v>0.23887636588496741</v>
      </c>
      <c r="AP96" s="48" t="str">
        <f t="shared" si="49"/>
        <v/>
      </c>
      <c r="AQ96" s="35" t="str">
        <f>IF(AND(A96&lt;&gt;0,A96&lt;&gt;""),LOOKUP(A96,Discrete_NFET[PARTNUMBER],Discrete_NFET[TI_EQ_PACKAGE]),"")</f>
        <v/>
      </c>
      <c r="AR96" s="49" t="str">
        <f>IF(AND(A96&lt;&gt;0,A96&lt;&gt;""),LOOKUP(A96,Discrete_NFET[PARTNUMBER],Discrete_NFET[1KPRICE]),"")</f>
        <v/>
      </c>
      <c r="AS96" s="35" t="str">
        <f>IF(AND($A96&lt;&gt;0,$A96&lt;&gt;""),CONCATENATE(TEXT(AP96,"0.00"),"W, ",IF('User Input'!H$11="Single Discrete",A96,IF('User Input'!H$11="Dual/Power Block",LEFT(A96,FIND(")",A96)-7),A96)),", ",AQ96,", ",TEXT(AR96,"$0.00")),"Invalid Part")</f>
        <v>Invalid Part</v>
      </c>
      <c r="AT96"/>
      <c r="AW96"/>
    </row>
    <row r="97" spans="1:49" ht="15" customHeight="1" x14ac:dyDescent="0.25">
      <c r="A97" s="35" t="str">
        <f>IF(OR(AND(FET_config3="Dual/Power Block",LEFT(Logic!B97,4)="CSD8"),AND(FET_config3="Single Discrete",LEFT(Logic!B97,4)="CSD1")),Logic!B97,"")</f>
        <v/>
      </c>
      <c r="B97" s="37" t="str">
        <f>IF(OR($A97=0,$A97=""),"0",IF(LOOKUP($A97,Discrete_NFET[PARTNUMBER],Discrete_NFET[RDSON25])="(NULL)","0","1"))</f>
        <v>0</v>
      </c>
      <c r="C97" s="38" t="str">
        <f>IF(OR($A97=0,$A97=""),"0",IF(LOOKUP($A97,Discrete_NFET[PARTNUMBER],Discrete_NFET[RDSON3])="(NULL)","0","1"))</f>
        <v>0</v>
      </c>
      <c r="D97" s="40" t="str">
        <f>IF(OR($A97=0,$A97=""),"0",IF(LOOKUP($A97,Discrete_NFET[PARTNUMBER],Discrete_NFET[RDSON45])="(NULL)","0","1"))</f>
        <v>0</v>
      </c>
      <c r="E97" s="45" t="str">
        <f>IF(OR($A97=0,$A97=""),"0",IF(LOOKUP($A97,Discrete_NFET[PARTNUMBER],Discrete_NFET[RDSON6])="(NULL)","0","1"))</f>
        <v>0</v>
      </c>
      <c r="F97" s="34" t="str">
        <f>IF(OR($A97=0,$A97=""),"0",IF(LOOKUP($A97,Discrete_NFET[PARTNUMBER],Discrete_NFET[RDSON8])="(NULL)","0","1"))</f>
        <v>0</v>
      </c>
      <c r="G97" s="43" t="str">
        <f>IF(OR($A97=0,$A97=""),"0",IF(LOOKUP($A97,Discrete_NFET[PARTNUMBER],Discrete_NFET[RDSON10])="(NULL)","0","1"))</f>
        <v>0</v>
      </c>
      <c r="H97" s="36" t="b">
        <f t="shared" si="34"/>
        <v>0</v>
      </c>
      <c r="I97" s="39" t="b">
        <f t="shared" si="35"/>
        <v>0</v>
      </c>
      <c r="J97" s="41" t="b">
        <f t="shared" si="36"/>
        <v>0</v>
      </c>
      <c r="K97" s="46" t="b">
        <f t="shared" si="37"/>
        <v>0</v>
      </c>
      <c r="L97" s="42" t="b">
        <f t="shared" si="38"/>
        <v>0</v>
      </c>
      <c r="M97" s="44" t="b">
        <f t="shared" si="39"/>
        <v>0</v>
      </c>
      <c r="N97" s="47" t="b">
        <f t="shared" si="40"/>
        <v>0</v>
      </c>
      <c r="O97" s="36" t="b">
        <f t="shared" si="41"/>
        <v>0</v>
      </c>
      <c r="P97" s="39" t="b">
        <f t="shared" si="42"/>
        <v>0</v>
      </c>
      <c r="Q97" s="41" t="b">
        <f t="shared" si="43"/>
        <v>0</v>
      </c>
      <c r="R97" s="46" t="b">
        <f t="shared" si="44"/>
        <v>0</v>
      </c>
      <c r="S97" s="42" t="b">
        <f t="shared" si="45"/>
        <v>0</v>
      </c>
      <c r="T97" s="44" t="b">
        <f t="shared" si="46"/>
        <v>0</v>
      </c>
      <c r="U97" s="148" t="str">
        <f>IF(T97,LOOKUP(A97,Discrete_NFET[PARTNUMBER],Discrete_NFET[RDSON10])*1000,IF(S97,LOOKUP(A97,Discrete_NFET[PARTNUMBER],Discrete_NFET[RDSON8])*1000,IF(R97,LOOKUP(A97,Discrete_NFET[PARTNUMBER],Discrete_NFET[RDSON6])*1000,IF(Q97,LOOKUP(A97,Discrete_NFET[PARTNUMBER],Discrete_NFET[RDSON45])*1000,IF(P97,LOOKUP(A97,Discrete_NFET[PARTNUMBER],Discrete_NFET[RDSON3])*1000,IF(O97,LOOKUP(A97,Discrete_NFET[PARTNUMBER],Discrete_NFET[RDSON25])*1000,""))))))</f>
        <v/>
      </c>
      <c r="V97" s="48" t="str">
        <f>IF(AND(A97&lt;&gt;0,A97&lt;&gt;""),U97*(1+(Tj-25)*(LOOKUP(A97,Discrete_NFET[PARTNUMBER],Discrete_NFET[RDSDELTA])/((LOOKUP(A97,Discrete_NFET[PARTNUMBER],Discrete_NFET[TJMAX])-25)))),"")</f>
        <v/>
      </c>
      <c r="W97" s="35" t="str">
        <f>IF(AND($A97&lt;&gt;0,$A97&lt;&gt;""),LOOKUP($A97,Discrete_NFET[PARTNUMBER],Discrete_NFET[QGS]),"")</f>
        <v/>
      </c>
      <c r="X97" s="35" t="str">
        <f>IF(AND($A97&lt;&gt;0,$A97&lt;&gt;""),LOOKUP($A97,Discrete_NFET[PARTNUMBER],Discrete_NFET[QGD]),"")</f>
        <v/>
      </c>
      <c r="Y97" s="35" t="str">
        <f>IF(AND($A97&lt;&gt;0,$A97&lt;&gt;""),LOOKUP($A97,Discrete_NFET[PARTNUMBER],Discrete_NFET[QGTH]),"")</f>
        <v/>
      </c>
      <c r="Z97" s="35" t="str">
        <f t="shared" si="47"/>
        <v/>
      </c>
      <c r="AA97" s="35" t="str">
        <f>IF(AND($A97&lt;&gt;0,$A97&lt;&gt;""),LOOKUP($A97,Discrete_NFET[PARTNUMBER],Discrete_NFET[QOSSTYP]),"")</f>
        <v/>
      </c>
      <c r="AB97" s="35" t="str">
        <f>IF(AND($A97&lt;&gt;0,$A97&lt;&gt;""),LOOKUP($A97,Discrete_NFET[PARTNUMBER],Discrete_NFET[QRR]),"")</f>
        <v/>
      </c>
      <c r="AC97" s="35" t="str">
        <f>IF(AND(A97&lt;&gt;0,A97&lt;&gt;""),LOOKUP(A97,Discrete_NFET[PARTNUMBER],Discrete_NFET[VF_TYP]),"")</f>
        <v/>
      </c>
      <c r="AD97" s="127" t="str">
        <f>IF(AND($A97&lt;&gt;0,$A97&lt;&gt;"",OR(RIGHT(Logic!B97,2)="C)",LEFT(Logic!B97,4)="CSD1")),(1+(1-DUTY))*IM_RMS_120^2*V97*m/3/Num_FETS3,"")</f>
        <v/>
      </c>
      <c r="AE97" s="127" t="str">
        <f>IF(AND($A97&lt;&gt;0,$A97&lt;&gt;"",OR(RIGHT(Logic!B97,2)="C)",LEFT(Logic!B97,4)="CSD1")),Num_FETS3*0.5*IM_RMS_120*VDC_AVG*Z97*n*MOT_ELEC_FREQ/GDR_SRC,"")</f>
        <v/>
      </c>
      <c r="AF97" s="127" t="str">
        <f>IF(AND($A97&lt;&gt;0,$A97&lt;&gt;"",OR(RIGHT(Logic!B97,2)="C)",LEFT(Logic!B97,4)="CSD1")),Num_FETS3*0.5*IM_RMS_120*VDC_AVG*Z97*n*MOT_ELEC_FREQ/GDR_SINK,"")</f>
        <v/>
      </c>
      <c r="AG97" s="127" t="str">
        <f>IF(AND($A97&lt;&gt;0,$A97&lt;&gt;"",OR(RIGHT(Logic!B97,2)="T)",LEFT(Logic!B97,4)="CSD1")),DUTY*IM_RMS_120^2*V97*m/3/Num_FETS3,"")</f>
        <v/>
      </c>
      <c r="AH97" s="127" t="str">
        <f>IF(AND($A97&lt;&gt;0,$A97&lt;&gt;"",OR(RIGHT(Logic!B97,2)="T)",LEFT(Logic!B97,4)="CSD1")),Num_FETS3*0.5*IM_RMS_120*VDC_AVG*Z97*n*FSW*k/GDR_SRC/3,"")</f>
        <v/>
      </c>
      <c r="AI97" s="127" t="str">
        <f>IF(AND($A97&lt;&gt;0,$A97&lt;&gt;"",OR(RIGHT(Logic!B97,2)="T)",LEFT(Logic!B97,4)="CSD1")),Num_FETS3*0.5*IM_RMS_120*VDC_AVG*Z97*n*FSW*k/GDR_SINK/3,"")</f>
        <v/>
      </c>
      <c r="AJ97" s="127" t="str">
        <f t="shared" si="31"/>
        <v/>
      </c>
      <c r="AK97" s="127" t="str">
        <f t="shared" si="32"/>
        <v/>
      </c>
      <c r="AL97" s="127" t="str">
        <f t="shared" si="33"/>
        <v/>
      </c>
      <c r="AM97" s="127" t="str">
        <f t="shared" si="48"/>
        <v/>
      </c>
      <c r="AN97" s="127">
        <f>IF(AND($A97&lt;&gt;0,$A97&lt;&gt;"",OR(RIGHT(Logic!B97,2)="C)",LEFT(Logic!B97,4)="CSD1")),SUM(AD97:AF97)+(AJ97/3)+AK97+AL97/6+AM97/6,AN98)</f>
        <v>0</v>
      </c>
      <c r="AO97" s="127">
        <f>IF(AND($A97&lt;&gt;0,$A97&lt;&gt;"",OR(RIGHT(Logic!B97,2)="T)",LEFT(Logic!B97,4)="CSD1")),SUM(AG97:AI97)+(AJ97/3)+AL97/6+AM97/6,AO96)</f>
        <v>0.23887636588496741</v>
      </c>
      <c r="AP97" s="48" t="str">
        <f t="shared" si="49"/>
        <v/>
      </c>
      <c r="AQ97" s="35" t="str">
        <f>IF(AND(A97&lt;&gt;0,A97&lt;&gt;""),LOOKUP(A97,Discrete_NFET[PARTNUMBER],Discrete_NFET[TI_EQ_PACKAGE]),"")</f>
        <v/>
      </c>
      <c r="AR97" s="49" t="str">
        <f>IF(AND(A97&lt;&gt;0,A97&lt;&gt;""),LOOKUP(A97,Discrete_NFET[PARTNUMBER],Discrete_NFET[1KPRICE]),"")</f>
        <v/>
      </c>
      <c r="AS97" s="35" t="str">
        <f>IF(AND($A97&lt;&gt;0,$A97&lt;&gt;""),CONCATENATE(TEXT(AP97,"0.00"),"W, ",IF('User Input'!H$11="Single Discrete",A97,IF('User Input'!H$11="Dual/Power Block",LEFT(A97,FIND(")",A97)-7),A97)),", ",AQ97,", ",TEXT(AR97,"$0.00")),"Invalid Part")</f>
        <v>Invalid Part</v>
      </c>
      <c r="AT97"/>
      <c r="AW97"/>
    </row>
    <row r="98" spans="1:49" ht="15" customHeight="1" x14ac:dyDescent="0.25">
      <c r="A98" s="35" t="str">
        <f>IF(OR(AND(FET_config3="Dual/Power Block",LEFT(Logic!B98,4)="CSD8"),AND(FET_config3="Single Discrete",LEFT(Logic!B98,4)="CSD1")),Logic!B98,"")</f>
        <v/>
      </c>
      <c r="B98" s="37" t="str">
        <f>IF(OR($A98=0,$A98=""),"0",IF(LOOKUP($A98,Discrete_NFET[PARTNUMBER],Discrete_NFET[RDSON25])="(NULL)","0","1"))</f>
        <v>0</v>
      </c>
      <c r="C98" s="38" t="str">
        <f>IF(OR($A98=0,$A98=""),"0",IF(LOOKUP($A98,Discrete_NFET[PARTNUMBER],Discrete_NFET[RDSON3])="(NULL)","0","1"))</f>
        <v>0</v>
      </c>
      <c r="D98" s="40" t="str">
        <f>IF(OR($A98=0,$A98=""),"0",IF(LOOKUP($A98,Discrete_NFET[PARTNUMBER],Discrete_NFET[RDSON45])="(NULL)","0","1"))</f>
        <v>0</v>
      </c>
      <c r="E98" s="45" t="str">
        <f>IF(OR($A98=0,$A98=""),"0",IF(LOOKUP($A98,Discrete_NFET[PARTNUMBER],Discrete_NFET[RDSON6])="(NULL)","0","1"))</f>
        <v>0</v>
      </c>
      <c r="F98" s="34" t="str">
        <f>IF(OR($A98=0,$A98=""),"0",IF(LOOKUP($A98,Discrete_NFET[PARTNUMBER],Discrete_NFET[RDSON8])="(NULL)","0","1"))</f>
        <v>0</v>
      </c>
      <c r="G98" s="43" t="str">
        <f>IF(OR($A98=0,$A98=""),"0",IF(LOOKUP($A98,Discrete_NFET[PARTNUMBER],Discrete_NFET[RDSON10])="(NULL)","0","1"))</f>
        <v>0</v>
      </c>
      <c r="H98" s="36" t="b">
        <f t="shared" si="34"/>
        <v>0</v>
      </c>
      <c r="I98" s="39" t="b">
        <f t="shared" si="35"/>
        <v>0</v>
      </c>
      <c r="J98" s="41" t="b">
        <f t="shared" si="36"/>
        <v>0</v>
      </c>
      <c r="K98" s="46" t="b">
        <f t="shared" si="37"/>
        <v>0</v>
      </c>
      <c r="L98" s="42" t="b">
        <f t="shared" si="38"/>
        <v>0</v>
      </c>
      <c r="M98" s="44" t="b">
        <f t="shared" si="39"/>
        <v>0</v>
      </c>
      <c r="N98" s="47" t="b">
        <f t="shared" si="40"/>
        <v>0</v>
      </c>
      <c r="O98" s="36" t="b">
        <f t="shared" si="41"/>
        <v>0</v>
      </c>
      <c r="P98" s="39" t="b">
        <f t="shared" si="42"/>
        <v>0</v>
      </c>
      <c r="Q98" s="41" t="b">
        <f t="shared" si="43"/>
        <v>0</v>
      </c>
      <c r="R98" s="46" t="b">
        <f t="shared" si="44"/>
        <v>0</v>
      </c>
      <c r="S98" s="42" t="b">
        <f t="shared" si="45"/>
        <v>0</v>
      </c>
      <c r="T98" s="44" t="b">
        <f t="shared" si="46"/>
        <v>0</v>
      </c>
      <c r="U98" s="148" t="str">
        <f>IF(T98,LOOKUP(A98,Discrete_NFET[PARTNUMBER],Discrete_NFET[RDSON10])*1000,IF(S98,LOOKUP(A98,Discrete_NFET[PARTNUMBER],Discrete_NFET[RDSON8])*1000,IF(R98,LOOKUP(A98,Discrete_NFET[PARTNUMBER],Discrete_NFET[RDSON6])*1000,IF(Q98,LOOKUP(A98,Discrete_NFET[PARTNUMBER],Discrete_NFET[RDSON45])*1000,IF(P98,LOOKUP(A98,Discrete_NFET[PARTNUMBER],Discrete_NFET[RDSON3])*1000,IF(O98,LOOKUP(A98,Discrete_NFET[PARTNUMBER],Discrete_NFET[RDSON25])*1000,""))))))</f>
        <v/>
      </c>
      <c r="V98" s="48" t="str">
        <f>IF(AND(A98&lt;&gt;0,A98&lt;&gt;""),U98*(1+(Tj-25)*(LOOKUP(A98,Discrete_NFET[PARTNUMBER],Discrete_NFET[RDSDELTA])/((LOOKUP(A98,Discrete_NFET[PARTNUMBER],Discrete_NFET[TJMAX])-25)))),"")</f>
        <v/>
      </c>
      <c r="W98" s="35" t="str">
        <f>IF(AND($A98&lt;&gt;0,$A98&lt;&gt;""),LOOKUP($A98,Discrete_NFET[PARTNUMBER],Discrete_NFET[QGS]),"")</f>
        <v/>
      </c>
      <c r="X98" s="35" t="str">
        <f>IF(AND($A98&lt;&gt;0,$A98&lt;&gt;""),LOOKUP($A98,Discrete_NFET[PARTNUMBER],Discrete_NFET[QGD]),"")</f>
        <v/>
      </c>
      <c r="Y98" s="35" t="str">
        <f>IF(AND($A98&lt;&gt;0,$A98&lt;&gt;""),LOOKUP($A98,Discrete_NFET[PARTNUMBER],Discrete_NFET[QGTH]),"")</f>
        <v/>
      </c>
      <c r="Z98" s="35" t="str">
        <f t="shared" si="47"/>
        <v/>
      </c>
      <c r="AA98" s="35" t="str">
        <f>IF(AND($A98&lt;&gt;0,$A98&lt;&gt;""),LOOKUP($A98,Discrete_NFET[PARTNUMBER],Discrete_NFET[QOSSTYP]),"")</f>
        <v/>
      </c>
      <c r="AB98" s="35" t="str">
        <f>IF(AND($A98&lt;&gt;0,$A98&lt;&gt;""),LOOKUP($A98,Discrete_NFET[PARTNUMBER],Discrete_NFET[QRR]),"")</f>
        <v/>
      </c>
      <c r="AC98" s="35" t="str">
        <f>IF(AND(A98&lt;&gt;0,A98&lt;&gt;""),LOOKUP(A98,Discrete_NFET[PARTNUMBER],Discrete_NFET[VF_TYP]),"")</f>
        <v/>
      </c>
      <c r="AD98" s="127" t="str">
        <f>IF(AND($A98&lt;&gt;0,$A98&lt;&gt;"",OR(RIGHT(Logic!B98,2)="C)",LEFT(Logic!B98,4)="CSD1")),(1+(1-DUTY))*IM_RMS_120^2*V98*m/3/Num_FETS3,"")</f>
        <v/>
      </c>
      <c r="AE98" s="127" t="str">
        <f>IF(AND($A98&lt;&gt;0,$A98&lt;&gt;"",OR(RIGHT(Logic!B98,2)="C)",LEFT(Logic!B98,4)="CSD1")),Num_FETS3*0.5*IM_RMS_120*VDC_AVG*Z98*n*MOT_ELEC_FREQ/GDR_SRC,"")</f>
        <v/>
      </c>
      <c r="AF98" s="127" t="str">
        <f>IF(AND($A98&lt;&gt;0,$A98&lt;&gt;"",OR(RIGHT(Logic!B98,2)="C)",LEFT(Logic!B98,4)="CSD1")),Num_FETS3*0.5*IM_RMS_120*VDC_AVG*Z98*n*MOT_ELEC_FREQ/GDR_SINK,"")</f>
        <v/>
      </c>
      <c r="AG98" s="127" t="str">
        <f>IF(AND($A98&lt;&gt;0,$A98&lt;&gt;"",OR(RIGHT(Logic!B98,2)="T)",LEFT(Logic!B98,4)="CSD1")),DUTY*IM_RMS_120^2*V98*m/3/Num_FETS3,"")</f>
        <v/>
      </c>
      <c r="AH98" s="127" t="str">
        <f>IF(AND($A98&lt;&gt;0,$A98&lt;&gt;"",OR(RIGHT(Logic!B98,2)="T)",LEFT(Logic!B98,4)="CSD1")),Num_FETS3*0.5*IM_RMS_120*VDC_AVG*Z98*n*FSW*k/GDR_SRC/3,"")</f>
        <v/>
      </c>
      <c r="AI98" s="127" t="str">
        <f>IF(AND($A98&lt;&gt;0,$A98&lt;&gt;"",OR(RIGHT(Logic!B98,2)="T)",LEFT(Logic!B98,4)="CSD1")),Num_FETS3*0.5*IM_RMS_120*VDC_AVG*Z98*n*FSW*k/GDR_SINK/3,"")</f>
        <v/>
      </c>
      <c r="AJ98" s="127" t="str">
        <f t="shared" ref="AJ98:AJ129" si="50">IF(AND($A98&lt;&gt;0,$A98&lt;&gt;""),Num_FETS3*((AA98*VDC_AVG)*((FSW*k)))*n/2,"")</f>
        <v/>
      </c>
      <c r="AK98" s="127" t="str">
        <f t="shared" ref="AK98:AK129" si="51">IF(AND($A98&lt;&gt;0,$A98&lt;&gt;""),2*T_DEAD*n*AC98*IM_PEAK*(FSW*k)/3,"")</f>
        <v/>
      </c>
      <c r="AL98" s="127" t="str">
        <f t="shared" ref="AL98:AL129" si="52">IF(AND($A98&lt;&gt;0,$A98&lt;&gt;""),Num_FETS3*((AB98*VDC_AVG)*((MOT_ELEC_FREQ+FSW*k)))*n,"")</f>
        <v/>
      </c>
      <c r="AM98" s="127" t="str">
        <f t="shared" si="48"/>
        <v/>
      </c>
      <c r="AN98" s="127">
        <f>IF(AND($A98&lt;&gt;0,$A98&lt;&gt;"",OR(RIGHT(Logic!B98,2)="C)",LEFT(Logic!B98,4)="CSD1")),SUM(AD98:AF98)+(AJ98/3)+AK98+AL98/6+AM98/6,AN99)</f>
        <v>0</v>
      </c>
      <c r="AO98" s="127">
        <f>IF(AND($A98&lt;&gt;0,$A98&lt;&gt;"",OR(RIGHT(Logic!B98,2)="T)",LEFT(Logic!B98,4)="CSD1")),SUM(AG98:AI98)+(AJ98/3)+AL98/6+AM98/6,AO97)</f>
        <v>0.23887636588496741</v>
      </c>
      <c r="AP98" s="48" t="str">
        <f t="shared" si="49"/>
        <v/>
      </c>
      <c r="AQ98" s="35" t="str">
        <f>IF(AND(A98&lt;&gt;0,A98&lt;&gt;""),LOOKUP(A98,Discrete_NFET[PARTNUMBER],Discrete_NFET[TI_EQ_PACKAGE]),"")</f>
        <v/>
      </c>
      <c r="AR98" s="49" t="str">
        <f>IF(AND(A98&lt;&gt;0,A98&lt;&gt;""),LOOKUP(A98,Discrete_NFET[PARTNUMBER],Discrete_NFET[1KPRICE]),"")</f>
        <v/>
      </c>
      <c r="AS98" s="35" t="str">
        <f>IF(AND($A98&lt;&gt;0,$A98&lt;&gt;""),CONCATENATE(TEXT(AP98,"0.00"),"W, ",IF('User Input'!H$11="Single Discrete",A98,IF('User Input'!H$11="Dual/Power Block",LEFT(A98,FIND(")",A98)-7),A98)),", ",AQ98,", ",TEXT(AR98,"$0.00")),"Invalid Part")</f>
        <v>Invalid Part</v>
      </c>
      <c r="AT98"/>
      <c r="AW98"/>
    </row>
    <row r="99" spans="1:49" ht="15" customHeight="1" x14ac:dyDescent="0.25">
      <c r="A99" s="35" t="str">
        <f>IF(OR(AND(FET_config3="Dual/Power Block",LEFT(Logic!B99,4)="CSD8"),AND(FET_config3="Single Discrete",LEFT(Logic!B99,4)="CSD1")),Logic!B99,"")</f>
        <v/>
      </c>
      <c r="B99" s="37" t="str">
        <f>IF(OR($A99=0,$A99=""),"0",IF(LOOKUP($A99,Discrete_NFET[PARTNUMBER],Discrete_NFET[RDSON25])="(NULL)","0","1"))</f>
        <v>0</v>
      </c>
      <c r="C99" s="38" t="str">
        <f>IF(OR($A99=0,$A99=""),"0",IF(LOOKUP($A99,Discrete_NFET[PARTNUMBER],Discrete_NFET[RDSON3])="(NULL)","0","1"))</f>
        <v>0</v>
      </c>
      <c r="D99" s="40" t="str">
        <f>IF(OR($A99=0,$A99=""),"0",IF(LOOKUP($A99,Discrete_NFET[PARTNUMBER],Discrete_NFET[RDSON45])="(NULL)","0","1"))</f>
        <v>0</v>
      </c>
      <c r="E99" s="45" t="str">
        <f>IF(OR($A99=0,$A99=""),"0",IF(LOOKUP($A99,Discrete_NFET[PARTNUMBER],Discrete_NFET[RDSON6])="(NULL)","0","1"))</f>
        <v>0</v>
      </c>
      <c r="F99" s="34" t="str">
        <f>IF(OR($A99=0,$A99=""),"0",IF(LOOKUP($A99,Discrete_NFET[PARTNUMBER],Discrete_NFET[RDSON8])="(NULL)","0","1"))</f>
        <v>0</v>
      </c>
      <c r="G99" s="43" t="str">
        <f>IF(OR($A99=0,$A99=""),"0",IF(LOOKUP($A99,Discrete_NFET[PARTNUMBER],Discrete_NFET[RDSON10])="(NULL)","0","1"))</f>
        <v>0</v>
      </c>
      <c r="H99" s="36" t="b">
        <f t="shared" si="34"/>
        <v>0</v>
      </c>
      <c r="I99" s="39" t="b">
        <f t="shared" si="35"/>
        <v>0</v>
      </c>
      <c r="J99" s="41" t="b">
        <f t="shared" si="36"/>
        <v>0</v>
      </c>
      <c r="K99" s="46" t="b">
        <f t="shared" si="37"/>
        <v>0</v>
      </c>
      <c r="L99" s="42" t="b">
        <f t="shared" si="38"/>
        <v>0</v>
      </c>
      <c r="M99" s="44" t="b">
        <f t="shared" si="39"/>
        <v>0</v>
      </c>
      <c r="N99" s="47" t="b">
        <f t="shared" si="40"/>
        <v>0</v>
      </c>
      <c r="O99" s="36" t="b">
        <f t="shared" si="41"/>
        <v>0</v>
      </c>
      <c r="P99" s="39" t="b">
        <f t="shared" si="42"/>
        <v>0</v>
      </c>
      <c r="Q99" s="41" t="b">
        <f t="shared" si="43"/>
        <v>0</v>
      </c>
      <c r="R99" s="46" t="b">
        <f t="shared" si="44"/>
        <v>0</v>
      </c>
      <c r="S99" s="42" t="b">
        <f t="shared" si="45"/>
        <v>0</v>
      </c>
      <c r="T99" s="44" t="b">
        <f t="shared" si="46"/>
        <v>0</v>
      </c>
      <c r="U99" s="148" t="str">
        <f>IF(T99,LOOKUP(A99,Discrete_NFET[PARTNUMBER],Discrete_NFET[RDSON10])*1000,IF(S99,LOOKUP(A99,Discrete_NFET[PARTNUMBER],Discrete_NFET[RDSON8])*1000,IF(R99,LOOKUP(A99,Discrete_NFET[PARTNUMBER],Discrete_NFET[RDSON6])*1000,IF(Q99,LOOKUP(A99,Discrete_NFET[PARTNUMBER],Discrete_NFET[RDSON45])*1000,IF(P99,LOOKUP(A99,Discrete_NFET[PARTNUMBER],Discrete_NFET[RDSON3])*1000,IF(O99,LOOKUP(A99,Discrete_NFET[PARTNUMBER],Discrete_NFET[RDSON25])*1000,""))))))</f>
        <v/>
      </c>
      <c r="V99" s="48" t="str">
        <f>IF(AND(A99&lt;&gt;0,A99&lt;&gt;""),U99*(1+(Tj-25)*(LOOKUP(A99,Discrete_NFET[PARTNUMBER],Discrete_NFET[RDSDELTA])/((LOOKUP(A99,Discrete_NFET[PARTNUMBER],Discrete_NFET[TJMAX])-25)))),"")</f>
        <v/>
      </c>
      <c r="W99" s="35" t="str">
        <f>IF(AND($A99&lt;&gt;0,$A99&lt;&gt;""),LOOKUP($A99,Discrete_NFET[PARTNUMBER],Discrete_NFET[QGS]),"")</f>
        <v/>
      </c>
      <c r="X99" s="35" t="str">
        <f>IF(AND($A99&lt;&gt;0,$A99&lt;&gt;""),LOOKUP($A99,Discrete_NFET[PARTNUMBER],Discrete_NFET[QGD]),"")</f>
        <v/>
      </c>
      <c r="Y99" s="35" t="str">
        <f>IF(AND($A99&lt;&gt;0,$A99&lt;&gt;""),LOOKUP($A99,Discrete_NFET[PARTNUMBER],Discrete_NFET[QGTH]),"")</f>
        <v/>
      </c>
      <c r="Z99" s="35" t="str">
        <f t="shared" si="47"/>
        <v/>
      </c>
      <c r="AA99" s="35" t="str">
        <f>IF(AND($A99&lt;&gt;0,$A99&lt;&gt;""),LOOKUP($A99,Discrete_NFET[PARTNUMBER],Discrete_NFET[QOSSTYP]),"")</f>
        <v/>
      </c>
      <c r="AB99" s="35" t="str">
        <f>IF(AND($A99&lt;&gt;0,$A99&lt;&gt;""),LOOKUP($A99,Discrete_NFET[PARTNUMBER],Discrete_NFET[QRR]),"")</f>
        <v/>
      </c>
      <c r="AC99" s="35" t="str">
        <f>IF(AND(A99&lt;&gt;0,A99&lt;&gt;""),LOOKUP(A99,Discrete_NFET[PARTNUMBER],Discrete_NFET[VF_TYP]),"")</f>
        <v/>
      </c>
      <c r="AD99" s="127" t="str">
        <f>IF(AND($A99&lt;&gt;0,$A99&lt;&gt;"",OR(RIGHT(Logic!B99,2)="C)",LEFT(Logic!B99,4)="CSD1")),(1+(1-DUTY))*IM_RMS_120^2*V99*m/3/Num_FETS3,"")</f>
        <v/>
      </c>
      <c r="AE99" s="127" t="str">
        <f>IF(AND($A99&lt;&gt;0,$A99&lt;&gt;"",OR(RIGHT(Logic!B99,2)="C)",LEFT(Logic!B99,4)="CSD1")),Num_FETS3*0.5*IM_RMS_120*VDC_AVG*Z99*n*MOT_ELEC_FREQ/GDR_SRC,"")</f>
        <v/>
      </c>
      <c r="AF99" s="127" t="str">
        <f>IF(AND($A99&lt;&gt;0,$A99&lt;&gt;"",OR(RIGHT(Logic!B99,2)="C)",LEFT(Logic!B99,4)="CSD1")),Num_FETS3*0.5*IM_RMS_120*VDC_AVG*Z99*n*MOT_ELEC_FREQ/GDR_SINK,"")</f>
        <v/>
      </c>
      <c r="AG99" s="127" t="str">
        <f>IF(AND($A99&lt;&gt;0,$A99&lt;&gt;"",OR(RIGHT(Logic!B99,2)="T)",LEFT(Logic!B99,4)="CSD1")),DUTY*IM_RMS_120^2*V99*m/3/Num_FETS3,"")</f>
        <v/>
      </c>
      <c r="AH99" s="127" t="str">
        <f>IF(AND($A99&lt;&gt;0,$A99&lt;&gt;"",OR(RIGHT(Logic!B99,2)="T)",LEFT(Logic!B99,4)="CSD1")),Num_FETS3*0.5*IM_RMS_120*VDC_AVG*Z99*n*FSW*k/GDR_SRC/3,"")</f>
        <v/>
      </c>
      <c r="AI99" s="127" t="str">
        <f>IF(AND($A99&lt;&gt;0,$A99&lt;&gt;"",OR(RIGHT(Logic!B99,2)="T)",LEFT(Logic!B99,4)="CSD1")),Num_FETS3*0.5*IM_RMS_120*VDC_AVG*Z99*n*FSW*k/GDR_SINK/3,"")</f>
        <v/>
      </c>
      <c r="AJ99" s="127" t="str">
        <f t="shared" si="50"/>
        <v/>
      </c>
      <c r="AK99" s="127" t="str">
        <f t="shared" si="51"/>
        <v/>
      </c>
      <c r="AL99" s="127" t="str">
        <f t="shared" si="52"/>
        <v/>
      </c>
      <c r="AM99" s="127" t="str">
        <f t="shared" si="48"/>
        <v/>
      </c>
      <c r="AN99" s="127">
        <f>IF(AND($A99&lt;&gt;0,$A99&lt;&gt;"",OR(RIGHT(Logic!B99,2)="C)",LEFT(Logic!B99,4)="CSD1")),SUM(AD99:AF99)+(AJ99/3)+AK99+AL99/6+AM99/6,AN100)</f>
        <v>0</v>
      </c>
      <c r="AO99" s="127">
        <f>IF(AND($A99&lt;&gt;0,$A99&lt;&gt;"",OR(RIGHT(Logic!B99,2)="T)",LEFT(Logic!B99,4)="CSD1")),SUM(AG99:AI99)+(AJ99/3)+AL99/6+AM99/6,AO98)</f>
        <v>0.23887636588496741</v>
      </c>
      <c r="AP99" s="48" t="str">
        <f t="shared" si="49"/>
        <v/>
      </c>
      <c r="AQ99" s="35" t="str">
        <f>IF(AND(A99&lt;&gt;0,A99&lt;&gt;""),LOOKUP(A99,Discrete_NFET[PARTNUMBER],Discrete_NFET[TI_EQ_PACKAGE]),"")</f>
        <v/>
      </c>
      <c r="AR99" s="49" t="str">
        <f>IF(AND(A99&lt;&gt;0,A99&lt;&gt;""),LOOKUP(A99,Discrete_NFET[PARTNUMBER],Discrete_NFET[1KPRICE]),"")</f>
        <v/>
      </c>
      <c r="AS99" s="35" t="str">
        <f>IF(AND($A99&lt;&gt;0,$A99&lt;&gt;""),CONCATENATE(TEXT(AP99,"0.00"),"W, ",IF('User Input'!H$11="Single Discrete",A99,IF('User Input'!H$11="Dual/Power Block",LEFT(A99,FIND(")",A99)-7),A99)),", ",AQ99,", ",TEXT(AR99,"$0.00")),"Invalid Part")</f>
        <v>Invalid Part</v>
      </c>
      <c r="AT99"/>
      <c r="AW99"/>
    </row>
    <row r="100" spans="1:49" ht="15" customHeight="1" x14ac:dyDescent="0.25">
      <c r="A100" s="35" t="str">
        <f>IF(OR(AND(FET_config3="Dual/Power Block",LEFT(Logic!B100,4)="CSD8"),AND(FET_config3="Single Discrete",LEFT(Logic!B100,4)="CSD1")),Logic!B100,"")</f>
        <v/>
      </c>
      <c r="B100" s="37" t="str">
        <f>IF(OR($A100=0,$A100=""),"0",IF(LOOKUP($A100,Discrete_NFET[PARTNUMBER],Discrete_NFET[RDSON25])="(NULL)","0","1"))</f>
        <v>0</v>
      </c>
      <c r="C100" s="38" t="str">
        <f>IF(OR($A100=0,$A100=""),"0",IF(LOOKUP($A100,Discrete_NFET[PARTNUMBER],Discrete_NFET[RDSON3])="(NULL)","0","1"))</f>
        <v>0</v>
      </c>
      <c r="D100" s="40" t="str">
        <f>IF(OR($A100=0,$A100=""),"0",IF(LOOKUP($A100,Discrete_NFET[PARTNUMBER],Discrete_NFET[RDSON45])="(NULL)","0","1"))</f>
        <v>0</v>
      </c>
      <c r="E100" s="45" t="str">
        <f>IF(OR($A100=0,$A100=""),"0",IF(LOOKUP($A100,Discrete_NFET[PARTNUMBER],Discrete_NFET[RDSON6])="(NULL)","0","1"))</f>
        <v>0</v>
      </c>
      <c r="F100" s="34" t="str">
        <f>IF(OR($A100=0,$A100=""),"0",IF(LOOKUP($A100,Discrete_NFET[PARTNUMBER],Discrete_NFET[RDSON8])="(NULL)","0","1"))</f>
        <v>0</v>
      </c>
      <c r="G100" s="43" t="str">
        <f>IF(OR($A100=0,$A100=""),"0",IF(LOOKUP($A100,Discrete_NFET[PARTNUMBER],Discrete_NFET[RDSON10])="(NULL)","0","1"))</f>
        <v>0</v>
      </c>
      <c r="H100" s="36" t="b">
        <f t="shared" si="34"/>
        <v>0</v>
      </c>
      <c r="I100" s="39" t="b">
        <f t="shared" si="35"/>
        <v>0</v>
      </c>
      <c r="J100" s="41" t="b">
        <f t="shared" si="36"/>
        <v>0</v>
      </c>
      <c r="K100" s="46" t="b">
        <f t="shared" si="37"/>
        <v>0</v>
      </c>
      <c r="L100" s="42" t="b">
        <f t="shared" si="38"/>
        <v>0</v>
      </c>
      <c r="M100" s="44" t="b">
        <f t="shared" si="39"/>
        <v>0</v>
      </c>
      <c r="N100" s="47" t="b">
        <f t="shared" si="40"/>
        <v>0</v>
      </c>
      <c r="O100" s="36" t="b">
        <f t="shared" si="41"/>
        <v>0</v>
      </c>
      <c r="P100" s="39" t="b">
        <f t="shared" si="42"/>
        <v>0</v>
      </c>
      <c r="Q100" s="41" t="b">
        <f t="shared" si="43"/>
        <v>0</v>
      </c>
      <c r="R100" s="46" t="b">
        <f t="shared" si="44"/>
        <v>0</v>
      </c>
      <c r="S100" s="42" t="b">
        <f t="shared" si="45"/>
        <v>0</v>
      </c>
      <c r="T100" s="44" t="b">
        <f t="shared" si="46"/>
        <v>0</v>
      </c>
      <c r="U100" s="148" t="str">
        <f>IF(T100,LOOKUP(A100,Discrete_NFET[PARTNUMBER],Discrete_NFET[RDSON10])*1000,IF(S100,LOOKUP(A100,Discrete_NFET[PARTNUMBER],Discrete_NFET[RDSON8])*1000,IF(R100,LOOKUP(A100,Discrete_NFET[PARTNUMBER],Discrete_NFET[RDSON6])*1000,IF(Q100,LOOKUP(A100,Discrete_NFET[PARTNUMBER],Discrete_NFET[RDSON45])*1000,IF(P100,LOOKUP(A100,Discrete_NFET[PARTNUMBER],Discrete_NFET[RDSON3])*1000,IF(O100,LOOKUP(A100,Discrete_NFET[PARTNUMBER],Discrete_NFET[RDSON25])*1000,""))))))</f>
        <v/>
      </c>
      <c r="V100" s="48" t="str">
        <f>IF(AND(A100&lt;&gt;0,A100&lt;&gt;""),U100*(1+(Tj-25)*(LOOKUP(A100,Discrete_NFET[PARTNUMBER],Discrete_NFET[RDSDELTA])/((LOOKUP(A100,Discrete_NFET[PARTNUMBER],Discrete_NFET[TJMAX])-25)))),"")</f>
        <v/>
      </c>
      <c r="W100" s="35" t="str">
        <f>IF(AND($A100&lt;&gt;0,$A100&lt;&gt;""),LOOKUP($A100,Discrete_NFET[PARTNUMBER],Discrete_NFET[QGS]),"")</f>
        <v/>
      </c>
      <c r="X100" s="35" t="str">
        <f>IF(AND($A100&lt;&gt;0,$A100&lt;&gt;""),LOOKUP($A100,Discrete_NFET[PARTNUMBER],Discrete_NFET[QGD]),"")</f>
        <v/>
      </c>
      <c r="Y100" s="35" t="str">
        <f>IF(AND($A100&lt;&gt;0,$A100&lt;&gt;""),LOOKUP($A100,Discrete_NFET[PARTNUMBER],Discrete_NFET[QGTH]),"")</f>
        <v/>
      </c>
      <c r="Z100" s="35" t="str">
        <f t="shared" si="47"/>
        <v/>
      </c>
      <c r="AA100" s="35" t="str">
        <f>IF(AND($A100&lt;&gt;0,$A100&lt;&gt;""),LOOKUP($A100,Discrete_NFET[PARTNUMBER],Discrete_NFET[QOSSTYP]),"")</f>
        <v/>
      </c>
      <c r="AB100" s="35" t="str">
        <f>IF(AND($A100&lt;&gt;0,$A100&lt;&gt;""),LOOKUP($A100,Discrete_NFET[PARTNUMBER],Discrete_NFET[QRR]),"")</f>
        <v/>
      </c>
      <c r="AC100" s="35" t="str">
        <f>IF(AND(A100&lt;&gt;0,A100&lt;&gt;""),LOOKUP(A100,Discrete_NFET[PARTNUMBER],Discrete_NFET[VF_TYP]),"")</f>
        <v/>
      </c>
      <c r="AD100" s="127" t="str">
        <f>IF(AND($A100&lt;&gt;0,$A100&lt;&gt;"",OR(RIGHT(Logic!B100,2)="C)",LEFT(Logic!B100,4)="CSD1")),(1+(1-DUTY))*IM_RMS_120^2*V100*m/3/Num_FETS3,"")</f>
        <v/>
      </c>
      <c r="AE100" s="127" t="str">
        <f>IF(AND($A100&lt;&gt;0,$A100&lt;&gt;"",OR(RIGHT(Logic!B100,2)="C)",LEFT(Logic!B100,4)="CSD1")),Num_FETS3*0.5*IM_RMS_120*VDC_AVG*Z100*n*MOT_ELEC_FREQ/GDR_SRC,"")</f>
        <v/>
      </c>
      <c r="AF100" s="127" t="str">
        <f>IF(AND($A100&lt;&gt;0,$A100&lt;&gt;"",OR(RIGHT(Logic!B100,2)="C)",LEFT(Logic!B100,4)="CSD1")),Num_FETS3*0.5*IM_RMS_120*VDC_AVG*Z100*n*MOT_ELEC_FREQ/GDR_SINK,"")</f>
        <v/>
      </c>
      <c r="AG100" s="127" t="str">
        <f>IF(AND($A100&lt;&gt;0,$A100&lt;&gt;"",OR(RIGHT(Logic!B100,2)="T)",LEFT(Logic!B100,4)="CSD1")),DUTY*IM_RMS_120^2*V100*m/3/Num_FETS3,"")</f>
        <v/>
      </c>
      <c r="AH100" s="127" t="str">
        <f>IF(AND($A100&lt;&gt;0,$A100&lt;&gt;"",OR(RIGHT(Logic!B100,2)="T)",LEFT(Logic!B100,4)="CSD1")),Num_FETS3*0.5*IM_RMS_120*VDC_AVG*Z100*n*FSW*k/GDR_SRC/3,"")</f>
        <v/>
      </c>
      <c r="AI100" s="127" t="str">
        <f>IF(AND($A100&lt;&gt;0,$A100&lt;&gt;"",OR(RIGHT(Logic!B100,2)="T)",LEFT(Logic!B100,4)="CSD1")),Num_FETS3*0.5*IM_RMS_120*VDC_AVG*Z100*n*FSW*k/GDR_SINK/3,"")</f>
        <v/>
      </c>
      <c r="AJ100" s="127" t="str">
        <f t="shared" si="50"/>
        <v/>
      </c>
      <c r="AK100" s="127" t="str">
        <f t="shared" si="51"/>
        <v/>
      </c>
      <c r="AL100" s="127" t="str">
        <f t="shared" si="52"/>
        <v/>
      </c>
      <c r="AM100" s="127" t="str">
        <f t="shared" si="48"/>
        <v/>
      </c>
      <c r="AN100" s="127">
        <f>IF(AND($A100&lt;&gt;0,$A100&lt;&gt;"",OR(RIGHT(Logic!B100,2)="C)",LEFT(Logic!B100,4)="CSD1")),SUM(AD100:AF100)+(AJ100/3)+AK100+AL100/6+AM100/6,AN101)</f>
        <v>0</v>
      </c>
      <c r="AO100" s="127">
        <f>IF(AND($A100&lt;&gt;0,$A100&lt;&gt;"",OR(RIGHT(Logic!B100,2)="T)",LEFT(Logic!B100,4)="CSD1")),SUM(AG100:AI100)+(AJ100/3)+AL100/6+AM100/6,AO99)</f>
        <v>0.23887636588496741</v>
      </c>
      <c r="AP100" s="48" t="str">
        <f t="shared" si="49"/>
        <v/>
      </c>
      <c r="AQ100" s="35" t="str">
        <f>IF(AND(A100&lt;&gt;0,A100&lt;&gt;""),LOOKUP(A100,Discrete_NFET[PARTNUMBER],Discrete_NFET[TI_EQ_PACKAGE]),"")</f>
        <v/>
      </c>
      <c r="AR100" s="49" t="str">
        <f>IF(AND(A100&lt;&gt;0,A100&lt;&gt;""),LOOKUP(A100,Discrete_NFET[PARTNUMBER],Discrete_NFET[1KPRICE]),"")</f>
        <v/>
      </c>
      <c r="AS100" s="35" t="str">
        <f>IF(AND($A100&lt;&gt;0,$A100&lt;&gt;""),CONCATENATE(TEXT(AP100,"0.00"),"W, ",IF('User Input'!H$11="Single Discrete",A100,IF('User Input'!H$11="Dual/Power Block",LEFT(A100,FIND(")",A100)-7),A100)),", ",AQ100,", ",TEXT(AR100,"$0.00")),"Invalid Part")</f>
        <v>Invalid Part</v>
      </c>
      <c r="AT100"/>
      <c r="AW100"/>
    </row>
    <row r="101" spans="1:49" ht="15" customHeight="1" x14ac:dyDescent="0.25">
      <c r="A101" s="35" t="str">
        <f>IF(OR(AND(FET_config3="Dual/Power Block",LEFT(Logic!B101,4)="CSD8"),AND(FET_config3="Single Discrete",LEFT(Logic!B101,4)="CSD1")),Logic!B101,"")</f>
        <v/>
      </c>
      <c r="B101" s="37" t="str">
        <f>IF(OR($A101=0,$A101=""),"0",IF(LOOKUP($A101,Discrete_NFET[PARTNUMBER],Discrete_NFET[RDSON25])="(NULL)","0","1"))</f>
        <v>0</v>
      </c>
      <c r="C101" s="38" t="str">
        <f>IF(OR($A101=0,$A101=""),"0",IF(LOOKUP($A101,Discrete_NFET[PARTNUMBER],Discrete_NFET[RDSON3])="(NULL)","0","1"))</f>
        <v>0</v>
      </c>
      <c r="D101" s="40" t="str">
        <f>IF(OR($A101=0,$A101=""),"0",IF(LOOKUP($A101,Discrete_NFET[PARTNUMBER],Discrete_NFET[RDSON45])="(NULL)","0","1"))</f>
        <v>0</v>
      </c>
      <c r="E101" s="45" t="str">
        <f>IF(OR($A101=0,$A101=""),"0",IF(LOOKUP($A101,Discrete_NFET[PARTNUMBER],Discrete_NFET[RDSON6])="(NULL)","0","1"))</f>
        <v>0</v>
      </c>
      <c r="F101" s="34" t="str">
        <f>IF(OR($A101=0,$A101=""),"0",IF(LOOKUP($A101,Discrete_NFET[PARTNUMBER],Discrete_NFET[RDSON8])="(NULL)","0","1"))</f>
        <v>0</v>
      </c>
      <c r="G101" s="43" t="str">
        <f>IF(OR($A101=0,$A101=""),"0",IF(LOOKUP($A101,Discrete_NFET[PARTNUMBER],Discrete_NFET[RDSON10])="(NULL)","0","1"))</f>
        <v>0</v>
      </c>
      <c r="H101" s="36" t="b">
        <f t="shared" si="34"/>
        <v>0</v>
      </c>
      <c r="I101" s="39" t="b">
        <f t="shared" si="35"/>
        <v>0</v>
      </c>
      <c r="J101" s="41" t="b">
        <f t="shared" si="36"/>
        <v>0</v>
      </c>
      <c r="K101" s="46" t="b">
        <f t="shared" si="37"/>
        <v>0</v>
      </c>
      <c r="L101" s="42" t="b">
        <f t="shared" si="38"/>
        <v>0</v>
      </c>
      <c r="M101" s="44" t="b">
        <f t="shared" si="39"/>
        <v>0</v>
      </c>
      <c r="N101" s="47" t="b">
        <f t="shared" si="40"/>
        <v>0</v>
      </c>
      <c r="O101" s="36" t="b">
        <f t="shared" si="41"/>
        <v>0</v>
      </c>
      <c r="P101" s="39" t="b">
        <f t="shared" si="42"/>
        <v>0</v>
      </c>
      <c r="Q101" s="41" t="b">
        <f t="shared" si="43"/>
        <v>0</v>
      </c>
      <c r="R101" s="46" t="b">
        <f t="shared" si="44"/>
        <v>0</v>
      </c>
      <c r="S101" s="42" t="b">
        <f t="shared" si="45"/>
        <v>0</v>
      </c>
      <c r="T101" s="44" t="b">
        <f t="shared" si="46"/>
        <v>0</v>
      </c>
      <c r="U101" s="148" t="str">
        <f>IF(T101,LOOKUP(A101,Discrete_NFET[PARTNUMBER],Discrete_NFET[RDSON10])*1000,IF(S101,LOOKUP(A101,Discrete_NFET[PARTNUMBER],Discrete_NFET[RDSON8])*1000,IF(R101,LOOKUP(A101,Discrete_NFET[PARTNUMBER],Discrete_NFET[RDSON6])*1000,IF(Q101,LOOKUP(A101,Discrete_NFET[PARTNUMBER],Discrete_NFET[RDSON45])*1000,IF(P101,LOOKUP(A101,Discrete_NFET[PARTNUMBER],Discrete_NFET[RDSON3])*1000,IF(O101,LOOKUP(A101,Discrete_NFET[PARTNUMBER],Discrete_NFET[RDSON25])*1000,""))))))</f>
        <v/>
      </c>
      <c r="V101" s="48" t="str">
        <f>IF(AND(A101&lt;&gt;0,A101&lt;&gt;""),U101*(1+(Tj-25)*(LOOKUP(A101,Discrete_NFET[PARTNUMBER],Discrete_NFET[RDSDELTA])/((LOOKUP(A101,Discrete_NFET[PARTNUMBER],Discrete_NFET[TJMAX])-25)))),"")</f>
        <v/>
      </c>
      <c r="W101" s="35" t="str">
        <f>IF(AND($A101&lt;&gt;0,$A101&lt;&gt;""),LOOKUP($A101,Discrete_NFET[PARTNUMBER],Discrete_NFET[QGS]),"")</f>
        <v/>
      </c>
      <c r="X101" s="35" t="str">
        <f>IF(AND($A101&lt;&gt;0,$A101&lt;&gt;""),LOOKUP($A101,Discrete_NFET[PARTNUMBER],Discrete_NFET[QGD]),"")</f>
        <v/>
      </c>
      <c r="Y101" s="35" t="str">
        <f>IF(AND($A101&lt;&gt;0,$A101&lt;&gt;""),LOOKUP($A101,Discrete_NFET[PARTNUMBER],Discrete_NFET[QGTH]),"")</f>
        <v/>
      </c>
      <c r="Z101" s="35" t="str">
        <f t="shared" si="47"/>
        <v/>
      </c>
      <c r="AA101" s="35" t="str">
        <f>IF(AND($A101&lt;&gt;0,$A101&lt;&gt;""),LOOKUP($A101,Discrete_NFET[PARTNUMBER],Discrete_NFET[QOSSTYP]),"")</f>
        <v/>
      </c>
      <c r="AB101" s="35" t="str">
        <f>IF(AND($A101&lt;&gt;0,$A101&lt;&gt;""),LOOKUP($A101,Discrete_NFET[PARTNUMBER],Discrete_NFET[QRR]),"")</f>
        <v/>
      </c>
      <c r="AC101" s="35" t="str">
        <f>IF(AND(A101&lt;&gt;0,A101&lt;&gt;""),LOOKUP(A101,Discrete_NFET[PARTNUMBER],Discrete_NFET[VF_TYP]),"")</f>
        <v/>
      </c>
      <c r="AD101" s="127" t="str">
        <f>IF(AND($A101&lt;&gt;0,$A101&lt;&gt;"",OR(RIGHT(Logic!B101,2)="C)",LEFT(Logic!B101,4)="CSD1")),(1+(1-DUTY))*IM_RMS_120^2*V101*m/3/Num_FETS3,"")</f>
        <v/>
      </c>
      <c r="AE101" s="127" t="str">
        <f>IF(AND($A101&lt;&gt;0,$A101&lt;&gt;"",OR(RIGHT(Logic!B101,2)="C)",LEFT(Logic!B101,4)="CSD1")),Num_FETS3*0.5*IM_RMS_120*VDC_AVG*Z101*n*MOT_ELEC_FREQ/GDR_SRC,"")</f>
        <v/>
      </c>
      <c r="AF101" s="127" t="str">
        <f>IF(AND($A101&lt;&gt;0,$A101&lt;&gt;"",OR(RIGHT(Logic!B101,2)="C)",LEFT(Logic!B101,4)="CSD1")),Num_FETS3*0.5*IM_RMS_120*VDC_AVG*Z101*n*MOT_ELEC_FREQ/GDR_SINK,"")</f>
        <v/>
      </c>
      <c r="AG101" s="127" t="str">
        <f>IF(AND($A101&lt;&gt;0,$A101&lt;&gt;"",OR(RIGHT(Logic!B101,2)="T)",LEFT(Logic!B101,4)="CSD1")),DUTY*IM_RMS_120^2*V101*m/3/Num_FETS3,"")</f>
        <v/>
      </c>
      <c r="AH101" s="127" t="str">
        <f>IF(AND($A101&lt;&gt;0,$A101&lt;&gt;"",OR(RIGHT(Logic!B101,2)="T)",LEFT(Logic!B101,4)="CSD1")),Num_FETS3*0.5*IM_RMS_120*VDC_AVG*Z101*n*FSW*k/GDR_SRC/3,"")</f>
        <v/>
      </c>
      <c r="AI101" s="127" t="str">
        <f>IF(AND($A101&lt;&gt;0,$A101&lt;&gt;"",OR(RIGHT(Logic!B101,2)="T)",LEFT(Logic!B101,4)="CSD1")),Num_FETS3*0.5*IM_RMS_120*VDC_AVG*Z101*n*FSW*k/GDR_SINK/3,"")</f>
        <v/>
      </c>
      <c r="AJ101" s="127" t="str">
        <f t="shared" si="50"/>
        <v/>
      </c>
      <c r="AK101" s="127" t="str">
        <f t="shared" si="51"/>
        <v/>
      </c>
      <c r="AL101" s="127" t="str">
        <f t="shared" si="52"/>
        <v/>
      </c>
      <c r="AM101" s="127" t="str">
        <f t="shared" si="48"/>
        <v/>
      </c>
      <c r="AN101" s="127">
        <f>IF(AND($A101&lt;&gt;0,$A101&lt;&gt;"",OR(RIGHT(Logic!B101,2)="C)",LEFT(Logic!B101,4)="CSD1")),SUM(AD101:AF101)+(AJ101/3)+AK101+AL101/6+AM101/6,AN102)</f>
        <v>0</v>
      </c>
      <c r="AO101" s="127">
        <f>IF(AND($A101&lt;&gt;0,$A101&lt;&gt;"",OR(RIGHT(Logic!B101,2)="T)",LEFT(Logic!B101,4)="CSD1")),SUM(AG101:AI101)+(AJ101/3)+AL101/6+AM101/6,AO100)</f>
        <v>0.23887636588496741</v>
      </c>
      <c r="AP101" s="48" t="str">
        <f t="shared" si="49"/>
        <v/>
      </c>
      <c r="AQ101" s="35" t="str">
        <f>IF(AND(A101&lt;&gt;0,A101&lt;&gt;""),LOOKUP(A101,Discrete_NFET[PARTNUMBER],Discrete_NFET[TI_EQ_PACKAGE]),"")</f>
        <v/>
      </c>
      <c r="AR101" s="49" t="str">
        <f>IF(AND(A101&lt;&gt;0,A101&lt;&gt;""),LOOKUP(A101,Discrete_NFET[PARTNUMBER],Discrete_NFET[1KPRICE]),"")</f>
        <v/>
      </c>
      <c r="AS101" s="35" t="str">
        <f>IF(AND($A101&lt;&gt;0,$A101&lt;&gt;""),CONCATENATE(TEXT(AP101,"0.00"),"W, ",IF('User Input'!H$11="Single Discrete",A101,IF('User Input'!H$11="Dual/Power Block",LEFT(A101,FIND(")",A101)-7),A101)),", ",AQ101,", ",TEXT(AR101,"$0.00")),"Invalid Part")</f>
        <v>Invalid Part</v>
      </c>
      <c r="AT101"/>
      <c r="AW101"/>
    </row>
    <row r="102" spans="1:49" ht="15" customHeight="1" x14ac:dyDescent="0.25">
      <c r="A102" s="35" t="str">
        <f>IF(OR(AND(FET_config3="Dual/Power Block",LEFT(Logic!B102,4)="CSD8"),AND(FET_config3="Single Discrete",LEFT(Logic!B102,4)="CSD1")),Logic!B102,"")</f>
        <v/>
      </c>
      <c r="B102" s="37" t="str">
        <f>IF(OR($A102=0,$A102=""),"0",IF(LOOKUP($A102,Discrete_NFET[PARTNUMBER],Discrete_NFET[RDSON25])="(NULL)","0","1"))</f>
        <v>0</v>
      </c>
      <c r="C102" s="38" t="str">
        <f>IF(OR($A102=0,$A102=""),"0",IF(LOOKUP($A102,Discrete_NFET[PARTNUMBER],Discrete_NFET[RDSON3])="(NULL)","0","1"))</f>
        <v>0</v>
      </c>
      <c r="D102" s="40" t="str">
        <f>IF(OR($A102=0,$A102=""),"0",IF(LOOKUP($A102,Discrete_NFET[PARTNUMBER],Discrete_NFET[RDSON45])="(NULL)","0","1"))</f>
        <v>0</v>
      </c>
      <c r="E102" s="45" t="str">
        <f>IF(OR($A102=0,$A102=""),"0",IF(LOOKUP($A102,Discrete_NFET[PARTNUMBER],Discrete_NFET[RDSON6])="(NULL)","0","1"))</f>
        <v>0</v>
      </c>
      <c r="F102" s="34" t="str">
        <f>IF(OR($A102=0,$A102=""),"0",IF(LOOKUP($A102,Discrete_NFET[PARTNUMBER],Discrete_NFET[RDSON8])="(NULL)","0","1"))</f>
        <v>0</v>
      </c>
      <c r="G102" s="43" t="str">
        <f>IF(OR($A102=0,$A102=""),"0",IF(LOOKUP($A102,Discrete_NFET[PARTNUMBER],Discrete_NFET[RDSON10])="(NULL)","0","1"))</f>
        <v>0</v>
      </c>
      <c r="H102" s="36" t="b">
        <f t="shared" si="34"/>
        <v>0</v>
      </c>
      <c r="I102" s="39" t="b">
        <f t="shared" si="35"/>
        <v>0</v>
      </c>
      <c r="J102" s="41" t="b">
        <f t="shared" si="36"/>
        <v>0</v>
      </c>
      <c r="K102" s="46" t="b">
        <f t="shared" si="37"/>
        <v>0</v>
      </c>
      <c r="L102" s="42" t="b">
        <f t="shared" si="38"/>
        <v>0</v>
      </c>
      <c r="M102" s="44" t="b">
        <f t="shared" si="39"/>
        <v>0</v>
      </c>
      <c r="N102" s="47" t="b">
        <f t="shared" si="40"/>
        <v>0</v>
      </c>
      <c r="O102" s="36" t="b">
        <f t="shared" si="41"/>
        <v>0</v>
      </c>
      <c r="P102" s="39" t="b">
        <f t="shared" si="42"/>
        <v>0</v>
      </c>
      <c r="Q102" s="41" t="b">
        <f t="shared" si="43"/>
        <v>0</v>
      </c>
      <c r="R102" s="46" t="b">
        <f t="shared" si="44"/>
        <v>0</v>
      </c>
      <c r="S102" s="42" t="b">
        <f t="shared" si="45"/>
        <v>0</v>
      </c>
      <c r="T102" s="44" t="b">
        <f t="shared" si="46"/>
        <v>0</v>
      </c>
      <c r="U102" s="148" t="str">
        <f>IF(T102,LOOKUP(A102,Discrete_NFET[PARTNUMBER],Discrete_NFET[RDSON10])*1000,IF(S102,LOOKUP(A102,Discrete_NFET[PARTNUMBER],Discrete_NFET[RDSON8])*1000,IF(R102,LOOKUP(A102,Discrete_NFET[PARTNUMBER],Discrete_NFET[RDSON6])*1000,IF(Q102,LOOKUP(A102,Discrete_NFET[PARTNUMBER],Discrete_NFET[RDSON45])*1000,IF(P102,LOOKUP(A102,Discrete_NFET[PARTNUMBER],Discrete_NFET[RDSON3])*1000,IF(O102,LOOKUP(A102,Discrete_NFET[PARTNUMBER],Discrete_NFET[RDSON25])*1000,""))))))</f>
        <v/>
      </c>
      <c r="V102" s="48" t="str">
        <f>IF(AND(A102&lt;&gt;0,A102&lt;&gt;""),U102*(1+(Tj-25)*(LOOKUP(A102,Discrete_NFET[PARTNUMBER],Discrete_NFET[RDSDELTA])/((LOOKUP(A102,Discrete_NFET[PARTNUMBER],Discrete_NFET[TJMAX])-25)))),"")</f>
        <v/>
      </c>
      <c r="W102" s="35" t="str">
        <f>IF(AND($A102&lt;&gt;0,$A102&lt;&gt;""),LOOKUP($A102,Discrete_NFET[PARTNUMBER],Discrete_NFET[QGS]),"")</f>
        <v/>
      </c>
      <c r="X102" s="35" t="str">
        <f>IF(AND($A102&lt;&gt;0,$A102&lt;&gt;""),LOOKUP($A102,Discrete_NFET[PARTNUMBER],Discrete_NFET[QGD]),"")</f>
        <v/>
      </c>
      <c r="Y102" s="35" t="str">
        <f>IF(AND($A102&lt;&gt;0,$A102&lt;&gt;""),LOOKUP($A102,Discrete_NFET[PARTNUMBER],Discrete_NFET[QGTH]),"")</f>
        <v/>
      </c>
      <c r="Z102" s="35" t="str">
        <f t="shared" si="47"/>
        <v/>
      </c>
      <c r="AA102" s="35" t="str">
        <f>IF(AND($A102&lt;&gt;0,$A102&lt;&gt;""),LOOKUP($A102,Discrete_NFET[PARTNUMBER],Discrete_NFET[QOSSTYP]),"")</f>
        <v/>
      </c>
      <c r="AB102" s="35" t="str">
        <f>IF(AND($A102&lt;&gt;0,$A102&lt;&gt;""),LOOKUP($A102,Discrete_NFET[PARTNUMBER],Discrete_NFET[QRR]),"")</f>
        <v/>
      </c>
      <c r="AC102" s="35" t="str">
        <f>IF(AND(A102&lt;&gt;0,A102&lt;&gt;""),LOOKUP(A102,Discrete_NFET[PARTNUMBER],Discrete_NFET[VF_TYP]),"")</f>
        <v/>
      </c>
      <c r="AD102" s="127" t="str">
        <f>IF(AND($A102&lt;&gt;0,$A102&lt;&gt;"",OR(RIGHT(Logic!B102,2)="C)",LEFT(Logic!B102,4)="CSD1")),(1+(1-DUTY))*IM_RMS_120^2*V102*m/3/Num_FETS3,"")</f>
        <v/>
      </c>
      <c r="AE102" s="127" t="str">
        <f>IF(AND($A102&lt;&gt;0,$A102&lt;&gt;"",OR(RIGHT(Logic!B102,2)="C)",LEFT(Logic!B102,4)="CSD1")),Num_FETS3*0.5*IM_RMS_120*VDC_AVG*Z102*n*MOT_ELEC_FREQ/GDR_SRC,"")</f>
        <v/>
      </c>
      <c r="AF102" s="127" t="str">
        <f>IF(AND($A102&lt;&gt;0,$A102&lt;&gt;"",OR(RIGHT(Logic!B102,2)="C)",LEFT(Logic!B102,4)="CSD1")),Num_FETS3*0.5*IM_RMS_120*VDC_AVG*Z102*n*MOT_ELEC_FREQ/GDR_SINK,"")</f>
        <v/>
      </c>
      <c r="AG102" s="127" t="str">
        <f>IF(AND($A102&lt;&gt;0,$A102&lt;&gt;"",OR(RIGHT(Logic!B102,2)="T)",LEFT(Logic!B102,4)="CSD1")),DUTY*IM_RMS_120^2*V102*m/3/Num_FETS3,"")</f>
        <v/>
      </c>
      <c r="AH102" s="127" t="str">
        <f>IF(AND($A102&lt;&gt;0,$A102&lt;&gt;"",OR(RIGHT(Logic!B102,2)="T)",LEFT(Logic!B102,4)="CSD1")),Num_FETS3*0.5*IM_RMS_120*VDC_AVG*Z102*n*FSW*k/GDR_SRC/3,"")</f>
        <v/>
      </c>
      <c r="AI102" s="127" t="str">
        <f>IF(AND($A102&lt;&gt;0,$A102&lt;&gt;"",OR(RIGHT(Logic!B102,2)="T)",LEFT(Logic!B102,4)="CSD1")),Num_FETS3*0.5*IM_RMS_120*VDC_AVG*Z102*n*FSW*k/GDR_SINK/3,"")</f>
        <v/>
      </c>
      <c r="AJ102" s="127" t="str">
        <f t="shared" si="50"/>
        <v/>
      </c>
      <c r="AK102" s="127" t="str">
        <f t="shared" si="51"/>
        <v/>
      </c>
      <c r="AL102" s="127" t="str">
        <f t="shared" si="52"/>
        <v/>
      </c>
      <c r="AM102" s="127" t="str">
        <f t="shared" si="48"/>
        <v/>
      </c>
      <c r="AN102" s="127">
        <f>IF(AND($A102&lt;&gt;0,$A102&lt;&gt;"",OR(RIGHT(Logic!B102,2)="C)",LEFT(Logic!B102,4)="CSD1")),SUM(AD102:AF102)+(AJ102/3)+AK102+AL102/6+AM102/6,AN103)</f>
        <v>0</v>
      </c>
      <c r="AO102" s="127">
        <f>IF(AND($A102&lt;&gt;0,$A102&lt;&gt;"",OR(RIGHT(Logic!B102,2)="T)",LEFT(Logic!B102,4)="CSD1")),SUM(AG102:AI102)+(AJ102/3)+AL102/6+AM102/6,AO101)</f>
        <v>0.23887636588496741</v>
      </c>
      <c r="AP102" s="48" t="str">
        <f t="shared" si="49"/>
        <v/>
      </c>
      <c r="AQ102" s="35" t="str">
        <f>IF(AND(A102&lt;&gt;0,A102&lt;&gt;""),LOOKUP(A102,Discrete_NFET[PARTNUMBER],Discrete_NFET[TI_EQ_PACKAGE]),"")</f>
        <v/>
      </c>
      <c r="AR102" s="49" t="str">
        <f>IF(AND(A102&lt;&gt;0,A102&lt;&gt;""),LOOKUP(A102,Discrete_NFET[PARTNUMBER],Discrete_NFET[1KPRICE]),"")</f>
        <v/>
      </c>
      <c r="AS102" s="35" t="str">
        <f>IF(AND($A102&lt;&gt;0,$A102&lt;&gt;""),CONCATENATE(TEXT(AP102,"0.00"),"W, ",IF('User Input'!H$11="Single Discrete",A102,IF('User Input'!H$11="Dual/Power Block",LEFT(A102,FIND(")",A102)-7),A102)),", ",AQ102,", ",TEXT(AR102,"$0.00")),"Invalid Part")</f>
        <v>Invalid Part</v>
      </c>
      <c r="AT102"/>
      <c r="AW102"/>
    </row>
    <row r="103" spans="1:49" ht="15" customHeight="1" x14ac:dyDescent="0.25">
      <c r="A103" s="35" t="str">
        <f>IF(OR(AND(FET_config3="Dual/Power Block",LEFT(Logic!B103,4)="CSD8"),AND(FET_config3="Single Discrete",LEFT(Logic!B103,4)="CSD1")),Logic!B103,"")</f>
        <v/>
      </c>
      <c r="B103" s="37" t="str">
        <f>IF(OR($A103=0,$A103=""),"0",IF(LOOKUP($A103,Discrete_NFET[PARTNUMBER],Discrete_NFET[RDSON25])="(NULL)","0","1"))</f>
        <v>0</v>
      </c>
      <c r="C103" s="38" t="str">
        <f>IF(OR($A103=0,$A103=""),"0",IF(LOOKUP($A103,Discrete_NFET[PARTNUMBER],Discrete_NFET[RDSON3])="(NULL)","0","1"))</f>
        <v>0</v>
      </c>
      <c r="D103" s="40" t="str">
        <f>IF(OR($A103=0,$A103=""),"0",IF(LOOKUP($A103,Discrete_NFET[PARTNUMBER],Discrete_NFET[RDSON45])="(NULL)","0","1"))</f>
        <v>0</v>
      </c>
      <c r="E103" s="45" t="str">
        <f>IF(OR($A103=0,$A103=""),"0",IF(LOOKUP($A103,Discrete_NFET[PARTNUMBER],Discrete_NFET[RDSON6])="(NULL)","0","1"))</f>
        <v>0</v>
      </c>
      <c r="F103" s="34" t="str">
        <f>IF(OR($A103=0,$A103=""),"0",IF(LOOKUP($A103,Discrete_NFET[PARTNUMBER],Discrete_NFET[RDSON8])="(NULL)","0","1"))</f>
        <v>0</v>
      </c>
      <c r="G103" s="43" t="str">
        <f>IF(OR($A103=0,$A103=""),"0",IF(LOOKUP($A103,Discrete_NFET[PARTNUMBER],Discrete_NFET[RDSON10])="(NULL)","0","1"))</f>
        <v>0</v>
      </c>
      <c r="H103" s="36" t="b">
        <f t="shared" si="34"/>
        <v>0</v>
      </c>
      <c r="I103" s="39" t="b">
        <f t="shared" si="35"/>
        <v>0</v>
      </c>
      <c r="J103" s="41" t="b">
        <f t="shared" si="36"/>
        <v>0</v>
      </c>
      <c r="K103" s="46" t="b">
        <f t="shared" si="37"/>
        <v>0</v>
      </c>
      <c r="L103" s="42" t="b">
        <f t="shared" si="38"/>
        <v>0</v>
      </c>
      <c r="M103" s="44" t="b">
        <f t="shared" si="39"/>
        <v>0</v>
      </c>
      <c r="N103" s="47" t="b">
        <f t="shared" si="40"/>
        <v>0</v>
      </c>
      <c r="O103" s="36" t="b">
        <f t="shared" si="41"/>
        <v>0</v>
      </c>
      <c r="P103" s="39" t="b">
        <f t="shared" si="42"/>
        <v>0</v>
      </c>
      <c r="Q103" s="41" t="b">
        <f t="shared" si="43"/>
        <v>0</v>
      </c>
      <c r="R103" s="46" t="b">
        <f t="shared" si="44"/>
        <v>0</v>
      </c>
      <c r="S103" s="42" t="b">
        <f t="shared" si="45"/>
        <v>0</v>
      </c>
      <c r="T103" s="44" t="b">
        <f t="shared" si="46"/>
        <v>0</v>
      </c>
      <c r="U103" s="148" t="str">
        <f>IF(T103,LOOKUP(A103,Discrete_NFET[PARTNUMBER],Discrete_NFET[RDSON10])*1000,IF(S103,LOOKUP(A103,Discrete_NFET[PARTNUMBER],Discrete_NFET[RDSON8])*1000,IF(R103,LOOKUP(A103,Discrete_NFET[PARTNUMBER],Discrete_NFET[RDSON6])*1000,IF(Q103,LOOKUP(A103,Discrete_NFET[PARTNUMBER],Discrete_NFET[RDSON45])*1000,IF(P103,LOOKUP(A103,Discrete_NFET[PARTNUMBER],Discrete_NFET[RDSON3])*1000,IF(O103,LOOKUP(A103,Discrete_NFET[PARTNUMBER],Discrete_NFET[RDSON25])*1000,""))))))</f>
        <v/>
      </c>
      <c r="V103" s="48" t="str">
        <f>IF(AND(A103&lt;&gt;0,A103&lt;&gt;""),U103*(1+(Tj-25)*(LOOKUP(A103,Discrete_NFET[PARTNUMBER],Discrete_NFET[RDSDELTA])/((LOOKUP(A103,Discrete_NFET[PARTNUMBER],Discrete_NFET[TJMAX])-25)))),"")</f>
        <v/>
      </c>
      <c r="W103" s="35" t="str">
        <f>IF(AND($A103&lt;&gt;0,$A103&lt;&gt;""),LOOKUP($A103,Discrete_NFET[PARTNUMBER],Discrete_NFET[QGS]),"")</f>
        <v/>
      </c>
      <c r="X103" s="35" t="str">
        <f>IF(AND($A103&lt;&gt;0,$A103&lt;&gt;""),LOOKUP($A103,Discrete_NFET[PARTNUMBER],Discrete_NFET[QGD]),"")</f>
        <v/>
      </c>
      <c r="Y103" s="35" t="str">
        <f>IF(AND($A103&lt;&gt;0,$A103&lt;&gt;""),LOOKUP($A103,Discrete_NFET[PARTNUMBER],Discrete_NFET[QGTH]),"")</f>
        <v/>
      </c>
      <c r="Z103" s="35" t="str">
        <f t="shared" si="47"/>
        <v/>
      </c>
      <c r="AA103" s="35" t="str">
        <f>IF(AND($A103&lt;&gt;0,$A103&lt;&gt;""),LOOKUP($A103,Discrete_NFET[PARTNUMBER],Discrete_NFET[QOSSTYP]),"")</f>
        <v/>
      </c>
      <c r="AB103" s="35" t="str">
        <f>IF(AND($A103&lt;&gt;0,$A103&lt;&gt;""),LOOKUP($A103,Discrete_NFET[PARTNUMBER],Discrete_NFET[QRR]),"")</f>
        <v/>
      </c>
      <c r="AC103" s="35" t="str">
        <f>IF(AND(A103&lt;&gt;0,A103&lt;&gt;""),LOOKUP(A103,Discrete_NFET[PARTNUMBER],Discrete_NFET[VF_TYP]),"")</f>
        <v/>
      </c>
      <c r="AD103" s="127" t="str">
        <f>IF(AND($A103&lt;&gt;0,$A103&lt;&gt;"",OR(RIGHT(Logic!B103,2)="C)",LEFT(Logic!B103,4)="CSD1")),(1+(1-DUTY))*IM_RMS_120^2*V103*m/3/Num_FETS3,"")</f>
        <v/>
      </c>
      <c r="AE103" s="127" t="str">
        <f>IF(AND($A103&lt;&gt;0,$A103&lt;&gt;"",OR(RIGHT(Logic!B103,2)="C)",LEFT(Logic!B103,4)="CSD1")),Num_FETS3*0.5*IM_RMS_120*VDC_AVG*Z103*n*MOT_ELEC_FREQ/GDR_SRC,"")</f>
        <v/>
      </c>
      <c r="AF103" s="127" t="str">
        <f>IF(AND($A103&lt;&gt;0,$A103&lt;&gt;"",OR(RIGHT(Logic!B103,2)="C)",LEFT(Logic!B103,4)="CSD1")),Num_FETS3*0.5*IM_RMS_120*VDC_AVG*Z103*n*MOT_ELEC_FREQ/GDR_SINK,"")</f>
        <v/>
      </c>
      <c r="AG103" s="127" t="str">
        <f>IF(AND($A103&lt;&gt;0,$A103&lt;&gt;"",OR(RIGHT(Logic!B103,2)="T)",LEFT(Logic!B103,4)="CSD1")),DUTY*IM_RMS_120^2*V103*m/3/Num_FETS3,"")</f>
        <v/>
      </c>
      <c r="AH103" s="127" t="str">
        <f>IF(AND($A103&lt;&gt;0,$A103&lt;&gt;"",OR(RIGHT(Logic!B103,2)="T)",LEFT(Logic!B103,4)="CSD1")),Num_FETS3*0.5*IM_RMS_120*VDC_AVG*Z103*n*FSW*k/GDR_SRC/3,"")</f>
        <v/>
      </c>
      <c r="AI103" s="127" t="str">
        <f>IF(AND($A103&lt;&gt;0,$A103&lt;&gt;"",OR(RIGHT(Logic!B103,2)="T)",LEFT(Logic!B103,4)="CSD1")),Num_FETS3*0.5*IM_RMS_120*VDC_AVG*Z103*n*FSW*k/GDR_SINK/3,"")</f>
        <v/>
      </c>
      <c r="AJ103" s="127" t="str">
        <f t="shared" si="50"/>
        <v/>
      </c>
      <c r="AK103" s="127" t="str">
        <f t="shared" si="51"/>
        <v/>
      </c>
      <c r="AL103" s="127" t="str">
        <f t="shared" si="52"/>
        <v/>
      </c>
      <c r="AM103" s="127" t="str">
        <f t="shared" si="48"/>
        <v/>
      </c>
      <c r="AN103" s="127">
        <f>IF(AND($A103&lt;&gt;0,$A103&lt;&gt;"",OR(RIGHT(Logic!B103,2)="C)",LEFT(Logic!B103,4)="CSD1")),SUM(AD103:AF103)+(AJ103/3)+AK103+AL103/6+AM103/6,AN104)</f>
        <v>0</v>
      </c>
      <c r="AO103" s="127">
        <f>IF(AND($A103&lt;&gt;0,$A103&lt;&gt;"",OR(RIGHT(Logic!B103,2)="T)",LEFT(Logic!B103,4)="CSD1")),SUM(AG103:AI103)+(AJ103/3)+AL103/6+AM103/6,AO102)</f>
        <v>0.23887636588496741</v>
      </c>
      <c r="AP103" s="48" t="str">
        <f t="shared" si="49"/>
        <v/>
      </c>
      <c r="AQ103" s="35" t="str">
        <f>IF(AND(A103&lt;&gt;0,A103&lt;&gt;""),LOOKUP(A103,Discrete_NFET[PARTNUMBER],Discrete_NFET[TI_EQ_PACKAGE]),"")</f>
        <v/>
      </c>
      <c r="AR103" s="49" t="str">
        <f>IF(AND(A103&lt;&gt;0,A103&lt;&gt;""),LOOKUP(A103,Discrete_NFET[PARTNUMBER],Discrete_NFET[1KPRICE]),"")</f>
        <v/>
      </c>
      <c r="AS103" s="35" t="str">
        <f>IF(AND($A103&lt;&gt;0,$A103&lt;&gt;""),CONCATENATE(TEXT(AP103,"0.00"),"W, ",IF('User Input'!H$11="Single Discrete",A103,IF('User Input'!H$11="Dual/Power Block",LEFT(A103,FIND(")",A103)-7),A103)),", ",AQ103,", ",TEXT(AR103,"$0.00")),"Invalid Part")</f>
        <v>Invalid Part</v>
      </c>
      <c r="AT103"/>
      <c r="AW103"/>
    </row>
    <row r="104" spans="1:49" ht="15" customHeight="1" x14ac:dyDescent="0.25">
      <c r="A104" s="35" t="str">
        <f>IF(OR(AND(FET_config3="Dual/Power Block",LEFT(Logic!B104,4)="CSD8"),AND(FET_config3="Single Discrete",LEFT(Logic!B104,4)="CSD1")),Logic!B104,"")</f>
        <v/>
      </c>
      <c r="B104" s="37" t="str">
        <f>IF(OR($A104=0,$A104=""),"0",IF(LOOKUP($A104,Discrete_NFET[PARTNUMBER],Discrete_NFET[RDSON25])="(NULL)","0","1"))</f>
        <v>0</v>
      </c>
      <c r="C104" s="38" t="str">
        <f>IF(OR($A104=0,$A104=""),"0",IF(LOOKUP($A104,Discrete_NFET[PARTNUMBER],Discrete_NFET[RDSON3])="(NULL)","0","1"))</f>
        <v>0</v>
      </c>
      <c r="D104" s="40" t="str">
        <f>IF(OR($A104=0,$A104=""),"0",IF(LOOKUP($A104,Discrete_NFET[PARTNUMBER],Discrete_NFET[RDSON45])="(NULL)","0","1"))</f>
        <v>0</v>
      </c>
      <c r="E104" s="45" t="str">
        <f>IF(OR($A104=0,$A104=""),"0",IF(LOOKUP($A104,Discrete_NFET[PARTNUMBER],Discrete_NFET[RDSON6])="(NULL)","0","1"))</f>
        <v>0</v>
      </c>
      <c r="F104" s="34" t="str">
        <f>IF(OR($A104=0,$A104=""),"0",IF(LOOKUP($A104,Discrete_NFET[PARTNUMBER],Discrete_NFET[RDSON8])="(NULL)","0","1"))</f>
        <v>0</v>
      </c>
      <c r="G104" s="43" t="str">
        <f>IF(OR($A104=0,$A104=""),"0",IF(LOOKUP($A104,Discrete_NFET[PARTNUMBER],Discrete_NFET[RDSON10])="(NULL)","0","1"))</f>
        <v>0</v>
      </c>
      <c r="H104" s="36" t="b">
        <f t="shared" si="34"/>
        <v>0</v>
      </c>
      <c r="I104" s="39" t="b">
        <f t="shared" si="35"/>
        <v>0</v>
      </c>
      <c r="J104" s="41" t="b">
        <f t="shared" si="36"/>
        <v>0</v>
      </c>
      <c r="K104" s="46" t="b">
        <f t="shared" si="37"/>
        <v>0</v>
      </c>
      <c r="L104" s="42" t="b">
        <f t="shared" si="38"/>
        <v>0</v>
      </c>
      <c r="M104" s="44" t="b">
        <f t="shared" si="39"/>
        <v>0</v>
      </c>
      <c r="N104" s="47" t="b">
        <f t="shared" si="40"/>
        <v>0</v>
      </c>
      <c r="O104" s="36" t="b">
        <f t="shared" si="41"/>
        <v>0</v>
      </c>
      <c r="P104" s="39" t="b">
        <f t="shared" si="42"/>
        <v>0</v>
      </c>
      <c r="Q104" s="41" t="b">
        <f t="shared" si="43"/>
        <v>0</v>
      </c>
      <c r="R104" s="46" t="b">
        <f t="shared" si="44"/>
        <v>0</v>
      </c>
      <c r="S104" s="42" t="b">
        <f t="shared" si="45"/>
        <v>0</v>
      </c>
      <c r="T104" s="44" t="b">
        <f t="shared" si="46"/>
        <v>0</v>
      </c>
      <c r="U104" s="148" t="str">
        <f>IF(T104,LOOKUP(A104,Discrete_NFET[PARTNUMBER],Discrete_NFET[RDSON10])*1000,IF(S104,LOOKUP(A104,Discrete_NFET[PARTNUMBER],Discrete_NFET[RDSON8])*1000,IF(R104,LOOKUP(A104,Discrete_NFET[PARTNUMBER],Discrete_NFET[RDSON6])*1000,IF(Q104,LOOKUP(A104,Discrete_NFET[PARTNUMBER],Discrete_NFET[RDSON45])*1000,IF(P104,LOOKUP(A104,Discrete_NFET[PARTNUMBER],Discrete_NFET[RDSON3])*1000,IF(O104,LOOKUP(A104,Discrete_NFET[PARTNUMBER],Discrete_NFET[RDSON25])*1000,""))))))</f>
        <v/>
      </c>
      <c r="V104" s="48" t="str">
        <f>IF(AND(A104&lt;&gt;0,A104&lt;&gt;""),U104*(1+(Tj-25)*(LOOKUP(A104,Discrete_NFET[PARTNUMBER],Discrete_NFET[RDSDELTA])/((LOOKUP(A104,Discrete_NFET[PARTNUMBER],Discrete_NFET[TJMAX])-25)))),"")</f>
        <v/>
      </c>
      <c r="W104" s="35" t="str">
        <f>IF(AND($A104&lt;&gt;0,$A104&lt;&gt;""),LOOKUP($A104,Discrete_NFET[PARTNUMBER],Discrete_NFET[QGS]),"")</f>
        <v/>
      </c>
      <c r="X104" s="35" t="str">
        <f>IF(AND($A104&lt;&gt;0,$A104&lt;&gt;""),LOOKUP($A104,Discrete_NFET[PARTNUMBER],Discrete_NFET[QGD]),"")</f>
        <v/>
      </c>
      <c r="Y104" s="35" t="str">
        <f>IF(AND($A104&lt;&gt;0,$A104&lt;&gt;""),LOOKUP($A104,Discrete_NFET[PARTNUMBER],Discrete_NFET[QGTH]),"")</f>
        <v/>
      </c>
      <c r="Z104" s="35" t="str">
        <f t="shared" si="47"/>
        <v/>
      </c>
      <c r="AA104" s="35" t="str">
        <f>IF(AND($A104&lt;&gt;0,$A104&lt;&gt;""),LOOKUP($A104,Discrete_NFET[PARTNUMBER],Discrete_NFET[QOSSTYP]),"")</f>
        <v/>
      </c>
      <c r="AB104" s="35" t="str">
        <f>IF(AND($A104&lt;&gt;0,$A104&lt;&gt;""),LOOKUP($A104,Discrete_NFET[PARTNUMBER],Discrete_NFET[QRR]),"")</f>
        <v/>
      </c>
      <c r="AC104" s="35" t="str">
        <f>IF(AND(A104&lt;&gt;0,A104&lt;&gt;""),LOOKUP(A104,Discrete_NFET[PARTNUMBER],Discrete_NFET[VF_TYP]),"")</f>
        <v/>
      </c>
      <c r="AD104" s="127" t="str">
        <f>IF(AND($A104&lt;&gt;0,$A104&lt;&gt;"",OR(RIGHT(Logic!B104,2)="C)",LEFT(Logic!B104,4)="CSD1")),(1+(1-DUTY))*IM_RMS_120^2*V104*m/3/Num_FETS3,"")</f>
        <v/>
      </c>
      <c r="AE104" s="127" t="str">
        <f>IF(AND($A104&lt;&gt;0,$A104&lt;&gt;"",OR(RIGHT(Logic!B104,2)="C)",LEFT(Logic!B104,4)="CSD1")),Num_FETS3*0.5*IM_RMS_120*VDC_AVG*Z104*n*MOT_ELEC_FREQ/GDR_SRC,"")</f>
        <v/>
      </c>
      <c r="AF104" s="127" t="str">
        <f>IF(AND($A104&lt;&gt;0,$A104&lt;&gt;"",OR(RIGHT(Logic!B104,2)="C)",LEFT(Logic!B104,4)="CSD1")),Num_FETS3*0.5*IM_RMS_120*VDC_AVG*Z104*n*MOT_ELEC_FREQ/GDR_SINK,"")</f>
        <v/>
      </c>
      <c r="AG104" s="127" t="str">
        <f>IF(AND($A104&lt;&gt;0,$A104&lt;&gt;"",OR(RIGHT(Logic!B104,2)="T)",LEFT(Logic!B104,4)="CSD1")),DUTY*IM_RMS_120^2*V104*m/3/Num_FETS3,"")</f>
        <v/>
      </c>
      <c r="AH104" s="127" t="str">
        <f>IF(AND($A104&lt;&gt;0,$A104&lt;&gt;"",OR(RIGHT(Logic!B104,2)="T)",LEFT(Logic!B104,4)="CSD1")),Num_FETS3*0.5*IM_RMS_120*VDC_AVG*Z104*n*FSW*k/GDR_SRC/3,"")</f>
        <v/>
      </c>
      <c r="AI104" s="127" t="str">
        <f>IF(AND($A104&lt;&gt;0,$A104&lt;&gt;"",OR(RIGHT(Logic!B104,2)="T)",LEFT(Logic!B104,4)="CSD1")),Num_FETS3*0.5*IM_RMS_120*VDC_AVG*Z104*n*FSW*k/GDR_SINK/3,"")</f>
        <v/>
      </c>
      <c r="AJ104" s="127" t="str">
        <f t="shared" si="50"/>
        <v/>
      </c>
      <c r="AK104" s="127" t="str">
        <f t="shared" si="51"/>
        <v/>
      </c>
      <c r="AL104" s="127" t="str">
        <f t="shared" si="52"/>
        <v/>
      </c>
      <c r="AM104" s="127" t="str">
        <f t="shared" si="48"/>
        <v/>
      </c>
      <c r="AN104" s="127">
        <f>IF(AND($A104&lt;&gt;0,$A104&lt;&gt;"",OR(RIGHT(Logic!B104,2)="C)",LEFT(Logic!B104,4)="CSD1")),SUM(AD104:AF104)+(AJ104/3)+AK104+AL104/6+AM104/6,AN105)</f>
        <v>0</v>
      </c>
      <c r="AO104" s="127">
        <f>IF(AND($A104&lt;&gt;0,$A104&lt;&gt;"",OR(RIGHT(Logic!B104,2)="T)",LEFT(Logic!B104,4)="CSD1")),SUM(AG104:AI104)+(AJ104/3)+AL104/6+AM104/6,AO103)</f>
        <v>0.23887636588496741</v>
      </c>
      <c r="AP104" s="48" t="str">
        <f t="shared" si="49"/>
        <v/>
      </c>
      <c r="AQ104" s="35" t="str">
        <f>IF(AND(A104&lt;&gt;0,A104&lt;&gt;""),LOOKUP(A104,Discrete_NFET[PARTNUMBER],Discrete_NFET[TI_EQ_PACKAGE]),"")</f>
        <v/>
      </c>
      <c r="AR104" s="49" t="str">
        <f>IF(AND(A104&lt;&gt;0,A104&lt;&gt;""),LOOKUP(A104,Discrete_NFET[PARTNUMBER],Discrete_NFET[1KPRICE]),"")</f>
        <v/>
      </c>
      <c r="AS104" s="35" t="str">
        <f>IF(AND($A104&lt;&gt;0,$A104&lt;&gt;""),CONCATENATE(TEXT(AP104,"0.00"),"W, ",IF('User Input'!H$11="Single Discrete",A104,IF('User Input'!H$11="Dual/Power Block",LEFT(A104,FIND(")",A104)-7),A104)),", ",AQ104,", ",TEXT(AR104,"$0.00")),"Invalid Part")</f>
        <v>Invalid Part</v>
      </c>
      <c r="AT104"/>
      <c r="AW104"/>
    </row>
    <row r="105" spans="1:49" ht="15" customHeight="1" x14ac:dyDescent="0.25">
      <c r="A105" s="35" t="str">
        <f>IF(OR(AND(FET_config3="Dual/Power Block",LEFT(Logic!B105,4)="CSD8"),AND(FET_config3="Single Discrete",LEFT(Logic!B105,4)="CSD1")),Logic!B105,"")</f>
        <v/>
      </c>
      <c r="B105" s="37" t="str">
        <f>IF(OR($A105=0,$A105=""),"0",IF(LOOKUP($A105,Discrete_NFET[PARTNUMBER],Discrete_NFET[RDSON25])="(NULL)","0","1"))</f>
        <v>0</v>
      </c>
      <c r="C105" s="38" t="str">
        <f>IF(OR($A105=0,$A105=""),"0",IF(LOOKUP($A105,Discrete_NFET[PARTNUMBER],Discrete_NFET[RDSON3])="(NULL)","0","1"))</f>
        <v>0</v>
      </c>
      <c r="D105" s="40" t="str">
        <f>IF(OR($A105=0,$A105=""),"0",IF(LOOKUP($A105,Discrete_NFET[PARTNUMBER],Discrete_NFET[RDSON45])="(NULL)","0","1"))</f>
        <v>0</v>
      </c>
      <c r="E105" s="45" t="str">
        <f>IF(OR($A105=0,$A105=""),"0",IF(LOOKUP($A105,Discrete_NFET[PARTNUMBER],Discrete_NFET[RDSON6])="(NULL)","0","1"))</f>
        <v>0</v>
      </c>
      <c r="F105" s="34" t="str">
        <f>IF(OR($A105=0,$A105=""),"0",IF(LOOKUP($A105,Discrete_NFET[PARTNUMBER],Discrete_NFET[RDSON8])="(NULL)","0","1"))</f>
        <v>0</v>
      </c>
      <c r="G105" s="43" t="str">
        <f>IF(OR($A105=0,$A105=""),"0",IF(LOOKUP($A105,Discrete_NFET[PARTNUMBER],Discrete_NFET[RDSON10])="(NULL)","0","1"))</f>
        <v>0</v>
      </c>
      <c r="H105" s="36" t="b">
        <f t="shared" si="34"/>
        <v>0</v>
      </c>
      <c r="I105" s="39" t="b">
        <f t="shared" si="35"/>
        <v>0</v>
      </c>
      <c r="J105" s="41" t="b">
        <f t="shared" si="36"/>
        <v>0</v>
      </c>
      <c r="K105" s="46" t="b">
        <f t="shared" si="37"/>
        <v>0</v>
      </c>
      <c r="L105" s="42" t="b">
        <f t="shared" si="38"/>
        <v>0</v>
      </c>
      <c r="M105" s="44" t="b">
        <f t="shared" si="39"/>
        <v>0</v>
      </c>
      <c r="N105" s="47" t="b">
        <f t="shared" si="40"/>
        <v>0</v>
      </c>
      <c r="O105" s="36" t="b">
        <f t="shared" si="41"/>
        <v>0</v>
      </c>
      <c r="P105" s="39" t="b">
        <f t="shared" si="42"/>
        <v>0</v>
      </c>
      <c r="Q105" s="41" t="b">
        <f t="shared" si="43"/>
        <v>0</v>
      </c>
      <c r="R105" s="46" t="b">
        <f t="shared" si="44"/>
        <v>0</v>
      </c>
      <c r="S105" s="42" t="b">
        <f t="shared" si="45"/>
        <v>0</v>
      </c>
      <c r="T105" s="44" t="b">
        <f t="shared" si="46"/>
        <v>0</v>
      </c>
      <c r="U105" s="148" t="str">
        <f>IF(T105,LOOKUP(A105,Discrete_NFET[PARTNUMBER],Discrete_NFET[RDSON10])*1000,IF(S105,LOOKUP(A105,Discrete_NFET[PARTNUMBER],Discrete_NFET[RDSON8])*1000,IF(R105,LOOKUP(A105,Discrete_NFET[PARTNUMBER],Discrete_NFET[RDSON6])*1000,IF(Q105,LOOKUP(A105,Discrete_NFET[PARTNUMBER],Discrete_NFET[RDSON45])*1000,IF(P105,LOOKUP(A105,Discrete_NFET[PARTNUMBER],Discrete_NFET[RDSON3])*1000,IF(O105,LOOKUP(A105,Discrete_NFET[PARTNUMBER],Discrete_NFET[RDSON25])*1000,""))))))</f>
        <v/>
      </c>
      <c r="V105" s="48" t="str">
        <f>IF(AND(A105&lt;&gt;0,A105&lt;&gt;""),U105*(1+(Tj-25)*(LOOKUP(A105,Discrete_NFET[PARTNUMBER],Discrete_NFET[RDSDELTA])/((LOOKUP(A105,Discrete_NFET[PARTNUMBER],Discrete_NFET[TJMAX])-25)))),"")</f>
        <v/>
      </c>
      <c r="W105" s="35" t="str">
        <f>IF(AND($A105&lt;&gt;0,$A105&lt;&gt;""),LOOKUP($A105,Discrete_NFET[PARTNUMBER],Discrete_NFET[QGS]),"")</f>
        <v/>
      </c>
      <c r="X105" s="35" t="str">
        <f>IF(AND($A105&lt;&gt;0,$A105&lt;&gt;""),LOOKUP($A105,Discrete_NFET[PARTNUMBER],Discrete_NFET[QGD]),"")</f>
        <v/>
      </c>
      <c r="Y105" s="35" t="str">
        <f>IF(AND($A105&lt;&gt;0,$A105&lt;&gt;""),LOOKUP($A105,Discrete_NFET[PARTNUMBER],Discrete_NFET[QGTH]),"")</f>
        <v/>
      </c>
      <c r="Z105" s="35" t="str">
        <f t="shared" si="47"/>
        <v/>
      </c>
      <c r="AA105" s="35" t="str">
        <f>IF(AND($A105&lt;&gt;0,$A105&lt;&gt;""),LOOKUP($A105,Discrete_NFET[PARTNUMBER],Discrete_NFET[QOSSTYP]),"")</f>
        <v/>
      </c>
      <c r="AB105" s="35" t="str">
        <f>IF(AND($A105&lt;&gt;0,$A105&lt;&gt;""),LOOKUP($A105,Discrete_NFET[PARTNUMBER],Discrete_NFET[QRR]),"")</f>
        <v/>
      </c>
      <c r="AC105" s="35" t="str">
        <f>IF(AND(A105&lt;&gt;0,A105&lt;&gt;""),LOOKUP(A105,Discrete_NFET[PARTNUMBER],Discrete_NFET[VF_TYP]),"")</f>
        <v/>
      </c>
      <c r="AD105" s="127" t="str">
        <f>IF(AND($A105&lt;&gt;0,$A105&lt;&gt;"",OR(RIGHT(Logic!B105,2)="C)",LEFT(Logic!B105,4)="CSD1")),(1+(1-DUTY))*IM_RMS_120^2*V105*m/3/Num_FETS3,"")</f>
        <v/>
      </c>
      <c r="AE105" s="127" t="str">
        <f>IF(AND($A105&lt;&gt;0,$A105&lt;&gt;"",OR(RIGHT(Logic!B105,2)="C)",LEFT(Logic!B105,4)="CSD1")),Num_FETS3*0.5*IM_RMS_120*VDC_AVG*Z105*n*MOT_ELEC_FREQ/GDR_SRC,"")</f>
        <v/>
      </c>
      <c r="AF105" s="127" t="str">
        <f>IF(AND($A105&lt;&gt;0,$A105&lt;&gt;"",OR(RIGHT(Logic!B105,2)="C)",LEFT(Logic!B105,4)="CSD1")),Num_FETS3*0.5*IM_RMS_120*VDC_AVG*Z105*n*MOT_ELEC_FREQ/GDR_SINK,"")</f>
        <v/>
      </c>
      <c r="AG105" s="127" t="str">
        <f>IF(AND($A105&lt;&gt;0,$A105&lt;&gt;"",OR(RIGHT(Logic!B105,2)="T)",LEFT(Logic!B105,4)="CSD1")),DUTY*IM_RMS_120^2*V105*m/3/Num_FETS3,"")</f>
        <v/>
      </c>
      <c r="AH105" s="127" t="str">
        <f>IF(AND($A105&lt;&gt;0,$A105&lt;&gt;"",OR(RIGHT(Logic!B105,2)="T)",LEFT(Logic!B105,4)="CSD1")),Num_FETS3*0.5*IM_RMS_120*VDC_AVG*Z105*n*FSW*k/GDR_SRC/3,"")</f>
        <v/>
      </c>
      <c r="AI105" s="127" t="str">
        <f>IF(AND($A105&lt;&gt;0,$A105&lt;&gt;"",OR(RIGHT(Logic!B105,2)="T)",LEFT(Logic!B105,4)="CSD1")),Num_FETS3*0.5*IM_RMS_120*VDC_AVG*Z105*n*FSW*k/GDR_SINK/3,"")</f>
        <v/>
      </c>
      <c r="AJ105" s="127" t="str">
        <f t="shared" si="50"/>
        <v/>
      </c>
      <c r="AK105" s="127" t="str">
        <f t="shared" si="51"/>
        <v/>
      </c>
      <c r="AL105" s="127" t="str">
        <f t="shared" si="52"/>
        <v/>
      </c>
      <c r="AM105" s="127" t="str">
        <f t="shared" si="48"/>
        <v/>
      </c>
      <c r="AN105" s="127">
        <f>IF(AND($A105&lt;&gt;0,$A105&lt;&gt;"",OR(RIGHT(Logic!B105,2)="C)",LEFT(Logic!B105,4)="CSD1")),SUM(AD105:AF105)+(AJ105/3)+AK105+AL105/6+AM105/6,AN106)</f>
        <v>0</v>
      </c>
      <c r="AO105" s="127">
        <f>IF(AND($A105&lt;&gt;0,$A105&lt;&gt;"",OR(RIGHT(Logic!B105,2)="T)",LEFT(Logic!B105,4)="CSD1")),SUM(AG105:AI105)+(AJ105/3)+AL105/6+AM105/6,AO104)</f>
        <v>0.23887636588496741</v>
      </c>
      <c r="AP105" s="48" t="str">
        <f t="shared" si="49"/>
        <v/>
      </c>
      <c r="AQ105" s="35" t="str">
        <f>IF(AND(A105&lt;&gt;0,A105&lt;&gt;""),LOOKUP(A105,Discrete_NFET[PARTNUMBER],Discrete_NFET[TI_EQ_PACKAGE]),"")</f>
        <v/>
      </c>
      <c r="AR105" s="49" t="str">
        <f>IF(AND(A105&lt;&gt;0,A105&lt;&gt;""),LOOKUP(A105,Discrete_NFET[PARTNUMBER],Discrete_NFET[1KPRICE]),"")</f>
        <v/>
      </c>
      <c r="AS105" s="35" t="str">
        <f>IF(AND($A105&lt;&gt;0,$A105&lt;&gt;""),CONCATENATE(TEXT(AP105,"0.00"),"W, ",IF('User Input'!H$11="Single Discrete",A105,IF('User Input'!H$11="Dual/Power Block",LEFT(A105,FIND(")",A105)-7),A105)),", ",AQ105,", ",TEXT(AR105,"$0.00")),"Invalid Part")</f>
        <v>Invalid Part</v>
      </c>
      <c r="AT105"/>
      <c r="AW105"/>
    </row>
    <row r="106" spans="1:49" ht="15" customHeight="1" x14ac:dyDescent="0.25">
      <c r="A106" s="35" t="str">
        <f>IF(OR(AND(FET_config3="Dual/Power Block",LEFT(Logic!B106,4)="CSD8"),AND(FET_config3="Single Discrete",LEFT(Logic!B106,4)="CSD1")),Logic!B106,"")</f>
        <v/>
      </c>
      <c r="B106" s="37" t="str">
        <f>IF(OR($A106=0,$A106=""),"0",IF(LOOKUP($A106,Discrete_NFET[PARTNUMBER],Discrete_NFET[RDSON25])="(NULL)","0","1"))</f>
        <v>0</v>
      </c>
      <c r="C106" s="38" t="str">
        <f>IF(OR($A106=0,$A106=""),"0",IF(LOOKUP($A106,Discrete_NFET[PARTNUMBER],Discrete_NFET[RDSON3])="(NULL)","0","1"))</f>
        <v>0</v>
      </c>
      <c r="D106" s="40" t="str">
        <f>IF(OR($A106=0,$A106=""),"0",IF(LOOKUP($A106,Discrete_NFET[PARTNUMBER],Discrete_NFET[RDSON45])="(NULL)","0","1"))</f>
        <v>0</v>
      </c>
      <c r="E106" s="45" t="str">
        <f>IF(OR($A106=0,$A106=""),"0",IF(LOOKUP($A106,Discrete_NFET[PARTNUMBER],Discrete_NFET[RDSON6])="(NULL)","0","1"))</f>
        <v>0</v>
      </c>
      <c r="F106" s="34" t="str">
        <f>IF(OR($A106=0,$A106=""),"0",IF(LOOKUP($A106,Discrete_NFET[PARTNUMBER],Discrete_NFET[RDSON8])="(NULL)","0","1"))</f>
        <v>0</v>
      </c>
      <c r="G106" s="43" t="str">
        <f>IF(OR($A106=0,$A106=""),"0",IF(LOOKUP($A106,Discrete_NFET[PARTNUMBER],Discrete_NFET[RDSON10])="(NULL)","0","1"))</f>
        <v>0</v>
      </c>
      <c r="H106" s="36" t="b">
        <f t="shared" si="34"/>
        <v>0</v>
      </c>
      <c r="I106" s="39" t="b">
        <f t="shared" si="35"/>
        <v>0</v>
      </c>
      <c r="J106" s="41" t="b">
        <f t="shared" si="36"/>
        <v>0</v>
      </c>
      <c r="K106" s="46" t="b">
        <f t="shared" si="37"/>
        <v>0</v>
      </c>
      <c r="L106" s="42" t="b">
        <f t="shared" si="38"/>
        <v>0</v>
      </c>
      <c r="M106" s="44" t="b">
        <f t="shared" si="39"/>
        <v>0</v>
      </c>
      <c r="N106" s="47" t="b">
        <f t="shared" si="40"/>
        <v>0</v>
      </c>
      <c r="O106" s="36" t="b">
        <f t="shared" si="41"/>
        <v>0</v>
      </c>
      <c r="P106" s="39" t="b">
        <f t="shared" si="42"/>
        <v>0</v>
      </c>
      <c r="Q106" s="41" t="b">
        <f t="shared" si="43"/>
        <v>0</v>
      </c>
      <c r="R106" s="46" t="b">
        <f t="shared" si="44"/>
        <v>0</v>
      </c>
      <c r="S106" s="42" t="b">
        <f t="shared" si="45"/>
        <v>0</v>
      </c>
      <c r="T106" s="44" t="b">
        <f t="shared" si="46"/>
        <v>0</v>
      </c>
      <c r="U106" s="148" t="str">
        <f>IF(T106,LOOKUP(A106,Discrete_NFET[PARTNUMBER],Discrete_NFET[RDSON10])*1000,IF(S106,LOOKUP(A106,Discrete_NFET[PARTNUMBER],Discrete_NFET[RDSON8])*1000,IF(R106,LOOKUP(A106,Discrete_NFET[PARTNUMBER],Discrete_NFET[RDSON6])*1000,IF(Q106,LOOKUP(A106,Discrete_NFET[PARTNUMBER],Discrete_NFET[RDSON45])*1000,IF(P106,LOOKUP(A106,Discrete_NFET[PARTNUMBER],Discrete_NFET[RDSON3])*1000,IF(O106,LOOKUP(A106,Discrete_NFET[PARTNUMBER],Discrete_NFET[RDSON25])*1000,""))))))</f>
        <v/>
      </c>
      <c r="V106" s="48" t="str">
        <f>IF(AND(A106&lt;&gt;0,A106&lt;&gt;""),U106*(1+(Tj-25)*(LOOKUP(A106,Discrete_NFET[PARTNUMBER],Discrete_NFET[RDSDELTA])/((LOOKUP(A106,Discrete_NFET[PARTNUMBER],Discrete_NFET[TJMAX])-25)))),"")</f>
        <v/>
      </c>
      <c r="W106" s="35" t="str">
        <f>IF(AND($A106&lt;&gt;0,$A106&lt;&gt;""),LOOKUP($A106,Discrete_NFET[PARTNUMBER],Discrete_NFET[QGS]),"")</f>
        <v/>
      </c>
      <c r="X106" s="35" t="str">
        <f>IF(AND($A106&lt;&gt;0,$A106&lt;&gt;""),LOOKUP($A106,Discrete_NFET[PARTNUMBER],Discrete_NFET[QGD]),"")</f>
        <v/>
      </c>
      <c r="Y106" s="35" t="str">
        <f>IF(AND($A106&lt;&gt;0,$A106&lt;&gt;""),LOOKUP($A106,Discrete_NFET[PARTNUMBER],Discrete_NFET[QGTH]),"")</f>
        <v/>
      </c>
      <c r="Z106" s="35" t="str">
        <f t="shared" si="47"/>
        <v/>
      </c>
      <c r="AA106" s="35" t="str">
        <f>IF(AND($A106&lt;&gt;0,$A106&lt;&gt;""),LOOKUP($A106,Discrete_NFET[PARTNUMBER],Discrete_NFET[QOSSTYP]),"")</f>
        <v/>
      </c>
      <c r="AB106" s="35" t="str">
        <f>IF(AND($A106&lt;&gt;0,$A106&lt;&gt;""),LOOKUP($A106,Discrete_NFET[PARTNUMBER],Discrete_NFET[QRR]),"")</f>
        <v/>
      </c>
      <c r="AC106" s="35" t="str">
        <f>IF(AND(A106&lt;&gt;0,A106&lt;&gt;""),LOOKUP(A106,Discrete_NFET[PARTNUMBER],Discrete_NFET[VF_TYP]),"")</f>
        <v/>
      </c>
      <c r="AD106" s="127" t="str">
        <f>IF(AND($A106&lt;&gt;0,$A106&lt;&gt;"",OR(RIGHT(Logic!B106,2)="C)",LEFT(Logic!B106,4)="CSD1")),(1+(1-DUTY))*IM_RMS_120^2*V106*m/3/Num_FETS3,"")</f>
        <v/>
      </c>
      <c r="AE106" s="127" t="str">
        <f>IF(AND($A106&lt;&gt;0,$A106&lt;&gt;"",OR(RIGHT(Logic!B106,2)="C)",LEFT(Logic!B106,4)="CSD1")),Num_FETS3*0.5*IM_RMS_120*VDC_AVG*Z106*n*MOT_ELEC_FREQ/GDR_SRC,"")</f>
        <v/>
      </c>
      <c r="AF106" s="127" t="str">
        <f>IF(AND($A106&lt;&gt;0,$A106&lt;&gt;"",OR(RIGHT(Logic!B106,2)="C)",LEFT(Logic!B106,4)="CSD1")),Num_FETS3*0.5*IM_RMS_120*VDC_AVG*Z106*n*MOT_ELEC_FREQ/GDR_SINK,"")</f>
        <v/>
      </c>
      <c r="AG106" s="127" t="str">
        <f>IF(AND($A106&lt;&gt;0,$A106&lt;&gt;"",OR(RIGHT(Logic!B106,2)="T)",LEFT(Logic!B106,4)="CSD1")),DUTY*IM_RMS_120^2*V106*m/3/Num_FETS3,"")</f>
        <v/>
      </c>
      <c r="AH106" s="127" t="str">
        <f>IF(AND($A106&lt;&gt;0,$A106&lt;&gt;"",OR(RIGHT(Logic!B106,2)="T)",LEFT(Logic!B106,4)="CSD1")),Num_FETS3*0.5*IM_RMS_120*VDC_AVG*Z106*n*FSW*k/GDR_SRC/3,"")</f>
        <v/>
      </c>
      <c r="AI106" s="127" t="str">
        <f>IF(AND($A106&lt;&gt;0,$A106&lt;&gt;"",OR(RIGHT(Logic!B106,2)="T)",LEFT(Logic!B106,4)="CSD1")),Num_FETS3*0.5*IM_RMS_120*VDC_AVG*Z106*n*FSW*k/GDR_SINK/3,"")</f>
        <v/>
      </c>
      <c r="AJ106" s="127" t="str">
        <f t="shared" si="50"/>
        <v/>
      </c>
      <c r="AK106" s="127" t="str">
        <f t="shared" si="51"/>
        <v/>
      </c>
      <c r="AL106" s="127" t="str">
        <f t="shared" si="52"/>
        <v/>
      </c>
      <c r="AM106" s="127" t="str">
        <f t="shared" si="48"/>
        <v/>
      </c>
      <c r="AN106" s="127">
        <f>IF(AND($A106&lt;&gt;0,$A106&lt;&gt;"",OR(RIGHT(Logic!B106,2)="C)",LEFT(Logic!B106,4)="CSD1")),SUM(AD106:AF106)+(AJ106/3)+AK106+AL106/6+AM106/6,AN107)</f>
        <v>0</v>
      </c>
      <c r="AO106" s="127">
        <f>IF(AND($A106&lt;&gt;0,$A106&lt;&gt;"",OR(RIGHT(Logic!B106,2)="T)",LEFT(Logic!B106,4)="CSD1")),SUM(AG106:AI106)+(AJ106/3)+AL106/6+AM106/6,AO105)</f>
        <v>0.23887636588496741</v>
      </c>
      <c r="AP106" s="48" t="str">
        <f t="shared" si="49"/>
        <v/>
      </c>
      <c r="AQ106" s="35" t="str">
        <f>IF(AND(A106&lt;&gt;0,A106&lt;&gt;""),LOOKUP(A106,Discrete_NFET[PARTNUMBER],Discrete_NFET[TI_EQ_PACKAGE]),"")</f>
        <v/>
      </c>
      <c r="AR106" s="49" t="str">
        <f>IF(AND(A106&lt;&gt;0,A106&lt;&gt;""),LOOKUP(A106,Discrete_NFET[PARTNUMBER],Discrete_NFET[1KPRICE]),"")</f>
        <v/>
      </c>
      <c r="AS106" s="35" t="str">
        <f>IF(AND($A106&lt;&gt;0,$A106&lt;&gt;""),CONCATENATE(TEXT(AP106,"0.00"),"W, ",IF('User Input'!H$11="Single Discrete",A106,IF('User Input'!H$11="Dual/Power Block",LEFT(A106,FIND(")",A106)-7),A106)),", ",AQ106,", ",TEXT(AR106,"$0.00")),"Invalid Part")</f>
        <v>Invalid Part</v>
      </c>
      <c r="AT106"/>
      <c r="AW106"/>
    </row>
    <row r="107" spans="1:49" ht="15" customHeight="1" x14ac:dyDescent="0.25">
      <c r="A107" s="35" t="str">
        <f>IF(OR(AND(FET_config3="Dual/Power Block",LEFT(Logic!B107,4)="CSD8"),AND(FET_config3="Single Discrete",LEFT(Logic!B107,4)="CSD1")),Logic!B107,"")</f>
        <v/>
      </c>
      <c r="B107" s="37" t="str">
        <f>IF(OR($A107=0,$A107=""),"0",IF(LOOKUP($A107,Discrete_NFET[PARTNUMBER],Discrete_NFET[RDSON25])="(NULL)","0","1"))</f>
        <v>0</v>
      </c>
      <c r="C107" s="38" t="str">
        <f>IF(OR($A107=0,$A107=""),"0",IF(LOOKUP($A107,Discrete_NFET[PARTNUMBER],Discrete_NFET[RDSON3])="(NULL)","0","1"))</f>
        <v>0</v>
      </c>
      <c r="D107" s="40" t="str">
        <f>IF(OR($A107=0,$A107=""),"0",IF(LOOKUP($A107,Discrete_NFET[PARTNUMBER],Discrete_NFET[RDSON45])="(NULL)","0","1"))</f>
        <v>0</v>
      </c>
      <c r="E107" s="45" t="str">
        <f>IF(OR($A107=0,$A107=""),"0",IF(LOOKUP($A107,Discrete_NFET[PARTNUMBER],Discrete_NFET[RDSON6])="(NULL)","0","1"))</f>
        <v>0</v>
      </c>
      <c r="F107" s="34" t="str">
        <f>IF(OR($A107=0,$A107=""),"0",IF(LOOKUP($A107,Discrete_NFET[PARTNUMBER],Discrete_NFET[RDSON8])="(NULL)","0","1"))</f>
        <v>0</v>
      </c>
      <c r="G107" s="43" t="str">
        <f>IF(OR($A107=0,$A107=""),"0",IF(LOOKUP($A107,Discrete_NFET[PARTNUMBER],Discrete_NFET[RDSON10])="(NULL)","0","1"))</f>
        <v>0</v>
      </c>
      <c r="H107" s="36" t="b">
        <f t="shared" si="34"/>
        <v>0</v>
      </c>
      <c r="I107" s="39" t="b">
        <f t="shared" si="35"/>
        <v>0</v>
      </c>
      <c r="J107" s="41" t="b">
        <f t="shared" si="36"/>
        <v>0</v>
      </c>
      <c r="K107" s="46" t="b">
        <f t="shared" si="37"/>
        <v>0</v>
      </c>
      <c r="L107" s="42" t="b">
        <f t="shared" si="38"/>
        <v>0</v>
      </c>
      <c r="M107" s="44" t="b">
        <f t="shared" si="39"/>
        <v>0</v>
      </c>
      <c r="N107" s="47" t="b">
        <f t="shared" si="40"/>
        <v>0</v>
      </c>
      <c r="O107" s="36" t="b">
        <f t="shared" si="41"/>
        <v>0</v>
      </c>
      <c r="P107" s="39" t="b">
        <f t="shared" si="42"/>
        <v>0</v>
      </c>
      <c r="Q107" s="41" t="b">
        <f t="shared" si="43"/>
        <v>0</v>
      </c>
      <c r="R107" s="46" t="b">
        <f t="shared" si="44"/>
        <v>0</v>
      </c>
      <c r="S107" s="42" t="b">
        <f t="shared" si="45"/>
        <v>0</v>
      </c>
      <c r="T107" s="44" t="b">
        <f t="shared" si="46"/>
        <v>0</v>
      </c>
      <c r="U107" s="148" t="str">
        <f>IF(T107,LOOKUP(A107,Discrete_NFET[PARTNUMBER],Discrete_NFET[RDSON10])*1000,IF(S107,LOOKUP(A107,Discrete_NFET[PARTNUMBER],Discrete_NFET[RDSON8])*1000,IF(R107,LOOKUP(A107,Discrete_NFET[PARTNUMBER],Discrete_NFET[RDSON6])*1000,IF(Q107,LOOKUP(A107,Discrete_NFET[PARTNUMBER],Discrete_NFET[RDSON45])*1000,IF(P107,LOOKUP(A107,Discrete_NFET[PARTNUMBER],Discrete_NFET[RDSON3])*1000,IF(O107,LOOKUP(A107,Discrete_NFET[PARTNUMBER],Discrete_NFET[RDSON25])*1000,""))))))</f>
        <v/>
      </c>
      <c r="V107" s="48" t="str">
        <f>IF(AND(A107&lt;&gt;0,A107&lt;&gt;""),U107*(1+(Tj-25)*(LOOKUP(A107,Discrete_NFET[PARTNUMBER],Discrete_NFET[RDSDELTA])/((LOOKUP(A107,Discrete_NFET[PARTNUMBER],Discrete_NFET[TJMAX])-25)))),"")</f>
        <v/>
      </c>
      <c r="W107" s="35" t="str">
        <f>IF(AND($A107&lt;&gt;0,$A107&lt;&gt;""),LOOKUP($A107,Discrete_NFET[PARTNUMBER],Discrete_NFET[QGS]),"")</f>
        <v/>
      </c>
      <c r="X107" s="35" t="str">
        <f>IF(AND($A107&lt;&gt;0,$A107&lt;&gt;""),LOOKUP($A107,Discrete_NFET[PARTNUMBER],Discrete_NFET[QGD]),"")</f>
        <v/>
      </c>
      <c r="Y107" s="35" t="str">
        <f>IF(AND($A107&lt;&gt;0,$A107&lt;&gt;""),LOOKUP($A107,Discrete_NFET[PARTNUMBER],Discrete_NFET[QGTH]),"")</f>
        <v/>
      </c>
      <c r="Z107" s="35" t="str">
        <f t="shared" si="47"/>
        <v/>
      </c>
      <c r="AA107" s="35" t="str">
        <f>IF(AND($A107&lt;&gt;0,$A107&lt;&gt;""),LOOKUP($A107,Discrete_NFET[PARTNUMBER],Discrete_NFET[QOSSTYP]),"")</f>
        <v/>
      </c>
      <c r="AB107" s="35" t="str">
        <f>IF(AND($A107&lt;&gt;0,$A107&lt;&gt;""),LOOKUP($A107,Discrete_NFET[PARTNUMBER],Discrete_NFET[QRR]),"")</f>
        <v/>
      </c>
      <c r="AC107" s="35" t="str">
        <f>IF(AND(A107&lt;&gt;0,A107&lt;&gt;""),LOOKUP(A107,Discrete_NFET[PARTNUMBER],Discrete_NFET[VF_TYP]),"")</f>
        <v/>
      </c>
      <c r="AD107" s="127" t="str">
        <f>IF(AND($A107&lt;&gt;0,$A107&lt;&gt;"",OR(RIGHT(Logic!B107,2)="C)",LEFT(Logic!B107,4)="CSD1")),(1+(1-DUTY))*IM_RMS_120^2*V107*m/3/Num_FETS3,"")</f>
        <v/>
      </c>
      <c r="AE107" s="127" t="str">
        <f>IF(AND($A107&lt;&gt;0,$A107&lt;&gt;"",OR(RIGHT(Logic!B107,2)="C)",LEFT(Logic!B107,4)="CSD1")),Num_FETS3*0.5*IM_RMS_120*VDC_AVG*Z107*n*MOT_ELEC_FREQ/GDR_SRC,"")</f>
        <v/>
      </c>
      <c r="AF107" s="127" t="str">
        <f>IF(AND($A107&lt;&gt;0,$A107&lt;&gt;"",OR(RIGHT(Logic!B107,2)="C)",LEFT(Logic!B107,4)="CSD1")),Num_FETS3*0.5*IM_RMS_120*VDC_AVG*Z107*n*MOT_ELEC_FREQ/GDR_SINK,"")</f>
        <v/>
      </c>
      <c r="AG107" s="127" t="str">
        <f>IF(AND($A107&lt;&gt;0,$A107&lt;&gt;"",OR(RIGHT(Logic!B107,2)="T)",LEFT(Logic!B107,4)="CSD1")),DUTY*IM_RMS_120^2*V107*m/3/Num_FETS3,"")</f>
        <v/>
      </c>
      <c r="AH107" s="127" t="str">
        <f>IF(AND($A107&lt;&gt;0,$A107&lt;&gt;"",OR(RIGHT(Logic!B107,2)="T)",LEFT(Logic!B107,4)="CSD1")),Num_FETS3*0.5*IM_RMS_120*VDC_AVG*Z107*n*FSW*k/GDR_SRC/3,"")</f>
        <v/>
      </c>
      <c r="AI107" s="127" t="str">
        <f>IF(AND($A107&lt;&gt;0,$A107&lt;&gt;"",OR(RIGHT(Logic!B107,2)="T)",LEFT(Logic!B107,4)="CSD1")),Num_FETS3*0.5*IM_RMS_120*VDC_AVG*Z107*n*FSW*k/GDR_SINK/3,"")</f>
        <v/>
      </c>
      <c r="AJ107" s="127" t="str">
        <f t="shared" si="50"/>
        <v/>
      </c>
      <c r="AK107" s="127" t="str">
        <f t="shared" si="51"/>
        <v/>
      </c>
      <c r="AL107" s="127" t="str">
        <f t="shared" si="52"/>
        <v/>
      </c>
      <c r="AM107" s="127" t="str">
        <f t="shared" si="48"/>
        <v/>
      </c>
      <c r="AN107" s="127">
        <f>IF(AND($A107&lt;&gt;0,$A107&lt;&gt;"",OR(RIGHT(Logic!B107,2)="C)",LEFT(Logic!B107,4)="CSD1")),SUM(AD107:AF107)+(AJ107/3)+AK107+AL107/6+AM107/6,AN108)</f>
        <v>0</v>
      </c>
      <c r="AO107" s="127">
        <f>IF(AND($A107&lt;&gt;0,$A107&lt;&gt;"",OR(RIGHT(Logic!B107,2)="T)",LEFT(Logic!B107,4)="CSD1")),SUM(AG107:AI107)+(AJ107/3)+AL107/6+AM107/6,AO106)</f>
        <v>0.23887636588496741</v>
      </c>
      <c r="AP107" s="48" t="str">
        <f t="shared" si="49"/>
        <v/>
      </c>
      <c r="AQ107" s="35" t="str">
        <f>IF(AND(A107&lt;&gt;0,A107&lt;&gt;""),LOOKUP(A107,Discrete_NFET[PARTNUMBER],Discrete_NFET[TI_EQ_PACKAGE]),"")</f>
        <v/>
      </c>
      <c r="AR107" s="49" t="str">
        <f>IF(AND(A107&lt;&gt;0,A107&lt;&gt;""),LOOKUP(A107,Discrete_NFET[PARTNUMBER],Discrete_NFET[1KPRICE]),"")</f>
        <v/>
      </c>
      <c r="AS107" s="35" t="str">
        <f>IF(AND($A107&lt;&gt;0,$A107&lt;&gt;""),CONCATENATE(TEXT(AP107,"0.00"),"W, ",IF('User Input'!H$11="Single Discrete",A107,IF('User Input'!H$11="Dual/Power Block",LEFT(A107,FIND(")",A107)-7),A107)),", ",AQ107,", ",TEXT(AR107,"$0.00")),"Invalid Part")</f>
        <v>Invalid Part</v>
      </c>
      <c r="AT107"/>
      <c r="AW107"/>
    </row>
    <row r="108" spans="1:49" ht="15" customHeight="1" x14ac:dyDescent="0.25">
      <c r="A108" s="35" t="str">
        <f>IF(OR(AND(FET_config3="Dual/Power Block",LEFT(Logic!B108,4)="CSD8"),AND(FET_config3="Single Discrete",LEFT(Logic!B108,4)="CSD1")),Logic!B108,"")</f>
        <v/>
      </c>
      <c r="B108" s="37" t="str">
        <f>IF(OR($A108=0,$A108=""),"0",IF(LOOKUP($A108,Discrete_NFET[PARTNUMBER],Discrete_NFET[RDSON25])="(NULL)","0","1"))</f>
        <v>0</v>
      </c>
      <c r="C108" s="38" t="str">
        <f>IF(OR($A108=0,$A108=""),"0",IF(LOOKUP($A108,Discrete_NFET[PARTNUMBER],Discrete_NFET[RDSON3])="(NULL)","0","1"))</f>
        <v>0</v>
      </c>
      <c r="D108" s="40" t="str">
        <f>IF(OR($A108=0,$A108=""),"0",IF(LOOKUP($A108,Discrete_NFET[PARTNUMBER],Discrete_NFET[RDSON45])="(NULL)","0","1"))</f>
        <v>0</v>
      </c>
      <c r="E108" s="45" t="str">
        <f>IF(OR($A108=0,$A108=""),"0",IF(LOOKUP($A108,Discrete_NFET[PARTNUMBER],Discrete_NFET[RDSON6])="(NULL)","0","1"))</f>
        <v>0</v>
      </c>
      <c r="F108" s="34" t="str">
        <f>IF(OR($A108=0,$A108=""),"0",IF(LOOKUP($A108,Discrete_NFET[PARTNUMBER],Discrete_NFET[RDSON8])="(NULL)","0","1"))</f>
        <v>0</v>
      </c>
      <c r="G108" s="43" t="str">
        <f>IF(OR($A108=0,$A108=""),"0",IF(LOOKUP($A108,Discrete_NFET[PARTNUMBER],Discrete_NFET[RDSON10])="(NULL)","0","1"))</f>
        <v>0</v>
      </c>
      <c r="H108" s="36" t="b">
        <f t="shared" si="34"/>
        <v>0</v>
      </c>
      <c r="I108" s="39" t="b">
        <f t="shared" si="35"/>
        <v>0</v>
      </c>
      <c r="J108" s="41" t="b">
        <f t="shared" si="36"/>
        <v>0</v>
      </c>
      <c r="K108" s="46" t="b">
        <f t="shared" si="37"/>
        <v>0</v>
      </c>
      <c r="L108" s="42" t="b">
        <f t="shared" si="38"/>
        <v>0</v>
      </c>
      <c r="M108" s="44" t="b">
        <f t="shared" si="39"/>
        <v>0</v>
      </c>
      <c r="N108" s="47" t="b">
        <f t="shared" si="40"/>
        <v>0</v>
      </c>
      <c r="O108" s="36" t="b">
        <f t="shared" si="41"/>
        <v>0</v>
      </c>
      <c r="P108" s="39" t="b">
        <f t="shared" si="42"/>
        <v>0</v>
      </c>
      <c r="Q108" s="41" t="b">
        <f t="shared" si="43"/>
        <v>0</v>
      </c>
      <c r="R108" s="46" t="b">
        <f t="shared" si="44"/>
        <v>0</v>
      </c>
      <c r="S108" s="42" t="b">
        <f t="shared" si="45"/>
        <v>0</v>
      </c>
      <c r="T108" s="44" t="b">
        <f t="shared" si="46"/>
        <v>0</v>
      </c>
      <c r="U108" s="148" t="str">
        <f>IF(T108,LOOKUP(A108,Discrete_NFET[PARTNUMBER],Discrete_NFET[RDSON10])*1000,IF(S108,LOOKUP(A108,Discrete_NFET[PARTNUMBER],Discrete_NFET[RDSON8])*1000,IF(R108,LOOKUP(A108,Discrete_NFET[PARTNUMBER],Discrete_NFET[RDSON6])*1000,IF(Q108,LOOKUP(A108,Discrete_NFET[PARTNUMBER],Discrete_NFET[RDSON45])*1000,IF(P108,LOOKUP(A108,Discrete_NFET[PARTNUMBER],Discrete_NFET[RDSON3])*1000,IF(O108,LOOKUP(A108,Discrete_NFET[PARTNUMBER],Discrete_NFET[RDSON25])*1000,""))))))</f>
        <v/>
      </c>
      <c r="V108" s="48" t="str">
        <f>IF(AND(A108&lt;&gt;0,A108&lt;&gt;""),U108*(1+(Tj-25)*(LOOKUP(A108,Discrete_NFET[PARTNUMBER],Discrete_NFET[RDSDELTA])/((LOOKUP(A108,Discrete_NFET[PARTNUMBER],Discrete_NFET[TJMAX])-25)))),"")</f>
        <v/>
      </c>
      <c r="W108" s="35" t="str">
        <f>IF(AND($A108&lt;&gt;0,$A108&lt;&gt;""),LOOKUP($A108,Discrete_NFET[PARTNUMBER],Discrete_NFET[QGS]),"")</f>
        <v/>
      </c>
      <c r="X108" s="35" t="str">
        <f>IF(AND($A108&lt;&gt;0,$A108&lt;&gt;""),LOOKUP($A108,Discrete_NFET[PARTNUMBER],Discrete_NFET[QGD]),"")</f>
        <v/>
      </c>
      <c r="Y108" s="35" t="str">
        <f>IF(AND($A108&lt;&gt;0,$A108&lt;&gt;""),LOOKUP($A108,Discrete_NFET[PARTNUMBER],Discrete_NFET[QGTH]),"")</f>
        <v/>
      </c>
      <c r="Z108" s="35" t="str">
        <f t="shared" si="47"/>
        <v/>
      </c>
      <c r="AA108" s="35" t="str">
        <f>IF(AND($A108&lt;&gt;0,$A108&lt;&gt;""),LOOKUP($A108,Discrete_NFET[PARTNUMBER],Discrete_NFET[QOSSTYP]),"")</f>
        <v/>
      </c>
      <c r="AB108" s="35" t="str">
        <f>IF(AND($A108&lt;&gt;0,$A108&lt;&gt;""),LOOKUP($A108,Discrete_NFET[PARTNUMBER],Discrete_NFET[QRR]),"")</f>
        <v/>
      </c>
      <c r="AC108" s="35" t="str">
        <f>IF(AND(A108&lt;&gt;0,A108&lt;&gt;""),LOOKUP(A108,Discrete_NFET[PARTNUMBER],Discrete_NFET[VF_TYP]),"")</f>
        <v/>
      </c>
      <c r="AD108" s="127" t="str">
        <f>IF(AND($A108&lt;&gt;0,$A108&lt;&gt;"",OR(RIGHT(Logic!B108,2)="C)",LEFT(Logic!B108,4)="CSD1")),(1+(1-DUTY))*IM_RMS_120^2*V108*m/3/Num_FETS3,"")</f>
        <v/>
      </c>
      <c r="AE108" s="127" t="str">
        <f>IF(AND($A108&lt;&gt;0,$A108&lt;&gt;"",OR(RIGHT(Logic!B108,2)="C)",LEFT(Logic!B108,4)="CSD1")),Num_FETS3*0.5*IM_RMS_120*VDC_AVG*Z108*n*MOT_ELEC_FREQ/GDR_SRC,"")</f>
        <v/>
      </c>
      <c r="AF108" s="127" t="str">
        <f>IF(AND($A108&lt;&gt;0,$A108&lt;&gt;"",OR(RIGHT(Logic!B108,2)="C)",LEFT(Logic!B108,4)="CSD1")),Num_FETS3*0.5*IM_RMS_120*VDC_AVG*Z108*n*MOT_ELEC_FREQ/GDR_SINK,"")</f>
        <v/>
      </c>
      <c r="AG108" s="127" t="str">
        <f>IF(AND($A108&lt;&gt;0,$A108&lt;&gt;"",OR(RIGHT(Logic!B108,2)="T)",LEFT(Logic!B108,4)="CSD1")),DUTY*IM_RMS_120^2*V108*m/3/Num_FETS3,"")</f>
        <v/>
      </c>
      <c r="AH108" s="127" t="str">
        <f>IF(AND($A108&lt;&gt;0,$A108&lt;&gt;"",OR(RIGHT(Logic!B108,2)="T)",LEFT(Logic!B108,4)="CSD1")),Num_FETS3*0.5*IM_RMS_120*VDC_AVG*Z108*n*FSW*k/GDR_SRC/3,"")</f>
        <v/>
      </c>
      <c r="AI108" s="127" t="str">
        <f>IF(AND($A108&lt;&gt;0,$A108&lt;&gt;"",OR(RIGHT(Logic!B108,2)="T)",LEFT(Logic!B108,4)="CSD1")),Num_FETS3*0.5*IM_RMS_120*VDC_AVG*Z108*n*FSW*k/GDR_SINK/3,"")</f>
        <v/>
      </c>
      <c r="AJ108" s="127" t="str">
        <f t="shared" si="50"/>
        <v/>
      </c>
      <c r="AK108" s="127" t="str">
        <f t="shared" si="51"/>
        <v/>
      </c>
      <c r="AL108" s="127" t="str">
        <f t="shared" si="52"/>
        <v/>
      </c>
      <c r="AM108" s="127" t="str">
        <f t="shared" si="48"/>
        <v/>
      </c>
      <c r="AN108" s="127">
        <f>IF(AND($A108&lt;&gt;0,$A108&lt;&gt;"",OR(RIGHT(Logic!B108,2)="C)",LEFT(Logic!B108,4)="CSD1")),SUM(AD108:AF108)+(AJ108/3)+AK108+AL108/6+AM108/6,AN109)</f>
        <v>0</v>
      </c>
      <c r="AO108" s="127">
        <f>IF(AND($A108&lt;&gt;0,$A108&lt;&gt;"",OR(RIGHT(Logic!B108,2)="T)",LEFT(Logic!B108,4)="CSD1")),SUM(AG108:AI108)+(AJ108/3)+AL108/6+AM108/6,AO107)</f>
        <v>0.23887636588496741</v>
      </c>
      <c r="AP108" s="48" t="str">
        <f t="shared" si="49"/>
        <v/>
      </c>
      <c r="AQ108" s="35" t="str">
        <f>IF(AND(A108&lt;&gt;0,A108&lt;&gt;""),LOOKUP(A108,Discrete_NFET[PARTNUMBER],Discrete_NFET[TI_EQ_PACKAGE]),"")</f>
        <v/>
      </c>
      <c r="AR108" s="49" t="str">
        <f>IF(AND(A108&lt;&gt;0,A108&lt;&gt;""),LOOKUP(A108,Discrete_NFET[PARTNUMBER],Discrete_NFET[1KPRICE]),"")</f>
        <v/>
      </c>
      <c r="AS108" s="35" t="str">
        <f>IF(AND($A108&lt;&gt;0,$A108&lt;&gt;""),CONCATENATE(TEXT(AP108,"0.00"),"W, ",IF('User Input'!H$11="Single Discrete",A108,IF('User Input'!H$11="Dual/Power Block",LEFT(A108,FIND(")",A108)-7),A108)),", ",AQ108,", ",TEXT(AR108,"$0.00")),"Invalid Part")</f>
        <v>Invalid Part</v>
      </c>
      <c r="AT108"/>
      <c r="AW108"/>
    </row>
    <row r="109" spans="1:49" ht="15" customHeight="1" x14ac:dyDescent="0.25">
      <c r="A109" s="35" t="str">
        <f>IF(OR(AND(FET_config3="Dual/Power Block",LEFT(Logic!B109,4)="CSD8"),AND(FET_config3="Single Discrete",LEFT(Logic!B109,4)="CSD1")),Logic!B109,"")</f>
        <v/>
      </c>
      <c r="B109" s="37" t="str">
        <f>IF(OR($A109=0,$A109=""),"0",IF(LOOKUP($A109,Discrete_NFET[PARTNUMBER],Discrete_NFET[RDSON25])="(NULL)","0","1"))</f>
        <v>0</v>
      </c>
      <c r="C109" s="38" t="str">
        <f>IF(OR($A109=0,$A109=""),"0",IF(LOOKUP($A109,Discrete_NFET[PARTNUMBER],Discrete_NFET[RDSON3])="(NULL)","0","1"))</f>
        <v>0</v>
      </c>
      <c r="D109" s="40" t="str">
        <f>IF(OR($A109=0,$A109=""),"0",IF(LOOKUP($A109,Discrete_NFET[PARTNUMBER],Discrete_NFET[RDSON45])="(NULL)","0","1"))</f>
        <v>0</v>
      </c>
      <c r="E109" s="45" t="str">
        <f>IF(OR($A109=0,$A109=""),"0",IF(LOOKUP($A109,Discrete_NFET[PARTNUMBER],Discrete_NFET[RDSON6])="(NULL)","0","1"))</f>
        <v>0</v>
      </c>
      <c r="F109" s="34" t="str">
        <f>IF(OR($A109=0,$A109=""),"0",IF(LOOKUP($A109,Discrete_NFET[PARTNUMBER],Discrete_NFET[RDSON8])="(NULL)","0","1"))</f>
        <v>0</v>
      </c>
      <c r="G109" s="43" t="str">
        <f>IF(OR($A109=0,$A109=""),"0",IF(LOOKUP($A109,Discrete_NFET[PARTNUMBER],Discrete_NFET[RDSON10])="(NULL)","0","1"))</f>
        <v>0</v>
      </c>
      <c r="H109" s="36" t="b">
        <f t="shared" si="34"/>
        <v>0</v>
      </c>
      <c r="I109" s="39" t="b">
        <f t="shared" si="35"/>
        <v>0</v>
      </c>
      <c r="J109" s="41" t="b">
        <f t="shared" si="36"/>
        <v>0</v>
      </c>
      <c r="K109" s="46" t="b">
        <f t="shared" si="37"/>
        <v>0</v>
      </c>
      <c r="L109" s="42" t="b">
        <f t="shared" si="38"/>
        <v>0</v>
      </c>
      <c r="M109" s="44" t="b">
        <f t="shared" si="39"/>
        <v>0</v>
      </c>
      <c r="N109" s="47" t="b">
        <f t="shared" si="40"/>
        <v>0</v>
      </c>
      <c r="O109" s="36" t="b">
        <f t="shared" si="41"/>
        <v>0</v>
      </c>
      <c r="P109" s="39" t="b">
        <f t="shared" si="42"/>
        <v>0</v>
      </c>
      <c r="Q109" s="41" t="b">
        <f t="shared" si="43"/>
        <v>0</v>
      </c>
      <c r="R109" s="46" t="b">
        <f t="shared" si="44"/>
        <v>0</v>
      </c>
      <c r="S109" s="42" t="b">
        <f t="shared" si="45"/>
        <v>0</v>
      </c>
      <c r="T109" s="44" t="b">
        <f t="shared" si="46"/>
        <v>0</v>
      </c>
      <c r="U109" s="148" t="str">
        <f>IF(T109,LOOKUP(A109,Discrete_NFET[PARTNUMBER],Discrete_NFET[RDSON10])*1000,IF(S109,LOOKUP(A109,Discrete_NFET[PARTNUMBER],Discrete_NFET[RDSON8])*1000,IF(R109,LOOKUP(A109,Discrete_NFET[PARTNUMBER],Discrete_NFET[RDSON6])*1000,IF(Q109,LOOKUP(A109,Discrete_NFET[PARTNUMBER],Discrete_NFET[RDSON45])*1000,IF(P109,LOOKUP(A109,Discrete_NFET[PARTNUMBER],Discrete_NFET[RDSON3])*1000,IF(O109,LOOKUP(A109,Discrete_NFET[PARTNUMBER],Discrete_NFET[RDSON25])*1000,""))))))</f>
        <v/>
      </c>
      <c r="V109" s="48" t="str">
        <f>IF(AND(A109&lt;&gt;0,A109&lt;&gt;""),U109*(1+(Tj-25)*(LOOKUP(A109,Discrete_NFET[PARTNUMBER],Discrete_NFET[RDSDELTA])/((LOOKUP(A109,Discrete_NFET[PARTNUMBER],Discrete_NFET[TJMAX])-25)))),"")</f>
        <v/>
      </c>
      <c r="W109" s="35" t="str">
        <f>IF(AND($A109&lt;&gt;0,$A109&lt;&gt;""),LOOKUP($A109,Discrete_NFET[PARTNUMBER],Discrete_NFET[QGS]),"")</f>
        <v/>
      </c>
      <c r="X109" s="35" t="str">
        <f>IF(AND($A109&lt;&gt;0,$A109&lt;&gt;""),LOOKUP($A109,Discrete_NFET[PARTNUMBER],Discrete_NFET[QGD]),"")</f>
        <v/>
      </c>
      <c r="Y109" s="35" t="str">
        <f>IF(AND($A109&lt;&gt;0,$A109&lt;&gt;""),LOOKUP($A109,Discrete_NFET[PARTNUMBER],Discrete_NFET[QGTH]),"")</f>
        <v/>
      </c>
      <c r="Z109" s="35" t="str">
        <f t="shared" si="47"/>
        <v/>
      </c>
      <c r="AA109" s="35" t="str">
        <f>IF(AND($A109&lt;&gt;0,$A109&lt;&gt;""),LOOKUP($A109,Discrete_NFET[PARTNUMBER],Discrete_NFET[QOSSTYP]),"")</f>
        <v/>
      </c>
      <c r="AB109" s="35" t="str">
        <f>IF(AND($A109&lt;&gt;0,$A109&lt;&gt;""),LOOKUP($A109,Discrete_NFET[PARTNUMBER],Discrete_NFET[QRR]),"")</f>
        <v/>
      </c>
      <c r="AC109" s="35" t="str">
        <f>IF(AND(A109&lt;&gt;0,A109&lt;&gt;""),LOOKUP(A109,Discrete_NFET[PARTNUMBER],Discrete_NFET[VF_TYP]),"")</f>
        <v/>
      </c>
      <c r="AD109" s="127" t="str">
        <f>IF(AND($A109&lt;&gt;0,$A109&lt;&gt;"",OR(RIGHT(Logic!B109,2)="C)",LEFT(Logic!B109,4)="CSD1")),(1+(1-DUTY))*IM_RMS_120^2*V109*m/3/Num_FETS3,"")</f>
        <v/>
      </c>
      <c r="AE109" s="127" t="str">
        <f>IF(AND($A109&lt;&gt;0,$A109&lt;&gt;"",OR(RIGHT(Logic!B109,2)="C)",LEFT(Logic!B109,4)="CSD1")),Num_FETS3*0.5*IM_RMS_120*VDC_AVG*Z109*n*MOT_ELEC_FREQ/GDR_SRC,"")</f>
        <v/>
      </c>
      <c r="AF109" s="127" t="str">
        <f>IF(AND($A109&lt;&gt;0,$A109&lt;&gt;"",OR(RIGHT(Logic!B109,2)="C)",LEFT(Logic!B109,4)="CSD1")),Num_FETS3*0.5*IM_RMS_120*VDC_AVG*Z109*n*MOT_ELEC_FREQ/GDR_SINK,"")</f>
        <v/>
      </c>
      <c r="AG109" s="127" t="str">
        <f>IF(AND($A109&lt;&gt;0,$A109&lt;&gt;"",OR(RIGHT(Logic!B109,2)="T)",LEFT(Logic!B109,4)="CSD1")),DUTY*IM_RMS_120^2*V109*m/3/Num_FETS3,"")</f>
        <v/>
      </c>
      <c r="AH109" s="127" t="str">
        <f>IF(AND($A109&lt;&gt;0,$A109&lt;&gt;"",OR(RIGHT(Logic!B109,2)="T)",LEFT(Logic!B109,4)="CSD1")),Num_FETS3*0.5*IM_RMS_120*VDC_AVG*Z109*n*FSW*k/GDR_SRC/3,"")</f>
        <v/>
      </c>
      <c r="AI109" s="127" t="str">
        <f>IF(AND($A109&lt;&gt;0,$A109&lt;&gt;"",OR(RIGHT(Logic!B109,2)="T)",LEFT(Logic!B109,4)="CSD1")),Num_FETS3*0.5*IM_RMS_120*VDC_AVG*Z109*n*FSW*k/GDR_SINK/3,"")</f>
        <v/>
      </c>
      <c r="AJ109" s="127" t="str">
        <f t="shared" si="50"/>
        <v/>
      </c>
      <c r="AK109" s="127" t="str">
        <f t="shared" si="51"/>
        <v/>
      </c>
      <c r="AL109" s="127" t="str">
        <f t="shared" si="52"/>
        <v/>
      </c>
      <c r="AM109" s="127" t="str">
        <f t="shared" si="48"/>
        <v/>
      </c>
      <c r="AN109" s="127">
        <f>IF(AND($A109&lt;&gt;0,$A109&lt;&gt;"",OR(RIGHT(Logic!B109,2)="C)",LEFT(Logic!B109,4)="CSD1")),SUM(AD109:AF109)+(AJ109/3)+AK109+AL109/6+AM109/6,AN110)</f>
        <v>0</v>
      </c>
      <c r="AO109" s="127">
        <f>IF(AND($A109&lt;&gt;0,$A109&lt;&gt;"",OR(RIGHT(Logic!B109,2)="T)",LEFT(Logic!B109,4)="CSD1")),SUM(AG109:AI109)+(AJ109/3)+AL109/6+AM109/6,AO108)</f>
        <v>0.23887636588496741</v>
      </c>
      <c r="AP109" s="48" t="str">
        <f t="shared" si="49"/>
        <v/>
      </c>
      <c r="AQ109" s="35" t="str">
        <f>IF(AND(A109&lt;&gt;0,A109&lt;&gt;""),LOOKUP(A109,Discrete_NFET[PARTNUMBER],Discrete_NFET[TI_EQ_PACKAGE]),"")</f>
        <v/>
      </c>
      <c r="AR109" s="49" t="str">
        <f>IF(AND(A109&lt;&gt;0,A109&lt;&gt;""),LOOKUP(A109,Discrete_NFET[PARTNUMBER],Discrete_NFET[1KPRICE]),"")</f>
        <v/>
      </c>
      <c r="AS109" s="35" t="str">
        <f>IF(AND($A109&lt;&gt;0,$A109&lt;&gt;""),CONCATENATE(TEXT(AP109,"0.00"),"W, ",IF('User Input'!H$11="Single Discrete",A109,IF('User Input'!H$11="Dual/Power Block",LEFT(A109,FIND(")",A109)-7),A109)),", ",AQ109,", ",TEXT(AR109,"$0.00")),"Invalid Part")</f>
        <v>Invalid Part</v>
      </c>
      <c r="AT109"/>
      <c r="AW109"/>
    </row>
    <row r="110" spans="1:49" ht="15" customHeight="1" x14ac:dyDescent="0.25">
      <c r="A110" s="35" t="str">
        <f>IF(OR(AND(FET_config3="Dual/Power Block",LEFT(Logic!B110,4)="CSD8"),AND(FET_config3="Single Discrete",LEFT(Logic!B110,4)="CSD1")),Logic!B110,"")</f>
        <v/>
      </c>
      <c r="B110" s="37" t="str">
        <f>IF(OR($A110=0,$A110=""),"0",IF(LOOKUP($A110,Discrete_NFET[PARTNUMBER],Discrete_NFET[RDSON25])="(NULL)","0","1"))</f>
        <v>0</v>
      </c>
      <c r="C110" s="38" t="str">
        <f>IF(OR($A110=0,$A110=""),"0",IF(LOOKUP($A110,Discrete_NFET[PARTNUMBER],Discrete_NFET[RDSON3])="(NULL)","0","1"))</f>
        <v>0</v>
      </c>
      <c r="D110" s="40" t="str">
        <f>IF(OR($A110=0,$A110=""),"0",IF(LOOKUP($A110,Discrete_NFET[PARTNUMBER],Discrete_NFET[RDSON45])="(NULL)","0","1"))</f>
        <v>0</v>
      </c>
      <c r="E110" s="45" t="str">
        <f>IF(OR($A110=0,$A110=""),"0",IF(LOOKUP($A110,Discrete_NFET[PARTNUMBER],Discrete_NFET[RDSON6])="(NULL)","0","1"))</f>
        <v>0</v>
      </c>
      <c r="F110" s="34" t="str">
        <f>IF(OR($A110=0,$A110=""),"0",IF(LOOKUP($A110,Discrete_NFET[PARTNUMBER],Discrete_NFET[RDSON8])="(NULL)","0","1"))</f>
        <v>0</v>
      </c>
      <c r="G110" s="43" t="str">
        <f>IF(OR($A110=0,$A110=""),"0",IF(LOOKUP($A110,Discrete_NFET[PARTNUMBER],Discrete_NFET[RDSON10])="(NULL)","0","1"))</f>
        <v>0</v>
      </c>
      <c r="H110" s="36" t="b">
        <f t="shared" si="34"/>
        <v>0</v>
      </c>
      <c r="I110" s="39" t="b">
        <f t="shared" si="35"/>
        <v>0</v>
      </c>
      <c r="J110" s="41" t="b">
        <f t="shared" si="36"/>
        <v>0</v>
      </c>
      <c r="K110" s="46" t="b">
        <f t="shared" si="37"/>
        <v>0</v>
      </c>
      <c r="L110" s="42" t="b">
        <f t="shared" si="38"/>
        <v>0</v>
      </c>
      <c r="M110" s="44" t="b">
        <f t="shared" si="39"/>
        <v>0</v>
      </c>
      <c r="N110" s="47" t="b">
        <f t="shared" si="40"/>
        <v>0</v>
      </c>
      <c r="O110" s="36" t="b">
        <f t="shared" si="41"/>
        <v>0</v>
      </c>
      <c r="P110" s="39" t="b">
        <f t="shared" si="42"/>
        <v>0</v>
      </c>
      <c r="Q110" s="41" t="b">
        <f t="shared" si="43"/>
        <v>0</v>
      </c>
      <c r="R110" s="46" t="b">
        <f t="shared" si="44"/>
        <v>0</v>
      </c>
      <c r="S110" s="42" t="b">
        <f t="shared" si="45"/>
        <v>0</v>
      </c>
      <c r="T110" s="44" t="b">
        <f t="shared" si="46"/>
        <v>0</v>
      </c>
      <c r="U110" s="148" t="str">
        <f>IF(T110,LOOKUP(A110,Discrete_NFET[PARTNUMBER],Discrete_NFET[RDSON10])*1000,IF(S110,LOOKUP(A110,Discrete_NFET[PARTNUMBER],Discrete_NFET[RDSON8])*1000,IF(R110,LOOKUP(A110,Discrete_NFET[PARTNUMBER],Discrete_NFET[RDSON6])*1000,IF(Q110,LOOKUP(A110,Discrete_NFET[PARTNUMBER],Discrete_NFET[RDSON45])*1000,IF(P110,LOOKUP(A110,Discrete_NFET[PARTNUMBER],Discrete_NFET[RDSON3])*1000,IF(O110,LOOKUP(A110,Discrete_NFET[PARTNUMBER],Discrete_NFET[RDSON25])*1000,""))))))</f>
        <v/>
      </c>
      <c r="V110" s="48" t="str">
        <f>IF(AND(A110&lt;&gt;0,A110&lt;&gt;""),U110*(1+(Tj-25)*(LOOKUP(A110,Discrete_NFET[PARTNUMBER],Discrete_NFET[RDSDELTA])/((LOOKUP(A110,Discrete_NFET[PARTNUMBER],Discrete_NFET[TJMAX])-25)))),"")</f>
        <v/>
      </c>
      <c r="W110" s="35" t="str">
        <f>IF(AND($A110&lt;&gt;0,$A110&lt;&gt;""),LOOKUP($A110,Discrete_NFET[PARTNUMBER],Discrete_NFET[QGS]),"")</f>
        <v/>
      </c>
      <c r="X110" s="35" t="str">
        <f>IF(AND($A110&lt;&gt;0,$A110&lt;&gt;""),LOOKUP($A110,Discrete_NFET[PARTNUMBER],Discrete_NFET[QGD]),"")</f>
        <v/>
      </c>
      <c r="Y110" s="35" t="str">
        <f>IF(AND($A110&lt;&gt;0,$A110&lt;&gt;""),LOOKUP($A110,Discrete_NFET[PARTNUMBER],Discrete_NFET[QGTH]),"")</f>
        <v/>
      </c>
      <c r="Z110" s="35" t="str">
        <f t="shared" si="47"/>
        <v/>
      </c>
      <c r="AA110" s="35" t="str">
        <f>IF(AND($A110&lt;&gt;0,$A110&lt;&gt;""),LOOKUP($A110,Discrete_NFET[PARTNUMBER],Discrete_NFET[QOSSTYP]),"")</f>
        <v/>
      </c>
      <c r="AB110" s="35" t="str">
        <f>IF(AND($A110&lt;&gt;0,$A110&lt;&gt;""),LOOKUP($A110,Discrete_NFET[PARTNUMBER],Discrete_NFET[QRR]),"")</f>
        <v/>
      </c>
      <c r="AC110" s="35" t="str">
        <f>IF(AND(A110&lt;&gt;0,A110&lt;&gt;""),LOOKUP(A110,Discrete_NFET[PARTNUMBER],Discrete_NFET[VF_TYP]),"")</f>
        <v/>
      </c>
      <c r="AD110" s="127" t="str">
        <f>IF(AND($A110&lt;&gt;0,$A110&lt;&gt;"",OR(RIGHT(Logic!B110,2)="C)",LEFT(Logic!B110,4)="CSD1")),(1+(1-DUTY))*IM_RMS_120^2*V110*m/3/Num_FETS3,"")</f>
        <v/>
      </c>
      <c r="AE110" s="127" t="str">
        <f>IF(AND($A110&lt;&gt;0,$A110&lt;&gt;"",OR(RIGHT(Logic!B110,2)="C)",LEFT(Logic!B110,4)="CSD1")),Num_FETS3*0.5*IM_RMS_120*VDC_AVG*Z110*n*MOT_ELEC_FREQ/GDR_SRC,"")</f>
        <v/>
      </c>
      <c r="AF110" s="127" t="str">
        <f>IF(AND($A110&lt;&gt;0,$A110&lt;&gt;"",OR(RIGHT(Logic!B110,2)="C)",LEFT(Logic!B110,4)="CSD1")),Num_FETS3*0.5*IM_RMS_120*VDC_AVG*Z110*n*MOT_ELEC_FREQ/GDR_SINK,"")</f>
        <v/>
      </c>
      <c r="AG110" s="127" t="str">
        <f>IF(AND($A110&lt;&gt;0,$A110&lt;&gt;"",OR(RIGHT(Logic!B110,2)="T)",LEFT(Logic!B110,4)="CSD1")),DUTY*IM_RMS_120^2*V110*m/3/Num_FETS3,"")</f>
        <v/>
      </c>
      <c r="AH110" s="127" t="str">
        <f>IF(AND($A110&lt;&gt;0,$A110&lt;&gt;"",OR(RIGHT(Logic!B110,2)="T)",LEFT(Logic!B110,4)="CSD1")),Num_FETS3*0.5*IM_RMS_120*VDC_AVG*Z110*n*FSW*k/GDR_SRC/3,"")</f>
        <v/>
      </c>
      <c r="AI110" s="127" t="str">
        <f>IF(AND($A110&lt;&gt;0,$A110&lt;&gt;"",OR(RIGHT(Logic!B110,2)="T)",LEFT(Logic!B110,4)="CSD1")),Num_FETS3*0.5*IM_RMS_120*VDC_AVG*Z110*n*FSW*k/GDR_SINK/3,"")</f>
        <v/>
      </c>
      <c r="AJ110" s="127" t="str">
        <f t="shared" si="50"/>
        <v/>
      </c>
      <c r="AK110" s="127" t="str">
        <f t="shared" si="51"/>
        <v/>
      </c>
      <c r="AL110" s="127" t="str">
        <f t="shared" si="52"/>
        <v/>
      </c>
      <c r="AM110" s="127" t="str">
        <f t="shared" si="48"/>
        <v/>
      </c>
      <c r="AN110" s="127">
        <f>IF(AND($A110&lt;&gt;0,$A110&lt;&gt;"",OR(RIGHT(Logic!B110,2)="C)",LEFT(Logic!B110,4)="CSD1")),SUM(AD110:AF110)+(AJ110/3)+AK110+AL110/6+AM110/6,AN111)</f>
        <v>0</v>
      </c>
      <c r="AO110" s="127">
        <f>IF(AND($A110&lt;&gt;0,$A110&lt;&gt;"",OR(RIGHT(Logic!B110,2)="T)",LEFT(Logic!B110,4)="CSD1")),SUM(AG110:AI110)+(AJ110/3)+AL110/6+AM110/6,AO109)</f>
        <v>0.23887636588496741</v>
      </c>
      <c r="AP110" s="48" t="str">
        <f t="shared" si="49"/>
        <v/>
      </c>
      <c r="AQ110" s="35" t="str">
        <f>IF(AND(A110&lt;&gt;0,A110&lt;&gt;""),LOOKUP(A110,Discrete_NFET[PARTNUMBER],Discrete_NFET[TI_EQ_PACKAGE]),"")</f>
        <v/>
      </c>
      <c r="AR110" s="49" t="str">
        <f>IF(AND(A110&lt;&gt;0,A110&lt;&gt;""),LOOKUP(A110,Discrete_NFET[PARTNUMBER],Discrete_NFET[1KPRICE]),"")</f>
        <v/>
      </c>
      <c r="AS110" s="35" t="str">
        <f>IF(AND($A110&lt;&gt;0,$A110&lt;&gt;""),CONCATENATE(TEXT(AP110,"0.00"),"W, ",IF('User Input'!H$11="Single Discrete",A110,IF('User Input'!H$11="Dual/Power Block",LEFT(A110,FIND(")",A110)-7),A110)),", ",AQ110,", ",TEXT(AR110,"$0.00")),"Invalid Part")</f>
        <v>Invalid Part</v>
      </c>
      <c r="AT110"/>
      <c r="AW110"/>
    </row>
    <row r="111" spans="1:49" ht="15" customHeight="1" x14ac:dyDescent="0.25">
      <c r="A111" s="35" t="str">
        <f>IF(OR(AND(FET_config3="Dual/Power Block",LEFT(Logic!B111,4)="CSD8"),AND(FET_config3="Single Discrete",LEFT(Logic!B111,4)="CSD1")),Logic!B111,"")</f>
        <v/>
      </c>
      <c r="B111" s="37" t="str">
        <f>IF(OR($A111=0,$A111=""),"0",IF(LOOKUP($A111,Discrete_NFET[PARTNUMBER],Discrete_NFET[RDSON25])="(NULL)","0","1"))</f>
        <v>0</v>
      </c>
      <c r="C111" s="38" t="str">
        <f>IF(OR($A111=0,$A111=""),"0",IF(LOOKUP($A111,Discrete_NFET[PARTNUMBER],Discrete_NFET[RDSON3])="(NULL)","0","1"))</f>
        <v>0</v>
      </c>
      <c r="D111" s="40" t="str">
        <f>IF(OR($A111=0,$A111=""),"0",IF(LOOKUP($A111,Discrete_NFET[PARTNUMBER],Discrete_NFET[RDSON45])="(NULL)","0","1"))</f>
        <v>0</v>
      </c>
      <c r="E111" s="45" t="str">
        <f>IF(OR($A111=0,$A111=""),"0",IF(LOOKUP($A111,Discrete_NFET[PARTNUMBER],Discrete_NFET[RDSON6])="(NULL)","0","1"))</f>
        <v>0</v>
      </c>
      <c r="F111" s="34" t="str">
        <f>IF(OR($A111=0,$A111=""),"0",IF(LOOKUP($A111,Discrete_NFET[PARTNUMBER],Discrete_NFET[RDSON8])="(NULL)","0","1"))</f>
        <v>0</v>
      </c>
      <c r="G111" s="43" t="str">
        <f>IF(OR($A111=0,$A111=""),"0",IF(LOOKUP($A111,Discrete_NFET[PARTNUMBER],Discrete_NFET[RDSON10])="(NULL)","0","1"))</f>
        <v>0</v>
      </c>
      <c r="H111" s="36" t="b">
        <f t="shared" si="34"/>
        <v>0</v>
      </c>
      <c r="I111" s="39" t="b">
        <f t="shared" si="35"/>
        <v>0</v>
      </c>
      <c r="J111" s="41" t="b">
        <f t="shared" si="36"/>
        <v>0</v>
      </c>
      <c r="K111" s="46" t="b">
        <f t="shared" si="37"/>
        <v>0</v>
      </c>
      <c r="L111" s="42" t="b">
        <f t="shared" si="38"/>
        <v>0</v>
      </c>
      <c r="M111" s="44" t="b">
        <f t="shared" si="39"/>
        <v>0</v>
      </c>
      <c r="N111" s="47" t="b">
        <f t="shared" si="40"/>
        <v>0</v>
      </c>
      <c r="O111" s="36" t="b">
        <f t="shared" si="41"/>
        <v>0</v>
      </c>
      <c r="P111" s="39" t="b">
        <f t="shared" si="42"/>
        <v>0</v>
      </c>
      <c r="Q111" s="41" t="b">
        <f t="shared" si="43"/>
        <v>0</v>
      </c>
      <c r="R111" s="46" t="b">
        <f t="shared" si="44"/>
        <v>0</v>
      </c>
      <c r="S111" s="42" t="b">
        <f t="shared" si="45"/>
        <v>0</v>
      </c>
      <c r="T111" s="44" t="b">
        <f t="shared" si="46"/>
        <v>0</v>
      </c>
      <c r="U111" s="148" t="str">
        <f>IF(T111,LOOKUP(A111,Discrete_NFET[PARTNUMBER],Discrete_NFET[RDSON10])*1000,IF(S111,LOOKUP(A111,Discrete_NFET[PARTNUMBER],Discrete_NFET[RDSON8])*1000,IF(R111,LOOKUP(A111,Discrete_NFET[PARTNUMBER],Discrete_NFET[RDSON6])*1000,IF(Q111,LOOKUP(A111,Discrete_NFET[PARTNUMBER],Discrete_NFET[RDSON45])*1000,IF(P111,LOOKUP(A111,Discrete_NFET[PARTNUMBER],Discrete_NFET[RDSON3])*1000,IF(O111,LOOKUP(A111,Discrete_NFET[PARTNUMBER],Discrete_NFET[RDSON25])*1000,""))))))</f>
        <v/>
      </c>
      <c r="V111" s="48" t="str">
        <f>IF(AND(A111&lt;&gt;0,A111&lt;&gt;""),U111*(1+(Tj-25)*(LOOKUP(A111,Discrete_NFET[PARTNUMBER],Discrete_NFET[RDSDELTA])/((LOOKUP(A111,Discrete_NFET[PARTNUMBER],Discrete_NFET[TJMAX])-25)))),"")</f>
        <v/>
      </c>
      <c r="W111" s="35" t="str">
        <f>IF(AND($A111&lt;&gt;0,$A111&lt;&gt;""),LOOKUP($A111,Discrete_NFET[PARTNUMBER],Discrete_NFET[QGS]),"")</f>
        <v/>
      </c>
      <c r="X111" s="35" t="str">
        <f>IF(AND($A111&lt;&gt;0,$A111&lt;&gt;""),LOOKUP($A111,Discrete_NFET[PARTNUMBER],Discrete_NFET[QGD]),"")</f>
        <v/>
      </c>
      <c r="Y111" s="35" t="str">
        <f>IF(AND($A111&lt;&gt;0,$A111&lt;&gt;""),LOOKUP($A111,Discrete_NFET[PARTNUMBER],Discrete_NFET[QGTH]),"")</f>
        <v/>
      </c>
      <c r="Z111" s="35" t="str">
        <f t="shared" si="47"/>
        <v/>
      </c>
      <c r="AA111" s="35" t="str">
        <f>IF(AND($A111&lt;&gt;0,$A111&lt;&gt;""),LOOKUP($A111,Discrete_NFET[PARTNUMBER],Discrete_NFET[QOSSTYP]),"")</f>
        <v/>
      </c>
      <c r="AB111" s="35" t="str">
        <f>IF(AND($A111&lt;&gt;0,$A111&lt;&gt;""),LOOKUP($A111,Discrete_NFET[PARTNUMBER],Discrete_NFET[QRR]),"")</f>
        <v/>
      </c>
      <c r="AC111" s="35" t="str">
        <f>IF(AND(A111&lt;&gt;0,A111&lt;&gt;""),LOOKUP(A111,Discrete_NFET[PARTNUMBER],Discrete_NFET[VF_TYP]),"")</f>
        <v/>
      </c>
      <c r="AD111" s="127" t="str">
        <f>IF(AND($A111&lt;&gt;0,$A111&lt;&gt;"",OR(RIGHT(Logic!B111,2)="C)",LEFT(Logic!B111,4)="CSD1")),(1+(1-DUTY))*IM_RMS_120^2*V111*m/3/Num_FETS3,"")</f>
        <v/>
      </c>
      <c r="AE111" s="127" t="str">
        <f>IF(AND($A111&lt;&gt;0,$A111&lt;&gt;"",OR(RIGHT(Logic!B111,2)="C)",LEFT(Logic!B111,4)="CSD1")),Num_FETS3*0.5*IM_RMS_120*VDC_AVG*Z111*n*MOT_ELEC_FREQ/GDR_SRC,"")</f>
        <v/>
      </c>
      <c r="AF111" s="127" t="str">
        <f>IF(AND($A111&lt;&gt;0,$A111&lt;&gt;"",OR(RIGHT(Logic!B111,2)="C)",LEFT(Logic!B111,4)="CSD1")),Num_FETS3*0.5*IM_RMS_120*VDC_AVG*Z111*n*MOT_ELEC_FREQ/GDR_SINK,"")</f>
        <v/>
      </c>
      <c r="AG111" s="127" t="str">
        <f>IF(AND($A111&lt;&gt;0,$A111&lt;&gt;"",OR(RIGHT(Logic!B111,2)="T)",LEFT(Logic!B111,4)="CSD1")),DUTY*IM_RMS_120^2*V111*m/3/Num_FETS3,"")</f>
        <v/>
      </c>
      <c r="AH111" s="127" t="str">
        <f>IF(AND($A111&lt;&gt;0,$A111&lt;&gt;"",OR(RIGHT(Logic!B111,2)="T)",LEFT(Logic!B111,4)="CSD1")),Num_FETS3*0.5*IM_RMS_120*VDC_AVG*Z111*n*FSW*k/GDR_SRC/3,"")</f>
        <v/>
      </c>
      <c r="AI111" s="127" t="str">
        <f>IF(AND($A111&lt;&gt;0,$A111&lt;&gt;"",OR(RIGHT(Logic!B111,2)="T)",LEFT(Logic!B111,4)="CSD1")),Num_FETS3*0.5*IM_RMS_120*VDC_AVG*Z111*n*FSW*k/GDR_SINK/3,"")</f>
        <v/>
      </c>
      <c r="AJ111" s="127" t="str">
        <f t="shared" si="50"/>
        <v/>
      </c>
      <c r="AK111" s="127" t="str">
        <f t="shared" si="51"/>
        <v/>
      </c>
      <c r="AL111" s="127" t="str">
        <f t="shared" si="52"/>
        <v/>
      </c>
      <c r="AM111" s="127" t="str">
        <f t="shared" si="48"/>
        <v/>
      </c>
      <c r="AN111" s="127">
        <f>IF(AND($A111&lt;&gt;0,$A111&lt;&gt;"",OR(RIGHT(Logic!B111,2)="C)",LEFT(Logic!B111,4)="CSD1")),SUM(AD111:AF111)+(AJ111/3)+AK111+AL111/6+AM111/6,AN112)</f>
        <v>0</v>
      </c>
      <c r="AO111" s="127">
        <f>IF(AND($A111&lt;&gt;0,$A111&lt;&gt;"",OR(RIGHT(Logic!B111,2)="T)",LEFT(Logic!B111,4)="CSD1")),SUM(AG111:AI111)+(AJ111/3)+AL111/6+AM111/6,AO110)</f>
        <v>0.23887636588496741</v>
      </c>
      <c r="AP111" s="48" t="str">
        <f t="shared" si="49"/>
        <v/>
      </c>
      <c r="AQ111" s="35" t="str">
        <f>IF(AND(A111&lt;&gt;0,A111&lt;&gt;""),LOOKUP(A111,Discrete_NFET[PARTNUMBER],Discrete_NFET[TI_EQ_PACKAGE]),"")</f>
        <v/>
      </c>
      <c r="AR111" s="49" t="str">
        <f>IF(AND(A111&lt;&gt;0,A111&lt;&gt;""),LOOKUP(A111,Discrete_NFET[PARTNUMBER],Discrete_NFET[1KPRICE]),"")</f>
        <v/>
      </c>
      <c r="AS111" s="35" t="str">
        <f>IF(AND($A111&lt;&gt;0,$A111&lt;&gt;""),CONCATENATE(TEXT(AP111,"0.00"),"W, ",IF('User Input'!H$11="Single Discrete",A111,IF('User Input'!H$11="Dual/Power Block",LEFT(A111,FIND(")",A111)-7),A111)),", ",AQ111,", ",TEXT(AR111,"$0.00")),"Invalid Part")</f>
        <v>Invalid Part</v>
      </c>
      <c r="AT111"/>
      <c r="AW111"/>
    </row>
    <row r="112" spans="1:49" ht="15" customHeight="1" x14ac:dyDescent="0.25">
      <c r="A112" s="35" t="str">
        <f>IF(OR(AND(FET_config3="Dual/Power Block",LEFT(Logic!B112,4)="CSD8"),AND(FET_config3="Single Discrete",LEFT(Logic!B112,4)="CSD1")),Logic!B112,"")</f>
        <v/>
      </c>
      <c r="B112" s="37" t="str">
        <f>IF(OR($A112=0,$A112=""),"0",IF(LOOKUP($A112,Discrete_NFET[PARTNUMBER],Discrete_NFET[RDSON25])="(NULL)","0","1"))</f>
        <v>0</v>
      </c>
      <c r="C112" s="38" t="str">
        <f>IF(OR($A112=0,$A112=""),"0",IF(LOOKUP($A112,Discrete_NFET[PARTNUMBER],Discrete_NFET[RDSON3])="(NULL)","0","1"))</f>
        <v>0</v>
      </c>
      <c r="D112" s="40" t="str">
        <f>IF(OR($A112=0,$A112=""),"0",IF(LOOKUP($A112,Discrete_NFET[PARTNUMBER],Discrete_NFET[RDSON45])="(NULL)","0","1"))</f>
        <v>0</v>
      </c>
      <c r="E112" s="45" t="str">
        <f>IF(OR($A112=0,$A112=""),"0",IF(LOOKUP($A112,Discrete_NFET[PARTNUMBER],Discrete_NFET[RDSON6])="(NULL)","0","1"))</f>
        <v>0</v>
      </c>
      <c r="F112" s="34" t="str">
        <f>IF(OR($A112=0,$A112=""),"0",IF(LOOKUP($A112,Discrete_NFET[PARTNUMBER],Discrete_NFET[RDSON8])="(NULL)","0","1"))</f>
        <v>0</v>
      </c>
      <c r="G112" s="43" t="str">
        <f>IF(OR($A112=0,$A112=""),"0",IF(LOOKUP($A112,Discrete_NFET[PARTNUMBER],Discrete_NFET[RDSON10])="(NULL)","0","1"))</f>
        <v>0</v>
      </c>
      <c r="H112" s="36" t="b">
        <f t="shared" si="34"/>
        <v>0</v>
      </c>
      <c r="I112" s="39" t="b">
        <f t="shared" si="35"/>
        <v>0</v>
      </c>
      <c r="J112" s="41" t="b">
        <f t="shared" si="36"/>
        <v>0</v>
      </c>
      <c r="K112" s="46" t="b">
        <f t="shared" si="37"/>
        <v>0</v>
      </c>
      <c r="L112" s="42" t="b">
        <f t="shared" si="38"/>
        <v>0</v>
      </c>
      <c r="M112" s="44" t="b">
        <f t="shared" si="39"/>
        <v>0</v>
      </c>
      <c r="N112" s="47" t="b">
        <f t="shared" si="40"/>
        <v>0</v>
      </c>
      <c r="O112" s="36" t="b">
        <f t="shared" si="41"/>
        <v>0</v>
      </c>
      <c r="P112" s="39" t="b">
        <f t="shared" si="42"/>
        <v>0</v>
      </c>
      <c r="Q112" s="41" t="b">
        <f t="shared" si="43"/>
        <v>0</v>
      </c>
      <c r="R112" s="46" t="b">
        <f t="shared" si="44"/>
        <v>0</v>
      </c>
      <c r="S112" s="42" t="b">
        <f t="shared" si="45"/>
        <v>0</v>
      </c>
      <c r="T112" s="44" t="b">
        <f t="shared" si="46"/>
        <v>0</v>
      </c>
      <c r="U112" s="148" t="str">
        <f>IF(T112,LOOKUP(A112,Discrete_NFET[PARTNUMBER],Discrete_NFET[RDSON10])*1000,IF(S112,LOOKUP(A112,Discrete_NFET[PARTNUMBER],Discrete_NFET[RDSON8])*1000,IF(R112,LOOKUP(A112,Discrete_NFET[PARTNUMBER],Discrete_NFET[RDSON6])*1000,IF(Q112,LOOKUP(A112,Discrete_NFET[PARTNUMBER],Discrete_NFET[RDSON45])*1000,IF(P112,LOOKUP(A112,Discrete_NFET[PARTNUMBER],Discrete_NFET[RDSON3])*1000,IF(O112,LOOKUP(A112,Discrete_NFET[PARTNUMBER],Discrete_NFET[RDSON25])*1000,""))))))</f>
        <v/>
      </c>
      <c r="V112" s="48" t="str">
        <f>IF(AND(A112&lt;&gt;0,A112&lt;&gt;""),U112*(1+(Tj-25)*(LOOKUP(A112,Discrete_NFET[PARTNUMBER],Discrete_NFET[RDSDELTA])/((LOOKUP(A112,Discrete_NFET[PARTNUMBER],Discrete_NFET[TJMAX])-25)))),"")</f>
        <v/>
      </c>
      <c r="W112" s="35" t="str">
        <f>IF(AND($A112&lt;&gt;0,$A112&lt;&gt;""),LOOKUP($A112,Discrete_NFET[PARTNUMBER],Discrete_NFET[QGS]),"")</f>
        <v/>
      </c>
      <c r="X112" s="35" t="str">
        <f>IF(AND($A112&lt;&gt;0,$A112&lt;&gt;""),LOOKUP($A112,Discrete_NFET[PARTNUMBER],Discrete_NFET[QGD]),"")</f>
        <v/>
      </c>
      <c r="Y112" s="35" t="str">
        <f>IF(AND($A112&lt;&gt;0,$A112&lt;&gt;""),LOOKUP($A112,Discrete_NFET[PARTNUMBER],Discrete_NFET[QGTH]),"")</f>
        <v/>
      </c>
      <c r="Z112" s="35" t="str">
        <f t="shared" si="47"/>
        <v/>
      </c>
      <c r="AA112" s="35" t="str">
        <f>IF(AND($A112&lt;&gt;0,$A112&lt;&gt;""),LOOKUP($A112,Discrete_NFET[PARTNUMBER],Discrete_NFET[QOSSTYP]),"")</f>
        <v/>
      </c>
      <c r="AB112" s="35" t="str">
        <f>IF(AND($A112&lt;&gt;0,$A112&lt;&gt;""),LOOKUP($A112,Discrete_NFET[PARTNUMBER],Discrete_NFET[QRR]),"")</f>
        <v/>
      </c>
      <c r="AC112" s="35" t="str">
        <f>IF(AND(A112&lt;&gt;0,A112&lt;&gt;""),LOOKUP(A112,Discrete_NFET[PARTNUMBER],Discrete_NFET[VF_TYP]),"")</f>
        <v/>
      </c>
      <c r="AD112" s="127" t="str">
        <f>IF(AND($A112&lt;&gt;0,$A112&lt;&gt;"",OR(RIGHT(Logic!B112,2)="C)",LEFT(Logic!B112,4)="CSD1")),(1+(1-DUTY))*IM_RMS_120^2*V112*m/3/Num_FETS3,"")</f>
        <v/>
      </c>
      <c r="AE112" s="127" t="str">
        <f>IF(AND($A112&lt;&gt;0,$A112&lt;&gt;"",OR(RIGHT(Logic!B112,2)="C)",LEFT(Logic!B112,4)="CSD1")),Num_FETS3*0.5*IM_RMS_120*VDC_AVG*Z112*n*MOT_ELEC_FREQ/GDR_SRC,"")</f>
        <v/>
      </c>
      <c r="AF112" s="127" t="str">
        <f>IF(AND($A112&lt;&gt;0,$A112&lt;&gt;"",OR(RIGHT(Logic!B112,2)="C)",LEFT(Logic!B112,4)="CSD1")),Num_FETS3*0.5*IM_RMS_120*VDC_AVG*Z112*n*MOT_ELEC_FREQ/GDR_SINK,"")</f>
        <v/>
      </c>
      <c r="AG112" s="127" t="str">
        <f>IF(AND($A112&lt;&gt;0,$A112&lt;&gt;"",OR(RIGHT(Logic!B112,2)="T)",LEFT(Logic!B112,4)="CSD1")),DUTY*IM_RMS_120^2*V112*m/3/Num_FETS3,"")</f>
        <v/>
      </c>
      <c r="AH112" s="127" t="str">
        <f>IF(AND($A112&lt;&gt;0,$A112&lt;&gt;"",OR(RIGHT(Logic!B112,2)="T)",LEFT(Logic!B112,4)="CSD1")),Num_FETS3*0.5*IM_RMS_120*VDC_AVG*Z112*n*FSW*k/GDR_SRC/3,"")</f>
        <v/>
      </c>
      <c r="AI112" s="127" t="str">
        <f>IF(AND($A112&lt;&gt;0,$A112&lt;&gt;"",OR(RIGHT(Logic!B112,2)="T)",LEFT(Logic!B112,4)="CSD1")),Num_FETS3*0.5*IM_RMS_120*VDC_AVG*Z112*n*FSW*k/GDR_SINK/3,"")</f>
        <v/>
      </c>
      <c r="AJ112" s="127" t="str">
        <f t="shared" si="50"/>
        <v/>
      </c>
      <c r="AK112" s="127" t="str">
        <f t="shared" si="51"/>
        <v/>
      </c>
      <c r="AL112" s="127" t="str">
        <f t="shared" si="52"/>
        <v/>
      </c>
      <c r="AM112" s="127" t="str">
        <f t="shared" si="48"/>
        <v/>
      </c>
      <c r="AN112" s="127">
        <f>IF(AND($A112&lt;&gt;0,$A112&lt;&gt;"",OR(RIGHT(Logic!B112,2)="C)",LEFT(Logic!B112,4)="CSD1")),SUM(AD112:AF112)+(AJ112/3)+AK112+AL112/6+AM112/6,AN113)</f>
        <v>0</v>
      </c>
      <c r="AO112" s="127">
        <f>IF(AND($A112&lt;&gt;0,$A112&lt;&gt;"",OR(RIGHT(Logic!B112,2)="T)",LEFT(Logic!B112,4)="CSD1")),SUM(AG112:AI112)+(AJ112/3)+AL112/6+AM112/6,AO111)</f>
        <v>0.23887636588496741</v>
      </c>
      <c r="AP112" s="48" t="str">
        <f t="shared" si="49"/>
        <v/>
      </c>
      <c r="AQ112" s="35" t="str">
        <f>IF(AND(A112&lt;&gt;0,A112&lt;&gt;""),LOOKUP(A112,Discrete_NFET[PARTNUMBER],Discrete_NFET[TI_EQ_PACKAGE]),"")</f>
        <v/>
      </c>
      <c r="AR112" s="49" t="str">
        <f>IF(AND(A112&lt;&gt;0,A112&lt;&gt;""),LOOKUP(A112,Discrete_NFET[PARTNUMBER],Discrete_NFET[1KPRICE]),"")</f>
        <v/>
      </c>
      <c r="AS112" s="35" t="str">
        <f>IF(AND($A112&lt;&gt;0,$A112&lt;&gt;""),CONCATENATE(TEXT(AP112,"0.00"),"W, ",IF('User Input'!H$11="Single Discrete",A112,IF('User Input'!H$11="Dual/Power Block",LEFT(A112,FIND(")",A112)-7),A112)),", ",AQ112,", ",TEXT(AR112,"$0.00")),"Invalid Part")</f>
        <v>Invalid Part</v>
      </c>
      <c r="AT112"/>
      <c r="AW112"/>
    </row>
    <row r="113" spans="1:50" ht="15" customHeight="1" x14ac:dyDescent="0.25">
      <c r="A113" s="35" t="str">
        <f>IF(OR(AND(FET_config3="Dual/Power Block",LEFT(Logic!B113,4)="CSD8"),AND(FET_config3="Single Discrete",LEFT(Logic!B113,4)="CSD1")),Logic!B113,"")</f>
        <v/>
      </c>
      <c r="B113" s="37" t="str">
        <f>IF(OR($A113=0,$A113=""),"0",IF(LOOKUP($A113,Discrete_NFET[PARTNUMBER],Discrete_NFET[RDSON25])="(NULL)","0","1"))</f>
        <v>0</v>
      </c>
      <c r="C113" s="38" t="str">
        <f>IF(OR($A113=0,$A113=""),"0",IF(LOOKUP($A113,Discrete_NFET[PARTNUMBER],Discrete_NFET[RDSON3])="(NULL)","0","1"))</f>
        <v>0</v>
      </c>
      <c r="D113" s="40" t="str">
        <f>IF(OR($A113=0,$A113=""),"0",IF(LOOKUP($A113,Discrete_NFET[PARTNUMBER],Discrete_NFET[RDSON45])="(NULL)","0","1"))</f>
        <v>0</v>
      </c>
      <c r="E113" s="45" t="str">
        <f>IF(OR($A113=0,$A113=""),"0",IF(LOOKUP($A113,Discrete_NFET[PARTNUMBER],Discrete_NFET[RDSON6])="(NULL)","0","1"))</f>
        <v>0</v>
      </c>
      <c r="F113" s="34" t="str">
        <f>IF(OR($A113=0,$A113=""),"0",IF(LOOKUP($A113,Discrete_NFET[PARTNUMBER],Discrete_NFET[RDSON8])="(NULL)","0","1"))</f>
        <v>0</v>
      </c>
      <c r="G113" s="43" t="str">
        <f>IF(OR($A113=0,$A113=""),"0",IF(LOOKUP($A113,Discrete_NFET[PARTNUMBER],Discrete_NFET[RDSON10])="(NULL)","0","1"))</f>
        <v>0</v>
      </c>
      <c r="H113" s="36" t="b">
        <f t="shared" si="34"/>
        <v>0</v>
      </c>
      <c r="I113" s="39" t="b">
        <f t="shared" si="35"/>
        <v>0</v>
      </c>
      <c r="J113" s="41" t="b">
        <f t="shared" si="36"/>
        <v>0</v>
      </c>
      <c r="K113" s="46" t="b">
        <f t="shared" si="37"/>
        <v>0</v>
      </c>
      <c r="L113" s="42" t="b">
        <f t="shared" si="38"/>
        <v>0</v>
      </c>
      <c r="M113" s="44" t="b">
        <f t="shared" si="39"/>
        <v>0</v>
      </c>
      <c r="N113" s="47" t="b">
        <f t="shared" si="40"/>
        <v>0</v>
      </c>
      <c r="O113" s="36" t="b">
        <f t="shared" si="41"/>
        <v>0</v>
      </c>
      <c r="P113" s="39" t="b">
        <f t="shared" si="42"/>
        <v>0</v>
      </c>
      <c r="Q113" s="41" t="b">
        <f t="shared" si="43"/>
        <v>0</v>
      </c>
      <c r="R113" s="46" t="b">
        <f t="shared" si="44"/>
        <v>0</v>
      </c>
      <c r="S113" s="42" t="b">
        <f t="shared" si="45"/>
        <v>0</v>
      </c>
      <c r="T113" s="44" t="b">
        <f t="shared" si="46"/>
        <v>0</v>
      </c>
      <c r="U113" s="148" t="str">
        <f>IF(T113,LOOKUP(A113,Discrete_NFET[PARTNUMBER],Discrete_NFET[RDSON10])*1000,IF(S113,LOOKUP(A113,Discrete_NFET[PARTNUMBER],Discrete_NFET[RDSON8])*1000,IF(R113,LOOKUP(A113,Discrete_NFET[PARTNUMBER],Discrete_NFET[RDSON6])*1000,IF(Q113,LOOKUP(A113,Discrete_NFET[PARTNUMBER],Discrete_NFET[RDSON45])*1000,IF(P113,LOOKUP(A113,Discrete_NFET[PARTNUMBER],Discrete_NFET[RDSON3])*1000,IF(O113,LOOKUP(A113,Discrete_NFET[PARTNUMBER],Discrete_NFET[RDSON25])*1000,""))))))</f>
        <v/>
      </c>
      <c r="V113" s="48" t="str">
        <f>IF(AND(A113&lt;&gt;0,A113&lt;&gt;""),U113*(1+(Tj-25)*(LOOKUP(A113,Discrete_NFET[PARTNUMBER],Discrete_NFET[RDSDELTA])/((LOOKUP(A113,Discrete_NFET[PARTNUMBER],Discrete_NFET[TJMAX])-25)))),"")</f>
        <v/>
      </c>
      <c r="W113" s="35" t="str">
        <f>IF(AND($A113&lt;&gt;0,$A113&lt;&gt;""),LOOKUP($A113,Discrete_NFET[PARTNUMBER],Discrete_NFET[QGS]),"")</f>
        <v/>
      </c>
      <c r="X113" s="35" t="str">
        <f>IF(AND($A113&lt;&gt;0,$A113&lt;&gt;""),LOOKUP($A113,Discrete_NFET[PARTNUMBER],Discrete_NFET[QGD]),"")</f>
        <v/>
      </c>
      <c r="Y113" s="35" t="str">
        <f>IF(AND($A113&lt;&gt;0,$A113&lt;&gt;""),LOOKUP($A113,Discrete_NFET[PARTNUMBER],Discrete_NFET[QGTH]),"")</f>
        <v/>
      </c>
      <c r="Z113" s="35" t="str">
        <f t="shared" si="47"/>
        <v/>
      </c>
      <c r="AA113" s="35" t="str">
        <f>IF(AND($A113&lt;&gt;0,$A113&lt;&gt;""),LOOKUP($A113,Discrete_NFET[PARTNUMBER],Discrete_NFET[QOSSTYP]),"")</f>
        <v/>
      </c>
      <c r="AB113" s="35" t="str">
        <f>IF(AND($A113&lt;&gt;0,$A113&lt;&gt;""),LOOKUP($A113,Discrete_NFET[PARTNUMBER],Discrete_NFET[QRR]),"")</f>
        <v/>
      </c>
      <c r="AC113" s="35" t="str">
        <f>IF(AND(A113&lt;&gt;0,A113&lt;&gt;""),LOOKUP(A113,Discrete_NFET[PARTNUMBER],Discrete_NFET[VF_TYP]),"")</f>
        <v/>
      </c>
      <c r="AD113" s="127" t="str">
        <f>IF(AND($A113&lt;&gt;0,$A113&lt;&gt;"",OR(RIGHT(Logic!B113,2)="C)",LEFT(Logic!B113,4)="CSD1")),(1+(1-DUTY))*IM_RMS_120^2*V113*m/3/Num_FETS3,"")</f>
        <v/>
      </c>
      <c r="AE113" s="127" t="str">
        <f>IF(AND($A113&lt;&gt;0,$A113&lt;&gt;"",OR(RIGHT(Logic!B113,2)="C)",LEFT(Logic!B113,4)="CSD1")),Num_FETS3*0.5*IM_RMS_120*VDC_AVG*Z113*n*MOT_ELEC_FREQ/GDR_SRC,"")</f>
        <v/>
      </c>
      <c r="AF113" s="127" t="str">
        <f>IF(AND($A113&lt;&gt;0,$A113&lt;&gt;"",OR(RIGHT(Logic!B113,2)="C)",LEFT(Logic!B113,4)="CSD1")),Num_FETS3*0.5*IM_RMS_120*VDC_AVG*Z113*n*MOT_ELEC_FREQ/GDR_SINK,"")</f>
        <v/>
      </c>
      <c r="AG113" s="127" t="str">
        <f>IF(AND($A113&lt;&gt;0,$A113&lt;&gt;"",OR(RIGHT(Logic!B113,2)="T)",LEFT(Logic!B113,4)="CSD1")),DUTY*IM_RMS_120^2*V113*m/3/Num_FETS3,"")</f>
        <v/>
      </c>
      <c r="AH113" s="127" t="str">
        <f>IF(AND($A113&lt;&gt;0,$A113&lt;&gt;"",OR(RIGHT(Logic!B113,2)="T)",LEFT(Logic!B113,4)="CSD1")),Num_FETS3*0.5*IM_RMS_120*VDC_AVG*Z113*n*FSW*k/GDR_SRC/3,"")</f>
        <v/>
      </c>
      <c r="AI113" s="127" t="str">
        <f>IF(AND($A113&lt;&gt;0,$A113&lt;&gt;"",OR(RIGHT(Logic!B113,2)="T)",LEFT(Logic!B113,4)="CSD1")),Num_FETS3*0.5*IM_RMS_120*VDC_AVG*Z113*n*FSW*k/GDR_SINK/3,"")</f>
        <v/>
      </c>
      <c r="AJ113" s="127" t="str">
        <f t="shared" si="50"/>
        <v/>
      </c>
      <c r="AK113" s="127" t="str">
        <f t="shared" si="51"/>
        <v/>
      </c>
      <c r="AL113" s="127" t="str">
        <f t="shared" si="52"/>
        <v/>
      </c>
      <c r="AM113" s="127" t="str">
        <f t="shared" si="48"/>
        <v/>
      </c>
      <c r="AN113" s="127">
        <f>IF(AND($A113&lt;&gt;0,$A113&lt;&gt;"",OR(RIGHT(Logic!B113,2)="C)",LEFT(Logic!B113,4)="CSD1")),SUM(AD113:AF113)+(AJ113/3)+AK113+AL113/6+AM113/6,AN114)</f>
        <v>0</v>
      </c>
      <c r="AO113" s="127">
        <f>IF(AND($A113&lt;&gt;0,$A113&lt;&gt;"",OR(RIGHT(Logic!B113,2)="T)",LEFT(Logic!B113,4)="CSD1")),SUM(AG113:AI113)+(AJ113/3)+AL113/6+AM113/6,AO112)</f>
        <v>0.23887636588496741</v>
      </c>
      <c r="AP113" s="48" t="str">
        <f t="shared" si="49"/>
        <v/>
      </c>
      <c r="AQ113" s="35" t="str">
        <f>IF(AND(A113&lt;&gt;0,A113&lt;&gt;""),LOOKUP(A113,Discrete_NFET[PARTNUMBER],Discrete_NFET[TI_EQ_PACKAGE]),"")</f>
        <v/>
      </c>
      <c r="AR113" s="49" t="str">
        <f>IF(AND(A113&lt;&gt;0,A113&lt;&gt;""),LOOKUP(A113,Discrete_NFET[PARTNUMBER],Discrete_NFET[1KPRICE]),"")</f>
        <v/>
      </c>
      <c r="AS113" s="35" t="str">
        <f>IF(AND($A113&lt;&gt;0,$A113&lt;&gt;""),CONCATENATE(TEXT(AP113,"0.00"),"W, ",IF('User Input'!H$11="Single Discrete",A113,IF('User Input'!H$11="Dual/Power Block",LEFT(A113,FIND(")",A113)-7),A113)),", ",AQ113,", ",TEXT(AR113,"$0.00")),"Invalid Part")</f>
        <v>Invalid Part</v>
      </c>
      <c r="AT113"/>
      <c r="AW113"/>
    </row>
    <row r="114" spans="1:50" ht="15" customHeight="1" x14ac:dyDescent="0.25">
      <c r="A114" s="35" t="str">
        <f>IF(OR(AND(FET_config3="Dual/Power Block",LEFT(Logic!B114,4)="CSD8"),AND(FET_config3="Single Discrete",LEFT(Logic!B114,4)="CSD1")),Logic!B114,"")</f>
        <v/>
      </c>
      <c r="B114" s="37" t="str">
        <f>IF(OR($A114=0,$A114=""),"0",IF(LOOKUP($A114,Discrete_NFET[PARTNUMBER],Discrete_NFET[RDSON25])="(NULL)","0","1"))</f>
        <v>0</v>
      </c>
      <c r="C114" s="38" t="str">
        <f>IF(OR($A114=0,$A114=""),"0",IF(LOOKUP($A114,Discrete_NFET[PARTNUMBER],Discrete_NFET[RDSON3])="(NULL)","0","1"))</f>
        <v>0</v>
      </c>
      <c r="D114" s="40" t="str">
        <f>IF(OR($A114=0,$A114=""),"0",IF(LOOKUP($A114,Discrete_NFET[PARTNUMBER],Discrete_NFET[RDSON45])="(NULL)","0","1"))</f>
        <v>0</v>
      </c>
      <c r="E114" s="45" t="str">
        <f>IF(OR($A114=0,$A114=""),"0",IF(LOOKUP($A114,Discrete_NFET[PARTNUMBER],Discrete_NFET[RDSON6])="(NULL)","0","1"))</f>
        <v>0</v>
      </c>
      <c r="F114" s="34" t="str">
        <f>IF(OR($A114=0,$A114=""),"0",IF(LOOKUP($A114,Discrete_NFET[PARTNUMBER],Discrete_NFET[RDSON8])="(NULL)","0","1"))</f>
        <v>0</v>
      </c>
      <c r="G114" s="43" t="str">
        <f>IF(OR($A114=0,$A114=""),"0",IF(LOOKUP($A114,Discrete_NFET[PARTNUMBER],Discrete_NFET[RDSON10])="(NULL)","0","1"))</f>
        <v>0</v>
      </c>
      <c r="H114" s="36" t="b">
        <f t="shared" si="34"/>
        <v>0</v>
      </c>
      <c r="I114" s="39" t="b">
        <f t="shared" si="35"/>
        <v>0</v>
      </c>
      <c r="J114" s="41" t="b">
        <f t="shared" si="36"/>
        <v>0</v>
      </c>
      <c r="K114" s="46" t="b">
        <f t="shared" si="37"/>
        <v>0</v>
      </c>
      <c r="L114" s="42" t="b">
        <f t="shared" si="38"/>
        <v>0</v>
      </c>
      <c r="M114" s="44" t="b">
        <f t="shared" si="39"/>
        <v>0</v>
      </c>
      <c r="N114" s="47" t="b">
        <f t="shared" si="40"/>
        <v>0</v>
      </c>
      <c r="O114" s="36" t="b">
        <f t="shared" si="41"/>
        <v>0</v>
      </c>
      <c r="P114" s="39" t="b">
        <f t="shared" si="42"/>
        <v>0</v>
      </c>
      <c r="Q114" s="41" t="b">
        <f t="shared" si="43"/>
        <v>0</v>
      </c>
      <c r="R114" s="46" t="b">
        <f t="shared" si="44"/>
        <v>0</v>
      </c>
      <c r="S114" s="42" t="b">
        <f t="shared" si="45"/>
        <v>0</v>
      </c>
      <c r="T114" s="44" t="b">
        <f t="shared" si="46"/>
        <v>0</v>
      </c>
      <c r="U114" s="148" t="str">
        <f>IF(T114,LOOKUP(A114,Discrete_NFET[PARTNUMBER],Discrete_NFET[RDSON10])*1000,IF(S114,LOOKUP(A114,Discrete_NFET[PARTNUMBER],Discrete_NFET[RDSON8])*1000,IF(R114,LOOKUP(A114,Discrete_NFET[PARTNUMBER],Discrete_NFET[RDSON6])*1000,IF(Q114,LOOKUP(A114,Discrete_NFET[PARTNUMBER],Discrete_NFET[RDSON45])*1000,IF(P114,LOOKUP(A114,Discrete_NFET[PARTNUMBER],Discrete_NFET[RDSON3])*1000,IF(O114,LOOKUP(A114,Discrete_NFET[PARTNUMBER],Discrete_NFET[RDSON25])*1000,""))))))</f>
        <v/>
      </c>
      <c r="V114" s="48" t="str">
        <f>IF(AND(A114&lt;&gt;0,A114&lt;&gt;""),U114*(1+(Tj-25)*(LOOKUP(A114,Discrete_NFET[PARTNUMBER],Discrete_NFET[RDSDELTA])/((LOOKUP(A114,Discrete_NFET[PARTNUMBER],Discrete_NFET[TJMAX])-25)))),"")</f>
        <v/>
      </c>
      <c r="W114" s="35" t="str">
        <f>IF(AND($A114&lt;&gt;0,$A114&lt;&gt;""),LOOKUP($A114,Discrete_NFET[PARTNUMBER],Discrete_NFET[QGS]),"")</f>
        <v/>
      </c>
      <c r="X114" s="35" t="str">
        <f>IF(AND($A114&lt;&gt;0,$A114&lt;&gt;""),LOOKUP($A114,Discrete_NFET[PARTNUMBER],Discrete_NFET[QGD]),"")</f>
        <v/>
      </c>
      <c r="Y114" s="35" t="str">
        <f>IF(AND($A114&lt;&gt;0,$A114&lt;&gt;""),LOOKUP($A114,Discrete_NFET[PARTNUMBER],Discrete_NFET[QGTH]),"")</f>
        <v/>
      </c>
      <c r="Z114" s="35" t="str">
        <f t="shared" si="47"/>
        <v/>
      </c>
      <c r="AA114" s="35" t="str">
        <f>IF(AND($A114&lt;&gt;0,$A114&lt;&gt;""),LOOKUP($A114,Discrete_NFET[PARTNUMBER],Discrete_NFET[QOSSTYP]),"")</f>
        <v/>
      </c>
      <c r="AB114" s="35" t="str">
        <f>IF(AND($A114&lt;&gt;0,$A114&lt;&gt;""),LOOKUP($A114,Discrete_NFET[PARTNUMBER],Discrete_NFET[QRR]),"")</f>
        <v/>
      </c>
      <c r="AC114" s="35" t="str">
        <f>IF(AND(A114&lt;&gt;0,A114&lt;&gt;""),LOOKUP(A114,Discrete_NFET[PARTNUMBER],Discrete_NFET[VF_TYP]),"")</f>
        <v/>
      </c>
      <c r="AD114" s="127" t="str">
        <f>IF(AND($A114&lt;&gt;0,$A114&lt;&gt;"",OR(RIGHT(Logic!B114,2)="C)",LEFT(Logic!B114,4)="CSD1")),(1+(1-DUTY))*IM_RMS_120^2*V114*m/3/Num_FETS3,"")</f>
        <v/>
      </c>
      <c r="AE114" s="127" t="str">
        <f>IF(AND($A114&lt;&gt;0,$A114&lt;&gt;"",OR(RIGHT(Logic!B114,2)="C)",LEFT(Logic!B114,4)="CSD1")),Num_FETS3*0.5*IM_RMS_120*VDC_AVG*Z114*n*MOT_ELEC_FREQ/GDR_SRC,"")</f>
        <v/>
      </c>
      <c r="AF114" s="127" t="str">
        <f>IF(AND($A114&lt;&gt;0,$A114&lt;&gt;"",OR(RIGHT(Logic!B114,2)="C)",LEFT(Logic!B114,4)="CSD1")),Num_FETS3*0.5*IM_RMS_120*VDC_AVG*Z114*n*MOT_ELEC_FREQ/GDR_SINK,"")</f>
        <v/>
      </c>
      <c r="AG114" s="127" t="str">
        <f>IF(AND($A114&lt;&gt;0,$A114&lt;&gt;"",OR(RIGHT(Logic!B114,2)="T)",LEFT(Logic!B114,4)="CSD1")),DUTY*IM_RMS_120^2*V114*m/3/Num_FETS3,"")</f>
        <v/>
      </c>
      <c r="AH114" s="127" t="str">
        <f>IF(AND($A114&lt;&gt;0,$A114&lt;&gt;"",OR(RIGHT(Logic!B114,2)="T)",LEFT(Logic!B114,4)="CSD1")),Num_FETS3*0.5*IM_RMS_120*VDC_AVG*Z114*n*FSW*k/GDR_SRC/3,"")</f>
        <v/>
      </c>
      <c r="AI114" s="127" t="str">
        <f>IF(AND($A114&lt;&gt;0,$A114&lt;&gt;"",OR(RIGHT(Logic!B114,2)="T)",LEFT(Logic!B114,4)="CSD1")),Num_FETS3*0.5*IM_RMS_120*VDC_AVG*Z114*n*FSW*k/GDR_SINK/3,"")</f>
        <v/>
      </c>
      <c r="AJ114" s="127" t="str">
        <f t="shared" si="50"/>
        <v/>
      </c>
      <c r="AK114" s="127" t="str">
        <f t="shared" si="51"/>
        <v/>
      </c>
      <c r="AL114" s="127" t="str">
        <f t="shared" si="52"/>
        <v/>
      </c>
      <c r="AM114" s="127" t="str">
        <f t="shared" si="48"/>
        <v/>
      </c>
      <c r="AN114" s="127">
        <f>IF(AND($A114&lt;&gt;0,$A114&lt;&gt;"",OR(RIGHT(Logic!B114,2)="C)",LEFT(Logic!B114,4)="CSD1")),SUM(AD114:AF114)+(AJ114/3)+AK114+AL114/6+AM114/6,AN115)</f>
        <v>0</v>
      </c>
      <c r="AO114" s="127">
        <f>IF(AND($A114&lt;&gt;0,$A114&lt;&gt;"",OR(RIGHT(Logic!B114,2)="T)",LEFT(Logic!B114,4)="CSD1")),SUM(AG114:AI114)+(AJ114/3)+AL114/6+AM114/6,AO113)</f>
        <v>0.23887636588496741</v>
      </c>
      <c r="AP114" s="48" t="str">
        <f t="shared" si="49"/>
        <v/>
      </c>
      <c r="AQ114" s="35" t="str">
        <f>IF(AND(A114&lt;&gt;0,A114&lt;&gt;""),LOOKUP(A114,Discrete_NFET[PARTNUMBER],Discrete_NFET[TI_EQ_PACKAGE]),"")</f>
        <v/>
      </c>
      <c r="AR114" s="49" t="str">
        <f>IF(AND(A114&lt;&gt;0,A114&lt;&gt;""),LOOKUP(A114,Discrete_NFET[PARTNUMBER],Discrete_NFET[1KPRICE]),"")</f>
        <v/>
      </c>
      <c r="AS114" s="35" t="str">
        <f>IF(AND($A114&lt;&gt;0,$A114&lt;&gt;""),CONCATENATE(TEXT(AP114,"0.00"),"W, ",IF('User Input'!H$11="Single Discrete",A114,IF('User Input'!H$11="Dual/Power Block",LEFT(A114,FIND(")",A114)-7),A114)),", ",AQ114,", ",TEXT(AR114,"$0.00")),"Invalid Part")</f>
        <v>Invalid Part</v>
      </c>
      <c r="AT114"/>
      <c r="AW114"/>
    </row>
    <row r="115" spans="1:50" ht="15" customHeight="1" x14ac:dyDescent="0.25">
      <c r="A115" s="35" t="str">
        <f>IF(OR(AND(FET_config3="Dual/Power Block",LEFT(Logic!B115,4)="CSD8"),AND(FET_config3="Single Discrete",LEFT(Logic!B115,4)="CSD1")),Logic!B115,"")</f>
        <v/>
      </c>
      <c r="B115" s="37" t="str">
        <f>IF(OR($A115=0,$A115=""),"0",IF(LOOKUP($A115,Discrete_NFET[PARTNUMBER],Discrete_NFET[RDSON25])="(NULL)","0","1"))</f>
        <v>0</v>
      </c>
      <c r="C115" s="38" t="str">
        <f>IF(OR($A115=0,$A115=""),"0",IF(LOOKUP($A115,Discrete_NFET[PARTNUMBER],Discrete_NFET[RDSON3])="(NULL)","0","1"))</f>
        <v>0</v>
      </c>
      <c r="D115" s="40" t="str">
        <f>IF(OR($A115=0,$A115=""),"0",IF(LOOKUP($A115,Discrete_NFET[PARTNUMBER],Discrete_NFET[RDSON45])="(NULL)","0","1"))</f>
        <v>0</v>
      </c>
      <c r="E115" s="45" t="str">
        <f>IF(OR($A115=0,$A115=""),"0",IF(LOOKUP($A115,Discrete_NFET[PARTNUMBER],Discrete_NFET[RDSON6])="(NULL)","0","1"))</f>
        <v>0</v>
      </c>
      <c r="F115" s="34" t="str">
        <f>IF(OR($A115=0,$A115=""),"0",IF(LOOKUP($A115,Discrete_NFET[PARTNUMBER],Discrete_NFET[RDSON8])="(NULL)","0","1"))</f>
        <v>0</v>
      </c>
      <c r="G115" s="43" t="str">
        <f>IF(OR($A115=0,$A115=""),"0",IF(LOOKUP($A115,Discrete_NFET[PARTNUMBER],Discrete_NFET[RDSON10])="(NULL)","0","1"))</f>
        <v>0</v>
      </c>
      <c r="H115" s="36" t="b">
        <f t="shared" si="34"/>
        <v>0</v>
      </c>
      <c r="I115" s="39" t="b">
        <f t="shared" si="35"/>
        <v>0</v>
      </c>
      <c r="J115" s="41" t="b">
        <f t="shared" si="36"/>
        <v>0</v>
      </c>
      <c r="K115" s="46" t="b">
        <f t="shared" si="37"/>
        <v>0</v>
      </c>
      <c r="L115" s="42" t="b">
        <f t="shared" si="38"/>
        <v>0</v>
      </c>
      <c r="M115" s="44" t="b">
        <f t="shared" si="39"/>
        <v>0</v>
      </c>
      <c r="N115" s="47" t="b">
        <f t="shared" si="40"/>
        <v>0</v>
      </c>
      <c r="O115" s="36" t="b">
        <f t="shared" si="41"/>
        <v>0</v>
      </c>
      <c r="P115" s="39" t="b">
        <f t="shared" si="42"/>
        <v>0</v>
      </c>
      <c r="Q115" s="41" t="b">
        <f t="shared" si="43"/>
        <v>0</v>
      </c>
      <c r="R115" s="46" t="b">
        <f t="shared" si="44"/>
        <v>0</v>
      </c>
      <c r="S115" s="42" t="b">
        <f t="shared" si="45"/>
        <v>0</v>
      </c>
      <c r="T115" s="44" t="b">
        <f t="shared" si="46"/>
        <v>0</v>
      </c>
      <c r="U115" s="148" t="str">
        <f>IF(T115,LOOKUP(A115,Discrete_NFET[PARTNUMBER],Discrete_NFET[RDSON10])*1000,IF(S115,LOOKUP(A115,Discrete_NFET[PARTNUMBER],Discrete_NFET[RDSON8])*1000,IF(R115,LOOKUP(A115,Discrete_NFET[PARTNUMBER],Discrete_NFET[RDSON6])*1000,IF(Q115,LOOKUP(A115,Discrete_NFET[PARTNUMBER],Discrete_NFET[RDSON45])*1000,IF(P115,LOOKUP(A115,Discrete_NFET[PARTNUMBER],Discrete_NFET[RDSON3])*1000,IF(O115,LOOKUP(A115,Discrete_NFET[PARTNUMBER],Discrete_NFET[RDSON25])*1000,""))))))</f>
        <v/>
      </c>
      <c r="V115" s="48" t="str">
        <f>IF(AND(A115&lt;&gt;0,A115&lt;&gt;""),U115*(1+(Tj-25)*(LOOKUP(A115,Discrete_NFET[PARTNUMBER],Discrete_NFET[RDSDELTA])/((LOOKUP(A115,Discrete_NFET[PARTNUMBER],Discrete_NFET[TJMAX])-25)))),"")</f>
        <v/>
      </c>
      <c r="W115" s="35" t="str">
        <f>IF(AND($A115&lt;&gt;0,$A115&lt;&gt;""),LOOKUP($A115,Discrete_NFET[PARTNUMBER],Discrete_NFET[QGS]),"")</f>
        <v/>
      </c>
      <c r="X115" s="35" t="str">
        <f>IF(AND($A115&lt;&gt;0,$A115&lt;&gt;""),LOOKUP($A115,Discrete_NFET[PARTNUMBER],Discrete_NFET[QGD]),"")</f>
        <v/>
      </c>
      <c r="Y115" s="35" t="str">
        <f>IF(AND($A115&lt;&gt;0,$A115&lt;&gt;""),LOOKUP($A115,Discrete_NFET[PARTNUMBER],Discrete_NFET[QGTH]),"")</f>
        <v/>
      </c>
      <c r="Z115" s="35" t="str">
        <f t="shared" si="47"/>
        <v/>
      </c>
      <c r="AA115" s="35" t="str">
        <f>IF(AND($A115&lt;&gt;0,$A115&lt;&gt;""),LOOKUP($A115,Discrete_NFET[PARTNUMBER],Discrete_NFET[QOSSTYP]),"")</f>
        <v/>
      </c>
      <c r="AB115" s="35" t="str">
        <f>IF(AND($A115&lt;&gt;0,$A115&lt;&gt;""),LOOKUP($A115,Discrete_NFET[PARTNUMBER],Discrete_NFET[QRR]),"")</f>
        <v/>
      </c>
      <c r="AC115" s="35" t="str">
        <f>IF(AND(A115&lt;&gt;0,A115&lt;&gt;""),LOOKUP(A115,Discrete_NFET[PARTNUMBER],Discrete_NFET[VF_TYP]),"")</f>
        <v/>
      </c>
      <c r="AD115" s="127" t="str">
        <f>IF(AND($A115&lt;&gt;0,$A115&lt;&gt;"",OR(RIGHT(Logic!B115,2)="C)",LEFT(Logic!B115,4)="CSD1")),(1+(1-DUTY))*IM_RMS_120^2*V115*m/3/Num_FETS3,"")</f>
        <v/>
      </c>
      <c r="AE115" s="127" t="str">
        <f>IF(AND($A115&lt;&gt;0,$A115&lt;&gt;"",OR(RIGHT(Logic!B115,2)="C)",LEFT(Logic!B115,4)="CSD1")),Num_FETS3*0.5*IM_RMS_120*VDC_AVG*Z115*n*MOT_ELEC_FREQ/GDR_SRC,"")</f>
        <v/>
      </c>
      <c r="AF115" s="127" t="str">
        <f>IF(AND($A115&lt;&gt;0,$A115&lt;&gt;"",OR(RIGHT(Logic!B115,2)="C)",LEFT(Logic!B115,4)="CSD1")),Num_FETS3*0.5*IM_RMS_120*VDC_AVG*Z115*n*MOT_ELEC_FREQ/GDR_SINK,"")</f>
        <v/>
      </c>
      <c r="AG115" s="127" t="str">
        <f>IF(AND($A115&lt;&gt;0,$A115&lt;&gt;"",OR(RIGHT(Logic!B115,2)="T)",LEFT(Logic!B115,4)="CSD1")),DUTY*IM_RMS_120^2*V115*m/3/Num_FETS3,"")</f>
        <v/>
      </c>
      <c r="AH115" s="127" t="str">
        <f>IF(AND($A115&lt;&gt;0,$A115&lt;&gt;"",OR(RIGHT(Logic!B115,2)="T)",LEFT(Logic!B115,4)="CSD1")),Num_FETS3*0.5*IM_RMS_120*VDC_AVG*Z115*n*FSW*k/GDR_SRC/3,"")</f>
        <v/>
      </c>
      <c r="AI115" s="127" t="str">
        <f>IF(AND($A115&lt;&gt;0,$A115&lt;&gt;"",OR(RIGHT(Logic!B115,2)="T)",LEFT(Logic!B115,4)="CSD1")),Num_FETS3*0.5*IM_RMS_120*VDC_AVG*Z115*n*FSW*k/GDR_SINK/3,"")</f>
        <v/>
      </c>
      <c r="AJ115" s="127" t="str">
        <f t="shared" si="50"/>
        <v/>
      </c>
      <c r="AK115" s="127" t="str">
        <f t="shared" si="51"/>
        <v/>
      </c>
      <c r="AL115" s="127" t="str">
        <f t="shared" si="52"/>
        <v/>
      </c>
      <c r="AM115" s="127" t="str">
        <f t="shared" si="48"/>
        <v/>
      </c>
      <c r="AN115" s="127">
        <f>IF(AND($A115&lt;&gt;0,$A115&lt;&gt;"",OR(RIGHT(Logic!B115,2)="C)",LEFT(Logic!B115,4)="CSD1")),SUM(AD115:AF115)+(AJ115/3)+AK115+AL115/6+AM115/6,AN116)</f>
        <v>0</v>
      </c>
      <c r="AO115" s="127">
        <f>IF(AND($A115&lt;&gt;0,$A115&lt;&gt;"",OR(RIGHT(Logic!B115,2)="T)",LEFT(Logic!B115,4)="CSD1")),SUM(AG115:AI115)+(AJ115/3)+AL115/6+AM115/6,AO114)</f>
        <v>0.23887636588496741</v>
      </c>
      <c r="AP115" s="48" t="str">
        <f t="shared" si="49"/>
        <v/>
      </c>
      <c r="AQ115" s="35" t="str">
        <f>IF(AND(A115&lt;&gt;0,A115&lt;&gt;""),LOOKUP(A115,Discrete_NFET[PARTNUMBER],Discrete_NFET[TI_EQ_PACKAGE]),"")</f>
        <v/>
      </c>
      <c r="AR115" s="49" t="str">
        <f>IF(AND(A115&lt;&gt;0,A115&lt;&gt;""),LOOKUP(A115,Discrete_NFET[PARTNUMBER],Discrete_NFET[1KPRICE]),"")</f>
        <v/>
      </c>
      <c r="AS115" s="35" t="str">
        <f>IF(AND($A115&lt;&gt;0,$A115&lt;&gt;""),CONCATENATE(TEXT(AP115,"0.00"),"W, ",IF('User Input'!H$11="Single Discrete",A115,IF('User Input'!H$11="Dual/Power Block",LEFT(A115,FIND(")",A115)-7),A115)),", ",AQ115,", ",TEXT(AR115,"$0.00")),"Invalid Part")</f>
        <v>Invalid Part</v>
      </c>
      <c r="AT115"/>
      <c r="AW115"/>
    </row>
    <row r="116" spans="1:50" s="17" customFormat="1" ht="15" customHeight="1" x14ac:dyDescent="0.25">
      <c r="A116" s="35" t="str">
        <f>IF(OR(AND(FET_config3="Dual/Power Block",LEFT(Logic!B116,4)="CSD8"),AND(FET_config3="Single Discrete",LEFT(Logic!B116,4)="CSD1")),Logic!B116,"")</f>
        <v/>
      </c>
      <c r="B116" s="37" t="str">
        <f>IF(OR($A116=0,$A116=""),"0",IF(LOOKUP($A116,Discrete_NFET[PARTNUMBER],Discrete_NFET[RDSON25])="(NULL)","0","1"))</f>
        <v>0</v>
      </c>
      <c r="C116" s="38" t="str">
        <f>IF(OR($A116=0,$A116=""),"0",IF(LOOKUP($A116,Discrete_NFET[PARTNUMBER],Discrete_NFET[RDSON3])="(NULL)","0","1"))</f>
        <v>0</v>
      </c>
      <c r="D116" s="40" t="str">
        <f>IF(OR($A116=0,$A116=""),"0",IF(LOOKUP($A116,Discrete_NFET[PARTNUMBER],Discrete_NFET[RDSON45])="(NULL)","0","1"))</f>
        <v>0</v>
      </c>
      <c r="E116" s="45" t="str">
        <f>IF(OR($A116=0,$A116=""),"0",IF(LOOKUP($A116,Discrete_NFET[PARTNUMBER],Discrete_NFET[RDSON6])="(NULL)","0","1"))</f>
        <v>0</v>
      </c>
      <c r="F116" s="34" t="str">
        <f>IF(OR($A116=0,$A116=""),"0",IF(LOOKUP($A116,Discrete_NFET[PARTNUMBER],Discrete_NFET[RDSON8])="(NULL)","0","1"))</f>
        <v>0</v>
      </c>
      <c r="G116" s="43" t="str">
        <f>IF(OR($A116=0,$A116=""),"0",IF(LOOKUP($A116,Discrete_NFET[PARTNUMBER],Discrete_NFET[RDSON10])="(NULL)","0","1"))</f>
        <v>0</v>
      </c>
      <c r="H116" s="36" t="b">
        <f t="shared" si="34"/>
        <v>0</v>
      </c>
      <c r="I116" s="39" t="b">
        <f t="shared" si="35"/>
        <v>0</v>
      </c>
      <c r="J116" s="41" t="b">
        <f t="shared" si="36"/>
        <v>0</v>
      </c>
      <c r="K116" s="46" t="b">
        <f t="shared" si="37"/>
        <v>0</v>
      </c>
      <c r="L116" s="42" t="b">
        <f t="shared" si="38"/>
        <v>0</v>
      </c>
      <c r="M116" s="44" t="b">
        <f t="shared" si="39"/>
        <v>0</v>
      </c>
      <c r="N116" s="47" t="b">
        <f t="shared" si="40"/>
        <v>0</v>
      </c>
      <c r="O116" s="36" t="b">
        <f t="shared" si="41"/>
        <v>0</v>
      </c>
      <c r="P116" s="39" t="b">
        <f t="shared" si="42"/>
        <v>0</v>
      </c>
      <c r="Q116" s="41" t="b">
        <f t="shared" si="43"/>
        <v>0</v>
      </c>
      <c r="R116" s="46" t="b">
        <f t="shared" si="44"/>
        <v>0</v>
      </c>
      <c r="S116" s="42" t="b">
        <f t="shared" si="45"/>
        <v>0</v>
      </c>
      <c r="T116" s="44" t="b">
        <f t="shared" si="46"/>
        <v>0</v>
      </c>
      <c r="U116" s="148" t="str">
        <f>IF(T116,LOOKUP(A116,Discrete_NFET[PARTNUMBER],Discrete_NFET[RDSON10])*1000,IF(S116,LOOKUP(A116,Discrete_NFET[PARTNUMBER],Discrete_NFET[RDSON8])*1000,IF(R116,LOOKUP(A116,Discrete_NFET[PARTNUMBER],Discrete_NFET[RDSON6])*1000,IF(Q116,LOOKUP(A116,Discrete_NFET[PARTNUMBER],Discrete_NFET[RDSON45])*1000,IF(P116,LOOKUP(A116,Discrete_NFET[PARTNUMBER],Discrete_NFET[RDSON3])*1000,IF(O116,LOOKUP(A116,Discrete_NFET[PARTNUMBER],Discrete_NFET[RDSON25])*1000,""))))))</f>
        <v/>
      </c>
      <c r="V116" s="48" t="str">
        <f>IF(AND(A116&lt;&gt;0,A116&lt;&gt;""),U116*(1+(Tj-25)*(LOOKUP(A116,Discrete_NFET[PARTNUMBER],Discrete_NFET[RDSDELTA])/((LOOKUP(A116,Discrete_NFET[PARTNUMBER],Discrete_NFET[TJMAX])-25)))),"")</f>
        <v/>
      </c>
      <c r="W116" s="35" t="str">
        <f>IF(AND($A116&lt;&gt;0,$A116&lt;&gt;""),LOOKUP($A116,Discrete_NFET[PARTNUMBER],Discrete_NFET[QGS]),"")</f>
        <v/>
      </c>
      <c r="X116" s="35" t="str">
        <f>IF(AND($A116&lt;&gt;0,$A116&lt;&gt;""),LOOKUP($A116,Discrete_NFET[PARTNUMBER],Discrete_NFET[QGD]),"")</f>
        <v/>
      </c>
      <c r="Y116" s="35" t="str">
        <f>IF(AND($A116&lt;&gt;0,$A116&lt;&gt;""),LOOKUP($A116,Discrete_NFET[PARTNUMBER],Discrete_NFET[QGTH]),"")</f>
        <v/>
      </c>
      <c r="Z116" s="35" t="str">
        <f t="shared" si="47"/>
        <v/>
      </c>
      <c r="AA116" s="35" t="str">
        <f>IF(AND($A116&lt;&gt;0,$A116&lt;&gt;""),LOOKUP($A116,Discrete_NFET[PARTNUMBER],Discrete_NFET[QOSSTYP]),"")</f>
        <v/>
      </c>
      <c r="AB116" s="35" t="str">
        <f>IF(AND($A116&lt;&gt;0,$A116&lt;&gt;""),LOOKUP($A116,Discrete_NFET[PARTNUMBER],Discrete_NFET[QRR]),"")</f>
        <v/>
      </c>
      <c r="AC116" s="35" t="str">
        <f>IF(AND(A116&lt;&gt;0,A116&lt;&gt;""),LOOKUP(A116,Discrete_NFET[PARTNUMBER],Discrete_NFET[VF_TYP]),"")</f>
        <v/>
      </c>
      <c r="AD116" s="127" t="str">
        <f>IF(AND($A116&lt;&gt;0,$A116&lt;&gt;"",OR(RIGHT(Logic!B116,2)="C)",LEFT(Logic!B116,4)="CSD1")),(1+(1-DUTY))*IM_RMS_120^2*V116*m/3/Num_FETS3,"")</f>
        <v/>
      </c>
      <c r="AE116" s="127" t="str">
        <f>IF(AND($A116&lt;&gt;0,$A116&lt;&gt;"",OR(RIGHT(Logic!B116,2)="C)",LEFT(Logic!B116,4)="CSD1")),Num_FETS3*0.5*IM_RMS_120*VDC_AVG*Z116*n*MOT_ELEC_FREQ/GDR_SRC,"")</f>
        <v/>
      </c>
      <c r="AF116" s="127" t="str">
        <f>IF(AND($A116&lt;&gt;0,$A116&lt;&gt;"",OR(RIGHT(Logic!B116,2)="C)",LEFT(Logic!B116,4)="CSD1")),Num_FETS3*0.5*IM_RMS_120*VDC_AVG*Z116*n*MOT_ELEC_FREQ/GDR_SINK,"")</f>
        <v/>
      </c>
      <c r="AG116" s="127" t="str">
        <f>IF(AND($A116&lt;&gt;0,$A116&lt;&gt;"",OR(RIGHT(Logic!B116,2)="T)",LEFT(Logic!B116,4)="CSD1")),DUTY*IM_RMS_120^2*V116*m/3/Num_FETS3,"")</f>
        <v/>
      </c>
      <c r="AH116" s="127" t="str">
        <f>IF(AND($A116&lt;&gt;0,$A116&lt;&gt;"",OR(RIGHT(Logic!B116,2)="T)",LEFT(Logic!B116,4)="CSD1")),Num_FETS3*0.5*IM_RMS_120*VDC_AVG*Z116*n*FSW*k/GDR_SRC/3,"")</f>
        <v/>
      </c>
      <c r="AI116" s="127" t="str">
        <f>IF(AND($A116&lt;&gt;0,$A116&lt;&gt;"",OR(RIGHT(Logic!B116,2)="T)",LEFT(Logic!B116,4)="CSD1")),Num_FETS3*0.5*IM_RMS_120*VDC_AVG*Z116*n*FSW*k/GDR_SINK/3,"")</f>
        <v/>
      </c>
      <c r="AJ116" s="127" t="str">
        <f t="shared" si="50"/>
        <v/>
      </c>
      <c r="AK116" s="127" t="str">
        <f t="shared" si="51"/>
        <v/>
      </c>
      <c r="AL116" s="127" t="str">
        <f t="shared" si="52"/>
        <v/>
      </c>
      <c r="AM116" s="127" t="str">
        <f t="shared" si="48"/>
        <v/>
      </c>
      <c r="AN116" s="127">
        <f>IF(AND($A116&lt;&gt;0,$A116&lt;&gt;"",OR(RIGHT(Logic!B116,2)="C)",LEFT(Logic!B116,4)="CSD1")),SUM(AD116:AF116)+(AJ116/3)+AK116+AL116/6+AM116/6,AN117)</f>
        <v>0</v>
      </c>
      <c r="AO116" s="127">
        <f>IF(AND($A116&lt;&gt;0,$A116&lt;&gt;"",OR(RIGHT(Logic!B116,2)="T)",LEFT(Logic!B116,4)="CSD1")),SUM(AG116:AI116)+(AJ116/3)+AL116/6+AM116/6,AO115)</f>
        <v>0.23887636588496741</v>
      </c>
      <c r="AP116" s="48" t="str">
        <f t="shared" si="49"/>
        <v/>
      </c>
      <c r="AQ116" s="35" t="str">
        <f>IF(AND(A116&lt;&gt;0,A116&lt;&gt;""),LOOKUP(A116,Discrete_NFET[PARTNUMBER],Discrete_NFET[TI_EQ_PACKAGE]),"")</f>
        <v/>
      </c>
      <c r="AR116" s="49" t="str">
        <f>IF(AND(A116&lt;&gt;0,A116&lt;&gt;""),LOOKUP(A116,Discrete_NFET[PARTNUMBER],Discrete_NFET[1KPRICE]),"")</f>
        <v/>
      </c>
      <c r="AS116" s="35" t="str">
        <f>IF(AND($A116&lt;&gt;0,$A116&lt;&gt;""),CONCATENATE(TEXT(AP116,"0.00"),"W, ",IF('User Input'!H$11="Single Discrete",A116,IF('User Input'!H$11="Dual/Power Block",LEFT(A116,FIND(")",A116)-7),A116)),", ",AQ116,", ",TEXT(AR116,"$0.00")),"Invalid Part")</f>
        <v>Invalid Part</v>
      </c>
      <c r="AT116"/>
      <c r="AU116" s="16"/>
      <c r="AV116" s="16"/>
      <c r="AW116"/>
      <c r="AX116" s="16"/>
    </row>
    <row r="117" spans="1:50" ht="15" customHeight="1" x14ac:dyDescent="0.25">
      <c r="A117" s="35" t="str">
        <f>IF(OR(AND(FET_config3="Dual/Power Block",LEFT(Logic!B117,4)="CSD8"),AND(FET_config3="Single Discrete",LEFT(Logic!B117,4)="CSD1")),Logic!B117,"")</f>
        <v/>
      </c>
      <c r="B117" s="37" t="str">
        <f>IF(OR($A117=0,$A117=""),"0",IF(LOOKUP($A117,Discrete_NFET[PARTNUMBER],Discrete_NFET[RDSON25])="(NULL)","0","1"))</f>
        <v>0</v>
      </c>
      <c r="C117" s="38" t="str">
        <f>IF(OR($A117=0,$A117=""),"0",IF(LOOKUP($A117,Discrete_NFET[PARTNUMBER],Discrete_NFET[RDSON3])="(NULL)","0","1"))</f>
        <v>0</v>
      </c>
      <c r="D117" s="40" t="str">
        <f>IF(OR($A117=0,$A117=""),"0",IF(LOOKUP($A117,Discrete_NFET[PARTNUMBER],Discrete_NFET[RDSON45])="(NULL)","0","1"))</f>
        <v>0</v>
      </c>
      <c r="E117" s="45" t="str">
        <f>IF(OR($A117=0,$A117=""),"0",IF(LOOKUP($A117,Discrete_NFET[PARTNUMBER],Discrete_NFET[RDSON6])="(NULL)","0","1"))</f>
        <v>0</v>
      </c>
      <c r="F117" s="34" t="str">
        <f>IF(OR($A117=0,$A117=""),"0",IF(LOOKUP($A117,Discrete_NFET[PARTNUMBER],Discrete_NFET[RDSON8])="(NULL)","0","1"))</f>
        <v>0</v>
      </c>
      <c r="G117" s="43" t="str">
        <f>IF(OR($A117=0,$A117=""),"0",IF(LOOKUP($A117,Discrete_NFET[PARTNUMBER],Discrete_NFET[RDSON10])="(NULL)","0","1"))</f>
        <v>0</v>
      </c>
      <c r="H117" s="36" t="b">
        <f t="shared" si="34"/>
        <v>0</v>
      </c>
      <c r="I117" s="39" t="b">
        <f t="shared" si="35"/>
        <v>0</v>
      </c>
      <c r="J117" s="41" t="b">
        <f t="shared" si="36"/>
        <v>0</v>
      </c>
      <c r="K117" s="46" t="b">
        <f t="shared" si="37"/>
        <v>0</v>
      </c>
      <c r="L117" s="42" t="b">
        <f t="shared" si="38"/>
        <v>0</v>
      </c>
      <c r="M117" s="44" t="b">
        <f t="shared" si="39"/>
        <v>0</v>
      </c>
      <c r="N117" s="47" t="b">
        <f t="shared" si="40"/>
        <v>0</v>
      </c>
      <c r="O117" s="36" t="b">
        <f t="shared" si="41"/>
        <v>0</v>
      </c>
      <c r="P117" s="39" t="b">
        <f t="shared" si="42"/>
        <v>0</v>
      </c>
      <c r="Q117" s="41" t="b">
        <f t="shared" si="43"/>
        <v>0</v>
      </c>
      <c r="R117" s="46" t="b">
        <f t="shared" si="44"/>
        <v>0</v>
      </c>
      <c r="S117" s="42" t="b">
        <f t="shared" si="45"/>
        <v>0</v>
      </c>
      <c r="T117" s="44" t="b">
        <f t="shared" si="46"/>
        <v>0</v>
      </c>
      <c r="U117" s="148" t="str">
        <f>IF(T117,LOOKUP(A117,Discrete_NFET[PARTNUMBER],Discrete_NFET[RDSON10])*1000,IF(S117,LOOKUP(A117,Discrete_NFET[PARTNUMBER],Discrete_NFET[RDSON8])*1000,IF(R117,LOOKUP(A117,Discrete_NFET[PARTNUMBER],Discrete_NFET[RDSON6])*1000,IF(Q117,LOOKUP(A117,Discrete_NFET[PARTNUMBER],Discrete_NFET[RDSON45])*1000,IF(P117,LOOKUP(A117,Discrete_NFET[PARTNUMBER],Discrete_NFET[RDSON3])*1000,IF(O117,LOOKUP(A117,Discrete_NFET[PARTNUMBER],Discrete_NFET[RDSON25])*1000,""))))))</f>
        <v/>
      </c>
      <c r="V117" s="48" t="str">
        <f>IF(AND(A117&lt;&gt;0,A117&lt;&gt;""),U117*(1+(Tj-25)*(LOOKUP(A117,Discrete_NFET[PARTNUMBER],Discrete_NFET[RDSDELTA])/((LOOKUP(A117,Discrete_NFET[PARTNUMBER],Discrete_NFET[TJMAX])-25)))),"")</f>
        <v/>
      </c>
      <c r="W117" s="35" t="str">
        <f>IF(AND($A117&lt;&gt;0,$A117&lt;&gt;""),LOOKUP($A117,Discrete_NFET[PARTNUMBER],Discrete_NFET[QGS]),"")</f>
        <v/>
      </c>
      <c r="X117" s="35" t="str">
        <f>IF(AND($A117&lt;&gt;0,$A117&lt;&gt;""),LOOKUP($A117,Discrete_NFET[PARTNUMBER],Discrete_NFET[QGD]),"")</f>
        <v/>
      </c>
      <c r="Y117" s="35" t="str">
        <f>IF(AND($A117&lt;&gt;0,$A117&lt;&gt;""),LOOKUP($A117,Discrete_NFET[PARTNUMBER],Discrete_NFET[QGTH]),"")</f>
        <v/>
      </c>
      <c r="Z117" s="35" t="str">
        <f t="shared" si="47"/>
        <v/>
      </c>
      <c r="AA117" s="35" t="str">
        <f>IF(AND($A117&lt;&gt;0,$A117&lt;&gt;""),LOOKUP($A117,Discrete_NFET[PARTNUMBER],Discrete_NFET[QOSSTYP]),"")</f>
        <v/>
      </c>
      <c r="AB117" s="35" t="str">
        <f>IF(AND($A117&lt;&gt;0,$A117&lt;&gt;""),LOOKUP($A117,Discrete_NFET[PARTNUMBER],Discrete_NFET[QRR]),"")</f>
        <v/>
      </c>
      <c r="AC117" s="35" t="str">
        <f>IF(AND(A117&lt;&gt;0,A117&lt;&gt;""),LOOKUP(A117,Discrete_NFET[PARTNUMBER],Discrete_NFET[VF_TYP]),"")</f>
        <v/>
      </c>
      <c r="AD117" s="127" t="str">
        <f>IF(AND($A117&lt;&gt;0,$A117&lt;&gt;"",OR(RIGHT(Logic!B117,2)="C)",LEFT(Logic!B117,4)="CSD1")),(1+(1-DUTY))*IM_RMS_120^2*V117*m/3/Num_FETS3,"")</f>
        <v/>
      </c>
      <c r="AE117" s="127" t="str">
        <f>IF(AND($A117&lt;&gt;0,$A117&lt;&gt;"",OR(RIGHT(Logic!B117,2)="C)",LEFT(Logic!B117,4)="CSD1")),Num_FETS3*0.5*IM_RMS_120*VDC_AVG*Z117*n*MOT_ELEC_FREQ/GDR_SRC,"")</f>
        <v/>
      </c>
      <c r="AF117" s="127" t="str">
        <f>IF(AND($A117&lt;&gt;0,$A117&lt;&gt;"",OR(RIGHT(Logic!B117,2)="C)",LEFT(Logic!B117,4)="CSD1")),Num_FETS3*0.5*IM_RMS_120*VDC_AVG*Z117*n*MOT_ELEC_FREQ/GDR_SINK,"")</f>
        <v/>
      </c>
      <c r="AG117" s="127" t="str">
        <f>IF(AND($A117&lt;&gt;0,$A117&lt;&gt;"",OR(RIGHT(Logic!B117,2)="T)",LEFT(Logic!B117,4)="CSD1")),DUTY*IM_RMS_120^2*V117*m/3/Num_FETS3,"")</f>
        <v/>
      </c>
      <c r="AH117" s="127" t="str">
        <f>IF(AND($A117&lt;&gt;0,$A117&lt;&gt;"",OR(RIGHT(Logic!B117,2)="T)",LEFT(Logic!B117,4)="CSD1")),Num_FETS3*0.5*IM_RMS_120*VDC_AVG*Z117*n*FSW*k/GDR_SRC/3,"")</f>
        <v/>
      </c>
      <c r="AI117" s="127" t="str">
        <f>IF(AND($A117&lt;&gt;0,$A117&lt;&gt;"",OR(RIGHT(Logic!B117,2)="T)",LEFT(Logic!B117,4)="CSD1")),Num_FETS3*0.5*IM_RMS_120*VDC_AVG*Z117*n*FSW*k/GDR_SINK/3,"")</f>
        <v/>
      </c>
      <c r="AJ117" s="127" t="str">
        <f t="shared" si="50"/>
        <v/>
      </c>
      <c r="AK117" s="127" t="str">
        <f t="shared" si="51"/>
        <v/>
      </c>
      <c r="AL117" s="127" t="str">
        <f t="shared" si="52"/>
        <v/>
      </c>
      <c r="AM117" s="127" t="str">
        <f t="shared" si="48"/>
        <v/>
      </c>
      <c r="AN117" s="127">
        <f>IF(AND($A117&lt;&gt;0,$A117&lt;&gt;"",OR(RIGHT(Logic!B117,2)="C)",LEFT(Logic!B117,4)="CSD1")),SUM(AD117:AF117)+(AJ117/3)+AK117+AL117/6+AM117/6,AN118)</f>
        <v>0</v>
      </c>
      <c r="AO117" s="127">
        <f>IF(AND($A117&lt;&gt;0,$A117&lt;&gt;"",OR(RIGHT(Logic!B117,2)="T)",LEFT(Logic!B117,4)="CSD1")),SUM(AG117:AI117)+(AJ117/3)+AL117/6+AM117/6,AO116)</f>
        <v>0.23887636588496741</v>
      </c>
      <c r="AP117" s="48" t="str">
        <f t="shared" si="49"/>
        <v/>
      </c>
      <c r="AQ117" s="35" t="str">
        <f>IF(AND(A117&lt;&gt;0,A117&lt;&gt;""),LOOKUP(A117,Discrete_NFET[PARTNUMBER],Discrete_NFET[TI_EQ_PACKAGE]),"")</f>
        <v/>
      </c>
      <c r="AR117" s="49" t="str">
        <f>IF(AND(A117&lt;&gt;0,A117&lt;&gt;""),LOOKUP(A117,Discrete_NFET[PARTNUMBER],Discrete_NFET[1KPRICE]),"")</f>
        <v/>
      </c>
      <c r="AS117" s="35" t="str">
        <f>IF(AND($A117&lt;&gt;0,$A117&lt;&gt;""),CONCATENATE(TEXT(AP117,"0.00"),"W, ",IF('User Input'!H$11="Single Discrete",A117,IF('User Input'!H$11="Dual/Power Block",LEFT(A117,FIND(")",A117)-7),A117)),", ",AQ117,", ",TEXT(AR117,"$0.00")),"Invalid Part")</f>
        <v>Invalid Part</v>
      </c>
      <c r="AT117"/>
      <c r="AU117" s="142"/>
      <c r="AV117" s="142"/>
      <c r="AW117"/>
      <c r="AX117" s="142"/>
    </row>
    <row r="118" spans="1:50" ht="15" customHeight="1" x14ac:dyDescent="0.25">
      <c r="A118" s="35" t="str">
        <f>IF(OR(AND(FET_config3="Dual/Power Block",LEFT(Logic!B118,4)="CSD8"),AND(FET_config3="Single Discrete",LEFT(Logic!B118,4)="CSD1")),Logic!B118,"")</f>
        <v/>
      </c>
      <c r="B118" s="37" t="str">
        <f>IF(OR($A118=0,$A118=""),"0",IF(LOOKUP($A118,Discrete_NFET[PARTNUMBER],Discrete_NFET[RDSON25])="(NULL)","0","1"))</f>
        <v>0</v>
      </c>
      <c r="C118" s="38" t="str">
        <f>IF(OR($A118=0,$A118=""),"0",IF(LOOKUP($A118,Discrete_NFET[PARTNUMBER],Discrete_NFET[RDSON3])="(NULL)","0","1"))</f>
        <v>0</v>
      </c>
      <c r="D118" s="40" t="str">
        <f>IF(OR($A118=0,$A118=""),"0",IF(LOOKUP($A118,Discrete_NFET[PARTNUMBER],Discrete_NFET[RDSON45])="(NULL)","0","1"))</f>
        <v>0</v>
      </c>
      <c r="E118" s="45" t="str">
        <f>IF(OR($A118=0,$A118=""),"0",IF(LOOKUP($A118,Discrete_NFET[PARTNUMBER],Discrete_NFET[RDSON6])="(NULL)","0","1"))</f>
        <v>0</v>
      </c>
      <c r="F118" s="34" t="str">
        <f>IF(OR($A118=0,$A118=""),"0",IF(LOOKUP($A118,Discrete_NFET[PARTNUMBER],Discrete_NFET[RDSON8])="(NULL)","0","1"))</f>
        <v>0</v>
      </c>
      <c r="G118" s="43" t="str">
        <f>IF(OR($A118=0,$A118=""),"0",IF(LOOKUP($A118,Discrete_NFET[PARTNUMBER],Discrete_NFET[RDSON10])="(NULL)","0","1"))</f>
        <v>0</v>
      </c>
      <c r="H118" s="36" t="b">
        <f t="shared" si="34"/>
        <v>0</v>
      </c>
      <c r="I118" s="39" t="b">
        <f t="shared" si="35"/>
        <v>0</v>
      </c>
      <c r="J118" s="41" t="b">
        <f t="shared" si="36"/>
        <v>0</v>
      </c>
      <c r="K118" s="46" t="b">
        <f t="shared" si="37"/>
        <v>0</v>
      </c>
      <c r="L118" s="42" t="b">
        <f t="shared" si="38"/>
        <v>0</v>
      </c>
      <c r="M118" s="44" t="b">
        <f t="shared" si="39"/>
        <v>0</v>
      </c>
      <c r="N118" s="47" t="b">
        <f t="shared" si="40"/>
        <v>0</v>
      </c>
      <c r="O118" s="36" t="b">
        <f t="shared" si="41"/>
        <v>0</v>
      </c>
      <c r="P118" s="39" t="b">
        <f t="shared" si="42"/>
        <v>0</v>
      </c>
      <c r="Q118" s="41" t="b">
        <f t="shared" si="43"/>
        <v>0</v>
      </c>
      <c r="R118" s="46" t="b">
        <f t="shared" si="44"/>
        <v>0</v>
      </c>
      <c r="S118" s="42" t="b">
        <f t="shared" si="45"/>
        <v>0</v>
      </c>
      <c r="T118" s="44" t="b">
        <f t="shared" si="46"/>
        <v>0</v>
      </c>
      <c r="U118" s="148" t="str">
        <f>IF(T118,LOOKUP(A118,Discrete_NFET[PARTNUMBER],Discrete_NFET[RDSON10])*1000,IF(S118,LOOKUP(A118,Discrete_NFET[PARTNUMBER],Discrete_NFET[RDSON8])*1000,IF(R118,LOOKUP(A118,Discrete_NFET[PARTNUMBER],Discrete_NFET[RDSON6])*1000,IF(Q118,LOOKUP(A118,Discrete_NFET[PARTNUMBER],Discrete_NFET[RDSON45])*1000,IF(P118,LOOKUP(A118,Discrete_NFET[PARTNUMBER],Discrete_NFET[RDSON3])*1000,IF(O118,LOOKUP(A118,Discrete_NFET[PARTNUMBER],Discrete_NFET[RDSON25])*1000,""))))))</f>
        <v/>
      </c>
      <c r="V118" s="48" t="str">
        <f>IF(AND(A118&lt;&gt;0,A118&lt;&gt;""),U118*(1+(Tj-25)*(LOOKUP(A118,Discrete_NFET[PARTNUMBER],Discrete_NFET[RDSDELTA])/((LOOKUP(A118,Discrete_NFET[PARTNUMBER],Discrete_NFET[TJMAX])-25)))),"")</f>
        <v/>
      </c>
      <c r="W118" s="35" t="str">
        <f>IF(AND($A118&lt;&gt;0,$A118&lt;&gt;""),LOOKUP($A118,Discrete_NFET[PARTNUMBER],Discrete_NFET[QGS]),"")</f>
        <v/>
      </c>
      <c r="X118" s="35" t="str">
        <f>IF(AND($A118&lt;&gt;0,$A118&lt;&gt;""),LOOKUP($A118,Discrete_NFET[PARTNUMBER],Discrete_NFET[QGD]),"")</f>
        <v/>
      </c>
      <c r="Y118" s="35" t="str">
        <f>IF(AND($A118&lt;&gt;0,$A118&lt;&gt;""),LOOKUP($A118,Discrete_NFET[PARTNUMBER],Discrete_NFET[QGTH]),"")</f>
        <v/>
      </c>
      <c r="Z118" s="35" t="str">
        <f t="shared" si="47"/>
        <v/>
      </c>
      <c r="AA118" s="35" t="str">
        <f>IF(AND($A118&lt;&gt;0,$A118&lt;&gt;""),LOOKUP($A118,Discrete_NFET[PARTNUMBER],Discrete_NFET[QOSSTYP]),"")</f>
        <v/>
      </c>
      <c r="AB118" s="35" t="str">
        <f>IF(AND($A118&lt;&gt;0,$A118&lt;&gt;""),LOOKUP($A118,Discrete_NFET[PARTNUMBER],Discrete_NFET[QRR]),"")</f>
        <v/>
      </c>
      <c r="AC118" s="35" t="str">
        <f>IF(AND(A118&lt;&gt;0,A118&lt;&gt;""),LOOKUP(A118,Discrete_NFET[PARTNUMBER],Discrete_NFET[VF_TYP]),"")</f>
        <v/>
      </c>
      <c r="AD118" s="127" t="str">
        <f>IF(AND($A118&lt;&gt;0,$A118&lt;&gt;"",OR(RIGHT(Logic!B118,2)="C)",LEFT(Logic!B118,4)="CSD1")),(1+(1-DUTY))*IM_RMS_120^2*V118*m/3/Num_FETS3,"")</f>
        <v/>
      </c>
      <c r="AE118" s="127" t="str">
        <f>IF(AND($A118&lt;&gt;0,$A118&lt;&gt;"",OR(RIGHT(Logic!B118,2)="C)",LEFT(Logic!B118,4)="CSD1")),Num_FETS3*0.5*IM_RMS_120*VDC_AVG*Z118*n*MOT_ELEC_FREQ/GDR_SRC,"")</f>
        <v/>
      </c>
      <c r="AF118" s="127" t="str">
        <f>IF(AND($A118&lt;&gt;0,$A118&lt;&gt;"",OR(RIGHT(Logic!B118,2)="C)",LEFT(Logic!B118,4)="CSD1")),Num_FETS3*0.5*IM_RMS_120*VDC_AVG*Z118*n*MOT_ELEC_FREQ/GDR_SINK,"")</f>
        <v/>
      </c>
      <c r="AG118" s="127" t="str">
        <f>IF(AND($A118&lt;&gt;0,$A118&lt;&gt;"",OR(RIGHT(Logic!B118,2)="T)",LEFT(Logic!B118,4)="CSD1")),DUTY*IM_RMS_120^2*V118*m/3/Num_FETS3,"")</f>
        <v/>
      </c>
      <c r="AH118" s="127" t="str">
        <f>IF(AND($A118&lt;&gt;0,$A118&lt;&gt;"",OR(RIGHT(Logic!B118,2)="T)",LEFT(Logic!B118,4)="CSD1")),Num_FETS3*0.5*IM_RMS_120*VDC_AVG*Z118*n*FSW*k/GDR_SRC/3,"")</f>
        <v/>
      </c>
      <c r="AI118" s="127" t="str">
        <f>IF(AND($A118&lt;&gt;0,$A118&lt;&gt;"",OR(RIGHT(Logic!B118,2)="T)",LEFT(Logic!B118,4)="CSD1")),Num_FETS3*0.5*IM_RMS_120*VDC_AVG*Z118*n*FSW*k/GDR_SINK/3,"")</f>
        <v/>
      </c>
      <c r="AJ118" s="127" t="str">
        <f t="shared" si="50"/>
        <v/>
      </c>
      <c r="AK118" s="127" t="str">
        <f t="shared" si="51"/>
        <v/>
      </c>
      <c r="AL118" s="127" t="str">
        <f t="shared" si="52"/>
        <v/>
      </c>
      <c r="AM118" s="127" t="str">
        <f t="shared" si="48"/>
        <v/>
      </c>
      <c r="AN118" s="127">
        <f>IF(AND($A118&lt;&gt;0,$A118&lt;&gt;"",OR(RIGHT(Logic!B118,2)="C)",LEFT(Logic!B118,4)="CSD1")),SUM(AD118:AF118)+(AJ118/3)+AK118+AL118/6+AM118/6,AN119)</f>
        <v>0</v>
      </c>
      <c r="AO118" s="127">
        <f>IF(AND($A118&lt;&gt;0,$A118&lt;&gt;"",OR(RIGHT(Logic!B118,2)="T)",LEFT(Logic!B118,4)="CSD1")),SUM(AG118:AI118)+(AJ118/3)+AL118/6+AM118/6,AO117)</f>
        <v>0.23887636588496741</v>
      </c>
      <c r="AP118" s="48" t="str">
        <f t="shared" si="49"/>
        <v/>
      </c>
      <c r="AQ118" s="35" t="str">
        <f>IF(AND(A118&lt;&gt;0,A118&lt;&gt;""),LOOKUP(A118,Discrete_NFET[PARTNUMBER],Discrete_NFET[TI_EQ_PACKAGE]),"")</f>
        <v/>
      </c>
      <c r="AR118" s="49" t="str">
        <f>IF(AND(A118&lt;&gt;0,A118&lt;&gt;""),LOOKUP(A118,Discrete_NFET[PARTNUMBER],Discrete_NFET[1KPRICE]),"")</f>
        <v/>
      </c>
      <c r="AS118" s="35" t="str">
        <f>IF(AND($A118&lt;&gt;0,$A118&lt;&gt;""),CONCATENATE(TEXT(AP118,"0.00"),"W, ",IF('User Input'!H$11="Single Discrete",A118,IF('User Input'!H$11="Dual/Power Block",LEFT(A118,FIND(")",A118)-7),A118)),", ",AQ118,", ",TEXT(AR118,"$0.00")),"Invalid Part")</f>
        <v>Invalid Part</v>
      </c>
      <c r="AT118"/>
      <c r="AW118"/>
    </row>
    <row r="119" spans="1:50" ht="15" customHeight="1" x14ac:dyDescent="0.25">
      <c r="A119" s="35" t="str">
        <f>IF(OR(AND(FET_config3="Dual/Power Block",LEFT(Logic!B119,4)="CSD8"),AND(FET_config3="Single Discrete",LEFT(Logic!B119,4)="CSD1")),Logic!B119,"")</f>
        <v/>
      </c>
      <c r="B119" s="37" t="str">
        <f>IF(OR($A119=0,$A119=""),"0",IF(LOOKUP($A119,Discrete_NFET[PARTNUMBER],Discrete_NFET[RDSON25])="(NULL)","0","1"))</f>
        <v>0</v>
      </c>
      <c r="C119" s="38" t="str">
        <f>IF(OR($A119=0,$A119=""),"0",IF(LOOKUP($A119,Discrete_NFET[PARTNUMBER],Discrete_NFET[RDSON3])="(NULL)","0","1"))</f>
        <v>0</v>
      </c>
      <c r="D119" s="40" t="str">
        <f>IF(OR($A119=0,$A119=""),"0",IF(LOOKUP($A119,Discrete_NFET[PARTNUMBER],Discrete_NFET[RDSON45])="(NULL)","0","1"))</f>
        <v>0</v>
      </c>
      <c r="E119" s="45" t="str">
        <f>IF(OR($A119=0,$A119=""),"0",IF(LOOKUP($A119,Discrete_NFET[PARTNUMBER],Discrete_NFET[RDSON6])="(NULL)","0","1"))</f>
        <v>0</v>
      </c>
      <c r="F119" s="34" t="str">
        <f>IF(OR($A119=0,$A119=""),"0",IF(LOOKUP($A119,Discrete_NFET[PARTNUMBER],Discrete_NFET[RDSON8])="(NULL)","0","1"))</f>
        <v>0</v>
      </c>
      <c r="G119" s="43" t="str">
        <f>IF(OR($A119=0,$A119=""),"0",IF(LOOKUP($A119,Discrete_NFET[PARTNUMBER],Discrete_NFET[RDSON10])="(NULL)","0","1"))</f>
        <v>0</v>
      </c>
      <c r="H119" s="36" t="b">
        <f t="shared" si="34"/>
        <v>0</v>
      </c>
      <c r="I119" s="39" t="b">
        <f t="shared" si="35"/>
        <v>0</v>
      </c>
      <c r="J119" s="41" t="b">
        <f t="shared" si="36"/>
        <v>0</v>
      </c>
      <c r="K119" s="46" t="b">
        <f t="shared" si="37"/>
        <v>0</v>
      </c>
      <c r="L119" s="42" t="b">
        <f t="shared" si="38"/>
        <v>0</v>
      </c>
      <c r="M119" s="44" t="b">
        <f t="shared" si="39"/>
        <v>0</v>
      </c>
      <c r="N119" s="47" t="b">
        <f t="shared" si="40"/>
        <v>0</v>
      </c>
      <c r="O119" s="36" t="b">
        <f t="shared" si="41"/>
        <v>0</v>
      </c>
      <c r="P119" s="39" t="b">
        <f t="shared" si="42"/>
        <v>0</v>
      </c>
      <c r="Q119" s="41" t="b">
        <f t="shared" si="43"/>
        <v>0</v>
      </c>
      <c r="R119" s="46" t="b">
        <f t="shared" si="44"/>
        <v>0</v>
      </c>
      <c r="S119" s="42" t="b">
        <f t="shared" si="45"/>
        <v>0</v>
      </c>
      <c r="T119" s="44" t="b">
        <f t="shared" si="46"/>
        <v>0</v>
      </c>
      <c r="U119" s="148" t="str">
        <f>IF(T119,LOOKUP(A119,Discrete_NFET[PARTNUMBER],Discrete_NFET[RDSON10])*1000,IF(S119,LOOKUP(A119,Discrete_NFET[PARTNUMBER],Discrete_NFET[RDSON8])*1000,IF(R119,LOOKUP(A119,Discrete_NFET[PARTNUMBER],Discrete_NFET[RDSON6])*1000,IF(Q119,LOOKUP(A119,Discrete_NFET[PARTNUMBER],Discrete_NFET[RDSON45])*1000,IF(P119,LOOKUP(A119,Discrete_NFET[PARTNUMBER],Discrete_NFET[RDSON3])*1000,IF(O119,LOOKUP(A119,Discrete_NFET[PARTNUMBER],Discrete_NFET[RDSON25])*1000,""))))))</f>
        <v/>
      </c>
      <c r="V119" s="48" t="str">
        <f>IF(AND(A119&lt;&gt;0,A119&lt;&gt;""),U119*(1+(Tj-25)*(LOOKUP(A119,Discrete_NFET[PARTNUMBER],Discrete_NFET[RDSDELTA])/((LOOKUP(A119,Discrete_NFET[PARTNUMBER],Discrete_NFET[TJMAX])-25)))),"")</f>
        <v/>
      </c>
      <c r="W119" s="35" t="str">
        <f>IF(AND($A119&lt;&gt;0,$A119&lt;&gt;""),LOOKUP($A119,Discrete_NFET[PARTNUMBER],Discrete_NFET[QGS]),"")</f>
        <v/>
      </c>
      <c r="X119" s="35" t="str">
        <f>IF(AND($A119&lt;&gt;0,$A119&lt;&gt;""),LOOKUP($A119,Discrete_NFET[PARTNUMBER],Discrete_NFET[QGD]),"")</f>
        <v/>
      </c>
      <c r="Y119" s="35" t="str">
        <f>IF(AND($A119&lt;&gt;0,$A119&lt;&gt;""),LOOKUP($A119,Discrete_NFET[PARTNUMBER],Discrete_NFET[QGTH]),"")</f>
        <v/>
      </c>
      <c r="Z119" s="35" t="str">
        <f t="shared" si="47"/>
        <v/>
      </c>
      <c r="AA119" s="35" t="str">
        <f>IF(AND($A119&lt;&gt;0,$A119&lt;&gt;""),LOOKUP($A119,Discrete_NFET[PARTNUMBER],Discrete_NFET[QOSSTYP]),"")</f>
        <v/>
      </c>
      <c r="AB119" s="35" t="str">
        <f>IF(AND($A119&lt;&gt;0,$A119&lt;&gt;""),LOOKUP($A119,Discrete_NFET[PARTNUMBER],Discrete_NFET[QRR]),"")</f>
        <v/>
      </c>
      <c r="AC119" s="35" t="str">
        <f>IF(AND(A119&lt;&gt;0,A119&lt;&gt;""),LOOKUP(A119,Discrete_NFET[PARTNUMBER],Discrete_NFET[VF_TYP]),"")</f>
        <v/>
      </c>
      <c r="AD119" s="127" t="str">
        <f>IF(AND($A119&lt;&gt;0,$A119&lt;&gt;"",OR(RIGHT(Logic!B119,2)="C)",LEFT(Logic!B119,4)="CSD1")),(1+(1-DUTY))*IM_RMS_120^2*V119*m/3/Num_FETS3,"")</f>
        <v/>
      </c>
      <c r="AE119" s="127" t="str">
        <f>IF(AND($A119&lt;&gt;0,$A119&lt;&gt;"",OR(RIGHT(Logic!B119,2)="C)",LEFT(Logic!B119,4)="CSD1")),Num_FETS3*0.5*IM_RMS_120*VDC_AVG*Z119*n*MOT_ELEC_FREQ/GDR_SRC,"")</f>
        <v/>
      </c>
      <c r="AF119" s="127" t="str">
        <f>IF(AND($A119&lt;&gt;0,$A119&lt;&gt;"",OR(RIGHT(Logic!B119,2)="C)",LEFT(Logic!B119,4)="CSD1")),Num_FETS3*0.5*IM_RMS_120*VDC_AVG*Z119*n*MOT_ELEC_FREQ/GDR_SINK,"")</f>
        <v/>
      </c>
      <c r="AG119" s="127" t="str">
        <f>IF(AND($A119&lt;&gt;0,$A119&lt;&gt;"",OR(RIGHT(Logic!B119,2)="T)",LEFT(Logic!B119,4)="CSD1")),DUTY*IM_RMS_120^2*V119*m/3/Num_FETS3,"")</f>
        <v/>
      </c>
      <c r="AH119" s="127" t="str">
        <f>IF(AND($A119&lt;&gt;0,$A119&lt;&gt;"",OR(RIGHT(Logic!B119,2)="T)",LEFT(Logic!B119,4)="CSD1")),Num_FETS3*0.5*IM_RMS_120*VDC_AVG*Z119*n*FSW*k/GDR_SRC/3,"")</f>
        <v/>
      </c>
      <c r="AI119" s="127" t="str">
        <f>IF(AND($A119&lt;&gt;0,$A119&lt;&gt;"",OR(RIGHT(Logic!B119,2)="T)",LEFT(Logic!B119,4)="CSD1")),Num_FETS3*0.5*IM_RMS_120*VDC_AVG*Z119*n*FSW*k/GDR_SINK/3,"")</f>
        <v/>
      </c>
      <c r="AJ119" s="127" t="str">
        <f t="shared" si="50"/>
        <v/>
      </c>
      <c r="AK119" s="127" t="str">
        <f t="shared" si="51"/>
        <v/>
      </c>
      <c r="AL119" s="127" t="str">
        <f t="shared" si="52"/>
        <v/>
      </c>
      <c r="AM119" s="127" t="str">
        <f t="shared" si="48"/>
        <v/>
      </c>
      <c r="AN119" s="127">
        <f>IF(AND($A119&lt;&gt;0,$A119&lt;&gt;"",OR(RIGHT(Logic!B119,2)="C)",LEFT(Logic!B119,4)="CSD1")),SUM(AD119:AF119)+(AJ119/3)+AK119+AL119/6+AM119/6,AN120)</f>
        <v>0</v>
      </c>
      <c r="AO119" s="127">
        <f>IF(AND($A119&lt;&gt;0,$A119&lt;&gt;"",OR(RIGHT(Logic!B119,2)="T)",LEFT(Logic!B119,4)="CSD1")),SUM(AG119:AI119)+(AJ119/3)+AL119/6+AM119/6,AO118)</f>
        <v>0.23887636588496741</v>
      </c>
      <c r="AP119" s="48" t="str">
        <f t="shared" si="49"/>
        <v/>
      </c>
      <c r="AQ119" s="35" t="str">
        <f>IF(AND(A119&lt;&gt;0,A119&lt;&gt;""),LOOKUP(A119,Discrete_NFET[PARTNUMBER],Discrete_NFET[TI_EQ_PACKAGE]),"")</f>
        <v/>
      </c>
      <c r="AR119" s="49" t="str">
        <f>IF(AND(A119&lt;&gt;0,A119&lt;&gt;""),LOOKUP(A119,Discrete_NFET[PARTNUMBER],Discrete_NFET[1KPRICE]),"")</f>
        <v/>
      </c>
      <c r="AS119" s="35" t="str">
        <f>IF(AND($A119&lt;&gt;0,$A119&lt;&gt;""),CONCATENATE(TEXT(AP119,"0.00"),"W, ",IF('User Input'!H$11="Single Discrete",A119,IF('User Input'!H$11="Dual/Power Block",LEFT(A119,FIND(")",A119)-7),A119)),", ",AQ119,", ",TEXT(AR119,"$0.00")),"Invalid Part")</f>
        <v>Invalid Part</v>
      </c>
      <c r="AT119"/>
      <c r="AW119"/>
    </row>
    <row r="120" spans="1:50" ht="15" customHeight="1" x14ac:dyDescent="0.25">
      <c r="A120" s="35" t="str">
        <f>IF(OR(AND(FET_config3="Dual/Power Block",LEFT(Logic!B120,4)="CSD8"),AND(FET_config3="Single Discrete",LEFT(Logic!B120,4)="CSD1")),Logic!B120,"")</f>
        <v/>
      </c>
      <c r="B120" s="37" t="str">
        <f>IF(OR($A120=0,$A120=""),"0",IF(LOOKUP($A120,Discrete_NFET[PARTNUMBER],Discrete_NFET[RDSON25])="(NULL)","0","1"))</f>
        <v>0</v>
      </c>
      <c r="C120" s="38" t="str">
        <f>IF(OR($A120=0,$A120=""),"0",IF(LOOKUP($A120,Discrete_NFET[PARTNUMBER],Discrete_NFET[RDSON3])="(NULL)","0","1"))</f>
        <v>0</v>
      </c>
      <c r="D120" s="40" t="str">
        <f>IF(OR($A120=0,$A120=""),"0",IF(LOOKUP($A120,Discrete_NFET[PARTNUMBER],Discrete_NFET[RDSON45])="(NULL)","0","1"))</f>
        <v>0</v>
      </c>
      <c r="E120" s="45" t="str">
        <f>IF(OR($A120=0,$A120=""),"0",IF(LOOKUP($A120,Discrete_NFET[PARTNUMBER],Discrete_NFET[RDSON6])="(NULL)","0","1"))</f>
        <v>0</v>
      </c>
      <c r="F120" s="34" t="str">
        <f>IF(OR($A120=0,$A120=""),"0",IF(LOOKUP($A120,Discrete_NFET[PARTNUMBER],Discrete_NFET[RDSON8])="(NULL)","0","1"))</f>
        <v>0</v>
      </c>
      <c r="G120" s="43" t="str">
        <f>IF(OR($A120=0,$A120=""),"0",IF(LOOKUP($A120,Discrete_NFET[PARTNUMBER],Discrete_NFET[RDSON10])="(NULL)","0","1"))</f>
        <v>0</v>
      </c>
      <c r="H120" s="36" t="b">
        <f t="shared" si="34"/>
        <v>0</v>
      </c>
      <c r="I120" s="39" t="b">
        <f t="shared" si="35"/>
        <v>0</v>
      </c>
      <c r="J120" s="41" t="b">
        <f t="shared" si="36"/>
        <v>0</v>
      </c>
      <c r="K120" s="46" t="b">
        <f t="shared" si="37"/>
        <v>0</v>
      </c>
      <c r="L120" s="42" t="b">
        <f t="shared" si="38"/>
        <v>0</v>
      </c>
      <c r="M120" s="44" t="b">
        <f t="shared" si="39"/>
        <v>0</v>
      </c>
      <c r="N120" s="47" t="b">
        <f t="shared" si="40"/>
        <v>0</v>
      </c>
      <c r="O120" s="36" t="b">
        <f t="shared" si="41"/>
        <v>0</v>
      </c>
      <c r="P120" s="39" t="b">
        <f t="shared" si="42"/>
        <v>0</v>
      </c>
      <c r="Q120" s="41" t="b">
        <f t="shared" si="43"/>
        <v>0</v>
      </c>
      <c r="R120" s="46" t="b">
        <f t="shared" si="44"/>
        <v>0</v>
      </c>
      <c r="S120" s="42" t="b">
        <f t="shared" si="45"/>
        <v>0</v>
      </c>
      <c r="T120" s="44" t="b">
        <f t="shared" si="46"/>
        <v>0</v>
      </c>
      <c r="U120" s="148" t="str">
        <f>IF(T120,LOOKUP(A120,Discrete_NFET[PARTNUMBER],Discrete_NFET[RDSON10])*1000,IF(S120,LOOKUP(A120,Discrete_NFET[PARTNUMBER],Discrete_NFET[RDSON8])*1000,IF(R120,LOOKUP(A120,Discrete_NFET[PARTNUMBER],Discrete_NFET[RDSON6])*1000,IF(Q120,LOOKUP(A120,Discrete_NFET[PARTNUMBER],Discrete_NFET[RDSON45])*1000,IF(P120,LOOKUP(A120,Discrete_NFET[PARTNUMBER],Discrete_NFET[RDSON3])*1000,IF(O120,LOOKUP(A120,Discrete_NFET[PARTNUMBER],Discrete_NFET[RDSON25])*1000,""))))))</f>
        <v/>
      </c>
      <c r="V120" s="48" t="str">
        <f>IF(AND(A120&lt;&gt;0,A120&lt;&gt;""),U120*(1+(Tj-25)*(LOOKUP(A120,Discrete_NFET[PARTNUMBER],Discrete_NFET[RDSDELTA])/((LOOKUP(A120,Discrete_NFET[PARTNUMBER],Discrete_NFET[TJMAX])-25)))),"")</f>
        <v/>
      </c>
      <c r="W120" s="35" t="str">
        <f>IF(AND($A120&lt;&gt;0,$A120&lt;&gt;""),LOOKUP($A120,Discrete_NFET[PARTNUMBER],Discrete_NFET[QGS]),"")</f>
        <v/>
      </c>
      <c r="X120" s="35" t="str">
        <f>IF(AND($A120&lt;&gt;0,$A120&lt;&gt;""),LOOKUP($A120,Discrete_NFET[PARTNUMBER],Discrete_NFET[QGD]),"")</f>
        <v/>
      </c>
      <c r="Y120" s="35" t="str">
        <f>IF(AND($A120&lt;&gt;0,$A120&lt;&gt;""),LOOKUP($A120,Discrete_NFET[PARTNUMBER],Discrete_NFET[QGTH]),"")</f>
        <v/>
      </c>
      <c r="Z120" s="35" t="str">
        <f t="shared" si="47"/>
        <v/>
      </c>
      <c r="AA120" s="35" t="str">
        <f>IF(AND($A120&lt;&gt;0,$A120&lt;&gt;""),LOOKUP($A120,Discrete_NFET[PARTNUMBER],Discrete_NFET[QOSSTYP]),"")</f>
        <v/>
      </c>
      <c r="AB120" s="35" t="str">
        <f>IF(AND($A120&lt;&gt;0,$A120&lt;&gt;""),LOOKUP($A120,Discrete_NFET[PARTNUMBER],Discrete_NFET[QRR]),"")</f>
        <v/>
      </c>
      <c r="AC120" s="35" t="str">
        <f>IF(AND(A120&lt;&gt;0,A120&lt;&gt;""),LOOKUP(A120,Discrete_NFET[PARTNUMBER],Discrete_NFET[VF_TYP]),"")</f>
        <v/>
      </c>
      <c r="AD120" s="127" t="str">
        <f>IF(AND($A120&lt;&gt;0,$A120&lt;&gt;"",OR(RIGHT(Logic!B120,2)="C)",LEFT(Logic!B120,4)="CSD1")),(1+(1-DUTY))*IM_RMS_120^2*V120*m/3/Num_FETS3,"")</f>
        <v/>
      </c>
      <c r="AE120" s="127" t="str">
        <f>IF(AND($A120&lt;&gt;0,$A120&lt;&gt;"",OR(RIGHT(Logic!B120,2)="C)",LEFT(Logic!B120,4)="CSD1")),Num_FETS3*0.5*IM_RMS_120*VDC_AVG*Z120*n*MOT_ELEC_FREQ/GDR_SRC,"")</f>
        <v/>
      </c>
      <c r="AF120" s="127" t="str">
        <f>IF(AND($A120&lt;&gt;0,$A120&lt;&gt;"",OR(RIGHT(Logic!B120,2)="C)",LEFT(Logic!B120,4)="CSD1")),Num_FETS3*0.5*IM_RMS_120*VDC_AVG*Z120*n*MOT_ELEC_FREQ/GDR_SINK,"")</f>
        <v/>
      </c>
      <c r="AG120" s="127" t="str">
        <f>IF(AND($A120&lt;&gt;0,$A120&lt;&gt;"",OR(RIGHT(Logic!B120,2)="T)",LEFT(Logic!B120,4)="CSD1")),DUTY*IM_RMS_120^2*V120*m/3/Num_FETS3,"")</f>
        <v/>
      </c>
      <c r="AH120" s="127" t="str">
        <f>IF(AND($A120&lt;&gt;0,$A120&lt;&gt;"",OR(RIGHT(Logic!B120,2)="T)",LEFT(Logic!B120,4)="CSD1")),Num_FETS3*0.5*IM_RMS_120*VDC_AVG*Z120*n*FSW*k/GDR_SRC/3,"")</f>
        <v/>
      </c>
      <c r="AI120" s="127" t="str">
        <f>IF(AND($A120&lt;&gt;0,$A120&lt;&gt;"",OR(RIGHT(Logic!B120,2)="T)",LEFT(Logic!B120,4)="CSD1")),Num_FETS3*0.5*IM_RMS_120*VDC_AVG*Z120*n*FSW*k/GDR_SINK/3,"")</f>
        <v/>
      </c>
      <c r="AJ120" s="127" t="str">
        <f t="shared" si="50"/>
        <v/>
      </c>
      <c r="AK120" s="127" t="str">
        <f t="shared" si="51"/>
        <v/>
      </c>
      <c r="AL120" s="127" t="str">
        <f t="shared" si="52"/>
        <v/>
      </c>
      <c r="AM120" s="127" t="str">
        <f t="shared" si="48"/>
        <v/>
      </c>
      <c r="AN120" s="127">
        <f>IF(AND($A120&lt;&gt;0,$A120&lt;&gt;"",OR(RIGHT(Logic!B120,2)="C)",LEFT(Logic!B120,4)="CSD1")),SUM(AD120:AF120)+(AJ120/3)+AK120+AL120/6+AM120/6,AN121)</f>
        <v>0</v>
      </c>
      <c r="AO120" s="127">
        <f>IF(AND($A120&lt;&gt;0,$A120&lt;&gt;"",OR(RIGHT(Logic!B120,2)="T)",LEFT(Logic!B120,4)="CSD1")),SUM(AG120:AI120)+(AJ120/3)+AL120/6+AM120/6,AO119)</f>
        <v>0.23887636588496741</v>
      </c>
      <c r="AP120" s="48" t="str">
        <f t="shared" si="49"/>
        <v/>
      </c>
      <c r="AQ120" s="35" t="str">
        <f>IF(AND(A120&lt;&gt;0,A120&lt;&gt;""),LOOKUP(A120,Discrete_NFET[PARTNUMBER],Discrete_NFET[TI_EQ_PACKAGE]),"")</f>
        <v/>
      </c>
      <c r="AR120" s="49" t="str">
        <f>IF(AND(A120&lt;&gt;0,A120&lt;&gt;""),LOOKUP(A120,Discrete_NFET[PARTNUMBER],Discrete_NFET[1KPRICE]),"")</f>
        <v/>
      </c>
      <c r="AS120" s="35" t="str">
        <f>IF(AND($A120&lt;&gt;0,$A120&lt;&gt;""),CONCATENATE(TEXT(AP120,"0.00"),"W, ",IF('User Input'!H$11="Single Discrete",A120,IF('User Input'!H$11="Dual/Power Block",LEFT(A120,FIND(")",A120)-7),A120)),", ",AQ120,", ",TEXT(AR120,"$0.00")),"Invalid Part")</f>
        <v>Invalid Part</v>
      </c>
      <c r="AT120"/>
      <c r="AW120"/>
    </row>
    <row r="121" spans="1:50" ht="15" customHeight="1" x14ac:dyDescent="0.25">
      <c r="A121" s="35" t="str">
        <f>IF(OR(AND(FET_config3="Dual/Power Block",LEFT(Logic!B121,4)="CSD8"),AND(FET_config3="Single Discrete",LEFT(Logic!B121,4)="CSD1")),Logic!B121,"")</f>
        <v/>
      </c>
      <c r="B121" s="37" t="str">
        <f>IF(OR($A121=0,$A121=""),"0",IF(LOOKUP($A121,Discrete_NFET[PARTNUMBER],Discrete_NFET[RDSON25])="(NULL)","0","1"))</f>
        <v>0</v>
      </c>
      <c r="C121" s="38" t="str">
        <f>IF(OR($A121=0,$A121=""),"0",IF(LOOKUP($A121,Discrete_NFET[PARTNUMBER],Discrete_NFET[RDSON3])="(NULL)","0","1"))</f>
        <v>0</v>
      </c>
      <c r="D121" s="40" t="str">
        <f>IF(OR($A121=0,$A121=""),"0",IF(LOOKUP($A121,Discrete_NFET[PARTNUMBER],Discrete_NFET[RDSON45])="(NULL)","0","1"))</f>
        <v>0</v>
      </c>
      <c r="E121" s="45" t="str">
        <f>IF(OR($A121=0,$A121=""),"0",IF(LOOKUP($A121,Discrete_NFET[PARTNUMBER],Discrete_NFET[RDSON6])="(NULL)","0","1"))</f>
        <v>0</v>
      </c>
      <c r="F121" s="34" t="str">
        <f>IF(OR($A121=0,$A121=""),"0",IF(LOOKUP($A121,Discrete_NFET[PARTNUMBER],Discrete_NFET[RDSON8])="(NULL)","0","1"))</f>
        <v>0</v>
      </c>
      <c r="G121" s="43" t="str">
        <f>IF(OR($A121=0,$A121=""),"0",IF(LOOKUP($A121,Discrete_NFET[PARTNUMBER],Discrete_NFET[RDSON10])="(NULL)","0","1"))</f>
        <v>0</v>
      </c>
      <c r="H121" s="36" t="b">
        <f t="shared" si="34"/>
        <v>0</v>
      </c>
      <c r="I121" s="39" t="b">
        <f t="shared" si="35"/>
        <v>0</v>
      </c>
      <c r="J121" s="41" t="b">
        <f t="shared" si="36"/>
        <v>0</v>
      </c>
      <c r="K121" s="46" t="b">
        <f t="shared" si="37"/>
        <v>0</v>
      </c>
      <c r="L121" s="42" t="b">
        <f t="shared" si="38"/>
        <v>0</v>
      </c>
      <c r="M121" s="44" t="b">
        <f t="shared" si="39"/>
        <v>0</v>
      </c>
      <c r="N121" s="47" t="b">
        <f t="shared" si="40"/>
        <v>0</v>
      </c>
      <c r="O121" s="36" t="b">
        <f t="shared" si="41"/>
        <v>0</v>
      </c>
      <c r="P121" s="39" t="b">
        <f t="shared" si="42"/>
        <v>0</v>
      </c>
      <c r="Q121" s="41" t="b">
        <f t="shared" si="43"/>
        <v>0</v>
      </c>
      <c r="R121" s="46" t="b">
        <f t="shared" si="44"/>
        <v>0</v>
      </c>
      <c r="S121" s="42" t="b">
        <f t="shared" si="45"/>
        <v>0</v>
      </c>
      <c r="T121" s="44" t="b">
        <f t="shared" si="46"/>
        <v>0</v>
      </c>
      <c r="U121" s="148" t="str">
        <f>IF(T121,LOOKUP(A121,Discrete_NFET[PARTNUMBER],Discrete_NFET[RDSON10])*1000,IF(S121,LOOKUP(A121,Discrete_NFET[PARTNUMBER],Discrete_NFET[RDSON8])*1000,IF(R121,LOOKUP(A121,Discrete_NFET[PARTNUMBER],Discrete_NFET[RDSON6])*1000,IF(Q121,LOOKUP(A121,Discrete_NFET[PARTNUMBER],Discrete_NFET[RDSON45])*1000,IF(P121,LOOKUP(A121,Discrete_NFET[PARTNUMBER],Discrete_NFET[RDSON3])*1000,IF(O121,LOOKUP(A121,Discrete_NFET[PARTNUMBER],Discrete_NFET[RDSON25])*1000,""))))))</f>
        <v/>
      </c>
      <c r="V121" s="48" t="str">
        <f>IF(AND(A121&lt;&gt;0,A121&lt;&gt;""),U121*(1+(Tj-25)*(LOOKUP(A121,Discrete_NFET[PARTNUMBER],Discrete_NFET[RDSDELTA])/((LOOKUP(A121,Discrete_NFET[PARTNUMBER],Discrete_NFET[TJMAX])-25)))),"")</f>
        <v/>
      </c>
      <c r="W121" s="35" t="str">
        <f>IF(AND($A121&lt;&gt;0,$A121&lt;&gt;""),LOOKUP($A121,Discrete_NFET[PARTNUMBER],Discrete_NFET[QGS]),"")</f>
        <v/>
      </c>
      <c r="X121" s="35" t="str">
        <f>IF(AND($A121&lt;&gt;0,$A121&lt;&gt;""),LOOKUP($A121,Discrete_NFET[PARTNUMBER],Discrete_NFET[QGD]),"")</f>
        <v/>
      </c>
      <c r="Y121" s="35" t="str">
        <f>IF(AND($A121&lt;&gt;0,$A121&lt;&gt;""),LOOKUP($A121,Discrete_NFET[PARTNUMBER],Discrete_NFET[QGTH]),"")</f>
        <v/>
      </c>
      <c r="Z121" s="35" t="str">
        <f t="shared" si="47"/>
        <v/>
      </c>
      <c r="AA121" s="35" t="str">
        <f>IF(AND($A121&lt;&gt;0,$A121&lt;&gt;""),LOOKUP($A121,Discrete_NFET[PARTNUMBER],Discrete_NFET[QOSSTYP]),"")</f>
        <v/>
      </c>
      <c r="AB121" s="35" t="str">
        <f>IF(AND($A121&lt;&gt;0,$A121&lt;&gt;""),LOOKUP($A121,Discrete_NFET[PARTNUMBER],Discrete_NFET[QRR]),"")</f>
        <v/>
      </c>
      <c r="AC121" s="35" t="str">
        <f>IF(AND(A121&lt;&gt;0,A121&lt;&gt;""),LOOKUP(A121,Discrete_NFET[PARTNUMBER],Discrete_NFET[VF_TYP]),"")</f>
        <v/>
      </c>
      <c r="AD121" s="127" t="str">
        <f>IF(AND($A121&lt;&gt;0,$A121&lt;&gt;"",OR(RIGHT(Logic!B121,2)="C)",LEFT(Logic!B121,4)="CSD1")),(1+(1-DUTY))*IM_RMS_120^2*V121*m/3/Num_FETS3,"")</f>
        <v/>
      </c>
      <c r="AE121" s="127" t="str">
        <f>IF(AND($A121&lt;&gt;0,$A121&lt;&gt;"",OR(RIGHT(Logic!B121,2)="C)",LEFT(Logic!B121,4)="CSD1")),Num_FETS3*0.5*IM_RMS_120*VDC_AVG*Z121*n*MOT_ELEC_FREQ/GDR_SRC,"")</f>
        <v/>
      </c>
      <c r="AF121" s="127" t="str">
        <f>IF(AND($A121&lt;&gt;0,$A121&lt;&gt;"",OR(RIGHT(Logic!B121,2)="C)",LEFT(Logic!B121,4)="CSD1")),Num_FETS3*0.5*IM_RMS_120*VDC_AVG*Z121*n*MOT_ELEC_FREQ/GDR_SINK,"")</f>
        <v/>
      </c>
      <c r="AG121" s="127" t="str">
        <f>IF(AND($A121&lt;&gt;0,$A121&lt;&gt;"",OR(RIGHT(Logic!B121,2)="T)",LEFT(Logic!B121,4)="CSD1")),DUTY*IM_RMS_120^2*V121*m/3/Num_FETS3,"")</f>
        <v/>
      </c>
      <c r="AH121" s="127" t="str">
        <f>IF(AND($A121&lt;&gt;0,$A121&lt;&gt;"",OR(RIGHT(Logic!B121,2)="T)",LEFT(Logic!B121,4)="CSD1")),Num_FETS3*0.5*IM_RMS_120*VDC_AVG*Z121*n*FSW*k/GDR_SRC/3,"")</f>
        <v/>
      </c>
      <c r="AI121" s="127" t="str">
        <f>IF(AND($A121&lt;&gt;0,$A121&lt;&gt;"",OR(RIGHT(Logic!B121,2)="T)",LEFT(Logic!B121,4)="CSD1")),Num_FETS3*0.5*IM_RMS_120*VDC_AVG*Z121*n*FSW*k/GDR_SINK/3,"")</f>
        <v/>
      </c>
      <c r="AJ121" s="127" t="str">
        <f t="shared" si="50"/>
        <v/>
      </c>
      <c r="AK121" s="127" t="str">
        <f t="shared" si="51"/>
        <v/>
      </c>
      <c r="AL121" s="127" t="str">
        <f t="shared" si="52"/>
        <v/>
      </c>
      <c r="AM121" s="127" t="str">
        <f t="shared" si="48"/>
        <v/>
      </c>
      <c r="AN121" s="127">
        <f>IF(AND($A121&lt;&gt;0,$A121&lt;&gt;"",OR(RIGHT(Logic!B121,2)="C)",LEFT(Logic!B121,4)="CSD1")),SUM(AD121:AF121)+(AJ121/3)+AK121+AL121/6+AM121/6,AN122)</f>
        <v>0</v>
      </c>
      <c r="AO121" s="127">
        <f>IF(AND($A121&lt;&gt;0,$A121&lt;&gt;"",OR(RIGHT(Logic!B121,2)="T)",LEFT(Logic!B121,4)="CSD1")),SUM(AG121:AI121)+(AJ121/3)+AL121/6+AM121/6,AO120)</f>
        <v>0.23887636588496741</v>
      </c>
      <c r="AP121" s="48" t="str">
        <f t="shared" si="49"/>
        <v/>
      </c>
      <c r="AQ121" s="35" t="str">
        <f>IF(AND(A121&lt;&gt;0,A121&lt;&gt;""),LOOKUP(A121,Discrete_NFET[PARTNUMBER],Discrete_NFET[TI_EQ_PACKAGE]),"")</f>
        <v/>
      </c>
      <c r="AR121" s="49" t="str">
        <f>IF(AND(A121&lt;&gt;0,A121&lt;&gt;""),LOOKUP(A121,Discrete_NFET[PARTNUMBER],Discrete_NFET[1KPRICE]),"")</f>
        <v/>
      </c>
      <c r="AS121" s="35" t="str">
        <f>IF(AND($A121&lt;&gt;0,$A121&lt;&gt;""),CONCATENATE(TEXT(AP121,"0.00"),"W, ",IF('User Input'!H$11="Single Discrete",A121,IF('User Input'!H$11="Dual/Power Block",LEFT(A121,FIND(")",A121)-7),A121)),", ",AQ121,", ",TEXT(AR121,"$0.00")),"Invalid Part")</f>
        <v>Invalid Part</v>
      </c>
      <c r="AT121"/>
      <c r="AW121"/>
    </row>
    <row r="122" spans="1:50" ht="15" customHeight="1" x14ac:dyDescent="0.25">
      <c r="A122" s="35" t="str">
        <f>IF(OR(AND(FET_config3="Dual/Power Block",LEFT(Logic!B122,4)="CSD8"),AND(FET_config3="Single Discrete",LEFT(Logic!B122,4)="CSD1")),Logic!B122,"")</f>
        <v/>
      </c>
      <c r="B122" s="37" t="str">
        <f>IF(OR($A122=0,$A122=""),"0",IF(LOOKUP($A122,Discrete_NFET[PARTNUMBER],Discrete_NFET[RDSON25])="(NULL)","0","1"))</f>
        <v>0</v>
      </c>
      <c r="C122" s="38" t="str">
        <f>IF(OR($A122=0,$A122=""),"0",IF(LOOKUP($A122,Discrete_NFET[PARTNUMBER],Discrete_NFET[RDSON3])="(NULL)","0","1"))</f>
        <v>0</v>
      </c>
      <c r="D122" s="40" t="str">
        <f>IF(OR($A122=0,$A122=""),"0",IF(LOOKUP($A122,Discrete_NFET[PARTNUMBER],Discrete_NFET[RDSON45])="(NULL)","0","1"))</f>
        <v>0</v>
      </c>
      <c r="E122" s="45" t="str">
        <f>IF(OR($A122=0,$A122=""),"0",IF(LOOKUP($A122,Discrete_NFET[PARTNUMBER],Discrete_NFET[RDSON6])="(NULL)","0","1"))</f>
        <v>0</v>
      </c>
      <c r="F122" s="34" t="str">
        <f>IF(OR($A122=0,$A122=""),"0",IF(LOOKUP($A122,Discrete_NFET[PARTNUMBER],Discrete_NFET[RDSON8])="(NULL)","0","1"))</f>
        <v>0</v>
      </c>
      <c r="G122" s="43" t="str">
        <f>IF(OR($A122=0,$A122=""),"0",IF(LOOKUP($A122,Discrete_NFET[PARTNUMBER],Discrete_NFET[RDSON10])="(NULL)","0","1"))</f>
        <v>0</v>
      </c>
      <c r="H122" s="36" t="b">
        <f t="shared" si="34"/>
        <v>0</v>
      </c>
      <c r="I122" s="39" t="b">
        <f t="shared" si="35"/>
        <v>0</v>
      </c>
      <c r="J122" s="41" t="b">
        <f t="shared" si="36"/>
        <v>0</v>
      </c>
      <c r="K122" s="46" t="b">
        <f t="shared" si="37"/>
        <v>0</v>
      </c>
      <c r="L122" s="42" t="b">
        <f t="shared" si="38"/>
        <v>0</v>
      </c>
      <c r="M122" s="44" t="b">
        <f t="shared" si="39"/>
        <v>0</v>
      </c>
      <c r="N122" s="47" t="b">
        <f t="shared" si="40"/>
        <v>0</v>
      </c>
      <c r="O122" s="36" t="b">
        <f t="shared" si="41"/>
        <v>0</v>
      </c>
      <c r="P122" s="39" t="b">
        <f t="shared" si="42"/>
        <v>0</v>
      </c>
      <c r="Q122" s="41" t="b">
        <f t="shared" si="43"/>
        <v>0</v>
      </c>
      <c r="R122" s="46" t="b">
        <f t="shared" si="44"/>
        <v>0</v>
      </c>
      <c r="S122" s="42" t="b">
        <f t="shared" si="45"/>
        <v>0</v>
      </c>
      <c r="T122" s="44" t="b">
        <f t="shared" si="46"/>
        <v>0</v>
      </c>
      <c r="U122" s="148" t="str">
        <f>IF(T122,LOOKUP(A122,Discrete_NFET[PARTNUMBER],Discrete_NFET[RDSON10])*1000,IF(S122,LOOKUP(A122,Discrete_NFET[PARTNUMBER],Discrete_NFET[RDSON8])*1000,IF(R122,LOOKUP(A122,Discrete_NFET[PARTNUMBER],Discrete_NFET[RDSON6])*1000,IF(Q122,LOOKUP(A122,Discrete_NFET[PARTNUMBER],Discrete_NFET[RDSON45])*1000,IF(P122,LOOKUP(A122,Discrete_NFET[PARTNUMBER],Discrete_NFET[RDSON3])*1000,IF(O122,LOOKUP(A122,Discrete_NFET[PARTNUMBER],Discrete_NFET[RDSON25])*1000,""))))))</f>
        <v/>
      </c>
      <c r="V122" s="48" t="str">
        <f>IF(AND(A122&lt;&gt;0,A122&lt;&gt;""),U122*(1+(Tj-25)*(LOOKUP(A122,Discrete_NFET[PARTNUMBER],Discrete_NFET[RDSDELTA])/((LOOKUP(A122,Discrete_NFET[PARTNUMBER],Discrete_NFET[TJMAX])-25)))),"")</f>
        <v/>
      </c>
      <c r="W122" s="35" t="str">
        <f>IF(AND($A122&lt;&gt;0,$A122&lt;&gt;""),LOOKUP($A122,Discrete_NFET[PARTNUMBER],Discrete_NFET[QGS]),"")</f>
        <v/>
      </c>
      <c r="X122" s="35" t="str">
        <f>IF(AND($A122&lt;&gt;0,$A122&lt;&gt;""),LOOKUP($A122,Discrete_NFET[PARTNUMBER],Discrete_NFET[QGD]),"")</f>
        <v/>
      </c>
      <c r="Y122" s="35" t="str">
        <f>IF(AND($A122&lt;&gt;0,$A122&lt;&gt;""),LOOKUP($A122,Discrete_NFET[PARTNUMBER],Discrete_NFET[QGTH]),"")</f>
        <v/>
      </c>
      <c r="Z122" s="35" t="str">
        <f t="shared" si="47"/>
        <v/>
      </c>
      <c r="AA122" s="35" t="str">
        <f>IF(AND($A122&lt;&gt;0,$A122&lt;&gt;""),LOOKUP($A122,Discrete_NFET[PARTNUMBER],Discrete_NFET[QOSSTYP]),"")</f>
        <v/>
      </c>
      <c r="AB122" s="35" t="str">
        <f>IF(AND($A122&lt;&gt;0,$A122&lt;&gt;""),LOOKUP($A122,Discrete_NFET[PARTNUMBER],Discrete_NFET[QRR]),"")</f>
        <v/>
      </c>
      <c r="AC122" s="35" t="str">
        <f>IF(AND(A122&lt;&gt;0,A122&lt;&gt;""),LOOKUP(A122,Discrete_NFET[PARTNUMBER],Discrete_NFET[VF_TYP]),"")</f>
        <v/>
      </c>
      <c r="AD122" s="127" t="str">
        <f>IF(AND($A122&lt;&gt;0,$A122&lt;&gt;"",OR(RIGHT(Logic!B122,2)="C)",LEFT(Logic!B122,4)="CSD1")),(1+(1-DUTY))*IM_RMS_120^2*V122*m/3/Num_FETS3,"")</f>
        <v/>
      </c>
      <c r="AE122" s="127" t="str">
        <f>IF(AND($A122&lt;&gt;0,$A122&lt;&gt;"",OR(RIGHT(Logic!B122,2)="C)",LEFT(Logic!B122,4)="CSD1")),Num_FETS3*0.5*IM_RMS_120*VDC_AVG*Z122*n*MOT_ELEC_FREQ/GDR_SRC,"")</f>
        <v/>
      </c>
      <c r="AF122" s="127" t="str">
        <f>IF(AND($A122&lt;&gt;0,$A122&lt;&gt;"",OR(RIGHT(Logic!B122,2)="C)",LEFT(Logic!B122,4)="CSD1")),Num_FETS3*0.5*IM_RMS_120*VDC_AVG*Z122*n*MOT_ELEC_FREQ/GDR_SINK,"")</f>
        <v/>
      </c>
      <c r="AG122" s="127" t="str">
        <f>IF(AND($A122&lt;&gt;0,$A122&lt;&gt;"",OR(RIGHT(Logic!B122,2)="T)",LEFT(Logic!B122,4)="CSD1")),DUTY*IM_RMS_120^2*V122*m/3/Num_FETS3,"")</f>
        <v/>
      </c>
      <c r="AH122" s="127" t="str">
        <f>IF(AND($A122&lt;&gt;0,$A122&lt;&gt;"",OR(RIGHT(Logic!B122,2)="T)",LEFT(Logic!B122,4)="CSD1")),Num_FETS3*0.5*IM_RMS_120*VDC_AVG*Z122*n*FSW*k/GDR_SRC/3,"")</f>
        <v/>
      </c>
      <c r="AI122" s="127" t="str">
        <f>IF(AND($A122&lt;&gt;0,$A122&lt;&gt;"",OR(RIGHT(Logic!B122,2)="T)",LEFT(Logic!B122,4)="CSD1")),Num_FETS3*0.5*IM_RMS_120*VDC_AVG*Z122*n*FSW*k/GDR_SINK/3,"")</f>
        <v/>
      </c>
      <c r="AJ122" s="127" t="str">
        <f t="shared" si="50"/>
        <v/>
      </c>
      <c r="AK122" s="127" t="str">
        <f t="shared" si="51"/>
        <v/>
      </c>
      <c r="AL122" s="127" t="str">
        <f t="shared" si="52"/>
        <v/>
      </c>
      <c r="AM122" s="127" t="str">
        <f t="shared" si="48"/>
        <v/>
      </c>
      <c r="AN122" s="127">
        <f>IF(AND($A122&lt;&gt;0,$A122&lt;&gt;"",OR(RIGHT(Logic!B122,2)="C)",LEFT(Logic!B122,4)="CSD1")),SUM(AD122:AF122)+(AJ122/3)+AK122+AL122/6+AM122/6,AN123)</f>
        <v>0</v>
      </c>
      <c r="AO122" s="127">
        <f>IF(AND($A122&lt;&gt;0,$A122&lt;&gt;"",OR(RIGHT(Logic!B122,2)="T)",LEFT(Logic!B122,4)="CSD1")),SUM(AG122:AI122)+(AJ122/3)+AL122/6+AM122/6,AO121)</f>
        <v>0.23887636588496741</v>
      </c>
      <c r="AP122" s="48" t="str">
        <f t="shared" si="49"/>
        <v/>
      </c>
      <c r="AQ122" s="35" t="str">
        <f>IF(AND(A122&lt;&gt;0,A122&lt;&gt;""),LOOKUP(A122,Discrete_NFET[PARTNUMBER],Discrete_NFET[TI_EQ_PACKAGE]),"")</f>
        <v/>
      </c>
      <c r="AR122" s="49" t="str">
        <f>IF(AND(A122&lt;&gt;0,A122&lt;&gt;""),LOOKUP(A122,Discrete_NFET[PARTNUMBER],Discrete_NFET[1KPRICE]),"")</f>
        <v/>
      </c>
      <c r="AS122" s="35" t="str">
        <f>IF(AND($A122&lt;&gt;0,$A122&lt;&gt;""),CONCATENATE(TEXT(AP122,"0.00"),"W, ",IF('User Input'!H$11="Single Discrete",A122,IF('User Input'!H$11="Dual/Power Block",LEFT(A122,FIND(")",A122)-7),A122)),", ",AQ122,", ",TEXT(AR122,"$0.00")),"Invalid Part")</f>
        <v>Invalid Part</v>
      </c>
      <c r="AT122"/>
      <c r="AW122"/>
    </row>
    <row r="123" spans="1:50" ht="15" customHeight="1" x14ac:dyDescent="0.25">
      <c r="A123" s="35" t="str">
        <f>IF(OR(AND(FET_config3="Dual/Power Block",LEFT(Logic!B123,4)="CSD8"),AND(FET_config3="Single Discrete",LEFT(Logic!B123,4)="CSD1")),Logic!B123,"")</f>
        <v/>
      </c>
      <c r="B123" s="37" t="str">
        <f>IF(OR($A123=0,$A123=""),"0",IF(LOOKUP($A123,Discrete_NFET[PARTNUMBER],Discrete_NFET[RDSON25])="(NULL)","0","1"))</f>
        <v>0</v>
      </c>
      <c r="C123" s="38" t="str">
        <f>IF(OR($A123=0,$A123=""),"0",IF(LOOKUP($A123,Discrete_NFET[PARTNUMBER],Discrete_NFET[RDSON3])="(NULL)","0","1"))</f>
        <v>0</v>
      </c>
      <c r="D123" s="40" t="str">
        <f>IF(OR($A123=0,$A123=""),"0",IF(LOOKUP($A123,Discrete_NFET[PARTNUMBER],Discrete_NFET[RDSON45])="(NULL)","0","1"))</f>
        <v>0</v>
      </c>
      <c r="E123" s="45" t="str">
        <f>IF(OR($A123=0,$A123=""),"0",IF(LOOKUP($A123,Discrete_NFET[PARTNUMBER],Discrete_NFET[RDSON6])="(NULL)","0","1"))</f>
        <v>0</v>
      </c>
      <c r="F123" s="34" t="str">
        <f>IF(OR($A123=0,$A123=""),"0",IF(LOOKUP($A123,Discrete_NFET[PARTNUMBER],Discrete_NFET[RDSON8])="(NULL)","0","1"))</f>
        <v>0</v>
      </c>
      <c r="G123" s="43" t="str">
        <f>IF(OR($A123=0,$A123=""),"0",IF(LOOKUP($A123,Discrete_NFET[PARTNUMBER],Discrete_NFET[RDSON10])="(NULL)","0","1"))</f>
        <v>0</v>
      </c>
      <c r="H123" s="36" t="b">
        <f t="shared" si="34"/>
        <v>0</v>
      </c>
      <c r="I123" s="39" t="b">
        <f t="shared" si="35"/>
        <v>0</v>
      </c>
      <c r="J123" s="41" t="b">
        <f t="shared" si="36"/>
        <v>0</v>
      </c>
      <c r="K123" s="46" t="b">
        <f t="shared" si="37"/>
        <v>0</v>
      </c>
      <c r="L123" s="42" t="b">
        <f t="shared" si="38"/>
        <v>0</v>
      </c>
      <c r="M123" s="44" t="b">
        <f t="shared" si="39"/>
        <v>0</v>
      </c>
      <c r="N123" s="47" t="b">
        <f t="shared" si="40"/>
        <v>0</v>
      </c>
      <c r="O123" s="36" t="b">
        <f t="shared" si="41"/>
        <v>0</v>
      </c>
      <c r="P123" s="39" t="b">
        <f t="shared" si="42"/>
        <v>0</v>
      </c>
      <c r="Q123" s="41" t="b">
        <f t="shared" si="43"/>
        <v>0</v>
      </c>
      <c r="R123" s="46" t="b">
        <f t="shared" si="44"/>
        <v>0</v>
      </c>
      <c r="S123" s="42" t="b">
        <f t="shared" si="45"/>
        <v>0</v>
      </c>
      <c r="T123" s="44" t="b">
        <f t="shared" si="46"/>
        <v>0</v>
      </c>
      <c r="U123" s="148" t="str">
        <f>IF(T123,LOOKUP(A123,Discrete_NFET[PARTNUMBER],Discrete_NFET[RDSON10])*1000,IF(S123,LOOKUP(A123,Discrete_NFET[PARTNUMBER],Discrete_NFET[RDSON8])*1000,IF(R123,LOOKUP(A123,Discrete_NFET[PARTNUMBER],Discrete_NFET[RDSON6])*1000,IF(Q123,LOOKUP(A123,Discrete_NFET[PARTNUMBER],Discrete_NFET[RDSON45])*1000,IF(P123,LOOKUP(A123,Discrete_NFET[PARTNUMBER],Discrete_NFET[RDSON3])*1000,IF(O123,LOOKUP(A123,Discrete_NFET[PARTNUMBER],Discrete_NFET[RDSON25])*1000,""))))))</f>
        <v/>
      </c>
      <c r="V123" s="48" t="str">
        <f>IF(AND(A123&lt;&gt;0,A123&lt;&gt;""),U123*(1+(Tj-25)*(LOOKUP(A123,Discrete_NFET[PARTNUMBER],Discrete_NFET[RDSDELTA])/((LOOKUP(A123,Discrete_NFET[PARTNUMBER],Discrete_NFET[TJMAX])-25)))),"")</f>
        <v/>
      </c>
      <c r="W123" s="35" t="str">
        <f>IF(AND($A123&lt;&gt;0,$A123&lt;&gt;""),LOOKUP($A123,Discrete_NFET[PARTNUMBER],Discrete_NFET[QGS]),"")</f>
        <v/>
      </c>
      <c r="X123" s="35" t="str">
        <f>IF(AND($A123&lt;&gt;0,$A123&lt;&gt;""),LOOKUP($A123,Discrete_NFET[PARTNUMBER],Discrete_NFET[QGD]),"")</f>
        <v/>
      </c>
      <c r="Y123" s="35" t="str">
        <f>IF(AND($A123&lt;&gt;0,$A123&lt;&gt;""),LOOKUP($A123,Discrete_NFET[PARTNUMBER],Discrete_NFET[QGTH]),"")</f>
        <v/>
      </c>
      <c r="Z123" s="35" t="str">
        <f t="shared" si="47"/>
        <v/>
      </c>
      <c r="AA123" s="35" t="str">
        <f>IF(AND($A123&lt;&gt;0,$A123&lt;&gt;""),LOOKUP($A123,Discrete_NFET[PARTNUMBER],Discrete_NFET[QOSSTYP]),"")</f>
        <v/>
      </c>
      <c r="AB123" s="35" t="str">
        <f>IF(AND($A123&lt;&gt;0,$A123&lt;&gt;""),LOOKUP($A123,Discrete_NFET[PARTNUMBER],Discrete_NFET[QRR]),"")</f>
        <v/>
      </c>
      <c r="AC123" s="35" t="str">
        <f>IF(AND(A123&lt;&gt;0,A123&lt;&gt;""),LOOKUP(A123,Discrete_NFET[PARTNUMBER],Discrete_NFET[VF_TYP]),"")</f>
        <v/>
      </c>
      <c r="AD123" s="127" t="str">
        <f>IF(AND($A123&lt;&gt;0,$A123&lt;&gt;"",OR(RIGHT(Logic!B123,2)="C)",LEFT(Logic!B123,4)="CSD1")),(1+(1-DUTY))*IM_RMS_120^2*V123*m/3/Num_FETS3,"")</f>
        <v/>
      </c>
      <c r="AE123" s="127" t="str">
        <f>IF(AND($A123&lt;&gt;0,$A123&lt;&gt;"",OR(RIGHT(Logic!B123,2)="C)",LEFT(Logic!B123,4)="CSD1")),Num_FETS3*0.5*IM_RMS_120*VDC_AVG*Z123*n*MOT_ELEC_FREQ/GDR_SRC,"")</f>
        <v/>
      </c>
      <c r="AF123" s="127" t="str">
        <f>IF(AND($A123&lt;&gt;0,$A123&lt;&gt;"",OR(RIGHT(Logic!B123,2)="C)",LEFT(Logic!B123,4)="CSD1")),Num_FETS3*0.5*IM_RMS_120*VDC_AVG*Z123*n*MOT_ELEC_FREQ/GDR_SINK,"")</f>
        <v/>
      </c>
      <c r="AG123" s="127" t="str">
        <f>IF(AND($A123&lt;&gt;0,$A123&lt;&gt;"",OR(RIGHT(Logic!B123,2)="T)",LEFT(Logic!B123,4)="CSD1")),DUTY*IM_RMS_120^2*V123*m/3/Num_FETS3,"")</f>
        <v/>
      </c>
      <c r="AH123" s="127" t="str">
        <f>IF(AND($A123&lt;&gt;0,$A123&lt;&gt;"",OR(RIGHT(Logic!B123,2)="T)",LEFT(Logic!B123,4)="CSD1")),Num_FETS3*0.5*IM_RMS_120*VDC_AVG*Z123*n*FSW*k/GDR_SRC/3,"")</f>
        <v/>
      </c>
      <c r="AI123" s="127" t="str">
        <f>IF(AND($A123&lt;&gt;0,$A123&lt;&gt;"",OR(RIGHT(Logic!B123,2)="T)",LEFT(Logic!B123,4)="CSD1")),Num_FETS3*0.5*IM_RMS_120*VDC_AVG*Z123*n*FSW*k/GDR_SINK/3,"")</f>
        <v/>
      </c>
      <c r="AJ123" s="127" t="str">
        <f t="shared" si="50"/>
        <v/>
      </c>
      <c r="AK123" s="127" t="str">
        <f t="shared" si="51"/>
        <v/>
      </c>
      <c r="AL123" s="127" t="str">
        <f t="shared" si="52"/>
        <v/>
      </c>
      <c r="AM123" s="127" t="str">
        <f t="shared" si="48"/>
        <v/>
      </c>
      <c r="AN123" s="127">
        <f>IF(AND($A123&lt;&gt;0,$A123&lt;&gt;"",OR(RIGHT(Logic!B123,2)="C)",LEFT(Logic!B123,4)="CSD1")),SUM(AD123:AF123)+(AJ123/3)+AK123+AL123/6+AM123/6,AN124)</f>
        <v>0</v>
      </c>
      <c r="AO123" s="127">
        <f>IF(AND($A123&lt;&gt;0,$A123&lt;&gt;"",OR(RIGHT(Logic!B123,2)="T)",LEFT(Logic!B123,4)="CSD1")),SUM(AG123:AI123)+(AJ123/3)+AL123/6+AM123/6,AO122)</f>
        <v>0.23887636588496741</v>
      </c>
      <c r="AP123" s="48" t="str">
        <f t="shared" si="49"/>
        <v/>
      </c>
      <c r="AQ123" s="35" t="str">
        <f>IF(AND(A123&lt;&gt;0,A123&lt;&gt;""),LOOKUP(A123,Discrete_NFET[PARTNUMBER],Discrete_NFET[TI_EQ_PACKAGE]),"")</f>
        <v/>
      </c>
      <c r="AR123" s="49" t="str">
        <f>IF(AND(A123&lt;&gt;0,A123&lt;&gt;""),LOOKUP(A123,Discrete_NFET[PARTNUMBER],Discrete_NFET[1KPRICE]),"")</f>
        <v/>
      </c>
      <c r="AS123" s="35" t="str">
        <f>IF(AND($A123&lt;&gt;0,$A123&lt;&gt;""),CONCATENATE(TEXT(AP123,"0.00"),"W, ",IF('User Input'!H$11="Single Discrete",A123,IF('User Input'!H$11="Dual/Power Block",LEFT(A123,FIND(")",A123)-7),A123)),", ",AQ123,", ",TEXT(AR123,"$0.00")),"Invalid Part")</f>
        <v>Invalid Part</v>
      </c>
      <c r="AT123"/>
      <c r="AW123"/>
    </row>
    <row r="124" spans="1:50" ht="15" customHeight="1" x14ac:dyDescent="0.25">
      <c r="A124" s="35" t="str">
        <f>IF(OR(AND(FET_config3="Dual/Power Block",LEFT(Logic!B124,4)="CSD8"),AND(FET_config3="Single Discrete",LEFT(Logic!B124,4)="CSD1")),Logic!B124,"")</f>
        <v/>
      </c>
      <c r="B124" s="37" t="str">
        <f>IF(OR($A124=0,$A124=""),"0",IF(LOOKUP($A124,Discrete_NFET[PARTNUMBER],Discrete_NFET[RDSON25])="(NULL)","0","1"))</f>
        <v>0</v>
      </c>
      <c r="C124" s="38" t="str">
        <f>IF(OR($A124=0,$A124=""),"0",IF(LOOKUP($A124,Discrete_NFET[PARTNUMBER],Discrete_NFET[RDSON3])="(NULL)","0","1"))</f>
        <v>0</v>
      </c>
      <c r="D124" s="40" t="str">
        <f>IF(OR($A124=0,$A124=""),"0",IF(LOOKUP($A124,Discrete_NFET[PARTNUMBER],Discrete_NFET[RDSON45])="(NULL)","0","1"))</f>
        <v>0</v>
      </c>
      <c r="E124" s="45" t="str">
        <f>IF(OR($A124=0,$A124=""),"0",IF(LOOKUP($A124,Discrete_NFET[PARTNUMBER],Discrete_NFET[RDSON6])="(NULL)","0","1"))</f>
        <v>0</v>
      </c>
      <c r="F124" s="34" t="str">
        <f>IF(OR($A124=0,$A124=""),"0",IF(LOOKUP($A124,Discrete_NFET[PARTNUMBER],Discrete_NFET[RDSON8])="(NULL)","0","1"))</f>
        <v>0</v>
      </c>
      <c r="G124" s="43" t="str">
        <f>IF(OR($A124=0,$A124=""),"0",IF(LOOKUP($A124,Discrete_NFET[PARTNUMBER],Discrete_NFET[RDSON10])="(NULL)","0","1"))</f>
        <v>0</v>
      </c>
      <c r="H124" s="36" t="b">
        <f t="shared" si="34"/>
        <v>0</v>
      </c>
      <c r="I124" s="39" t="b">
        <f t="shared" si="35"/>
        <v>0</v>
      </c>
      <c r="J124" s="41" t="b">
        <f t="shared" si="36"/>
        <v>0</v>
      </c>
      <c r="K124" s="46" t="b">
        <f t="shared" si="37"/>
        <v>0</v>
      </c>
      <c r="L124" s="42" t="b">
        <f t="shared" si="38"/>
        <v>0</v>
      </c>
      <c r="M124" s="44" t="b">
        <f t="shared" si="39"/>
        <v>0</v>
      </c>
      <c r="N124" s="47" t="b">
        <f t="shared" si="40"/>
        <v>0</v>
      </c>
      <c r="O124" s="36" t="b">
        <f t="shared" si="41"/>
        <v>0</v>
      </c>
      <c r="P124" s="39" t="b">
        <f t="shared" si="42"/>
        <v>0</v>
      </c>
      <c r="Q124" s="41" t="b">
        <f t="shared" si="43"/>
        <v>0</v>
      </c>
      <c r="R124" s="46" t="b">
        <f t="shared" si="44"/>
        <v>0</v>
      </c>
      <c r="S124" s="42" t="b">
        <f t="shared" si="45"/>
        <v>0</v>
      </c>
      <c r="T124" s="44" t="b">
        <f t="shared" si="46"/>
        <v>0</v>
      </c>
      <c r="U124" s="148" t="str">
        <f>IF(T124,LOOKUP(A124,Discrete_NFET[PARTNUMBER],Discrete_NFET[RDSON10])*1000,IF(S124,LOOKUP(A124,Discrete_NFET[PARTNUMBER],Discrete_NFET[RDSON8])*1000,IF(R124,LOOKUP(A124,Discrete_NFET[PARTNUMBER],Discrete_NFET[RDSON6])*1000,IF(Q124,LOOKUP(A124,Discrete_NFET[PARTNUMBER],Discrete_NFET[RDSON45])*1000,IF(P124,LOOKUP(A124,Discrete_NFET[PARTNUMBER],Discrete_NFET[RDSON3])*1000,IF(O124,LOOKUP(A124,Discrete_NFET[PARTNUMBER],Discrete_NFET[RDSON25])*1000,""))))))</f>
        <v/>
      </c>
      <c r="V124" s="48" t="str">
        <f>IF(AND(A124&lt;&gt;0,A124&lt;&gt;""),U124*(1+(Tj-25)*(LOOKUP(A124,Discrete_NFET[PARTNUMBER],Discrete_NFET[RDSDELTA])/((LOOKUP(A124,Discrete_NFET[PARTNUMBER],Discrete_NFET[TJMAX])-25)))),"")</f>
        <v/>
      </c>
      <c r="W124" s="35" t="str">
        <f>IF(AND($A124&lt;&gt;0,$A124&lt;&gt;""),LOOKUP($A124,Discrete_NFET[PARTNUMBER],Discrete_NFET[QGS]),"")</f>
        <v/>
      </c>
      <c r="X124" s="35" t="str">
        <f>IF(AND($A124&lt;&gt;0,$A124&lt;&gt;""),LOOKUP($A124,Discrete_NFET[PARTNUMBER],Discrete_NFET[QGD]),"")</f>
        <v/>
      </c>
      <c r="Y124" s="35" t="str">
        <f>IF(AND($A124&lt;&gt;0,$A124&lt;&gt;""),LOOKUP($A124,Discrete_NFET[PARTNUMBER],Discrete_NFET[QGTH]),"")</f>
        <v/>
      </c>
      <c r="Z124" s="35" t="str">
        <f t="shared" si="47"/>
        <v/>
      </c>
      <c r="AA124" s="35" t="str">
        <f>IF(AND($A124&lt;&gt;0,$A124&lt;&gt;""),LOOKUP($A124,Discrete_NFET[PARTNUMBER],Discrete_NFET[QOSSTYP]),"")</f>
        <v/>
      </c>
      <c r="AB124" s="35" t="str">
        <f>IF(AND($A124&lt;&gt;0,$A124&lt;&gt;""),LOOKUP($A124,Discrete_NFET[PARTNUMBER],Discrete_NFET[QRR]),"")</f>
        <v/>
      </c>
      <c r="AC124" s="35" t="str">
        <f>IF(AND(A124&lt;&gt;0,A124&lt;&gt;""),LOOKUP(A124,Discrete_NFET[PARTNUMBER],Discrete_NFET[VF_TYP]),"")</f>
        <v/>
      </c>
      <c r="AD124" s="127" t="str">
        <f>IF(AND($A124&lt;&gt;0,$A124&lt;&gt;"",OR(RIGHT(Logic!B124,2)="C)",LEFT(Logic!B124,4)="CSD1")),(1+(1-DUTY))*IM_RMS_120^2*V124*m/3/Num_FETS3,"")</f>
        <v/>
      </c>
      <c r="AE124" s="127" t="str">
        <f>IF(AND($A124&lt;&gt;0,$A124&lt;&gt;"",OR(RIGHT(Logic!B124,2)="C)",LEFT(Logic!B124,4)="CSD1")),Num_FETS3*0.5*IM_RMS_120*VDC_AVG*Z124*n*MOT_ELEC_FREQ/GDR_SRC,"")</f>
        <v/>
      </c>
      <c r="AF124" s="127" t="str">
        <f>IF(AND($A124&lt;&gt;0,$A124&lt;&gt;"",OR(RIGHT(Logic!B124,2)="C)",LEFT(Logic!B124,4)="CSD1")),Num_FETS3*0.5*IM_RMS_120*VDC_AVG*Z124*n*MOT_ELEC_FREQ/GDR_SINK,"")</f>
        <v/>
      </c>
      <c r="AG124" s="127" t="str">
        <f>IF(AND($A124&lt;&gt;0,$A124&lt;&gt;"",OR(RIGHT(Logic!B124,2)="T)",LEFT(Logic!B124,4)="CSD1")),DUTY*IM_RMS_120^2*V124*m/3/Num_FETS3,"")</f>
        <v/>
      </c>
      <c r="AH124" s="127" t="str">
        <f>IF(AND($A124&lt;&gt;0,$A124&lt;&gt;"",OR(RIGHT(Logic!B124,2)="T)",LEFT(Logic!B124,4)="CSD1")),Num_FETS3*0.5*IM_RMS_120*VDC_AVG*Z124*n*FSW*k/GDR_SRC/3,"")</f>
        <v/>
      </c>
      <c r="AI124" s="127" t="str">
        <f>IF(AND($A124&lt;&gt;0,$A124&lt;&gt;"",OR(RIGHT(Logic!B124,2)="T)",LEFT(Logic!B124,4)="CSD1")),Num_FETS3*0.5*IM_RMS_120*VDC_AVG*Z124*n*FSW*k/GDR_SINK/3,"")</f>
        <v/>
      </c>
      <c r="AJ124" s="127" t="str">
        <f t="shared" si="50"/>
        <v/>
      </c>
      <c r="AK124" s="127" t="str">
        <f t="shared" si="51"/>
        <v/>
      </c>
      <c r="AL124" s="127" t="str">
        <f t="shared" si="52"/>
        <v/>
      </c>
      <c r="AM124" s="127" t="str">
        <f t="shared" si="48"/>
        <v/>
      </c>
      <c r="AN124" s="127">
        <f>IF(AND($A124&lt;&gt;0,$A124&lt;&gt;"",OR(RIGHT(Logic!B124,2)="C)",LEFT(Logic!B124,4)="CSD1")),SUM(AD124:AF124)+(AJ124/3)+AK124+AL124/6+AM124/6,AN125)</f>
        <v>0</v>
      </c>
      <c r="AO124" s="127">
        <f>IF(AND($A124&lt;&gt;0,$A124&lt;&gt;"",OR(RIGHT(Logic!B124,2)="T)",LEFT(Logic!B124,4)="CSD1")),SUM(AG124:AI124)+(AJ124/3)+AL124/6+AM124/6,AO123)</f>
        <v>0.23887636588496741</v>
      </c>
      <c r="AP124" s="48" t="str">
        <f t="shared" si="49"/>
        <v/>
      </c>
      <c r="AQ124" s="35" t="str">
        <f>IF(AND(A124&lt;&gt;0,A124&lt;&gt;""),LOOKUP(A124,Discrete_NFET[PARTNUMBER],Discrete_NFET[TI_EQ_PACKAGE]),"")</f>
        <v/>
      </c>
      <c r="AR124" s="49" t="str">
        <f>IF(AND(A124&lt;&gt;0,A124&lt;&gt;""),LOOKUP(A124,Discrete_NFET[PARTNUMBER],Discrete_NFET[1KPRICE]),"")</f>
        <v/>
      </c>
      <c r="AS124" s="35" t="str">
        <f>IF(AND($A124&lt;&gt;0,$A124&lt;&gt;""),CONCATENATE(TEXT(AP124,"0.00"),"W, ",IF('User Input'!H$11="Single Discrete",A124,IF('User Input'!H$11="Dual/Power Block",LEFT(A124,FIND(")",A124)-7),A124)),", ",AQ124,", ",TEXT(AR124,"$0.00")),"Invalid Part")</f>
        <v>Invalid Part</v>
      </c>
      <c r="AT124"/>
      <c r="AW124"/>
    </row>
    <row r="125" spans="1:50" ht="15" customHeight="1" x14ac:dyDescent="0.25">
      <c r="A125" s="35" t="str">
        <f>IF(OR(AND(FET_config3="Dual/Power Block",LEFT(Logic!B125,4)="CSD8"),AND(FET_config3="Single Discrete",LEFT(Logic!B125,4)="CSD1")),Logic!B125,"")</f>
        <v/>
      </c>
      <c r="B125" s="37" t="str">
        <f>IF(OR($A125=0,$A125=""),"0",IF(LOOKUP($A125,Discrete_NFET[PARTNUMBER],Discrete_NFET[RDSON25])="(NULL)","0","1"))</f>
        <v>0</v>
      </c>
      <c r="C125" s="38" t="str">
        <f>IF(OR($A125=0,$A125=""),"0",IF(LOOKUP($A125,Discrete_NFET[PARTNUMBER],Discrete_NFET[RDSON3])="(NULL)","0","1"))</f>
        <v>0</v>
      </c>
      <c r="D125" s="40" t="str">
        <f>IF(OR($A125=0,$A125=""),"0",IF(LOOKUP($A125,Discrete_NFET[PARTNUMBER],Discrete_NFET[RDSON45])="(NULL)","0","1"))</f>
        <v>0</v>
      </c>
      <c r="E125" s="45" t="str">
        <f>IF(OR($A125=0,$A125=""),"0",IF(LOOKUP($A125,Discrete_NFET[PARTNUMBER],Discrete_NFET[RDSON6])="(NULL)","0","1"))</f>
        <v>0</v>
      </c>
      <c r="F125" s="34" t="str">
        <f>IF(OR($A125=0,$A125=""),"0",IF(LOOKUP($A125,Discrete_NFET[PARTNUMBER],Discrete_NFET[RDSON8])="(NULL)","0","1"))</f>
        <v>0</v>
      </c>
      <c r="G125" s="43" t="str">
        <f>IF(OR($A125=0,$A125=""),"0",IF(LOOKUP($A125,Discrete_NFET[PARTNUMBER],Discrete_NFET[RDSON10])="(NULL)","0","1"))</f>
        <v>0</v>
      </c>
      <c r="H125" s="36" t="b">
        <f t="shared" si="34"/>
        <v>0</v>
      </c>
      <c r="I125" s="39" t="b">
        <f t="shared" si="35"/>
        <v>0</v>
      </c>
      <c r="J125" s="41" t="b">
        <f t="shared" si="36"/>
        <v>0</v>
      </c>
      <c r="K125" s="46" t="b">
        <f t="shared" si="37"/>
        <v>0</v>
      </c>
      <c r="L125" s="42" t="b">
        <f t="shared" si="38"/>
        <v>0</v>
      </c>
      <c r="M125" s="44" t="b">
        <f t="shared" si="39"/>
        <v>0</v>
      </c>
      <c r="N125" s="47" t="b">
        <f t="shared" si="40"/>
        <v>0</v>
      </c>
      <c r="O125" s="36" t="b">
        <f t="shared" si="41"/>
        <v>0</v>
      </c>
      <c r="P125" s="39" t="b">
        <f t="shared" si="42"/>
        <v>0</v>
      </c>
      <c r="Q125" s="41" t="b">
        <f t="shared" si="43"/>
        <v>0</v>
      </c>
      <c r="R125" s="46" t="b">
        <f t="shared" si="44"/>
        <v>0</v>
      </c>
      <c r="S125" s="42" t="b">
        <f t="shared" si="45"/>
        <v>0</v>
      </c>
      <c r="T125" s="44" t="b">
        <f t="shared" si="46"/>
        <v>0</v>
      </c>
      <c r="U125" s="148" t="str">
        <f>IF(T125,LOOKUP(A125,Discrete_NFET[PARTNUMBER],Discrete_NFET[RDSON10])*1000,IF(S125,LOOKUP(A125,Discrete_NFET[PARTNUMBER],Discrete_NFET[RDSON8])*1000,IF(R125,LOOKUP(A125,Discrete_NFET[PARTNUMBER],Discrete_NFET[RDSON6])*1000,IF(Q125,LOOKUP(A125,Discrete_NFET[PARTNUMBER],Discrete_NFET[RDSON45])*1000,IF(P125,LOOKUP(A125,Discrete_NFET[PARTNUMBER],Discrete_NFET[RDSON3])*1000,IF(O125,LOOKUP(A125,Discrete_NFET[PARTNUMBER],Discrete_NFET[RDSON25])*1000,""))))))</f>
        <v/>
      </c>
      <c r="V125" s="48" t="str">
        <f>IF(AND(A125&lt;&gt;0,A125&lt;&gt;""),U125*(1+(Tj-25)*(LOOKUP(A125,Discrete_NFET[PARTNUMBER],Discrete_NFET[RDSDELTA])/((LOOKUP(A125,Discrete_NFET[PARTNUMBER],Discrete_NFET[TJMAX])-25)))),"")</f>
        <v/>
      </c>
      <c r="W125" s="35" t="str">
        <f>IF(AND($A125&lt;&gt;0,$A125&lt;&gt;""),LOOKUP($A125,Discrete_NFET[PARTNUMBER],Discrete_NFET[QGS]),"")</f>
        <v/>
      </c>
      <c r="X125" s="35" t="str">
        <f>IF(AND($A125&lt;&gt;0,$A125&lt;&gt;""),LOOKUP($A125,Discrete_NFET[PARTNUMBER],Discrete_NFET[QGD]),"")</f>
        <v/>
      </c>
      <c r="Y125" s="35" t="str">
        <f>IF(AND($A125&lt;&gt;0,$A125&lt;&gt;""),LOOKUP($A125,Discrete_NFET[PARTNUMBER],Discrete_NFET[QGTH]),"")</f>
        <v/>
      </c>
      <c r="Z125" s="35" t="str">
        <f t="shared" si="47"/>
        <v/>
      </c>
      <c r="AA125" s="35" t="str">
        <f>IF(AND($A125&lt;&gt;0,$A125&lt;&gt;""),LOOKUP($A125,Discrete_NFET[PARTNUMBER],Discrete_NFET[QOSSTYP]),"")</f>
        <v/>
      </c>
      <c r="AB125" s="35" t="str">
        <f>IF(AND($A125&lt;&gt;0,$A125&lt;&gt;""),LOOKUP($A125,Discrete_NFET[PARTNUMBER],Discrete_NFET[QRR]),"")</f>
        <v/>
      </c>
      <c r="AC125" s="35" t="str">
        <f>IF(AND(A125&lt;&gt;0,A125&lt;&gt;""),LOOKUP(A125,Discrete_NFET[PARTNUMBER],Discrete_NFET[VF_TYP]),"")</f>
        <v/>
      </c>
      <c r="AD125" s="127" t="str">
        <f>IF(AND($A125&lt;&gt;0,$A125&lt;&gt;"",OR(RIGHT(Logic!B125,2)="C)",LEFT(Logic!B125,4)="CSD1")),(1+(1-DUTY))*IM_RMS_120^2*V125*m/3/Num_FETS3,"")</f>
        <v/>
      </c>
      <c r="AE125" s="127" t="str">
        <f>IF(AND($A125&lt;&gt;0,$A125&lt;&gt;"",OR(RIGHT(Logic!B125,2)="C)",LEFT(Logic!B125,4)="CSD1")),Num_FETS3*0.5*IM_RMS_120*VDC_AVG*Z125*n*MOT_ELEC_FREQ/GDR_SRC,"")</f>
        <v/>
      </c>
      <c r="AF125" s="127" t="str">
        <f>IF(AND($A125&lt;&gt;0,$A125&lt;&gt;"",OR(RIGHT(Logic!B125,2)="C)",LEFT(Logic!B125,4)="CSD1")),Num_FETS3*0.5*IM_RMS_120*VDC_AVG*Z125*n*MOT_ELEC_FREQ/GDR_SINK,"")</f>
        <v/>
      </c>
      <c r="AG125" s="127" t="str">
        <f>IF(AND($A125&lt;&gt;0,$A125&lt;&gt;"",OR(RIGHT(Logic!B125,2)="T)",LEFT(Logic!B125,4)="CSD1")),DUTY*IM_RMS_120^2*V125*m/3/Num_FETS3,"")</f>
        <v/>
      </c>
      <c r="AH125" s="127" t="str">
        <f>IF(AND($A125&lt;&gt;0,$A125&lt;&gt;"",OR(RIGHT(Logic!B125,2)="T)",LEFT(Logic!B125,4)="CSD1")),Num_FETS3*0.5*IM_RMS_120*VDC_AVG*Z125*n*FSW*k/GDR_SRC/3,"")</f>
        <v/>
      </c>
      <c r="AI125" s="127" t="str">
        <f>IF(AND($A125&lt;&gt;0,$A125&lt;&gt;"",OR(RIGHT(Logic!B125,2)="T)",LEFT(Logic!B125,4)="CSD1")),Num_FETS3*0.5*IM_RMS_120*VDC_AVG*Z125*n*FSW*k/GDR_SINK/3,"")</f>
        <v/>
      </c>
      <c r="AJ125" s="127" t="str">
        <f t="shared" si="50"/>
        <v/>
      </c>
      <c r="AK125" s="127" t="str">
        <f t="shared" si="51"/>
        <v/>
      </c>
      <c r="AL125" s="127" t="str">
        <f t="shared" si="52"/>
        <v/>
      </c>
      <c r="AM125" s="127" t="str">
        <f t="shared" si="48"/>
        <v/>
      </c>
      <c r="AN125" s="127">
        <f>IF(AND($A125&lt;&gt;0,$A125&lt;&gt;"",OR(RIGHT(Logic!B125,2)="C)",LEFT(Logic!B125,4)="CSD1")),SUM(AD125:AF125)+(AJ125/3)+AK125+AL125/6+AM125/6,AN126)</f>
        <v>0</v>
      </c>
      <c r="AO125" s="127">
        <f>IF(AND($A125&lt;&gt;0,$A125&lt;&gt;"",OR(RIGHT(Logic!B125,2)="T)",LEFT(Logic!B125,4)="CSD1")),SUM(AG125:AI125)+(AJ125/3)+AL125/6+AM125/6,AO124)</f>
        <v>0.23887636588496741</v>
      </c>
      <c r="AP125" s="48" t="str">
        <f t="shared" si="49"/>
        <v/>
      </c>
      <c r="AQ125" s="35" t="str">
        <f>IF(AND(A125&lt;&gt;0,A125&lt;&gt;""),LOOKUP(A125,Discrete_NFET[PARTNUMBER],Discrete_NFET[TI_EQ_PACKAGE]),"")</f>
        <v/>
      </c>
      <c r="AR125" s="49" t="str">
        <f>IF(AND(A125&lt;&gt;0,A125&lt;&gt;""),LOOKUP(A125,Discrete_NFET[PARTNUMBER],Discrete_NFET[1KPRICE]),"")</f>
        <v/>
      </c>
      <c r="AS125" s="35" t="str">
        <f>IF(AND($A125&lt;&gt;0,$A125&lt;&gt;""),CONCATENATE(TEXT(AP125,"0.00"),"W, ",IF('User Input'!H$11="Single Discrete",A125,IF('User Input'!H$11="Dual/Power Block",LEFT(A125,FIND(")",A125)-7),A125)),", ",AQ125,", ",TEXT(AR125,"$0.00")),"Invalid Part")</f>
        <v>Invalid Part</v>
      </c>
      <c r="AT125"/>
      <c r="AW125"/>
    </row>
    <row r="126" spans="1:50" ht="15" customHeight="1" x14ac:dyDescent="0.25">
      <c r="A126" s="35" t="str">
        <f>IF(OR(AND(FET_config3="Dual/Power Block",LEFT(Logic!B126,4)="CSD8"),AND(FET_config3="Single Discrete",LEFT(Logic!B126,4)="CSD1")),Logic!B126,"")</f>
        <v/>
      </c>
      <c r="B126" s="37" t="str">
        <f>IF(OR($A126=0,$A126=""),"0",IF(LOOKUP($A126,Discrete_NFET[PARTNUMBER],Discrete_NFET[RDSON25])="(NULL)","0","1"))</f>
        <v>0</v>
      </c>
      <c r="C126" s="38" t="str">
        <f>IF(OR($A126=0,$A126=""),"0",IF(LOOKUP($A126,Discrete_NFET[PARTNUMBER],Discrete_NFET[RDSON3])="(NULL)","0","1"))</f>
        <v>0</v>
      </c>
      <c r="D126" s="40" t="str">
        <f>IF(OR($A126=0,$A126=""),"0",IF(LOOKUP($A126,Discrete_NFET[PARTNUMBER],Discrete_NFET[RDSON45])="(NULL)","0","1"))</f>
        <v>0</v>
      </c>
      <c r="E126" s="45" t="str">
        <f>IF(OR($A126=0,$A126=""),"0",IF(LOOKUP($A126,Discrete_NFET[PARTNUMBER],Discrete_NFET[RDSON6])="(NULL)","0","1"))</f>
        <v>0</v>
      </c>
      <c r="F126" s="34" t="str">
        <f>IF(OR($A126=0,$A126=""),"0",IF(LOOKUP($A126,Discrete_NFET[PARTNUMBER],Discrete_NFET[RDSON8])="(NULL)","0","1"))</f>
        <v>0</v>
      </c>
      <c r="G126" s="43" t="str">
        <f>IF(OR($A126=0,$A126=""),"0",IF(LOOKUP($A126,Discrete_NFET[PARTNUMBER],Discrete_NFET[RDSON10])="(NULL)","0","1"))</f>
        <v>0</v>
      </c>
      <c r="H126" s="36" t="b">
        <f t="shared" si="34"/>
        <v>0</v>
      </c>
      <c r="I126" s="39" t="b">
        <f t="shared" si="35"/>
        <v>0</v>
      </c>
      <c r="J126" s="41" t="b">
        <f t="shared" si="36"/>
        <v>0</v>
      </c>
      <c r="K126" s="46" t="b">
        <f t="shared" si="37"/>
        <v>0</v>
      </c>
      <c r="L126" s="42" t="b">
        <f t="shared" si="38"/>
        <v>0</v>
      </c>
      <c r="M126" s="44" t="b">
        <f t="shared" si="39"/>
        <v>0</v>
      </c>
      <c r="N126" s="47" t="b">
        <f t="shared" si="40"/>
        <v>0</v>
      </c>
      <c r="O126" s="36" t="b">
        <f t="shared" si="41"/>
        <v>0</v>
      </c>
      <c r="P126" s="39" t="b">
        <f t="shared" si="42"/>
        <v>0</v>
      </c>
      <c r="Q126" s="41" t="b">
        <f t="shared" si="43"/>
        <v>0</v>
      </c>
      <c r="R126" s="46" t="b">
        <f t="shared" si="44"/>
        <v>0</v>
      </c>
      <c r="S126" s="42" t="b">
        <f t="shared" si="45"/>
        <v>0</v>
      </c>
      <c r="T126" s="44" t="b">
        <f t="shared" si="46"/>
        <v>0</v>
      </c>
      <c r="U126" s="148" t="str">
        <f>IF(T126,LOOKUP(A126,Discrete_NFET[PARTNUMBER],Discrete_NFET[RDSON10])*1000,IF(S126,LOOKUP(A126,Discrete_NFET[PARTNUMBER],Discrete_NFET[RDSON8])*1000,IF(R126,LOOKUP(A126,Discrete_NFET[PARTNUMBER],Discrete_NFET[RDSON6])*1000,IF(Q126,LOOKUP(A126,Discrete_NFET[PARTNUMBER],Discrete_NFET[RDSON45])*1000,IF(P126,LOOKUP(A126,Discrete_NFET[PARTNUMBER],Discrete_NFET[RDSON3])*1000,IF(O126,LOOKUP(A126,Discrete_NFET[PARTNUMBER],Discrete_NFET[RDSON25])*1000,""))))))</f>
        <v/>
      </c>
      <c r="V126" s="48" t="str">
        <f>IF(AND(A126&lt;&gt;0,A126&lt;&gt;""),U126*(1+(Tj-25)*(LOOKUP(A126,Discrete_NFET[PARTNUMBER],Discrete_NFET[RDSDELTA])/((LOOKUP(A126,Discrete_NFET[PARTNUMBER],Discrete_NFET[TJMAX])-25)))),"")</f>
        <v/>
      </c>
      <c r="W126" s="35" t="str">
        <f>IF(AND($A126&lt;&gt;0,$A126&lt;&gt;""),LOOKUP($A126,Discrete_NFET[PARTNUMBER],Discrete_NFET[QGS]),"")</f>
        <v/>
      </c>
      <c r="X126" s="35" t="str">
        <f>IF(AND($A126&lt;&gt;0,$A126&lt;&gt;""),LOOKUP($A126,Discrete_NFET[PARTNUMBER],Discrete_NFET[QGD]),"")</f>
        <v/>
      </c>
      <c r="Y126" s="35" t="str">
        <f>IF(AND($A126&lt;&gt;0,$A126&lt;&gt;""),LOOKUP($A126,Discrete_NFET[PARTNUMBER],Discrete_NFET[QGTH]),"")</f>
        <v/>
      </c>
      <c r="Z126" s="35" t="str">
        <f t="shared" si="47"/>
        <v/>
      </c>
      <c r="AA126" s="35" t="str">
        <f>IF(AND($A126&lt;&gt;0,$A126&lt;&gt;""),LOOKUP($A126,Discrete_NFET[PARTNUMBER],Discrete_NFET[QOSSTYP]),"")</f>
        <v/>
      </c>
      <c r="AB126" s="35" t="str">
        <f>IF(AND($A126&lt;&gt;0,$A126&lt;&gt;""),LOOKUP($A126,Discrete_NFET[PARTNUMBER],Discrete_NFET[QRR]),"")</f>
        <v/>
      </c>
      <c r="AC126" s="35" t="str">
        <f>IF(AND(A126&lt;&gt;0,A126&lt;&gt;""),LOOKUP(A126,Discrete_NFET[PARTNUMBER],Discrete_NFET[VF_TYP]),"")</f>
        <v/>
      </c>
      <c r="AD126" s="127" t="str">
        <f>IF(AND($A126&lt;&gt;0,$A126&lt;&gt;"",OR(RIGHT(Logic!B126,2)="C)",LEFT(Logic!B126,4)="CSD1")),(1+(1-DUTY))*IM_RMS_120^2*V126*m/3/Num_FETS3,"")</f>
        <v/>
      </c>
      <c r="AE126" s="127" t="str">
        <f>IF(AND($A126&lt;&gt;0,$A126&lt;&gt;"",OR(RIGHT(Logic!B126,2)="C)",LEFT(Logic!B126,4)="CSD1")),Num_FETS3*0.5*IM_RMS_120*VDC_AVG*Z126*n*MOT_ELEC_FREQ/GDR_SRC,"")</f>
        <v/>
      </c>
      <c r="AF126" s="127" t="str">
        <f>IF(AND($A126&lt;&gt;0,$A126&lt;&gt;"",OR(RIGHT(Logic!B126,2)="C)",LEFT(Logic!B126,4)="CSD1")),Num_FETS3*0.5*IM_RMS_120*VDC_AVG*Z126*n*MOT_ELEC_FREQ/GDR_SINK,"")</f>
        <v/>
      </c>
      <c r="AG126" s="127" t="str">
        <f>IF(AND($A126&lt;&gt;0,$A126&lt;&gt;"",OR(RIGHT(Logic!B126,2)="T)",LEFT(Logic!B126,4)="CSD1")),DUTY*IM_RMS_120^2*V126*m/3/Num_FETS3,"")</f>
        <v/>
      </c>
      <c r="AH126" s="127" t="str">
        <f>IF(AND($A126&lt;&gt;0,$A126&lt;&gt;"",OR(RIGHT(Logic!B126,2)="T)",LEFT(Logic!B126,4)="CSD1")),Num_FETS3*0.5*IM_RMS_120*VDC_AVG*Z126*n*FSW*k/GDR_SRC/3,"")</f>
        <v/>
      </c>
      <c r="AI126" s="127" t="str">
        <f>IF(AND($A126&lt;&gt;0,$A126&lt;&gt;"",OR(RIGHT(Logic!B126,2)="T)",LEFT(Logic!B126,4)="CSD1")),Num_FETS3*0.5*IM_RMS_120*VDC_AVG*Z126*n*FSW*k/GDR_SINK/3,"")</f>
        <v/>
      </c>
      <c r="AJ126" s="127" t="str">
        <f t="shared" si="50"/>
        <v/>
      </c>
      <c r="AK126" s="127" t="str">
        <f t="shared" si="51"/>
        <v/>
      </c>
      <c r="AL126" s="127" t="str">
        <f t="shared" si="52"/>
        <v/>
      </c>
      <c r="AM126" s="127" t="str">
        <f t="shared" si="48"/>
        <v/>
      </c>
      <c r="AN126" s="127">
        <f>IF(AND($A126&lt;&gt;0,$A126&lt;&gt;"",OR(RIGHT(Logic!B126,2)="C)",LEFT(Logic!B126,4)="CSD1")),SUM(AD126:AF126)+(AJ126/3)+AK126+AL126/6+AM126/6,AN127)</f>
        <v>0</v>
      </c>
      <c r="AO126" s="127">
        <f>IF(AND($A126&lt;&gt;0,$A126&lt;&gt;"",OR(RIGHT(Logic!B126,2)="T)",LEFT(Logic!B126,4)="CSD1")),SUM(AG126:AI126)+(AJ126/3)+AL126/6+AM126/6,AO125)</f>
        <v>0.23887636588496741</v>
      </c>
      <c r="AP126" s="48" t="str">
        <f t="shared" si="49"/>
        <v/>
      </c>
      <c r="AQ126" s="35" t="str">
        <f>IF(AND(A126&lt;&gt;0,A126&lt;&gt;""),LOOKUP(A126,Discrete_NFET[PARTNUMBER],Discrete_NFET[TI_EQ_PACKAGE]),"")</f>
        <v/>
      </c>
      <c r="AR126" s="49" t="str">
        <f>IF(AND(A126&lt;&gt;0,A126&lt;&gt;""),LOOKUP(A126,Discrete_NFET[PARTNUMBER],Discrete_NFET[1KPRICE]),"")</f>
        <v/>
      </c>
      <c r="AS126" s="35" t="str">
        <f>IF(AND($A126&lt;&gt;0,$A126&lt;&gt;""),CONCATENATE(TEXT(AP126,"0.00"),"W, ",IF('User Input'!H$11="Single Discrete",A126,IF('User Input'!H$11="Dual/Power Block",LEFT(A126,FIND(")",A126)-7),A126)),", ",AQ126,", ",TEXT(AR126,"$0.00")),"Invalid Part")</f>
        <v>Invalid Part</v>
      </c>
      <c r="AT126"/>
      <c r="AW126"/>
    </row>
    <row r="127" spans="1:50" ht="15" customHeight="1" x14ac:dyDescent="0.25">
      <c r="A127" s="35" t="str">
        <f>IF(OR(AND(FET_config3="Dual/Power Block",LEFT(Logic!B127,4)="CSD8"),AND(FET_config3="Single Discrete",LEFT(Logic!B127,4)="CSD1")),Logic!B127,"")</f>
        <v/>
      </c>
      <c r="B127" s="37" t="str">
        <f>IF(OR($A127=0,$A127=""),"0",IF(LOOKUP($A127,Discrete_NFET[PARTNUMBER],Discrete_NFET[RDSON25])="(NULL)","0","1"))</f>
        <v>0</v>
      </c>
      <c r="C127" s="38" t="str">
        <f>IF(OR($A127=0,$A127=""),"0",IF(LOOKUP($A127,Discrete_NFET[PARTNUMBER],Discrete_NFET[RDSON3])="(NULL)","0","1"))</f>
        <v>0</v>
      </c>
      <c r="D127" s="40" t="str">
        <f>IF(OR($A127=0,$A127=""),"0",IF(LOOKUP($A127,Discrete_NFET[PARTNUMBER],Discrete_NFET[RDSON45])="(NULL)","0","1"))</f>
        <v>0</v>
      </c>
      <c r="E127" s="45" t="str">
        <f>IF(OR($A127=0,$A127=""),"0",IF(LOOKUP($A127,Discrete_NFET[PARTNUMBER],Discrete_NFET[RDSON6])="(NULL)","0","1"))</f>
        <v>0</v>
      </c>
      <c r="F127" s="34" t="str">
        <f>IF(OR($A127=0,$A127=""),"0",IF(LOOKUP($A127,Discrete_NFET[PARTNUMBER],Discrete_NFET[RDSON8])="(NULL)","0","1"))</f>
        <v>0</v>
      </c>
      <c r="G127" s="43" t="str">
        <f>IF(OR($A127=0,$A127=""),"0",IF(LOOKUP($A127,Discrete_NFET[PARTNUMBER],Discrete_NFET[RDSON10])="(NULL)","0","1"))</f>
        <v>0</v>
      </c>
      <c r="H127" s="36" t="b">
        <f t="shared" si="34"/>
        <v>0</v>
      </c>
      <c r="I127" s="39" t="b">
        <f t="shared" si="35"/>
        <v>0</v>
      </c>
      <c r="J127" s="41" t="b">
        <f t="shared" si="36"/>
        <v>0</v>
      </c>
      <c r="K127" s="46" t="b">
        <f t="shared" si="37"/>
        <v>0</v>
      </c>
      <c r="L127" s="42" t="b">
        <f t="shared" si="38"/>
        <v>0</v>
      </c>
      <c r="M127" s="44" t="b">
        <f t="shared" si="39"/>
        <v>0</v>
      </c>
      <c r="N127" s="47" t="b">
        <f t="shared" si="40"/>
        <v>0</v>
      </c>
      <c r="O127" s="36" t="b">
        <f t="shared" si="41"/>
        <v>0</v>
      </c>
      <c r="P127" s="39" t="b">
        <f t="shared" si="42"/>
        <v>0</v>
      </c>
      <c r="Q127" s="41" t="b">
        <f t="shared" si="43"/>
        <v>0</v>
      </c>
      <c r="R127" s="46" t="b">
        <f t="shared" si="44"/>
        <v>0</v>
      </c>
      <c r="S127" s="42" t="b">
        <f t="shared" si="45"/>
        <v>0</v>
      </c>
      <c r="T127" s="44" t="b">
        <f t="shared" si="46"/>
        <v>0</v>
      </c>
      <c r="U127" s="148" t="str">
        <f>IF(T127,LOOKUP(A127,Discrete_NFET[PARTNUMBER],Discrete_NFET[RDSON10])*1000,IF(S127,LOOKUP(A127,Discrete_NFET[PARTNUMBER],Discrete_NFET[RDSON8])*1000,IF(R127,LOOKUP(A127,Discrete_NFET[PARTNUMBER],Discrete_NFET[RDSON6])*1000,IF(Q127,LOOKUP(A127,Discrete_NFET[PARTNUMBER],Discrete_NFET[RDSON45])*1000,IF(P127,LOOKUP(A127,Discrete_NFET[PARTNUMBER],Discrete_NFET[RDSON3])*1000,IF(O127,LOOKUP(A127,Discrete_NFET[PARTNUMBER],Discrete_NFET[RDSON25])*1000,""))))))</f>
        <v/>
      </c>
      <c r="V127" s="48" t="str">
        <f>IF(AND(A127&lt;&gt;0,A127&lt;&gt;""),U127*(1+(Tj-25)*(LOOKUP(A127,Discrete_NFET[PARTNUMBER],Discrete_NFET[RDSDELTA])/((LOOKUP(A127,Discrete_NFET[PARTNUMBER],Discrete_NFET[TJMAX])-25)))),"")</f>
        <v/>
      </c>
      <c r="W127" s="35" t="str">
        <f>IF(AND($A127&lt;&gt;0,$A127&lt;&gt;""),LOOKUP($A127,Discrete_NFET[PARTNUMBER],Discrete_NFET[QGS]),"")</f>
        <v/>
      </c>
      <c r="X127" s="35" t="str">
        <f>IF(AND($A127&lt;&gt;0,$A127&lt;&gt;""),LOOKUP($A127,Discrete_NFET[PARTNUMBER],Discrete_NFET[QGD]),"")</f>
        <v/>
      </c>
      <c r="Y127" s="35" t="str">
        <f>IF(AND($A127&lt;&gt;0,$A127&lt;&gt;""),LOOKUP($A127,Discrete_NFET[PARTNUMBER],Discrete_NFET[QGTH]),"")</f>
        <v/>
      </c>
      <c r="Z127" s="35" t="str">
        <f t="shared" si="47"/>
        <v/>
      </c>
      <c r="AA127" s="35" t="str">
        <f>IF(AND($A127&lt;&gt;0,$A127&lt;&gt;""),LOOKUP($A127,Discrete_NFET[PARTNUMBER],Discrete_NFET[QOSSTYP]),"")</f>
        <v/>
      </c>
      <c r="AB127" s="35" t="str">
        <f>IF(AND($A127&lt;&gt;0,$A127&lt;&gt;""),LOOKUP($A127,Discrete_NFET[PARTNUMBER],Discrete_NFET[QRR]),"")</f>
        <v/>
      </c>
      <c r="AC127" s="35" t="str">
        <f>IF(AND(A127&lt;&gt;0,A127&lt;&gt;""),LOOKUP(A127,Discrete_NFET[PARTNUMBER],Discrete_NFET[VF_TYP]),"")</f>
        <v/>
      </c>
      <c r="AD127" s="127" t="str">
        <f>IF(AND($A127&lt;&gt;0,$A127&lt;&gt;"",OR(RIGHT(Logic!B127,2)="C)",LEFT(Logic!B127,4)="CSD1")),(1+(1-DUTY))*IM_RMS_120^2*V127*m/3/Num_FETS3,"")</f>
        <v/>
      </c>
      <c r="AE127" s="127" t="str">
        <f>IF(AND($A127&lt;&gt;0,$A127&lt;&gt;"",OR(RIGHT(Logic!B127,2)="C)",LEFT(Logic!B127,4)="CSD1")),Num_FETS3*0.5*IM_RMS_120*VDC_AVG*Z127*n*MOT_ELEC_FREQ/GDR_SRC,"")</f>
        <v/>
      </c>
      <c r="AF127" s="127" t="str">
        <f>IF(AND($A127&lt;&gt;0,$A127&lt;&gt;"",OR(RIGHT(Logic!B127,2)="C)",LEFT(Logic!B127,4)="CSD1")),Num_FETS3*0.5*IM_RMS_120*VDC_AVG*Z127*n*MOT_ELEC_FREQ/GDR_SINK,"")</f>
        <v/>
      </c>
      <c r="AG127" s="127" t="str">
        <f>IF(AND($A127&lt;&gt;0,$A127&lt;&gt;"",OR(RIGHT(Logic!B127,2)="T)",LEFT(Logic!B127,4)="CSD1")),DUTY*IM_RMS_120^2*V127*m/3/Num_FETS3,"")</f>
        <v/>
      </c>
      <c r="AH127" s="127" t="str">
        <f>IF(AND($A127&lt;&gt;0,$A127&lt;&gt;"",OR(RIGHT(Logic!B127,2)="T)",LEFT(Logic!B127,4)="CSD1")),Num_FETS3*0.5*IM_RMS_120*VDC_AVG*Z127*n*FSW*k/GDR_SRC/3,"")</f>
        <v/>
      </c>
      <c r="AI127" s="127" t="str">
        <f>IF(AND($A127&lt;&gt;0,$A127&lt;&gt;"",OR(RIGHT(Logic!B127,2)="T)",LEFT(Logic!B127,4)="CSD1")),Num_FETS3*0.5*IM_RMS_120*VDC_AVG*Z127*n*FSW*k/GDR_SINK/3,"")</f>
        <v/>
      </c>
      <c r="AJ127" s="127" t="str">
        <f t="shared" si="50"/>
        <v/>
      </c>
      <c r="AK127" s="127" t="str">
        <f t="shared" si="51"/>
        <v/>
      </c>
      <c r="AL127" s="127" t="str">
        <f t="shared" si="52"/>
        <v/>
      </c>
      <c r="AM127" s="127" t="str">
        <f t="shared" si="48"/>
        <v/>
      </c>
      <c r="AN127" s="127">
        <f>IF(AND($A127&lt;&gt;0,$A127&lt;&gt;"",OR(RIGHT(Logic!B127,2)="C)",LEFT(Logic!B127,4)="CSD1")),SUM(AD127:AF127)+(AJ127/3)+AK127+AL127/6+AM127/6,AN128)</f>
        <v>0</v>
      </c>
      <c r="AO127" s="127">
        <f>IF(AND($A127&lt;&gt;0,$A127&lt;&gt;"",OR(RIGHT(Logic!B127,2)="T)",LEFT(Logic!B127,4)="CSD1")),SUM(AG127:AI127)+(AJ127/3)+AL127/6+AM127/6,AO126)</f>
        <v>0.23887636588496741</v>
      </c>
      <c r="AP127" s="48" t="str">
        <f t="shared" si="49"/>
        <v/>
      </c>
      <c r="AQ127" s="35" t="str">
        <f>IF(AND(A127&lt;&gt;0,A127&lt;&gt;""),LOOKUP(A127,Discrete_NFET[PARTNUMBER],Discrete_NFET[TI_EQ_PACKAGE]),"")</f>
        <v/>
      </c>
      <c r="AR127" s="49" t="str">
        <f>IF(AND(A127&lt;&gt;0,A127&lt;&gt;""),LOOKUP(A127,Discrete_NFET[PARTNUMBER],Discrete_NFET[1KPRICE]),"")</f>
        <v/>
      </c>
      <c r="AS127" s="35" t="str">
        <f>IF(AND($A127&lt;&gt;0,$A127&lt;&gt;""),CONCATENATE(TEXT(AP127,"0.00"),"W, ",IF('User Input'!H$11="Single Discrete",A127,IF('User Input'!H$11="Dual/Power Block",LEFT(A127,FIND(")",A127)-7),A127)),", ",AQ127,", ",TEXT(AR127,"$0.00")),"Invalid Part")</f>
        <v>Invalid Part</v>
      </c>
      <c r="AT127"/>
      <c r="AW127"/>
    </row>
    <row r="128" spans="1:50" ht="15" customHeight="1" x14ac:dyDescent="0.25">
      <c r="A128" s="35" t="str">
        <f>IF(OR(AND(FET_config3="Dual/Power Block",LEFT(Logic!B128,4)="CSD8"),AND(FET_config3="Single Discrete",LEFT(Logic!B128,4)="CSD1")),Logic!B128,"")</f>
        <v/>
      </c>
      <c r="B128" s="37" t="str">
        <f>IF(OR($A128=0,$A128=""),"0",IF(LOOKUP($A128,Discrete_NFET[PARTNUMBER],Discrete_NFET[RDSON25])="(NULL)","0","1"))</f>
        <v>0</v>
      </c>
      <c r="C128" s="38" t="str">
        <f>IF(OR($A128=0,$A128=""),"0",IF(LOOKUP($A128,Discrete_NFET[PARTNUMBER],Discrete_NFET[RDSON3])="(NULL)","0","1"))</f>
        <v>0</v>
      </c>
      <c r="D128" s="40" t="str">
        <f>IF(OR($A128=0,$A128=""),"0",IF(LOOKUP($A128,Discrete_NFET[PARTNUMBER],Discrete_NFET[RDSON45])="(NULL)","0","1"))</f>
        <v>0</v>
      </c>
      <c r="E128" s="45" t="str">
        <f>IF(OR($A128=0,$A128=""),"0",IF(LOOKUP($A128,Discrete_NFET[PARTNUMBER],Discrete_NFET[RDSON6])="(NULL)","0","1"))</f>
        <v>0</v>
      </c>
      <c r="F128" s="34" t="str">
        <f>IF(OR($A128=0,$A128=""),"0",IF(LOOKUP($A128,Discrete_NFET[PARTNUMBER],Discrete_NFET[RDSON8])="(NULL)","0","1"))</f>
        <v>0</v>
      </c>
      <c r="G128" s="43" t="str">
        <f>IF(OR($A128=0,$A128=""),"0",IF(LOOKUP($A128,Discrete_NFET[PARTNUMBER],Discrete_NFET[RDSON10])="(NULL)","0","1"))</f>
        <v>0</v>
      </c>
      <c r="H128" s="36" t="b">
        <f t="shared" si="34"/>
        <v>0</v>
      </c>
      <c r="I128" s="39" t="b">
        <f t="shared" si="35"/>
        <v>0</v>
      </c>
      <c r="J128" s="41" t="b">
        <f t="shared" si="36"/>
        <v>0</v>
      </c>
      <c r="K128" s="46" t="b">
        <f t="shared" si="37"/>
        <v>0</v>
      </c>
      <c r="L128" s="42" t="b">
        <f t="shared" si="38"/>
        <v>0</v>
      </c>
      <c r="M128" s="44" t="b">
        <f t="shared" si="39"/>
        <v>0</v>
      </c>
      <c r="N128" s="47" t="b">
        <f t="shared" si="40"/>
        <v>0</v>
      </c>
      <c r="O128" s="36" t="b">
        <f t="shared" si="41"/>
        <v>0</v>
      </c>
      <c r="P128" s="39" t="b">
        <f t="shared" si="42"/>
        <v>0</v>
      </c>
      <c r="Q128" s="41" t="b">
        <f t="shared" si="43"/>
        <v>0</v>
      </c>
      <c r="R128" s="46" t="b">
        <f t="shared" si="44"/>
        <v>0</v>
      </c>
      <c r="S128" s="42" t="b">
        <f t="shared" si="45"/>
        <v>0</v>
      </c>
      <c r="T128" s="44" t="b">
        <f t="shared" si="46"/>
        <v>0</v>
      </c>
      <c r="U128" s="148" t="str">
        <f>IF(T128,LOOKUP(A128,Discrete_NFET[PARTNUMBER],Discrete_NFET[RDSON10])*1000,IF(S128,LOOKUP(A128,Discrete_NFET[PARTNUMBER],Discrete_NFET[RDSON8])*1000,IF(R128,LOOKUP(A128,Discrete_NFET[PARTNUMBER],Discrete_NFET[RDSON6])*1000,IF(Q128,LOOKUP(A128,Discrete_NFET[PARTNUMBER],Discrete_NFET[RDSON45])*1000,IF(P128,LOOKUP(A128,Discrete_NFET[PARTNUMBER],Discrete_NFET[RDSON3])*1000,IF(O128,LOOKUP(A128,Discrete_NFET[PARTNUMBER],Discrete_NFET[RDSON25])*1000,""))))))</f>
        <v/>
      </c>
      <c r="V128" s="48" t="str">
        <f>IF(AND(A128&lt;&gt;0,A128&lt;&gt;""),U128*(1+(Tj-25)*(LOOKUP(A128,Discrete_NFET[PARTNUMBER],Discrete_NFET[RDSDELTA])/((LOOKUP(A128,Discrete_NFET[PARTNUMBER],Discrete_NFET[TJMAX])-25)))),"")</f>
        <v/>
      </c>
      <c r="W128" s="35" t="str">
        <f>IF(AND($A128&lt;&gt;0,$A128&lt;&gt;""),LOOKUP($A128,Discrete_NFET[PARTNUMBER],Discrete_NFET[QGS]),"")</f>
        <v/>
      </c>
      <c r="X128" s="35" t="str">
        <f>IF(AND($A128&lt;&gt;0,$A128&lt;&gt;""),LOOKUP($A128,Discrete_NFET[PARTNUMBER],Discrete_NFET[QGD]),"")</f>
        <v/>
      </c>
      <c r="Y128" s="35" t="str">
        <f>IF(AND($A128&lt;&gt;0,$A128&lt;&gt;""),LOOKUP($A128,Discrete_NFET[PARTNUMBER],Discrete_NFET[QGTH]),"")</f>
        <v/>
      </c>
      <c r="Z128" s="35" t="str">
        <f t="shared" si="47"/>
        <v/>
      </c>
      <c r="AA128" s="35" t="str">
        <f>IF(AND($A128&lt;&gt;0,$A128&lt;&gt;""),LOOKUP($A128,Discrete_NFET[PARTNUMBER],Discrete_NFET[QOSSTYP]),"")</f>
        <v/>
      </c>
      <c r="AB128" s="35" t="str">
        <f>IF(AND($A128&lt;&gt;0,$A128&lt;&gt;""),LOOKUP($A128,Discrete_NFET[PARTNUMBER],Discrete_NFET[QRR]),"")</f>
        <v/>
      </c>
      <c r="AC128" s="35" t="str">
        <f>IF(AND(A128&lt;&gt;0,A128&lt;&gt;""),LOOKUP(A128,Discrete_NFET[PARTNUMBER],Discrete_NFET[VF_TYP]),"")</f>
        <v/>
      </c>
      <c r="AD128" s="127" t="str">
        <f>IF(AND($A128&lt;&gt;0,$A128&lt;&gt;"",OR(RIGHT(Logic!B128,2)="C)",LEFT(Logic!B128,4)="CSD1")),(1+(1-DUTY))*IM_RMS_120^2*V128*m/3/Num_FETS3,"")</f>
        <v/>
      </c>
      <c r="AE128" s="127" t="str">
        <f>IF(AND($A128&lt;&gt;0,$A128&lt;&gt;"",OR(RIGHT(Logic!B128,2)="C)",LEFT(Logic!B128,4)="CSD1")),Num_FETS3*0.5*IM_RMS_120*VDC_AVG*Z128*n*MOT_ELEC_FREQ/GDR_SRC,"")</f>
        <v/>
      </c>
      <c r="AF128" s="127" t="str">
        <f>IF(AND($A128&lt;&gt;0,$A128&lt;&gt;"",OR(RIGHT(Logic!B128,2)="C)",LEFT(Logic!B128,4)="CSD1")),Num_FETS3*0.5*IM_RMS_120*VDC_AVG*Z128*n*MOT_ELEC_FREQ/GDR_SINK,"")</f>
        <v/>
      </c>
      <c r="AG128" s="127" t="str">
        <f>IF(AND($A128&lt;&gt;0,$A128&lt;&gt;"",OR(RIGHT(Logic!B128,2)="T)",LEFT(Logic!B128,4)="CSD1")),DUTY*IM_RMS_120^2*V128*m/3/Num_FETS3,"")</f>
        <v/>
      </c>
      <c r="AH128" s="127" t="str">
        <f>IF(AND($A128&lt;&gt;0,$A128&lt;&gt;"",OR(RIGHT(Logic!B128,2)="T)",LEFT(Logic!B128,4)="CSD1")),Num_FETS3*0.5*IM_RMS_120*VDC_AVG*Z128*n*FSW*k/GDR_SRC/3,"")</f>
        <v/>
      </c>
      <c r="AI128" s="127" t="str">
        <f>IF(AND($A128&lt;&gt;0,$A128&lt;&gt;"",OR(RIGHT(Logic!B128,2)="T)",LEFT(Logic!B128,4)="CSD1")),Num_FETS3*0.5*IM_RMS_120*VDC_AVG*Z128*n*FSW*k/GDR_SINK/3,"")</f>
        <v/>
      </c>
      <c r="AJ128" s="127" t="str">
        <f t="shared" si="50"/>
        <v/>
      </c>
      <c r="AK128" s="127" t="str">
        <f t="shared" si="51"/>
        <v/>
      </c>
      <c r="AL128" s="127" t="str">
        <f t="shared" si="52"/>
        <v/>
      </c>
      <c r="AM128" s="127" t="str">
        <f t="shared" si="48"/>
        <v/>
      </c>
      <c r="AN128" s="127">
        <f>IF(AND($A128&lt;&gt;0,$A128&lt;&gt;"",OR(RIGHT(Logic!B128,2)="C)",LEFT(Logic!B128,4)="CSD1")),SUM(AD128:AF128)+(AJ128/3)+AK128+AL128/6+AM128/6,AN129)</f>
        <v>0</v>
      </c>
      <c r="AO128" s="127">
        <f>IF(AND($A128&lt;&gt;0,$A128&lt;&gt;"",OR(RIGHT(Logic!B128,2)="T)",LEFT(Logic!B128,4)="CSD1")),SUM(AG128:AI128)+(AJ128/3)+AL128/6+AM128/6,AO127)</f>
        <v>0.23887636588496741</v>
      </c>
      <c r="AP128" s="48" t="str">
        <f t="shared" si="49"/>
        <v/>
      </c>
      <c r="AQ128" s="35" t="str">
        <f>IF(AND(A128&lt;&gt;0,A128&lt;&gt;""),LOOKUP(A128,Discrete_NFET[PARTNUMBER],Discrete_NFET[TI_EQ_PACKAGE]),"")</f>
        <v/>
      </c>
      <c r="AR128" s="49" t="str">
        <f>IF(AND(A128&lt;&gt;0,A128&lt;&gt;""),LOOKUP(A128,Discrete_NFET[PARTNUMBER],Discrete_NFET[1KPRICE]),"")</f>
        <v/>
      </c>
      <c r="AS128" s="35" t="str">
        <f>IF(AND($A128&lt;&gt;0,$A128&lt;&gt;""),CONCATENATE(TEXT(AP128,"0.00"),"W, ",IF('User Input'!H$11="Single Discrete",A128,IF('User Input'!H$11="Dual/Power Block",LEFT(A128,FIND(")",A128)-7),A128)),", ",AQ128,", ",TEXT(AR128,"$0.00")),"Invalid Part")</f>
        <v>Invalid Part</v>
      </c>
      <c r="AT128"/>
      <c r="AW128"/>
    </row>
    <row r="129" spans="1:54" s="17" customFormat="1" x14ac:dyDescent="0.25">
      <c r="A129" s="35" t="str">
        <f>IF(OR(AND(FET_config3="Dual/Power Block",LEFT(Logic!B129,4)="CSD8"),AND(FET_config3="Single Discrete",LEFT(Logic!B129,4)="CSD1")),Logic!B129,"")</f>
        <v/>
      </c>
      <c r="B129" s="37" t="str">
        <f>IF(OR($A129=0,$A129=""),"0",IF(LOOKUP($A129,Discrete_NFET[PARTNUMBER],Discrete_NFET[RDSON25])="(NULL)","0","1"))</f>
        <v>0</v>
      </c>
      <c r="C129" s="38" t="str">
        <f>IF(OR($A129=0,$A129=""),"0",IF(LOOKUP($A129,Discrete_NFET[PARTNUMBER],Discrete_NFET[RDSON3])="(NULL)","0","1"))</f>
        <v>0</v>
      </c>
      <c r="D129" s="40" t="str">
        <f>IF(OR($A129=0,$A129=""),"0",IF(LOOKUP($A129,Discrete_NFET[PARTNUMBER],Discrete_NFET[RDSON45])="(NULL)","0","1"))</f>
        <v>0</v>
      </c>
      <c r="E129" s="45" t="str">
        <f>IF(OR($A129=0,$A129=""),"0",IF(LOOKUP($A129,Discrete_NFET[PARTNUMBER],Discrete_NFET[RDSON6])="(NULL)","0","1"))</f>
        <v>0</v>
      </c>
      <c r="F129" s="34" t="str">
        <f>IF(OR($A129=0,$A129=""),"0",IF(LOOKUP($A129,Discrete_NFET[PARTNUMBER],Discrete_NFET[RDSON8])="(NULL)","0","1"))</f>
        <v>0</v>
      </c>
      <c r="G129" s="43" t="str">
        <f>IF(OR($A129=0,$A129=""),"0",IF(LOOKUP($A129,Discrete_NFET[PARTNUMBER],Discrete_NFET[RDSON10])="(NULL)","0","1"))</f>
        <v>0</v>
      </c>
      <c r="H129" s="36" t="b">
        <f t="shared" si="34"/>
        <v>0</v>
      </c>
      <c r="I129" s="39" t="b">
        <f t="shared" si="35"/>
        <v>0</v>
      </c>
      <c r="J129" s="41" t="b">
        <f t="shared" si="36"/>
        <v>0</v>
      </c>
      <c r="K129" s="46" t="b">
        <f t="shared" si="37"/>
        <v>0</v>
      </c>
      <c r="L129" s="42" t="b">
        <f t="shared" si="38"/>
        <v>0</v>
      </c>
      <c r="M129" s="44" t="b">
        <f t="shared" si="39"/>
        <v>0</v>
      </c>
      <c r="N129" s="47" t="b">
        <f t="shared" si="40"/>
        <v>0</v>
      </c>
      <c r="O129" s="36" t="b">
        <f t="shared" si="41"/>
        <v>0</v>
      </c>
      <c r="P129" s="39" t="b">
        <f t="shared" si="42"/>
        <v>0</v>
      </c>
      <c r="Q129" s="41" t="b">
        <f t="shared" si="43"/>
        <v>0</v>
      </c>
      <c r="R129" s="46" t="b">
        <f t="shared" si="44"/>
        <v>0</v>
      </c>
      <c r="S129" s="42" t="b">
        <f t="shared" si="45"/>
        <v>0</v>
      </c>
      <c r="T129" s="44" t="b">
        <f t="shared" si="46"/>
        <v>0</v>
      </c>
      <c r="U129" s="148" t="str">
        <f>IF(T129,LOOKUP(A129,Discrete_NFET[PARTNUMBER],Discrete_NFET[RDSON10])*1000,IF(S129,LOOKUP(A129,Discrete_NFET[PARTNUMBER],Discrete_NFET[RDSON8])*1000,IF(R129,LOOKUP(A129,Discrete_NFET[PARTNUMBER],Discrete_NFET[RDSON6])*1000,IF(Q129,LOOKUP(A129,Discrete_NFET[PARTNUMBER],Discrete_NFET[RDSON45])*1000,IF(P129,LOOKUP(A129,Discrete_NFET[PARTNUMBER],Discrete_NFET[RDSON3])*1000,IF(O129,LOOKUP(A129,Discrete_NFET[PARTNUMBER],Discrete_NFET[RDSON25])*1000,""))))))</f>
        <v/>
      </c>
      <c r="V129" s="48" t="str">
        <f>IF(AND(A129&lt;&gt;0,A129&lt;&gt;""),U129*(1+(Tj-25)*(LOOKUP(A129,Discrete_NFET[PARTNUMBER],Discrete_NFET[RDSDELTA])/((LOOKUP(A129,Discrete_NFET[PARTNUMBER],Discrete_NFET[TJMAX])-25)))),"")</f>
        <v/>
      </c>
      <c r="W129" s="35" t="str">
        <f>IF(AND($A129&lt;&gt;0,$A129&lt;&gt;""),LOOKUP($A129,Discrete_NFET[PARTNUMBER],Discrete_NFET[QGS]),"")</f>
        <v/>
      </c>
      <c r="X129" s="35" t="str">
        <f>IF(AND($A129&lt;&gt;0,$A129&lt;&gt;""),LOOKUP($A129,Discrete_NFET[PARTNUMBER],Discrete_NFET[QGD]),"")</f>
        <v/>
      </c>
      <c r="Y129" s="35" t="str">
        <f>IF(AND($A129&lt;&gt;0,$A129&lt;&gt;""),LOOKUP($A129,Discrete_NFET[PARTNUMBER],Discrete_NFET[QGTH]),"")</f>
        <v/>
      </c>
      <c r="Z129" s="35" t="str">
        <f t="shared" si="47"/>
        <v/>
      </c>
      <c r="AA129" s="35" t="str">
        <f>IF(AND($A129&lt;&gt;0,$A129&lt;&gt;""),LOOKUP($A129,Discrete_NFET[PARTNUMBER],Discrete_NFET[QOSSTYP]),"")</f>
        <v/>
      </c>
      <c r="AB129" s="35" t="str">
        <f>IF(AND($A129&lt;&gt;0,$A129&lt;&gt;""),LOOKUP($A129,Discrete_NFET[PARTNUMBER],Discrete_NFET[QRR]),"")</f>
        <v/>
      </c>
      <c r="AC129" s="35" t="str">
        <f>IF(AND(A129&lt;&gt;0,A129&lt;&gt;""),LOOKUP(A129,Discrete_NFET[PARTNUMBER],Discrete_NFET[VF_TYP]),"")</f>
        <v/>
      </c>
      <c r="AD129" s="127" t="str">
        <f>IF(AND($A129&lt;&gt;0,$A129&lt;&gt;"",OR(RIGHT(Logic!B129,2)="C)",LEFT(Logic!B129,4)="CSD1")),(1+(1-DUTY))*IM_RMS_120^2*V129*m/3/Num_FETS3,"")</f>
        <v/>
      </c>
      <c r="AE129" s="127" t="str">
        <f>IF(AND($A129&lt;&gt;0,$A129&lt;&gt;"",OR(RIGHT(Logic!B129,2)="C)",LEFT(Logic!B129,4)="CSD1")),Num_FETS3*0.5*IM_RMS_120*VDC_AVG*Z129*n*MOT_ELEC_FREQ/GDR_SRC,"")</f>
        <v/>
      </c>
      <c r="AF129" s="127" t="str">
        <f>IF(AND($A129&lt;&gt;0,$A129&lt;&gt;"",OR(RIGHT(Logic!B129,2)="C)",LEFT(Logic!B129,4)="CSD1")),Num_FETS3*0.5*IM_RMS_120*VDC_AVG*Z129*n*MOT_ELEC_FREQ/GDR_SINK,"")</f>
        <v/>
      </c>
      <c r="AG129" s="127" t="str">
        <f>IF(AND($A129&lt;&gt;0,$A129&lt;&gt;"",OR(RIGHT(Logic!B129,2)="T)",LEFT(Logic!B129,4)="CSD1")),DUTY*IM_RMS_120^2*V129*m/3/Num_FETS3,"")</f>
        <v/>
      </c>
      <c r="AH129" s="127" t="str">
        <f>IF(AND($A129&lt;&gt;0,$A129&lt;&gt;"",OR(RIGHT(Logic!B129,2)="T)",LEFT(Logic!B129,4)="CSD1")),Num_FETS3*0.5*IM_RMS_120*VDC_AVG*Z129*n*FSW*k/GDR_SRC/3,"")</f>
        <v/>
      </c>
      <c r="AI129" s="127" t="str">
        <f>IF(AND($A129&lt;&gt;0,$A129&lt;&gt;"",OR(RIGHT(Logic!B129,2)="T)",LEFT(Logic!B129,4)="CSD1")),Num_FETS3*0.5*IM_RMS_120*VDC_AVG*Z129*n*FSW*k/GDR_SINK/3,"")</f>
        <v/>
      </c>
      <c r="AJ129" s="127" t="str">
        <f t="shared" si="50"/>
        <v/>
      </c>
      <c r="AK129" s="127" t="str">
        <f t="shared" si="51"/>
        <v/>
      </c>
      <c r="AL129" s="127" t="str">
        <f t="shared" si="52"/>
        <v/>
      </c>
      <c r="AM129" s="127" t="str">
        <f t="shared" si="48"/>
        <v/>
      </c>
      <c r="AN129" s="127">
        <f>IF(AND($A129&lt;&gt;0,$A129&lt;&gt;"",OR(RIGHT(Logic!B129,2)="C)",LEFT(Logic!B129,4)="CSD1")),SUM(AD129:AF129)+(AJ129/3)+AK129+AL129/6+AM129/6,AN130)</f>
        <v>0</v>
      </c>
      <c r="AO129" s="127">
        <f>IF(AND($A129&lt;&gt;0,$A129&lt;&gt;"",OR(RIGHT(Logic!B129,2)="T)",LEFT(Logic!B129,4)="CSD1")),SUM(AG129:AI129)+(AJ129/3)+AL129/6+AM129/6,AO128)</f>
        <v>0.23887636588496741</v>
      </c>
      <c r="AP129" s="48" t="str">
        <f t="shared" si="49"/>
        <v/>
      </c>
      <c r="AQ129" s="35" t="str">
        <f>IF(AND(A129&lt;&gt;0,A129&lt;&gt;""),LOOKUP(A129,Discrete_NFET[PARTNUMBER],Discrete_NFET[TI_EQ_PACKAGE]),"")</f>
        <v/>
      </c>
      <c r="AR129" s="49" t="str">
        <f>IF(AND(A129&lt;&gt;0,A129&lt;&gt;""),LOOKUP(A129,Discrete_NFET[PARTNUMBER],Discrete_NFET[1KPRICE]),"")</f>
        <v/>
      </c>
      <c r="AS129" s="35" t="str">
        <f>IF(AND($A129&lt;&gt;0,$A129&lt;&gt;""),CONCATENATE(TEXT(AP129,"0.00"),"W, ",IF('User Input'!H$11="Single Discrete",A129,IF('User Input'!H$11="Dual/Power Block",LEFT(A129,FIND(")",A129)-7),A129)),", ",AQ129,", ",TEXT(AR129,"$0.00")),"Invalid Part")</f>
        <v>Invalid Part</v>
      </c>
      <c r="AT129"/>
      <c r="AU129" s="16"/>
      <c r="AV129" s="16"/>
      <c r="AX129" s="16"/>
    </row>
    <row r="130" spans="1:54" x14ac:dyDescent="0.25">
      <c r="A130" s="35" t="str">
        <f>IF(OR(AND(FET_config3="Dual/Power Block",LEFT(Logic!B130,4)="CSD8"),AND(FET_config3="Single Discrete",LEFT(Logic!B130,4)="CSD1")),Logic!B130,"")</f>
        <v/>
      </c>
      <c r="B130" s="37" t="str">
        <f>IF(OR($A130=0,$A130=""),"0",IF(LOOKUP($A130,Discrete_NFET[PARTNUMBER],Discrete_NFET[RDSON25])="(NULL)","0","1"))</f>
        <v>0</v>
      </c>
      <c r="C130" s="38" t="str">
        <f>IF(OR($A130=0,$A130=""),"0",IF(LOOKUP($A130,Discrete_NFET[PARTNUMBER],Discrete_NFET[RDSON3])="(NULL)","0","1"))</f>
        <v>0</v>
      </c>
      <c r="D130" s="40" t="str">
        <f>IF(OR($A130=0,$A130=""),"0",IF(LOOKUP($A130,Discrete_NFET[PARTNUMBER],Discrete_NFET[RDSON45])="(NULL)","0","1"))</f>
        <v>0</v>
      </c>
      <c r="E130" s="45" t="str">
        <f>IF(OR($A130=0,$A130=""),"0",IF(LOOKUP($A130,Discrete_NFET[PARTNUMBER],Discrete_NFET[RDSON6])="(NULL)","0","1"))</f>
        <v>0</v>
      </c>
      <c r="F130" s="34" t="str">
        <f>IF(OR($A130=0,$A130=""),"0",IF(LOOKUP($A130,Discrete_NFET[PARTNUMBER],Discrete_NFET[RDSON8])="(NULL)","0","1"))</f>
        <v>0</v>
      </c>
      <c r="G130" s="43" t="str">
        <f>IF(OR($A130=0,$A130=""),"0",IF(LOOKUP($A130,Discrete_NFET[PARTNUMBER],Discrete_NFET[RDSON10])="(NULL)","0","1"))</f>
        <v>0</v>
      </c>
      <c r="H130" s="36" t="b">
        <f t="shared" si="34"/>
        <v>0</v>
      </c>
      <c r="I130" s="39" t="b">
        <f t="shared" si="35"/>
        <v>0</v>
      </c>
      <c r="J130" s="41" t="b">
        <f t="shared" si="36"/>
        <v>0</v>
      </c>
      <c r="K130" s="46" t="b">
        <f t="shared" si="37"/>
        <v>0</v>
      </c>
      <c r="L130" s="42" t="b">
        <f t="shared" si="38"/>
        <v>0</v>
      </c>
      <c r="M130" s="44" t="b">
        <f t="shared" si="39"/>
        <v>0</v>
      </c>
      <c r="N130" s="47" t="b">
        <f t="shared" si="40"/>
        <v>0</v>
      </c>
      <c r="O130" s="36" t="b">
        <f t="shared" si="41"/>
        <v>0</v>
      </c>
      <c r="P130" s="39" t="b">
        <f t="shared" si="42"/>
        <v>0</v>
      </c>
      <c r="Q130" s="41" t="b">
        <f t="shared" si="43"/>
        <v>0</v>
      </c>
      <c r="R130" s="46" t="b">
        <f t="shared" si="44"/>
        <v>0</v>
      </c>
      <c r="S130" s="42" t="b">
        <f t="shared" si="45"/>
        <v>0</v>
      </c>
      <c r="T130" s="44" t="b">
        <f t="shared" si="46"/>
        <v>0</v>
      </c>
      <c r="U130" s="148" t="str">
        <f>IF(T130,LOOKUP(A130,Discrete_NFET[PARTNUMBER],Discrete_NFET[RDSON10])*1000,IF(S130,LOOKUP(A130,Discrete_NFET[PARTNUMBER],Discrete_NFET[RDSON8])*1000,IF(R130,LOOKUP(A130,Discrete_NFET[PARTNUMBER],Discrete_NFET[RDSON6])*1000,IF(Q130,LOOKUP(A130,Discrete_NFET[PARTNUMBER],Discrete_NFET[RDSON45])*1000,IF(P130,LOOKUP(A130,Discrete_NFET[PARTNUMBER],Discrete_NFET[RDSON3])*1000,IF(O130,LOOKUP(A130,Discrete_NFET[PARTNUMBER],Discrete_NFET[RDSON25])*1000,""))))))</f>
        <v/>
      </c>
      <c r="V130" s="48" t="str">
        <f>IF(AND(A130&lt;&gt;0,A130&lt;&gt;""),U130*(1+(Tj-25)*(LOOKUP(A130,Discrete_NFET[PARTNUMBER],Discrete_NFET[RDSDELTA])/((LOOKUP(A130,Discrete_NFET[PARTNUMBER],Discrete_NFET[TJMAX])-25)))),"")</f>
        <v/>
      </c>
      <c r="W130" s="35" t="str">
        <f>IF(AND($A130&lt;&gt;0,$A130&lt;&gt;""),LOOKUP($A130,Discrete_NFET[PARTNUMBER],Discrete_NFET[QGS]),"")</f>
        <v/>
      </c>
      <c r="X130" s="35" t="str">
        <f>IF(AND($A130&lt;&gt;0,$A130&lt;&gt;""),LOOKUP($A130,Discrete_NFET[PARTNUMBER],Discrete_NFET[QGD]),"")</f>
        <v/>
      </c>
      <c r="Y130" s="35" t="str">
        <f>IF(AND($A130&lt;&gt;0,$A130&lt;&gt;""),LOOKUP($A130,Discrete_NFET[PARTNUMBER],Discrete_NFET[QGTH]),"")</f>
        <v/>
      </c>
      <c r="Z130" s="35" t="str">
        <f t="shared" si="47"/>
        <v/>
      </c>
      <c r="AA130" s="35" t="str">
        <f>IF(AND($A130&lt;&gt;0,$A130&lt;&gt;""),LOOKUP($A130,Discrete_NFET[PARTNUMBER],Discrete_NFET[QOSSTYP]),"")</f>
        <v/>
      </c>
      <c r="AB130" s="35" t="str">
        <f>IF(AND($A130&lt;&gt;0,$A130&lt;&gt;""),LOOKUP($A130,Discrete_NFET[PARTNUMBER],Discrete_NFET[QRR]),"")</f>
        <v/>
      </c>
      <c r="AC130" s="35" t="str">
        <f>IF(AND(A130&lt;&gt;0,A130&lt;&gt;""),LOOKUP(A130,Discrete_NFET[PARTNUMBER],Discrete_NFET[VF_TYP]),"")</f>
        <v/>
      </c>
      <c r="AD130" s="127" t="str">
        <f>IF(AND($A130&lt;&gt;0,$A130&lt;&gt;"",OR(RIGHT(Logic!B130,2)="C)",LEFT(Logic!B130,4)="CSD1")),(1+(1-DUTY))*IM_RMS_120^2*V130*m/3/Num_FETS3,"")</f>
        <v/>
      </c>
      <c r="AE130" s="127" t="str">
        <f>IF(AND($A130&lt;&gt;0,$A130&lt;&gt;"",OR(RIGHT(Logic!B130,2)="C)",LEFT(Logic!B130,4)="CSD1")),Num_FETS3*0.5*IM_RMS_120*VDC_AVG*Z130*n*MOT_ELEC_FREQ/GDR_SRC,"")</f>
        <v/>
      </c>
      <c r="AF130" s="127" t="str">
        <f>IF(AND($A130&lt;&gt;0,$A130&lt;&gt;"",OR(RIGHT(Logic!B130,2)="C)",LEFT(Logic!B130,4)="CSD1")),Num_FETS3*0.5*IM_RMS_120*VDC_AVG*Z130*n*MOT_ELEC_FREQ/GDR_SINK,"")</f>
        <v/>
      </c>
      <c r="AG130" s="127" t="str">
        <f>IF(AND($A130&lt;&gt;0,$A130&lt;&gt;"",OR(RIGHT(Logic!B130,2)="T)",LEFT(Logic!B130,4)="CSD1")),DUTY*IM_RMS_120^2*V130*m/3/Num_FETS3,"")</f>
        <v/>
      </c>
      <c r="AH130" s="127" t="str">
        <f>IF(AND($A130&lt;&gt;0,$A130&lt;&gt;"",OR(RIGHT(Logic!B130,2)="T)",LEFT(Logic!B130,4)="CSD1")),Num_FETS3*0.5*IM_RMS_120*VDC_AVG*Z130*n*FSW*k/GDR_SRC/3,"")</f>
        <v/>
      </c>
      <c r="AI130" s="127" t="str">
        <f>IF(AND($A130&lt;&gt;0,$A130&lt;&gt;"",OR(RIGHT(Logic!B130,2)="T)",LEFT(Logic!B130,4)="CSD1")),Num_FETS3*0.5*IM_RMS_120*VDC_AVG*Z130*n*FSW*k/GDR_SINK/3,"")</f>
        <v/>
      </c>
      <c r="AJ130" s="127" t="str">
        <f t="shared" ref="AJ130:AJ144" si="53">IF(AND($A130&lt;&gt;0,$A130&lt;&gt;""),Num_FETS3*((AA130*VDC_AVG)*((FSW*k)))*n/2,"")</f>
        <v/>
      </c>
      <c r="AK130" s="127" t="str">
        <f t="shared" ref="AK130:AK144" si="54">IF(AND($A130&lt;&gt;0,$A130&lt;&gt;""),2*T_DEAD*n*AC130*IM_PEAK*(FSW*k)/3,"")</f>
        <v/>
      </c>
      <c r="AL130" s="127" t="str">
        <f t="shared" ref="AL130:AL144" si="55">IF(AND($A130&lt;&gt;0,$A130&lt;&gt;""),Num_FETS3*((AB130*VDC_AVG)*((MOT_ELEC_FREQ+FSW*k)))*n,"")</f>
        <v/>
      </c>
      <c r="AM130" s="127" t="str">
        <f t="shared" si="48"/>
        <v/>
      </c>
      <c r="AN130" s="127">
        <f>IF(AND($A130&lt;&gt;0,$A130&lt;&gt;"",OR(RIGHT(Logic!B130,2)="C)",LEFT(Logic!B130,4)="CSD1")),SUM(AD130:AF130)+(AJ130/3)+AK130+AL130/6+AM130/6,AN131)</f>
        <v>0</v>
      </c>
      <c r="AO130" s="127">
        <f>IF(AND($A130&lt;&gt;0,$A130&lt;&gt;"",OR(RIGHT(Logic!B130,2)="T)",LEFT(Logic!B130,4)="CSD1")),SUM(AG130:AI130)+(AJ130/3)+AL130/6+AM130/6,AO129)</f>
        <v>0.23887636588496741</v>
      </c>
      <c r="AP130" s="48" t="str">
        <f t="shared" si="49"/>
        <v/>
      </c>
      <c r="AQ130" s="35" t="str">
        <f>IF(AND(A130&lt;&gt;0,A130&lt;&gt;""),LOOKUP(A130,Discrete_NFET[PARTNUMBER],Discrete_NFET[TI_EQ_PACKAGE]),"")</f>
        <v/>
      </c>
      <c r="AR130" s="49" t="str">
        <f>IF(AND(A130&lt;&gt;0,A130&lt;&gt;""),LOOKUP(A130,Discrete_NFET[PARTNUMBER],Discrete_NFET[1KPRICE]),"")</f>
        <v/>
      </c>
      <c r="AS130" s="35" t="str">
        <f>IF(AND($A130&lt;&gt;0,$A130&lt;&gt;""),CONCATENATE(TEXT(AP130,"0.00"),"W, ",IF('User Input'!H$11="Single Discrete",A130,IF('User Input'!H$11="Dual/Power Block",LEFT(A130,FIND(")",A130)-7),A130)),", ",AQ130,", ",TEXT(AR130,"$0.00")),"Invalid Part")</f>
        <v>Invalid Part</v>
      </c>
      <c r="AT130"/>
      <c r="AU130" s="142"/>
      <c r="AV130" s="142"/>
      <c r="AW130" s="142"/>
      <c r="AX130" s="142"/>
    </row>
    <row r="131" spans="1:54" x14ac:dyDescent="0.25">
      <c r="A131" s="35" t="str">
        <f>IF(OR(AND(FET_config3="Dual/Power Block",LEFT(Logic!B131,4)="CSD8"),AND(FET_config3="Single Discrete",LEFT(Logic!B131,4)="CSD1")),Logic!B131,"")</f>
        <v/>
      </c>
      <c r="B131" s="37" t="str">
        <f>IF(OR($A131=0,$A131=""),"0",IF(LOOKUP($A131,Discrete_NFET[PARTNUMBER],Discrete_NFET[RDSON25])="(NULL)","0","1"))</f>
        <v>0</v>
      </c>
      <c r="C131" s="38" t="str">
        <f>IF(OR($A131=0,$A131=""),"0",IF(LOOKUP($A131,Discrete_NFET[PARTNUMBER],Discrete_NFET[RDSON3])="(NULL)","0","1"))</f>
        <v>0</v>
      </c>
      <c r="D131" s="40" t="str">
        <f>IF(OR($A131=0,$A131=""),"0",IF(LOOKUP($A131,Discrete_NFET[PARTNUMBER],Discrete_NFET[RDSON45])="(NULL)","0","1"))</f>
        <v>0</v>
      </c>
      <c r="E131" s="45" t="str">
        <f>IF(OR($A131=0,$A131=""),"0",IF(LOOKUP($A131,Discrete_NFET[PARTNUMBER],Discrete_NFET[RDSON6])="(NULL)","0","1"))</f>
        <v>0</v>
      </c>
      <c r="F131" s="34" t="str">
        <f>IF(OR($A131=0,$A131=""),"0",IF(LOOKUP($A131,Discrete_NFET[PARTNUMBER],Discrete_NFET[RDSON8])="(NULL)","0","1"))</f>
        <v>0</v>
      </c>
      <c r="G131" s="43" t="str">
        <f>IF(OR($A131=0,$A131=""),"0",IF(LOOKUP($A131,Discrete_NFET[PARTNUMBER],Discrete_NFET[RDSON10])="(NULL)","0","1"))</f>
        <v>0</v>
      </c>
      <c r="H131" s="36" t="b">
        <f t="shared" si="34"/>
        <v>0</v>
      </c>
      <c r="I131" s="39" t="b">
        <f t="shared" si="35"/>
        <v>0</v>
      </c>
      <c r="J131" s="41" t="b">
        <f t="shared" si="36"/>
        <v>0</v>
      </c>
      <c r="K131" s="46" t="b">
        <f t="shared" si="37"/>
        <v>0</v>
      </c>
      <c r="L131" s="42" t="b">
        <f t="shared" si="38"/>
        <v>0</v>
      </c>
      <c r="M131" s="44" t="b">
        <f t="shared" si="39"/>
        <v>0</v>
      </c>
      <c r="N131" s="47" t="b">
        <f t="shared" si="40"/>
        <v>0</v>
      </c>
      <c r="O131" s="36" t="b">
        <f t="shared" si="41"/>
        <v>0</v>
      </c>
      <c r="P131" s="39" t="b">
        <f t="shared" si="42"/>
        <v>0</v>
      </c>
      <c r="Q131" s="41" t="b">
        <f t="shared" si="43"/>
        <v>0</v>
      </c>
      <c r="R131" s="46" t="b">
        <f t="shared" si="44"/>
        <v>0</v>
      </c>
      <c r="S131" s="42" t="b">
        <f t="shared" si="45"/>
        <v>0</v>
      </c>
      <c r="T131" s="44" t="b">
        <f t="shared" si="46"/>
        <v>0</v>
      </c>
      <c r="U131" s="148" t="str">
        <f>IF(T131,LOOKUP(A131,Discrete_NFET[PARTNUMBER],Discrete_NFET[RDSON10])*1000,IF(S131,LOOKUP(A131,Discrete_NFET[PARTNUMBER],Discrete_NFET[RDSON8])*1000,IF(R131,LOOKUP(A131,Discrete_NFET[PARTNUMBER],Discrete_NFET[RDSON6])*1000,IF(Q131,LOOKUP(A131,Discrete_NFET[PARTNUMBER],Discrete_NFET[RDSON45])*1000,IF(P131,LOOKUP(A131,Discrete_NFET[PARTNUMBER],Discrete_NFET[RDSON3])*1000,IF(O131,LOOKUP(A131,Discrete_NFET[PARTNUMBER],Discrete_NFET[RDSON25])*1000,""))))))</f>
        <v/>
      </c>
      <c r="V131" s="48" t="str">
        <f>IF(AND(A131&lt;&gt;0,A131&lt;&gt;""),U131*(1+(Tj-25)*(LOOKUP(A131,Discrete_NFET[PARTNUMBER],Discrete_NFET[RDSDELTA])/((LOOKUP(A131,Discrete_NFET[PARTNUMBER],Discrete_NFET[TJMAX])-25)))),"")</f>
        <v/>
      </c>
      <c r="W131" s="35" t="str">
        <f>IF(AND($A131&lt;&gt;0,$A131&lt;&gt;""),LOOKUP($A131,Discrete_NFET[PARTNUMBER],Discrete_NFET[QGS]),"")</f>
        <v/>
      </c>
      <c r="X131" s="35" t="str">
        <f>IF(AND($A131&lt;&gt;0,$A131&lt;&gt;""),LOOKUP($A131,Discrete_NFET[PARTNUMBER],Discrete_NFET[QGD]),"")</f>
        <v/>
      </c>
      <c r="Y131" s="35" t="str">
        <f>IF(AND($A131&lt;&gt;0,$A131&lt;&gt;""),LOOKUP($A131,Discrete_NFET[PARTNUMBER],Discrete_NFET[QGTH]),"")</f>
        <v/>
      </c>
      <c r="Z131" s="35" t="str">
        <f t="shared" si="47"/>
        <v/>
      </c>
      <c r="AA131" s="35" t="str">
        <f>IF(AND($A131&lt;&gt;0,$A131&lt;&gt;""),LOOKUP($A131,Discrete_NFET[PARTNUMBER],Discrete_NFET[QOSSTYP]),"")</f>
        <v/>
      </c>
      <c r="AB131" s="35" t="str">
        <f>IF(AND($A131&lt;&gt;0,$A131&lt;&gt;""),LOOKUP($A131,Discrete_NFET[PARTNUMBER],Discrete_NFET[QRR]),"")</f>
        <v/>
      </c>
      <c r="AC131" s="35" t="str">
        <f>IF(AND(A131&lt;&gt;0,A131&lt;&gt;""),LOOKUP(A131,Discrete_NFET[PARTNUMBER],Discrete_NFET[VF_TYP]),"")</f>
        <v/>
      </c>
      <c r="AD131" s="127" t="str">
        <f>IF(AND($A131&lt;&gt;0,$A131&lt;&gt;"",OR(RIGHT(Logic!B131,2)="C)",LEFT(Logic!B131,4)="CSD1")),(1+(1-DUTY))*IM_RMS_120^2*V131*m/3/Num_FETS3,"")</f>
        <v/>
      </c>
      <c r="AE131" s="127" t="str">
        <f>IF(AND($A131&lt;&gt;0,$A131&lt;&gt;"",OR(RIGHT(Logic!B131,2)="C)",LEFT(Logic!B131,4)="CSD1")),Num_FETS3*0.5*IM_RMS_120*VDC_AVG*Z131*n*MOT_ELEC_FREQ/GDR_SRC,"")</f>
        <v/>
      </c>
      <c r="AF131" s="127" t="str">
        <f>IF(AND($A131&lt;&gt;0,$A131&lt;&gt;"",OR(RIGHT(Logic!B131,2)="C)",LEFT(Logic!B131,4)="CSD1")),Num_FETS3*0.5*IM_RMS_120*VDC_AVG*Z131*n*MOT_ELEC_FREQ/GDR_SINK,"")</f>
        <v/>
      </c>
      <c r="AG131" s="127" t="str">
        <f>IF(AND($A131&lt;&gt;0,$A131&lt;&gt;"",OR(RIGHT(Logic!B131,2)="T)",LEFT(Logic!B131,4)="CSD1")),DUTY*IM_RMS_120^2*V131*m/3/Num_FETS3,"")</f>
        <v/>
      </c>
      <c r="AH131" s="127" t="str">
        <f>IF(AND($A131&lt;&gt;0,$A131&lt;&gt;"",OR(RIGHT(Logic!B131,2)="T)",LEFT(Logic!B131,4)="CSD1")),Num_FETS3*0.5*IM_RMS_120*VDC_AVG*Z131*n*FSW*k/GDR_SRC/3,"")</f>
        <v/>
      </c>
      <c r="AI131" s="127" t="str">
        <f>IF(AND($A131&lt;&gt;0,$A131&lt;&gt;"",OR(RIGHT(Logic!B131,2)="T)",LEFT(Logic!B131,4)="CSD1")),Num_FETS3*0.5*IM_RMS_120*VDC_AVG*Z131*n*FSW*k/GDR_SINK/3,"")</f>
        <v/>
      </c>
      <c r="AJ131" s="127" t="str">
        <f t="shared" si="53"/>
        <v/>
      </c>
      <c r="AK131" s="127" t="str">
        <f t="shared" si="54"/>
        <v/>
      </c>
      <c r="AL131" s="127" t="str">
        <f t="shared" si="55"/>
        <v/>
      </c>
      <c r="AM131" s="127" t="str">
        <f t="shared" si="48"/>
        <v/>
      </c>
      <c r="AN131" s="127">
        <f>IF(AND($A131&lt;&gt;0,$A131&lt;&gt;"",OR(RIGHT(Logic!B131,2)="C)",LEFT(Logic!B131,4)="CSD1")),SUM(AD131:AF131)+(AJ131/3)+AK131+AL131/6+AM131/6,AN132)</f>
        <v>0</v>
      </c>
      <c r="AO131" s="127">
        <f>IF(AND($A131&lt;&gt;0,$A131&lt;&gt;"",OR(RIGHT(Logic!B131,2)="T)",LEFT(Logic!B131,4)="CSD1")),SUM(AG131:AI131)+(AJ131/3)+AL131/6+AM131/6,AO130)</f>
        <v>0.23887636588496741</v>
      </c>
      <c r="AP131" s="48" t="str">
        <f t="shared" si="49"/>
        <v/>
      </c>
      <c r="AQ131" s="35" t="str">
        <f>IF(AND(A131&lt;&gt;0,A131&lt;&gt;""),LOOKUP(A131,Discrete_NFET[PARTNUMBER],Discrete_NFET[TI_EQ_PACKAGE]),"")</f>
        <v/>
      </c>
      <c r="AR131" s="49" t="str">
        <f>IF(AND(A131&lt;&gt;0,A131&lt;&gt;""),LOOKUP(A131,Discrete_NFET[PARTNUMBER],Discrete_NFET[1KPRICE]),"")</f>
        <v/>
      </c>
      <c r="AS131" s="35" t="str">
        <f>IF(AND($A131&lt;&gt;0,$A131&lt;&gt;""),CONCATENATE(TEXT(AP131,"0.00"),"W, ",IF('User Input'!H$11="Single Discrete",A131,IF('User Input'!H$11="Dual/Power Block",LEFT(A131,FIND(")",A131)-7),A131)),", ",AQ131,", ",TEXT(AR131,"$0.00")),"Invalid Part")</f>
        <v>Invalid Part</v>
      </c>
      <c r="AT131"/>
    </row>
    <row r="132" spans="1:54" x14ac:dyDescent="0.25">
      <c r="A132" s="35" t="str">
        <f>IF(OR(AND(FET_config3="Dual/Power Block",LEFT(Logic!B132,4)="CSD8"),AND(FET_config3="Single Discrete",LEFT(Logic!B132,4)="CSD1")),Logic!B132,"")</f>
        <v/>
      </c>
      <c r="B132" s="37" t="str">
        <f>IF(OR($A132=0,$A132=""),"0",IF(LOOKUP($A132,Discrete_NFET[PARTNUMBER],Discrete_NFET[RDSON25])="(NULL)","0","1"))</f>
        <v>0</v>
      </c>
      <c r="C132" s="38" t="str">
        <f>IF(OR($A132=0,$A132=""),"0",IF(LOOKUP($A132,Discrete_NFET[PARTNUMBER],Discrete_NFET[RDSON3])="(NULL)","0","1"))</f>
        <v>0</v>
      </c>
      <c r="D132" s="40" t="str">
        <f>IF(OR($A132=0,$A132=""),"0",IF(LOOKUP($A132,Discrete_NFET[PARTNUMBER],Discrete_NFET[RDSON45])="(NULL)","0","1"))</f>
        <v>0</v>
      </c>
      <c r="E132" s="45" t="str">
        <f>IF(OR($A132=0,$A132=""),"0",IF(LOOKUP($A132,Discrete_NFET[PARTNUMBER],Discrete_NFET[RDSON6])="(NULL)","0","1"))</f>
        <v>0</v>
      </c>
      <c r="F132" s="34" t="str">
        <f>IF(OR($A132=0,$A132=""),"0",IF(LOOKUP($A132,Discrete_NFET[PARTNUMBER],Discrete_NFET[RDSON8])="(NULL)","0","1"))</f>
        <v>0</v>
      </c>
      <c r="G132" s="43" t="str">
        <f>IF(OR($A132=0,$A132=""),"0",IF(LOOKUP($A132,Discrete_NFET[PARTNUMBER],Discrete_NFET[RDSON10])="(NULL)","0","1"))</f>
        <v>0</v>
      </c>
      <c r="H132" s="36" t="b">
        <f t="shared" ref="H132:H142" si="56">AND(AV$2,B132="1")</f>
        <v>0</v>
      </c>
      <c r="I132" s="39" t="b">
        <f t="shared" ref="I132:I142" si="57">AND(AW$2,C132="1")</f>
        <v>0</v>
      </c>
      <c r="J132" s="41" t="b">
        <f t="shared" ref="J132:J142" si="58">AND(AX$2,D132="1")</f>
        <v>0</v>
      </c>
      <c r="K132" s="46" t="b">
        <f t="shared" ref="K132:K142" si="59">AND(AY$2,E132="1")</f>
        <v>0</v>
      </c>
      <c r="L132" s="42" t="b">
        <f t="shared" ref="L132:L142" si="60">AND(AZ$2,F132="1")</f>
        <v>0</v>
      </c>
      <c r="M132" s="44" t="b">
        <f t="shared" ref="M132:M142" si="61">AND(BA$2,G132="1")</f>
        <v>0</v>
      </c>
      <c r="N132" s="47" t="b">
        <f t="shared" ref="N132:N142" si="62">OR(H132:M132)</f>
        <v>0</v>
      </c>
      <c r="O132" s="36" t="b">
        <f t="shared" ref="O132:O142" si="63">IF($N132,H132,IF((B132="1"),OR($AU$2,$AU$9)))</f>
        <v>0</v>
      </c>
      <c r="P132" s="39" t="b">
        <f t="shared" ref="P132:P142" si="64">IF($N132,I132,IF((C132="1"),OR(AU$2,AU$9,AX$2,J132)))</f>
        <v>0</v>
      </c>
      <c r="Q132" s="41" t="b">
        <f t="shared" ref="Q132:Q142" si="65">IF($N132,J132,IF((D132="1"),OR(AW$2,I132,AY$2,K132)))</f>
        <v>0</v>
      </c>
      <c r="R132" s="46" t="b">
        <f t="shared" ref="R132:R142" si="66">IF($N132,K132,IF((E132="1"),OR(AX$2,J132,AZ$2,L132)))</f>
        <v>0</v>
      </c>
      <c r="S132" s="42" t="b">
        <f t="shared" ref="S132:S142" si="67">IF($N132,L132,IF((F132="1"),OR(AY$2,K132,BA$2,M132)))</f>
        <v>0</v>
      </c>
      <c r="T132" s="44" t="b">
        <f t="shared" ref="T132:T142" si="68">IF($N132,M132,IF((G132="1"),OR(AZ$2,L132)))</f>
        <v>0</v>
      </c>
      <c r="U132" s="148" t="str">
        <f>IF(T132,LOOKUP(A132,Discrete_NFET[PARTNUMBER],Discrete_NFET[RDSON10])*1000,IF(S132,LOOKUP(A132,Discrete_NFET[PARTNUMBER],Discrete_NFET[RDSON8])*1000,IF(R132,LOOKUP(A132,Discrete_NFET[PARTNUMBER],Discrete_NFET[RDSON6])*1000,IF(Q132,LOOKUP(A132,Discrete_NFET[PARTNUMBER],Discrete_NFET[RDSON45])*1000,IF(P132,LOOKUP(A132,Discrete_NFET[PARTNUMBER],Discrete_NFET[RDSON3])*1000,IF(O132,LOOKUP(A132,Discrete_NFET[PARTNUMBER],Discrete_NFET[RDSON25])*1000,""))))))</f>
        <v/>
      </c>
      <c r="V132" s="48" t="str">
        <f>IF(AND(A132&lt;&gt;0,A132&lt;&gt;""),U132*(1+(Tj-25)*(LOOKUP(A132,Discrete_NFET[PARTNUMBER],Discrete_NFET[RDSDELTA])/((LOOKUP(A132,Discrete_NFET[PARTNUMBER],Discrete_NFET[TJMAX])-25)))),"")</f>
        <v/>
      </c>
      <c r="W132" s="35" t="str">
        <f>IF(AND($A132&lt;&gt;0,$A132&lt;&gt;""),LOOKUP($A132,Discrete_NFET[PARTNUMBER],Discrete_NFET[QGS]),"")</f>
        <v/>
      </c>
      <c r="X132" s="35" t="str">
        <f>IF(AND($A132&lt;&gt;0,$A132&lt;&gt;""),LOOKUP($A132,Discrete_NFET[PARTNUMBER],Discrete_NFET[QGD]),"")</f>
        <v/>
      </c>
      <c r="Y132" s="35" t="str">
        <f>IF(AND($A132&lt;&gt;0,$A132&lt;&gt;""),LOOKUP($A132,Discrete_NFET[PARTNUMBER],Discrete_NFET[QGTH]),"")</f>
        <v/>
      </c>
      <c r="Z132" s="35" t="str">
        <f t="shared" ref="Z132:Z142" si="69">IF(AND(A132&lt;&gt;0,A132&lt;&gt;""),W132+X132-Y132,"")</f>
        <v/>
      </c>
      <c r="AA132" s="35" t="str">
        <f>IF(AND($A132&lt;&gt;0,$A132&lt;&gt;""),LOOKUP($A132,Discrete_NFET[PARTNUMBER],Discrete_NFET[QOSSTYP]),"")</f>
        <v/>
      </c>
      <c r="AB132" s="35" t="str">
        <f>IF(AND($A132&lt;&gt;0,$A132&lt;&gt;""),LOOKUP($A132,Discrete_NFET[PARTNUMBER],Discrete_NFET[QRR]),"")</f>
        <v/>
      </c>
      <c r="AC132" s="35" t="str">
        <f>IF(AND(A132&lt;&gt;0,A132&lt;&gt;""),LOOKUP(A132,Discrete_NFET[PARTNUMBER],Discrete_NFET[VF_TYP]),"")</f>
        <v/>
      </c>
      <c r="AD132" s="127" t="str">
        <f>IF(AND($A132&lt;&gt;0,$A132&lt;&gt;"",OR(RIGHT(Logic!B132,2)="C)",LEFT(Logic!B132,4)="CSD1")),(1+(1-DUTY))*IM_RMS_120^2*V132*m/3/Num_FETS3,"")</f>
        <v/>
      </c>
      <c r="AE132" s="127" t="str">
        <f>IF(AND($A132&lt;&gt;0,$A132&lt;&gt;"",OR(RIGHT(Logic!B132,2)="C)",LEFT(Logic!B132,4)="CSD1")),Num_FETS3*0.5*IM_RMS_120*VDC_AVG*Z132*n*MOT_ELEC_FREQ/GDR_SRC,"")</f>
        <v/>
      </c>
      <c r="AF132" s="127" t="str">
        <f>IF(AND($A132&lt;&gt;0,$A132&lt;&gt;"",OR(RIGHT(Logic!B132,2)="C)",LEFT(Logic!B132,4)="CSD1")),Num_FETS3*0.5*IM_RMS_120*VDC_AVG*Z132*n*MOT_ELEC_FREQ/GDR_SINK,"")</f>
        <v/>
      </c>
      <c r="AG132" s="127" t="str">
        <f>IF(AND($A132&lt;&gt;0,$A132&lt;&gt;"",OR(RIGHT(Logic!B132,2)="T)",LEFT(Logic!B132,4)="CSD1")),DUTY*IM_RMS_120^2*V132*m/3/Num_FETS3,"")</f>
        <v/>
      </c>
      <c r="AH132" s="127" t="str">
        <f>IF(AND($A132&lt;&gt;0,$A132&lt;&gt;"",OR(RIGHT(Logic!B132,2)="T)",LEFT(Logic!B132,4)="CSD1")),Num_FETS3*0.5*IM_RMS_120*VDC_AVG*Z132*n*FSW*k/GDR_SRC/3,"")</f>
        <v/>
      </c>
      <c r="AI132" s="127" t="str">
        <f>IF(AND($A132&lt;&gt;0,$A132&lt;&gt;"",OR(RIGHT(Logic!B132,2)="T)",LEFT(Logic!B132,4)="CSD1")),Num_FETS3*0.5*IM_RMS_120*VDC_AVG*Z132*n*FSW*k/GDR_SINK/3,"")</f>
        <v/>
      </c>
      <c r="AJ132" s="127" t="str">
        <f t="shared" si="53"/>
        <v/>
      </c>
      <c r="AK132" s="127" t="str">
        <f t="shared" si="54"/>
        <v/>
      </c>
      <c r="AL132" s="127" t="str">
        <f t="shared" si="55"/>
        <v/>
      </c>
      <c r="AM132" s="127" t="str">
        <f t="shared" ref="AM132:AM142" si="70">IF(AND($A132&lt;&gt;0,$A132&lt;&gt;""),6*0.5*AC132*IM_PEAK*MOT_COM_TIME*m*MOT_ELEC_FREQ,"")</f>
        <v/>
      </c>
      <c r="AN132" s="127">
        <f>IF(AND($A132&lt;&gt;0,$A132&lt;&gt;"",OR(RIGHT(Logic!B132,2)="C)",LEFT(Logic!B132,4)="CSD1")),SUM(AD132:AF132)+(AJ132/3)+AK132+AL132/6+AM132/6,AN133)</f>
        <v>0</v>
      </c>
      <c r="AO132" s="127">
        <f>IF(AND($A132&lt;&gt;0,$A132&lt;&gt;"",OR(RIGHT(Logic!B132,2)="T)",LEFT(Logic!B132,4)="CSD1")),SUM(AG132:AI132)+(AJ132/3)+AL132/6+AM132/6,AO131)</f>
        <v>0.23887636588496741</v>
      </c>
      <c r="AP132" s="48" t="str">
        <f t="shared" ref="AP132:AP142" si="71">IF(AND($A132&lt;&gt;0,$A132&lt;&gt;""),ROUND(SUM(AN132:AO132),2),"")</f>
        <v/>
      </c>
      <c r="AQ132" s="35" t="str">
        <f>IF(AND(A132&lt;&gt;0,A132&lt;&gt;""),LOOKUP(A132,Discrete_NFET[PARTNUMBER],Discrete_NFET[TI_EQ_PACKAGE]),"")</f>
        <v/>
      </c>
      <c r="AR132" s="49" t="str">
        <f>IF(AND(A132&lt;&gt;0,A132&lt;&gt;""),LOOKUP(A132,Discrete_NFET[PARTNUMBER],Discrete_NFET[1KPRICE]),"")</f>
        <v/>
      </c>
      <c r="AS132" s="35" t="str">
        <f>IF(AND($A132&lt;&gt;0,$A132&lt;&gt;""),CONCATENATE(TEXT(AP132,"0.00"),"W, ",IF('User Input'!H$11="Single Discrete",A132,IF('User Input'!H$11="Dual/Power Block",LEFT(A132,FIND(")",A132)-7),A132)),", ",AQ132,", ",TEXT(AR132,"$0.00")),"Invalid Part")</f>
        <v>Invalid Part</v>
      </c>
      <c r="AT132"/>
    </row>
    <row r="133" spans="1:54" x14ac:dyDescent="0.25">
      <c r="A133" s="35" t="str">
        <f>IF(OR(AND(FET_config3="Dual/Power Block",LEFT(Logic!B133,4)="CSD8"),AND(FET_config3="Single Discrete",LEFT(Logic!B133,4)="CSD1")),Logic!B133,"")</f>
        <v/>
      </c>
      <c r="B133" s="37" t="str">
        <f>IF(OR($A133=0,$A133=""),"0",IF(LOOKUP($A133,Discrete_NFET[PARTNUMBER],Discrete_NFET[RDSON25])="(NULL)","0","1"))</f>
        <v>0</v>
      </c>
      <c r="C133" s="38" t="str">
        <f>IF(OR($A133=0,$A133=""),"0",IF(LOOKUP($A133,Discrete_NFET[PARTNUMBER],Discrete_NFET[RDSON3])="(NULL)","0","1"))</f>
        <v>0</v>
      </c>
      <c r="D133" s="40" t="str">
        <f>IF(OR($A133=0,$A133=""),"0",IF(LOOKUP($A133,Discrete_NFET[PARTNUMBER],Discrete_NFET[RDSON45])="(NULL)","0","1"))</f>
        <v>0</v>
      </c>
      <c r="E133" s="45" t="str">
        <f>IF(OR($A133=0,$A133=""),"0",IF(LOOKUP($A133,Discrete_NFET[PARTNUMBER],Discrete_NFET[RDSON6])="(NULL)","0","1"))</f>
        <v>0</v>
      </c>
      <c r="F133" s="34" t="str">
        <f>IF(OR($A133=0,$A133=""),"0",IF(LOOKUP($A133,Discrete_NFET[PARTNUMBER],Discrete_NFET[RDSON8])="(NULL)","0","1"))</f>
        <v>0</v>
      </c>
      <c r="G133" s="43" t="str">
        <f>IF(OR($A133=0,$A133=""),"0",IF(LOOKUP($A133,Discrete_NFET[PARTNUMBER],Discrete_NFET[RDSON10])="(NULL)","0","1"))</f>
        <v>0</v>
      </c>
      <c r="H133" s="36" t="b">
        <f t="shared" si="56"/>
        <v>0</v>
      </c>
      <c r="I133" s="39" t="b">
        <f t="shared" si="57"/>
        <v>0</v>
      </c>
      <c r="J133" s="41" t="b">
        <f t="shared" si="58"/>
        <v>0</v>
      </c>
      <c r="K133" s="46" t="b">
        <f t="shared" si="59"/>
        <v>0</v>
      </c>
      <c r="L133" s="42" t="b">
        <f t="shared" si="60"/>
        <v>0</v>
      </c>
      <c r="M133" s="44" t="b">
        <f t="shared" si="61"/>
        <v>0</v>
      </c>
      <c r="N133" s="47" t="b">
        <f t="shared" si="62"/>
        <v>0</v>
      </c>
      <c r="O133" s="36" t="b">
        <f t="shared" si="63"/>
        <v>0</v>
      </c>
      <c r="P133" s="39" t="b">
        <f t="shared" si="64"/>
        <v>0</v>
      </c>
      <c r="Q133" s="41" t="b">
        <f t="shared" si="65"/>
        <v>0</v>
      </c>
      <c r="R133" s="46" t="b">
        <f t="shared" si="66"/>
        <v>0</v>
      </c>
      <c r="S133" s="42" t="b">
        <f t="shared" si="67"/>
        <v>0</v>
      </c>
      <c r="T133" s="44" t="b">
        <f t="shared" si="68"/>
        <v>0</v>
      </c>
      <c r="U133" s="148" t="str">
        <f>IF(T133,LOOKUP(A133,Discrete_NFET[PARTNUMBER],Discrete_NFET[RDSON10])*1000,IF(S133,LOOKUP(A133,Discrete_NFET[PARTNUMBER],Discrete_NFET[RDSON8])*1000,IF(R133,LOOKUP(A133,Discrete_NFET[PARTNUMBER],Discrete_NFET[RDSON6])*1000,IF(Q133,LOOKUP(A133,Discrete_NFET[PARTNUMBER],Discrete_NFET[RDSON45])*1000,IF(P133,LOOKUP(A133,Discrete_NFET[PARTNUMBER],Discrete_NFET[RDSON3])*1000,IF(O133,LOOKUP(A133,Discrete_NFET[PARTNUMBER],Discrete_NFET[RDSON25])*1000,""))))))</f>
        <v/>
      </c>
      <c r="V133" s="48" t="str">
        <f>IF(AND(A133&lt;&gt;0,A133&lt;&gt;""),U133*(1+(Tj-25)*(LOOKUP(A133,Discrete_NFET[PARTNUMBER],Discrete_NFET[RDSDELTA])/((LOOKUP(A133,Discrete_NFET[PARTNUMBER],Discrete_NFET[TJMAX])-25)))),"")</f>
        <v/>
      </c>
      <c r="W133" s="35" t="str">
        <f>IF(AND($A133&lt;&gt;0,$A133&lt;&gt;""),LOOKUP($A133,Discrete_NFET[PARTNUMBER],Discrete_NFET[QGS]),"")</f>
        <v/>
      </c>
      <c r="X133" s="35" t="str">
        <f>IF(AND($A133&lt;&gt;0,$A133&lt;&gt;""),LOOKUP($A133,Discrete_NFET[PARTNUMBER],Discrete_NFET[QGD]),"")</f>
        <v/>
      </c>
      <c r="Y133" s="35" t="str">
        <f>IF(AND($A133&lt;&gt;0,$A133&lt;&gt;""),LOOKUP($A133,Discrete_NFET[PARTNUMBER],Discrete_NFET[QGTH]),"")</f>
        <v/>
      </c>
      <c r="Z133" s="35" t="str">
        <f t="shared" si="69"/>
        <v/>
      </c>
      <c r="AA133" s="35" t="str">
        <f>IF(AND($A133&lt;&gt;0,$A133&lt;&gt;""),LOOKUP($A133,Discrete_NFET[PARTNUMBER],Discrete_NFET[QOSSTYP]),"")</f>
        <v/>
      </c>
      <c r="AB133" s="35" t="str">
        <f>IF(AND($A133&lt;&gt;0,$A133&lt;&gt;""),LOOKUP($A133,Discrete_NFET[PARTNUMBER],Discrete_NFET[QRR]),"")</f>
        <v/>
      </c>
      <c r="AC133" s="35" t="str">
        <f>IF(AND(A133&lt;&gt;0,A133&lt;&gt;""),LOOKUP(A133,Discrete_NFET[PARTNUMBER],Discrete_NFET[VF_TYP]),"")</f>
        <v/>
      </c>
      <c r="AD133" s="127" t="str">
        <f>IF(AND($A133&lt;&gt;0,$A133&lt;&gt;"",OR(RIGHT(Logic!B133,2)="C)",LEFT(Logic!B133,4)="CSD1")),(1+(1-DUTY))*IM_RMS_120^2*V133*m/3/Num_FETS3,"")</f>
        <v/>
      </c>
      <c r="AE133" s="127" t="str">
        <f>IF(AND($A133&lt;&gt;0,$A133&lt;&gt;"",OR(RIGHT(Logic!B133,2)="C)",LEFT(Logic!B133,4)="CSD1")),Num_FETS3*0.5*IM_RMS_120*VDC_AVG*Z133*n*MOT_ELEC_FREQ/GDR_SRC,"")</f>
        <v/>
      </c>
      <c r="AF133" s="127" t="str">
        <f>IF(AND($A133&lt;&gt;0,$A133&lt;&gt;"",OR(RIGHT(Logic!B133,2)="C)",LEFT(Logic!B133,4)="CSD1")),Num_FETS3*0.5*IM_RMS_120*VDC_AVG*Z133*n*MOT_ELEC_FREQ/GDR_SINK,"")</f>
        <v/>
      </c>
      <c r="AG133" s="127" t="str">
        <f>IF(AND($A133&lt;&gt;0,$A133&lt;&gt;"",OR(RIGHT(Logic!B133,2)="T)",LEFT(Logic!B133,4)="CSD1")),DUTY*IM_RMS_120^2*V133*m/3/Num_FETS3,"")</f>
        <v/>
      </c>
      <c r="AH133" s="127" t="str">
        <f>IF(AND($A133&lt;&gt;0,$A133&lt;&gt;"",OR(RIGHT(Logic!B133,2)="T)",LEFT(Logic!B133,4)="CSD1")),Num_FETS3*0.5*IM_RMS_120*VDC_AVG*Z133*n*FSW*k/GDR_SRC/3,"")</f>
        <v/>
      </c>
      <c r="AI133" s="127" t="str">
        <f>IF(AND($A133&lt;&gt;0,$A133&lt;&gt;"",OR(RIGHT(Logic!B133,2)="T)",LEFT(Logic!B133,4)="CSD1")),Num_FETS3*0.5*IM_RMS_120*VDC_AVG*Z133*n*FSW*k/GDR_SINK/3,"")</f>
        <v/>
      </c>
      <c r="AJ133" s="127" t="str">
        <f t="shared" si="53"/>
        <v/>
      </c>
      <c r="AK133" s="127" t="str">
        <f t="shared" si="54"/>
        <v/>
      </c>
      <c r="AL133" s="127" t="str">
        <f t="shared" si="55"/>
        <v/>
      </c>
      <c r="AM133" s="127" t="str">
        <f t="shared" si="70"/>
        <v/>
      </c>
      <c r="AN133" s="127">
        <f>IF(AND($A133&lt;&gt;0,$A133&lt;&gt;"",OR(RIGHT(Logic!B133,2)="C)",LEFT(Logic!B133,4)="CSD1")),SUM(AD133:AF133)+(AJ133/3)+AK133+AL133/6+AM133/6,AN134)</f>
        <v>0</v>
      </c>
      <c r="AO133" s="127">
        <f>IF(AND($A133&lt;&gt;0,$A133&lt;&gt;"",OR(RIGHT(Logic!B133,2)="T)",LEFT(Logic!B133,4)="CSD1")),SUM(AG133:AI133)+(AJ133/3)+AL133/6+AM133/6,AO132)</f>
        <v>0.23887636588496741</v>
      </c>
      <c r="AP133" s="48" t="str">
        <f t="shared" si="71"/>
        <v/>
      </c>
      <c r="AQ133" s="35" t="str">
        <f>IF(AND(A133&lt;&gt;0,A133&lt;&gt;""),LOOKUP(A133,Discrete_NFET[PARTNUMBER],Discrete_NFET[TI_EQ_PACKAGE]),"")</f>
        <v/>
      </c>
      <c r="AR133" s="49" t="str">
        <f>IF(AND(A133&lt;&gt;0,A133&lt;&gt;""),LOOKUP(A133,Discrete_NFET[PARTNUMBER],Discrete_NFET[1KPRICE]),"")</f>
        <v/>
      </c>
      <c r="AS133" s="35" t="str">
        <f>IF(AND($A133&lt;&gt;0,$A133&lt;&gt;""),CONCATENATE(TEXT(AP133,"0.00"),"W, ",IF('User Input'!H$11="Single Discrete",A133,IF('User Input'!H$11="Dual/Power Block",LEFT(A133,FIND(")",A133)-7),A133)),", ",AQ133,", ",TEXT(AR133,"$0.00")),"Invalid Part")</f>
        <v>Invalid Part</v>
      </c>
      <c r="AT133"/>
    </row>
    <row r="134" spans="1:54" x14ac:dyDescent="0.25">
      <c r="A134" s="35" t="str">
        <f>IF(OR(AND(FET_config3="Dual/Power Block",LEFT(Logic!B134,4)="CSD8"),AND(FET_config3="Single Discrete",LEFT(Logic!B134,4)="CSD1")),Logic!B134,"")</f>
        <v/>
      </c>
      <c r="B134" s="37" t="str">
        <f>IF(OR($A134=0,$A134=""),"0",IF(LOOKUP($A134,Discrete_NFET[PARTNUMBER],Discrete_NFET[RDSON25])="(NULL)","0","1"))</f>
        <v>0</v>
      </c>
      <c r="C134" s="38" t="str">
        <f>IF(OR($A134=0,$A134=""),"0",IF(LOOKUP($A134,Discrete_NFET[PARTNUMBER],Discrete_NFET[RDSON3])="(NULL)","0","1"))</f>
        <v>0</v>
      </c>
      <c r="D134" s="40" t="str">
        <f>IF(OR($A134=0,$A134=""),"0",IF(LOOKUP($A134,Discrete_NFET[PARTNUMBER],Discrete_NFET[RDSON45])="(NULL)","0","1"))</f>
        <v>0</v>
      </c>
      <c r="E134" s="45" t="str">
        <f>IF(OR($A134=0,$A134=""),"0",IF(LOOKUP($A134,Discrete_NFET[PARTNUMBER],Discrete_NFET[RDSON6])="(NULL)","0","1"))</f>
        <v>0</v>
      </c>
      <c r="F134" s="34" t="str">
        <f>IF(OR($A134=0,$A134=""),"0",IF(LOOKUP($A134,Discrete_NFET[PARTNUMBER],Discrete_NFET[RDSON8])="(NULL)","0","1"))</f>
        <v>0</v>
      </c>
      <c r="G134" s="43" t="str">
        <f>IF(OR($A134=0,$A134=""),"0",IF(LOOKUP($A134,Discrete_NFET[PARTNUMBER],Discrete_NFET[RDSON10])="(NULL)","0","1"))</f>
        <v>0</v>
      </c>
      <c r="H134" s="36" t="b">
        <f t="shared" si="56"/>
        <v>0</v>
      </c>
      <c r="I134" s="39" t="b">
        <f t="shared" si="57"/>
        <v>0</v>
      </c>
      <c r="J134" s="41" t="b">
        <f t="shared" si="58"/>
        <v>0</v>
      </c>
      <c r="K134" s="46" t="b">
        <f t="shared" si="59"/>
        <v>0</v>
      </c>
      <c r="L134" s="42" t="b">
        <f t="shared" si="60"/>
        <v>0</v>
      </c>
      <c r="M134" s="44" t="b">
        <f t="shared" si="61"/>
        <v>0</v>
      </c>
      <c r="N134" s="47" t="b">
        <f t="shared" si="62"/>
        <v>0</v>
      </c>
      <c r="O134" s="36" t="b">
        <f t="shared" si="63"/>
        <v>0</v>
      </c>
      <c r="P134" s="39" t="b">
        <f t="shared" si="64"/>
        <v>0</v>
      </c>
      <c r="Q134" s="41" t="b">
        <f t="shared" si="65"/>
        <v>0</v>
      </c>
      <c r="R134" s="46" t="b">
        <f t="shared" si="66"/>
        <v>0</v>
      </c>
      <c r="S134" s="42" t="b">
        <f t="shared" si="67"/>
        <v>0</v>
      </c>
      <c r="T134" s="44" t="b">
        <f t="shared" si="68"/>
        <v>0</v>
      </c>
      <c r="U134" s="148" t="str">
        <f>IF(T134,LOOKUP(A134,Discrete_NFET[PARTNUMBER],Discrete_NFET[RDSON10])*1000,IF(S134,LOOKUP(A134,Discrete_NFET[PARTNUMBER],Discrete_NFET[RDSON8])*1000,IF(R134,LOOKUP(A134,Discrete_NFET[PARTNUMBER],Discrete_NFET[RDSON6])*1000,IF(Q134,LOOKUP(A134,Discrete_NFET[PARTNUMBER],Discrete_NFET[RDSON45])*1000,IF(P134,LOOKUP(A134,Discrete_NFET[PARTNUMBER],Discrete_NFET[RDSON3])*1000,IF(O134,LOOKUP(A134,Discrete_NFET[PARTNUMBER],Discrete_NFET[RDSON25])*1000,""))))))</f>
        <v/>
      </c>
      <c r="V134" s="48" t="str">
        <f>IF(AND(A134&lt;&gt;0,A134&lt;&gt;""),U134*(1+(Tj-25)*(LOOKUP(A134,Discrete_NFET[PARTNUMBER],Discrete_NFET[RDSDELTA])/((LOOKUP(A134,Discrete_NFET[PARTNUMBER],Discrete_NFET[TJMAX])-25)))),"")</f>
        <v/>
      </c>
      <c r="W134" s="35" t="str">
        <f>IF(AND($A134&lt;&gt;0,$A134&lt;&gt;""),LOOKUP($A134,Discrete_NFET[PARTNUMBER],Discrete_NFET[QGS]),"")</f>
        <v/>
      </c>
      <c r="X134" s="35" t="str">
        <f>IF(AND($A134&lt;&gt;0,$A134&lt;&gt;""),LOOKUP($A134,Discrete_NFET[PARTNUMBER],Discrete_NFET[QGD]),"")</f>
        <v/>
      </c>
      <c r="Y134" s="35" t="str">
        <f>IF(AND($A134&lt;&gt;0,$A134&lt;&gt;""),LOOKUP($A134,Discrete_NFET[PARTNUMBER],Discrete_NFET[QGTH]),"")</f>
        <v/>
      </c>
      <c r="Z134" s="35" t="str">
        <f t="shared" si="69"/>
        <v/>
      </c>
      <c r="AA134" s="35" t="str">
        <f>IF(AND($A134&lt;&gt;0,$A134&lt;&gt;""),LOOKUP($A134,Discrete_NFET[PARTNUMBER],Discrete_NFET[QOSSTYP]),"")</f>
        <v/>
      </c>
      <c r="AB134" s="35" t="str">
        <f>IF(AND($A134&lt;&gt;0,$A134&lt;&gt;""),LOOKUP($A134,Discrete_NFET[PARTNUMBER],Discrete_NFET[QRR]),"")</f>
        <v/>
      </c>
      <c r="AC134" s="35" t="str">
        <f>IF(AND(A134&lt;&gt;0,A134&lt;&gt;""),LOOKUP(A134,Discrete_NFET[PARTNUMBER],Discrete_NFET[VF_TYP]),"")</f>
        <v/>
      </c>
      <c r="AD134" s="127" t="str">
        <f>IF(AND($A134&lt;&gt;0,$A134&lt;&gt;"",OR(RIGHT(Logic!B134,2)="C)",LEFT(Logic!B134,4)="CSD1")),(1+(1-DUTY))*IM_RMS_120^2*V134*m/3/Num_FETS3,"")</f>
        <v/>
      </c>
      <c r="AE134" s="127" t="str">
        <f>IF(AND($A134&lt;&gt;0,$A134&lt;&gt;"",OR(RIGHT(Logic!B134,2)="C)",LEFT(Logic!B134,4)="CSD1")),Num_FETS3*0.5*IM_RMS_120*VDC_AVG*Z134*n*MOT_ELEC_FREQ/GDR_SRC,"")</f>
        <v/>
      </c>
      <c r="AF134" s="127" t="str">
        <f>IF(AND($A134&lt;&gt;0,$A134&lt;&gt;"",OR(RIGHT(Logic!B134,2)="C)",LEFT(Logic!B134,4)="CSD1")),Num_FETS3*0.5*IM_RMS_120*VDC_AVG*Z134*n*MOT_ELEC_FREQ/GDR_SINK,"")</f>
        <v/>
      </c>
      <c r="AG134" s="127" t="str">
        <f>IF(AND($A134&lt;&gt;0,$A134&lt;&gt;"",OR(RIGHT(Logic!B134,2)="T)",LEFT(Logic!B134,4)="CSD1")),DUTY*IM_RMS_120^2*V134*m/3/Num_FETS3,"")</f>
        <v/>
      </c>
      <c r="AH134" s="127" t="str">
        <f>IF(AND($A134&lt;&gt;0,$A134&lt;&gt;"",OR(RIGHT(Logic!B134,2)="T)",LEFT(Logic!B134,4)="CSD1")),Num_FETS3*0.5*IM_RMS_120*VDC_AVG*Z134*n*FSW*k/GDR_SRC/3,"")</f>
        <v/>
      </c>
      <c r="AI134" s="127" t="str">
        <f>IF(AND($A134&lt;&gt;0,$A134&lt;&gt;"",OR(RIGHT(Logic!B134,2)="T)",LEFT(Logic!B134,4)="CSD1")),Num_FETS3*0.5*IM_RMS_120*VDC_AVG*Z134*n*FSW*k/GDR_SINK/3,"")</f>
        <v/>
      </c>
      <c r="AJ134" s="127" t="str">
        <f t="shared" si="53"/>
        <v/>
      </c>
      <c r="AK134" s="127" t="str">
        <f t="shared" si="54"/>
        <v/>
      </c>
      <c r="AL134" s="127" t="str">
        <f t="shared" si="55"/>
        <v/>
      </c>
      <c r="AM134" s="127" t="str">
        <f t="shared" si="70"/>
        <v/>
      </c>
      <c r="AN134" s="127">
        <f>IF(AND($A134&lt;&gt;0,$A134&lt;&gt;"",OR(RIGHT(Logic!B134,2)="C)",LEFT(Logic!B134,4)="CSD1")),SUM(AD134:AF134)+(AJ134/3)+AK134+AL134/6+AM134/6,AN135)</f>
        <v>0</v>
      </c>
      <c r="AO134" s="127">
        <f>IF(AND($A134&lt;&gt;0,$A134&lt;&gt;"",OR(RIGHT(Logic!B134,2)="T)",LEFT(Logic!B134,4)="CSD1")),SUM(AG134:AI134)+(AJ134/3)+AL134/6+AM134/6,AO133)</f>
        <v>0.23887636588496741</v>
      </c>
      <c r="AP134" s="48" t="str">
        <f t="shared" si="71"/>
        <v/>
      </c>
      <c r="AQ134" s="35" t="str">
        <f>IF(AND(A134&lt;&gt;0,A134&lt;&gt;""),LOOKUP(A134,Discrete_NFET[PARTNUMBER],Discrete_NFET[TI_EQ_PACKAGE]),"")</f>
        <v/>
      </c>
      <c r="AR134" s="49" t="str">
        <f>IF(AND(A134&lt;&gt;0,A134&lt;&gt;""),LOOKUP(A134,Discrete_NFET[PARTNUMBER],Discrete_NFET[1KPRICE]),"")</f>
        <v/>
      </c>
      <c r="AS134" s="35" t="str">
        <f>IF(AND($A134&lt;&gt;0,$A134&lt;&gt;""),CONCATENATE(TEXT(AP134,"0.00"),"W, ",IF('User Input'!H$11="Single Discrete",A134,IF('User Input'!H$11="Dual/Power Block",LEFT(A134,FIND(")",A134)-7),A134)),", ",AQ134,", ",TEXT(AR134,"$0.00")),"Invalid Part")</f>
        <v>Invalid Part</v>
      </c>
      <c r="AT134"/>
    </row>
    <row r="135" spans="1:54" x14ac:dyDescent="0.25">
      <c r="A135" s="35" t="str">
        <f>IF(OR(AND(FET_config3="Dual/Power Block",LEFT(Logic!B135,4)="CSD8"),AND(FET_config3="Single Discrete",LEFT(Logic!B135,4)="CSD1")),Logic!B135,"")</f>
        <v/>
      </c>
      <c r="B135" s="37" t="str">
        <f>IF(OR($A135=0,$A135=""),"0",IF(LOOKUP($A135,Discrete_NFET[PARTNUMBER],Discrete_NFET[RDSON25])="(NULL)","0","1"))</f>
        <v>0</v>
      </c>
      <c r="C135" s="38" t="str">
        <f>IF(OR($A135=0,$A135=""),"0",IF(LOOKUP($A135,Discrete_NFET[PARTNUMBER],Discrete_NFET[RDSON3])="(NULL)","0","1"))</f>
        <v>0</v>
      </c>
      <c r="D135" s="40" t="str">
        <f>IF(OR($A135=0,$A135=""),"0",IF(LOOKUP($A135,Discrete_NFET[PARTNUMBER],Discrete_NFET[RDSON45])="(NULL)","0","1"))</f>
        <v>0</v>
      </c>
      <c r="E135" s="45" t="str">
        <f>IF(OR($A135=0,$A135=""),"0",IF(LOOKUP($A135,Discrete_NFET[PARTNUMBER],Discrete_NFET[RDSON6])="(NULL)","0","1"))</f>
        <v>0</v>
      </c>
      <c r="F135" s="34" t="str">
        <f>IF(OR($A135=0,$A135=""),"0",IF(LOOKUP($A135,Discrete_NFET[PARTNUMBER],Discrete_NFET[RDSON8])="(NULL)","0","1"))</f>
        <v>0</v>
      </c>
      <c r="G135" s="43" t="str">
        <f>IF(OR($A135=0,$A135=""),"0",IF(LOOKUP($A135,Discrete_NFET[PARTNUMBER],Discrete_NFET[RDSON10])="(NULL)","0","1"))</f>
        <v>0</v>
      </c>
      <c r="H135" s="36" t="b">
        <f t="shared" si="56"/>
        <v>0</v>
      </c>
      <c r="I135" s="39" t="b">
        <f t="shared" si="57"/>
        <v>0</v>
      </c>
      <c r="J135" s="41" t="b">
        <f t="shared" si="58"/>
        <v>0</v>
      </c>
      <c r="K135" s="46" t="b">
        <f t="shared" si="59"/>
        <v>0</v>
      </c>
      <c r="L135" s="42" t="b">
        <f t="shared" si="60"/>
        <v>0</v>
      </c>
      <c r="M135" s="44" t="b">
        <f t="shared" si="61"/>
        <v>0</v>
      </c>
      <c r="N135" s="47" t="b">
        <f t="shared" si="62"/>
        <v>0</v>
      </c>
      <c r="O135" s="36" t="b">
        <f t="shared" si="63"/>
        <v>0</v>
      </c>
      <c r="P135" s="39" t="b">
        <f t="shared" si="64"/>
        <v>0</v>
      </c>
      <c r="Q135" s="41" t="b">
        <f t="shared" si="65"/>
        <v>0</v>
      </c>
      <c r="R135" s="46" t="b">
        <f t="shared" si="66"/>
        <v>0</v>
      </c>
      <c r="S135" s="42" t="b">
        <f t="shared" si="67"/>
        <v>0</v>
      </c>
      <c r="T135" s="44" t="b">
        <f t="shared" si="68"/>
        <v>0</v>
      </c>
      <c r="U135" s="148" t="str">
        <f>IF(T135,LOOKUP(A135,Discrete_NFET[PARTNUMBER],Discrete_NFET[RDSON10])*1000,IF(S135,LOOKUP(A135,Discrete_NFET[PARTNUMBER],Discrete_NFET[RDSON8])*1000,IF(R135,LOOKUP(A135,Discrete_NFET[PARTNUMBER],Discrete_NFET[RDSON6])*1000,IF(Q135,LOOKUP(A135,Discrete_NFET[PARTNUMBER],Discrete_NFET[RDSON45])*1000,IF(P135,LOOKUP(A135,Discrete_NFET[PARTNUMBER],Discrete_NFET[RDSON3])*1000,IF(O135,LOOKUP(A135,Discrete_NFET[PARTNUMBER],Discrete_NFET[RDSON25])*1000,""))))))</f>
        <v/>
      </c>
      <c r="V135" s="48" t="str">
        <f>IF(AND(A135&lt;&gt;0,A135&lt;&gt;""),U135*(1+(Tj-25)*(LOOKUP(A135,Discrete_NFET[PARTNUMBER],Discrete_NFET[RDSDELTA])/((LOOKUP(A135,Discrete_NFET[PARTNUMBER],Discrete_NFET[TJMAX])-25)))),"")</f>
        <v/>
      </c>
      <c r="W135" s="35" t="str">
        <f>IF(AND($A135&lt;&gt;0,$A135&lt;&gt;""),LOOKUP($A135,Discrete_NFET[PARTNUMBER],Discrete_NFET[QGS]),"")</f>
        <v/>
      </c>
      <c r="X135" s="35" t="str">
        <f>IF(AND($A135&lt;&gt;0,$A135&lt;&gt;""),LOOKUP($A135,Discrete_NFET[PARTNUMBER],Discrete_NFET[QGD]),"")</f>
        <v/>
      </c>
      <c r="Y135" s="35" t="str">
        <f>IF(AND($A135&lt;&gt;0,$A135&lt;&gt;""),LOOKUP($A135,Discrete_NFET[PARTNUMBER],Discrete_NFET[QGTH]),"")</f>
        <v/>
      </c>
      <c r="Z135" s="35" t="str">
        <f t="shared" si="69"/>
        <v/>
      </c>
      <c r="AA135" s="35" t="str">
        <f>IF(AND($A135&lt;&gt;0,$A135&lt;&gt;""),LOOKUP($A135,Discrete_NFET[PARTNUMBER],Discrete_NFET[QOSSTYP]),"")</f>
        <v/>
      </c>
      <c r="AB135" s="35" t="str">
        <f>IF(AND($A135&lt;&gt;0,$A135&lt;&gt;""),LOOKUP($A135,Discrete_NFET[PARTNUMBER],Discrete_NFET[QRR]),"")</f>
        <v/>
      </c>
      <c r="AC135" s="35" t="str">
        <f>IF(AND(A135&lt;&gt;0,A135&lt;&gt;""),LOOKUP(A135,Discrete_NFET[PARTNUMBER],Discrete_NFET[VF_TYP]),"")</f>
        <v/>
      </c>
      <c r="AD135" s="127" t="str">
        <f>IF(AND($A135&lt;&gt;0,$A135&lt;&gt;"",OR(RIGHT(Logic!B135,2)="C)",LEFT(Logic!B135,4)="CSD1")),(1+(1-DUTY))*IM_RMS_120^2*V135*m/3/Num_FETS3,"")</f>
        <v/>
      </c>
      <c r="AE135" s="127" t="str">
        <f>IF(AND($A135&lt;&gt;0,$A135&lt;&gt;"",OR(RIGHT(Logic!B135,2)="C)",LEFT(Logic!B135,4)="CSD1")),Num_FETS3*0.5*IM_RMS_120*VDC_AVG*Z135*n*MOT_ELEC_FREQ/GDR_SRC,"")</f>
        <v/>
      </c>
      <c r="AF135" s="127" t="str">
        <f>IF(AND($A135&lt;&gt;0,$A135&lt;&gt;"",OR(RIGHT(Logic!B135,2)="C)",LEFT(Logic!B135,4)="CSD1")),Num_FETS3*0.5*IM_RMS_120*VDC_AVG*Z135*n*MOT_ELEC_FREQ/GDR_SINK,"")</f>
        <v/>
      </c>
      <c r="AG135" s="127" t="str">
        <f>IF(AND($A135&lt;&gt;0,$A135&lt;&gt;"",OR(RIGHT(Logic!B135,2)="T)",LEFT(Logic!B135,4)="CSD1")),DUTY*IM_RMS_120^2*V135*m/3/Num_FETS3,"")</f>
        <v/>
      </c>
      <c r="AH135" s="127" t="str">
        <f>IF(AND($A135&lt;&gt;0,$A135&lt;&gt;"",OR(RIGHT(Logic!B135,2)="T)",LEFT(Logic!B135,4)="CSD1")),Num_FETS3*0.5*IM_RMS_120*VDC_AVG*Z135*n*FSW*k/GDR_SRC/3,"")</f>
        <v/>
      </c>
      <c r="AI135" s="127" t="str">
        <f>IF(AND($A135&lt;&gt;0,$A135&lt;&gt;"",OR(RIGHT(Logic!B135,2)="T)",LEFT(Logic!B135,4)="CSD1")),Num_FETS3*0.5*IM_RMS_120*VDC_AVG*Z135*n*FSW*k/GDR_SINK/3,"")</f>
        <v/>
      </c>
      <c r="AJ135" s="127" t="str">
        <f t="shared" si="53"/>
        <v/>
      </c>
      <c r="AK135" s="127" t="str">
        <f t="shared" si="54"/>
        <v/>
      </c>
      <c r="AL135" s="127" t="str">
        <f t="shared" si="55"/>
        <v/>
      </c>
      <c r="AM135" s="127" t="str">
        <f t="shared" si="70"/>
        <v/>
      </c>
      <c r="AN135" s="127">
        <f>IF(AND($A135&lt;&gt;0,$A135&lt;&gt;"",OR(RIGHT(Logic!B135,2)="C)",LEFT(Logic!B135,4)="CSD1")),SUM(AD135:AF135)+(AJ135/3)+AK135+AL135/6+AM135/6,AN136)</f>
        <v>0</v>
      </c>
      <c r="AO135" s="127">
        <f>IF(AND($A135&lt;&gt;0,$A135&lt;&gt;"",OR(RIGHT(Logic!B135,2)="T)",LEFT(Logic!B135,4)="CSD1")),SUM(AG135:AI135)+(AJ135/3)+AL135/6+AM135/6,AO134)</f>
        <v>0.23887636588496741</v>
      </c>
      <c r="AP135" s="48" t="str">
        <f t="shared" si="71"/>
        <v/>
      </c>
      <c r="AQ135" s="35" t="str">
        <f>IF(AND(A135&lt;&gt;0,A135&lt;&gt;""),LOOKUP(A135,Discrete_NFET[PARTNUMBER],Discrete_NFET[TI_EQ_PACKAGE]),"")</f>
        <v/>
      </c>
      <c r="AR135" s="49" t="str">
        <f>IF(AND(A135&lt;&gt;0,A135&lt;&gt;""),LOOKUP(A135,Discrete_NFET[PARTNUMBER],Discrete_NFET[1KPRICE]),"")</f>
        <v/>
      </c>
      <c r="AS135" s="35" t="str">
        <f>IF(AND($A135&lt;&gt;0,$A135&lt;&gt;""),CONCATENATE(TEXT(AP135,"0.00"),"W, ",IF('User Input'!H$11="Single Discrete",A135,IF('User Input'!H$11="Dual/Power Block",LEFT(A135,FIND(")",A135)-7),A135)),", ",AQ135,", ",TEXT(AR135,"$0.00")),"Invalid Part")</f>
        <v>Invalid Part</v>
      </c>
      <c r="AT135"/>
    </row>
    <row r="136" spans="1:54" x14ac:dyDescent="0.25">
      <c r="A136" s="35" t="str">
        <f>IF(OR(AND(FET_config3="Dual/Power Block",LEFT(Logic!B136,4)="CSD8"),AND(FET_config3="Single Discrete",LEFT(Logic!B136,4)="CSD1")),Logic!B136,"")</f>
        <v/>
      </c>
      <c r="B136" s="37" t="str">
        <f>IF(OR($A136=0,$A136=""),"0",IF(LOOKUP($A136,Discrete_NFET[PARTNUMBER],Discrete_NFET[RDSON25])="(NULL)","0","1"))</f>
        <v>0</v>
      </c>
      <c r="C136" s="38" t="str">
        <f>IF(OR($A136=0,$A136=""),"0",IF(LOOKUP($A136,Discrete_NFET[PARTNUMBER],Discrete_NFET[RDSON3])="(NULL)","0","1"))</f>
        <v>0</v>
      </c>
      <c r="D136" s="40" t="str">
        <f>IF(OR($A136=0,$A136=""),"0",IF(LOOKUP($A136,Discrete_NFET[PARTNUMBER],Discrete_NFET[RDSON45])="(NULL)","0","1"))</f>
        <v>0</v>
      </c>
      <c r="E136" s="45" t="str">
        <f>IF(OR($A136=0,$A136=""),"0",IF(LOOKUP($A136,Discrete_NFET[PARTNUMBER],Discrete_NFET[RDSON6])="(NULL)","0","1"))</f>
        <v>0</v>
      </c>
      <c r="F136" s="34" t="str">
        <f>IF(OR($A136=0,$A136=""),"0",IF(LOOKUP($A136,Discrete_NFET[PARTNUMBER],Discrete_NFET[RDSON8])="(NULL)","0","1"))</f>
        <v>0</v>
      </c>
      <c r="G136" s="43" t="str">
        <f>IF(OR($A136=0,$A136=""),"0",IF(LOOKUP($A136,Discrete_NFET[PARTNUMBER],Discrete_NFET[RDSON10])="(NULL)","0","1"))</f>
        <v>0</v>
      </c>
      <c r="H136" s="36" t="b">
        <f t="shared" si="56"/>
        <v>0</v>
      </c>
      <c r="I136" s="39" t="b">
        <f t="shared" si="57"/>
        <v>0</v>
      </c>
      <c r="J136" s="41" t="b">
        <f t="shared" si="58"/>
        <v>0</v>
      </c>
      <c r="K136" s="46" t="b">
        <f t="shared" si="59"/>
        <v>0</v>
      </c>
      <c r="L136" s="42" t="b">
        <f t="shared" si="60"/>
        <v>0</v>
      </c>
      <c r="M136" s="44" t="b">
        <f t="shared" si="61"/>
        <v>0</v>
      </c>
      <c r="N136" s="47" t="b">
        <f t="shared" si="62"/>
        <v>0</v>
      </c>
      <c r="O136" s="36" t="b">
        <f t="shared" si="63"/>
        <v>0</v>
      </c>
      <c r="P136" s="39" t="b">
        <f t="shared" si="64"/>
        <v>0</v>
      </c>
      <c r="Q136" s="41" t="b">
        <f t="shared" si="65"/>
        <v>0</v>
      </c>
      <c r="R136" s="46" t="b">
        <f t="shared" si="66"/>
        <v>0</v>
      </c>
      <c r="S136" s="42" t="b">
        <f t="shared" si="67"/>
        <v>0</v>
      </c>
      <c r="T136" s="44" t="b">
        <f t="shared" si="68"/>
        <v>0</v>
      </c>
      <c r="U136" s="148" t="str">
        <f>IF(T136,LOOKUP(A136,Discrete_NFET[PARTNUMBER],Discrete_NFET[RDSON10])*1000,IF(S136,LOOKUP(A136,Discrete_NFET[PARTNUMBER],Discrete_NFET[RDSON8])*1000,IF(R136,LOOKUP(A136,Discrete_NFET[PARTNUMBER],Discrete_NFET[RDSON6])*1000,IF(Q136,LOOKUP(A136,Discrete_NFET[PARTNUMBER],Discrete_NFET[RDSON45])*1000,IF(P136,LOOKUP(A136,Discrete_NFET[PARTNUMBER],Discrete_NFET[RDSON3])*1000,IF(O136,LOOKUP(A136,Discrete_NFET[PARTNUMBER],Discrete_NFET[RDSON25])*1000,""))))))</f>
        <v/>
      </c>
      <c r="V136" s="48" t="str">
        <f>IF(AND(A136&lt;&gt;0,A136&lt;&gt;""),U136*(1+(Tj-25)*(LOOKUP(A136,Discrete_NFET[PARTNUMBER],Discrete_NFET[RDSDELTA])/((LOOKUP(A136,Discrete_NFET[PARTNUMBER],Discrete_NFET[TJMAX])-25)))),"")</f>
        <v/>
      </c>
      <c r="W136" s="35" t="str">
        <f>IF(AND($A136&lt;&gt;0,$A136&lt;&gt;""),LOOKUP($A136,Discrete_NFET[PARTNUMBER],Discrete_NFET[QGS]),"")</f>
        <v/>
      </c>
      <c r="X136" s="35" t="str">
        <f>IF(AND($A136&lt;&gt;0,$A136&lt;&gt;""),LOOKUP($A136,Discrete_NFET[PARTNUMBER],Discrete_NFET[QGD]),"")</f>
        <v/>
      </c>
      <c r="Y136" s="35" t="str">
        <f>IF(AND($A136&lt;&gt;0,$A136&lt;&gt;""),LOOKUP($A136,Discrete_NFET[PARTNUMBER],Discrete_NFET[QGTH]),"")</f>
        <v/>
      </c>
      <c r="Z136" s="35" t="str">
        <f t="shared" si="69"/>
        <v/>
      </c>
      <c r="AA136" s="35" t="str">
        <f>IF(AND($A136&lt;&gt;0,$A136&lt;&gt;""),LOOKUP($A136,Discrete_NFET[PARTNUMBER],Discrete_NFET[QOSSTYP]),"")</f>
        <v/>
      </c>
      <c r="AB136" s="35" t="str">
        <f>IF(AND($A136&lt;&gt;0,$A136&lt;&gt;""),LOOKUP($A136,Discrete_NFET[PARTNUMBER],Discrete_NFET[QRR]),"")</f>
        <v/>
      </c>
      <c r="AC136" s="35" t="str">
        <f>IF(AND(A136&lt;&gt;0,A136&lt;&gt;""),LOOKUP(A136,Discrete_NFET[PARTNUMBER],Discrete_NFET[VF_TYP]),"")</f>
        <v/>
      </c>
      <c r="AD136" s="127" t="str">
        <f>IF(AND($A136&lt;&gt;0,$A136&lt;&gt;"",OR(RIGHT(Logic!B136,2)="C)",LEFT(Logic!B136,4)="CSD1")),(1+(1-DUTY))*IM_RMS_120^2*V136*m/3/Num_FETS3,"")</f>
        <v/>
      </c>
      <c r="AE136" s="127" t="str">
        <f>IF(AND($A136&lt;&gt;0,$A136&lt;&gt;"",OR(RIGHT(Logic!B136,2)="C)",LEFT(Logic!B136,4)="CSD1")),Num_FETS3*0.5*IM_RMS_120*VDC_AVG*Z136*n*MOT_ELEC_FREQ/GDR_SRC,"")</f>
        <v/>
      </c>
      <c r="AF136" s="127" t="str">
        <f>IF(AND($A136&lt;&gt;0,$A136&lt;&gt;"",OR(RIGHT(Logic!B136,2)="C)",LEFT(Logic!B136,4)="CSD1")),Num_FETS3*0.5*IM_RMS_120*VDC_AVG*Z136*n*MOT_ELEC_FREQ/GDR_SINK,"")</f>
        <v/>
      </c>
      <c r="AG136" s="127" t="str">
        <f>IF(AND($A136&lt;&gt;0,$A136&lt;&gt;"",OR(RIGHT(Logic!B136,2)="T)",LEFT(Logic!B136,4)="CSD1")),DUTY*IM_RMS_120^2*V136*m/3/Num_FETS3,"")</f>
        <v/>
      </c>
      <c r="AH136" s="127" t="str">
        <f>IF(AND($A136&lt;&gt;0,$A136&lt;&gt;"",OR(RIGHT(Logic!B136,2)="T)",LEFT(Logic!B136,4)="CSD1")),Num_FETS3*0.5*IM_RMS_120*VDC_AVG*Z136*n*FSW*k/GDR_SRC/3,"")</f>
        <v/>
      </c>
      <c r="AI136" s="127" t="str">
        <f>IF(AND($A136&lt;&gt;0,$A136&lt;&gt;"",OR(RIGHT(Logic!B136,2)="T)",LEFT(Logic!B136,4)="CSD1")),Num_FETS3*0.5*IM_RMS_120*VDC_AVG*Z136*n*FSW*k/GDR_SINK/3,"")</f>
        <v/>
      </c>
      <c r="AJ136" s="127" t="str">
        <f t="shared" si="53"/>
        <v/>
      </c>
      <c r="AK136" s="127" t="str">
        <f t="shared" si="54"/>
        <v/>
      </c>
      <c r="AL136" s="127" t="str">
        <f t="shared" si="55"/>
        <v/>
      </c>
      <c r="AM136" s="127" t="str">
        <f t="shared" si="70"/>
        <v/>
      </c>
      <c r="AN136" s="127">
        <f>IF(AND($A136&lt;&gt;0,$A136&lt;&gt;"",OR(RIGHT(Logic!B136,2)="C)",LEFT(Logic!B136,4)="CSD1")),SUM(AD136:AF136)+(AJ136/3)+AK136+AL136/6+AM136/6,AN137)</f>
        <v>0</v>
      </c>
      <c r="AO136" s="127">
        <f>IF(AND($A136&lt;&gt;0,$A136&lt;&gt;"",OR(RIGHT(Logic!B136,2)="T)",LEFT(Logic!B136,4)="CSD1")),SUM(AG136:AI136)+(AJ136/3)+AL136/6+AM136/6,AO135)</f>
        <v>0.23887636588496741</v>
      </c>
      <c r="AP136" s="48" t="str">
        <f t="shared" si="71"/>
        <v/>
      </c>
      <c r="AQ136" s="35" t="str">
        <f>IF(AND(A136&lt;&gt;0,A136&lt;&gt;""),LOOKUP(A136,Discrete_NFET[PARTNUMBER],Discrete_NFET[TI_EQ_PACKAGE]),"")</f>
        <v/>
      </c>
      <c r="AR136" s="49" t="str">
        <f>IF(AND(A136&lt;&gt;0,A136&lt;&gt;""),LOOKUP(A136,Discrete_NFET[PARTNUMBER],Discrete_NFET[1KPRICE]),"")</f>
        <v/>
      </c>
      <c r="AS136" s="35" t="str">
        <f>IF(AND($A136&lt;&gt;0,$A136&lt;&gt;""),CONCATENATE(TEXT(AP136,"0.00"),"W, ",IF('User Input'!H$11="Single Discrete",A136,IF('User Input'!H$11="Dual/Power Block",LEFT(A136,FIND(")",A136)-7),A136)),", ",AQ136,", ",TEXT(AR136,"$0.00")),"Invalid Part")</f>
        <v>Invalid Part</v>
      </c>
      <c r="AT136"/>
    </row>
    <row r="137" spans="1:54" x14ac:dyDescent="0.25">
      <c r="A137" s="35" t="str">
        <f>IF(OR(AND(FET_config3="Dual/Power Block",LEFT(Logic!B137,4)="CSD8"),AND(FET_config3="Single Discrete",LEFT(Logic!B137,4)="CSD1")),Logic!B137,"")</f>
        <v/>
      </c>
      <c r="B137" s="37" t="str">
        <f>IF(OR($A137=0,$A137=""),"0",IF(LOOKUP($A137,Discrete_NFET[PARTNUMBER],Discrete_NFET[RDSON25])="(NULL)","0","1"))</f>
        <v>0</v>
      </c>
      <c r="C137" s="38" t="str">
        <f>IF(OR($A137=0,$A137=""),"0",IF(LOOKUP($A137,Discrete_NFET[PARTNUMBER],Discrete_NFET[RDSON3])="(NULL)","0","1"))</f>
        <v>0</v>
      </c>
      <c r="D137" s="40" t="str">
        <f>IF(OR($A137=0,$A137=""),"0",IF(LOOKUP($A137,Discrete_NFET[PARTNUMBER],Discrete_NFET[RDSON45])="(NULL)","0","1"))</f>
        <v>0</v>
      </c>
      <c r="E137" s="45" t="str">
        <f>IF(OR($A137=0,$A137=""),"0",IF(LOOKUP($A137,Discrete_NFET[PARTNUMBER],Discrete_NFET[RDSON6])="(NULL)","0","1"))</f>
        <v>0</v>
      </c>
      <c r="F137" s="34" t="str">
        <f>IF(OR($A137=0,$A137=""),"0",IF(LOOKUP($A137,Discrete_NFET[PARTNUMBER],Discrete_NFET[RDSON8])="(NULL)","0","1"))</f>
        <v>0</v>
      </c>
      <c r="G137" s="43" t="str">
        <f>IF(OR($A137=0,$A137=""),"0",IF(LOOKUP($A137,Discrete_NFET[PARTNUMBER],Discrete_NFET[RDSON10])="(NULL)","0","1"))</f>
        <v>0</v>
      </c>
      <c r="H137" s="36" t="b">
        <f t="shared" si="56"/>
        <v>0</v>
      </c>
      <c r="I137" s="39" t="b">
        <f t="shared" si="57"/>
        <v>0</v>
      </c>
      <c r="J137" s="41" t="b">
        <f t="shared" si="58"/>
        <v>0</v>
      </c>
      <c r="K137" s="46" t="b">
        <f t="shared" si="59"/>
        <v>0</v>
      </c>
      <c r="L137" s="42" t="b">
        <f t="shared" si="60"/>
        <v>0</v>
      </c>
      <c r="M137" s="44" t="b">
        <f t="shared" si="61"/>
        <v>0</v>
      </c>
      <c r="N137" s="47" t="b">
        <f t="shared" si="62"/>
        <v>0</v>
      </c>
      <c r="O137" s="36" t="b">
        <f t="shared" si="63"/>
        <v>0</v>
      </c>
      <c r="P137" s="39" t="b">
        <f t="shared" si="64"/>
        <v>0</v>
      </c>
      <c r="Q137" s="41" t="b">
        <f t="shared" si="65"/>
        <v>0</v>
      </c>
      <c r="R137" s="46" t="b">
        <f t="shared" si="66"/>
        <v>0</v>
      </c>
      <c r="S137" s="42" t="b">
        <f t="shared" si="67"/>
        <v>0</v>
      </c>
      <c r="T137" s="44" t="b">
        <f t="shared" si="68"/>
        <v>0</v>
      </c>
      <c r="U137" s="148" t="str">
        <f>IF(T137,LOOKUP(A137,Discrete_NFET[PARTNUMBER],Discrete_NFET[RDSON10])*1000,IF(S137,LOOKUP(A137,Discrete_NFET[PARTNUMBER],Discrete_NFET[RDSON8])*1000,IF(R137,LOOKUP(A137,Discrete_NFET[PARTNUMBER],Discrete_NFET[RDSON6])*1000,IF(Q137,LOOKUP(A137,Discrete_NFET[PARTNUMBER],Discrete_NFET[RDSON45])*1000,IF(P137,LOOKUP(A137,Discrete_NFET[PARTNUMBER],Discrete_NFET[RDSON3])*1000,IF(O137,LOOKUP(A137,Discrete_NFET[PARTNUMBER],Discrete_NFET[RDSON25])*1000,""))))))</f>
        <v/>
      </c>
      <c r="V137" s="48" t="str">
        <f>IF(AND(A137&lt;&gt;0,A137&lt;&gt;""),U137*(1+(Tj-25)*(LOOKUP(A137,Discrete_NFET[PARTNUMBER],Discrete_NFET[RDSDELTA])/((LOOKUP(A137,Discrete_NFET[PARTNUMBER],Discrete_NFET[TJMAX])-25)))),"")</f>
        <v/>
      </c>
      <c r="W137" s="35" t="str">
        <f>IF(AND($A137&lt;&gt;0,$A137&lt;&gt;""),LOOKUP($A137,Discrete_NFET[PARTNUMBER],Discrete_NFET[QGS]),"")</f>
        <v/>
      </c>
      <c r="X137" s="35" t="str">
        <f>IF(AND($A137&lt;&gt;0,$A137&lt;&gt;""),LOOKUP($A137,Discrete_NFET[PARTNUMBER],Discrete_NFET[QGD]),"")</f>
        <v/>
      </c>
      <c r="Y137" s="35" t="str">
        <f>IF(AND($A137&lt;&gt;0,$A137&lt;&gt;""),LOOKUP($A137,Discrete_NFET[PARTNUMBER],Discrete_NFET[QGTH]),"")</f>
        <v/>
      </c>
      <c r="Z137" s="35" t="str">
        <f t="shared" si="69"/>
        <v/>
      </c>
      <c r="AA137" s="35" t="str">
        <f>IF(AND($A137&lt;&gt;0,$A137&lt;&gt;""),LOOKUP($A137,Discrete_NFET[PARTNUMBER],Discrete_NFET[QOSSTYP]),"")</f>
        <v/>
      </c>
      <c r="AB137" s="35" t="str">
        <f>IF(AND($A137&lt;&gt;0,$A137&lt;&gt;""),LOOKUP($A137,Discrete_NFET[PARTNUMBER],Discrete_NFET[QRR]),"")</f>
        <v/>
      </c>
      <c r="AC137" s="35" t="str">
        <f>IF(AND(A137&lt;&gt;0,A137&lt;&gt;""),LOOKUP(A137,Discrete_NFET[PARTNUMBER],Discrete_NFET[VF_TYP]),"")</f>
        <v/>
      </c>
      <c r="AD137" s="127" t="str">
        <f>IF(AND($A137&lt;&gt;0,$A137&lt;&gt;"",OR(RIGHT(Logic!B137,2)="C)",LEFT(Logic!B137,4)="CSD1")),(1+(1-DUTY))*IM_RMS_120^2*V137*m/3/Num_FETS3,"")</f>
        <v/>
      </c>
      <c r="AE137" s="127" t="str">
        <f>IF(AND($A137&lt;&gt;0,$A137&lt;&gt;"",OR(RIGHT(Logic!B137,2)="C)",LEFT(Logic!B137,4)="CSD1")),Num_FETS3*0.5*IM_RMS_120*VDC_AVG*Z137*n*MOT_ELEC_FREQ/GDR_SRC,"")</f>
        <v/>
      </c>
      <c r="AF137" s="127" t="str">
        <f>IF(AND($A137&lt;&gt;0,$A137&lt;&gt;"",OR(RIGHT(Logic!B137,2)="C)",LEFT(Logic!B137,4)="CSD1")),Num_FETS3*0.5*IM_RMS_120*VDC_AVG*Z137*n*MOT_ELEC_FREQ/GDR_SINK,"")</f>
        <v/>
      </c>
      <c r="AG137" s="127" t="str">
        <f>IF(AND($A137&lt;&gt;0,$A137&lt;&gt;"",OR(RIGHT(Logic!B137,2)="T)",LEFT(Logic!B137,4)="CSD1")),DUTY*IM_RMS_120^2*V137*m/3/Num_FETS3,"")</f>
        <v/>
      </c>
      <c r="AH137" s="127" t="str">
        <f>IF(AND($A137&lt;&gt;0,$A137&lt;&gt;"",OR(RIGHT(Logic!B137,2)="T)",LEFT(Logic!B137,4)="CSD1")),Num_FETS3*0.5*IM_RMS_120*VDC_AVG*Z137*n*FSW*k/GDR_SRC/3,"")</f>
        <v/>
      </c>
      <c r="AI137" s="127" t="str">
        <f>IF(AND($A137&lt;&gt;0,$A137&lt;&gt;"",OR(RIGHT(Logic!B137,2)="T)",LEFT(Logic!B137,4)="CSD1")),Num_FETS3*0.5*IM_RMS_120*VDC_AVG*Z137*n*FSW*k/GDR_SINK/3,"")</f>
        <v/>
      </c>
      <c r="AJ137" s="127" t="str">
        <f t="shared" si="53"/>
        <v/>
      </c>
      <c r="AK137" s="127" t="str">
        <f t="shared" si="54"/>
        <v/>
      </c>
      <c r="AL137" s="127" t="str">
        <f t="shared" si="55"/>
        <v/>
      </c>
      <c r="AM137" s="127" t="str">
        <f t="shared" si="70"/>
        <v/>
      </c>
      <c r="AN137" s="127">
        <f>IF(AND($A137&lt;&gt;0,$A137&lt;&gt;"",OR(RIGHT(Logic!B137,2)="C)",LEFT(Logic!B137,4)="CSD1")),SUM(AD137:AF137)+(AJ137/3)+AK137+AL137/6+AM137/6,AN138)</f>
        <v>0</v>
      </c>
      <c r="AO137" s="127">
        <f>IF(AND($A137&lt;&gt;0,$A137&lt;&gt;"",OR(RIGHT(Logic!B137,2)="T)",LEFT(Logic!B137,4)="CSD1")),SUM(AG137:AI137)+(AJ137/3)+AL137/6+AM137/6,AO136)</f>
        <v>0.23887636588496741</v>
      </c>
      <c r="AP137" s="48" t="str">
        <f t="shared" si="71"/>
        <v/>
      </c>
      <c r="AQ137" s="35" t="str">
        <f>IF(AND(A137&lt;&gt;0,A137&lt;&gt;""),LOOKUP(A137,Discrete_NFET[PARTNUMBER],Discrete_NFET[TI_EQ_PACKAGE]),"")</f>
        <v/>
      </c>
      <c r="AR137" s="49" t="str">
        <f>IF(AND(A137&lt;&gt;0,A137&lt;&gt;""),LOOKUP(A137,Discrete_NFET[PARTNUMBER],Discrete_NFET[1KPRICE]),"")</f>
        <v/>
      </c>
      <c r="AS137" s="35" t="str">
        <f>IF(AND($A137&lt;&gt;0,$A137&lt;&gt;""),CONCATENATE(TEXT(AP137,"0.00"),"W, ",IF('User Input'!H$11="Single Discrete",A137,IF('User Input'!H$11="Dual/Power Block",LEFT(A137,FIND(")",A137)-7),A137)),", ",AQ137,", ",TEXT(AR137,"$0.00")),"Invalid Part")</f>
        <v>Invalid Part</v>
      </c>
      <c r="AT137"/>
    </row>
    <row r="138" spans="1:54" x14ac:dyDescent="0.25">
      <c r="A138" s="35" t="str">
        <f>IF(OR(AND(FET_config3="Dual/Power Block",LEFT(Logic!B138,4)="CSD8"),AND(FET_config3="Single Discrete",LEFT(Logic!B138,4)="CSD1")),Logic!B138,"")</f>
        <v/>
      </c>
      <c r="B138" s="37" t="str">
        <f>IF(OR($A138=0,$A138=""),"0",IF(LOOKUP($A138,Discrete_NFET[PARTNUMBER],Discrete_NFET[RDSON25])="(NULL)","0","1"))</f>
        <v>0</v>
      </c>
      <c r="C138" s="38" t="str">
        <f>IF(OR($A138=0,$A138=""),"0",IF(LOOKUP($A138,Discrete_NFET[PARTNUMBER],Discrete_NFET[RDSON3])="(NULL)","0","1"))</f>
        <v>0</v>
      </c>
      <c r="D138" s="40" t="str">
        <f>IF(OR($A138=0,$A138=""),"0",IF(LOOKUP($A138,Discrete_NFET[PARTNUMBER],Discrete_NFET[RDSON45])="(NULL)","0","1"))</f>
        <v>0</v>
      </c>
      <c r="E138" s="45" t="str">
        <f>IF(OR($A138=0,$A138=""),"0",IF(LOOKUP($A138,Discrete_NFET[PARTNUMBER],Discrete_NFET[RDSON6])="(NULL)","0","1"))</f>
        <v>0</v>
      </c>
      <c r="F138" s="34" t="str">
        <f>IF(OR($A138=0,$A138=""),"0",IF(LOOKUP($A138,Discrete_NFET[PARTNUMBER],Discrete_NFET[RDSON8])="(NULL)","0","1"))</f>
        <v>0</v>
      </c>
      <c r="G138" s="43" t="str">
        <f>IF(OR($A138=0,$A138=""),"0",IF(LOOKUP($A138,Discrete_NFET[PARTNUMBER],Discrete_NFET[RDSON10])="(NULL)","0","1"))</f>
        <v>0</v>
      </c>
      <c r="H138" s="36" t="b">
        <f t="shared" si="56"/>
        <v>0</v>
      </c>
      <c r="I138" s="39" t="b">
        <f t="shared" si="57"/>
        <v>0</v>
      </c>
      <c r="J138" s="41" t="b">
        <f t="shared" si="58"/>
        <v>0</v>
      </c>
      <c r="K138" s="46" t="b">
        <f t="shared" si="59"/>
        <v>0</v>
      </c>
      <c r="L138" s="42" t="b">
        <f t="shared" si="60"/>
        <v>0</v>
      </c>
      <c r="M138" s="44" t="b">
        <f t="shared" si="61"/>
        <v>0</v>
      </c>
      <c r="N138" s="47" t="b">
        <f t="shared" si="62"/>
        <v>0</v>
      </c>
      <c r="O138" s="36" t="b">
        <f t="shared" si="63"/>
        <v>0</v>
      </c>
      <c r="P138" s="39" t="b">
        <f t="shared" si="64"/>
        <v>0</v>
      </c>
      <c r="Q138" s="41" t="b">
        <f t="shared" si="65"/>
        <v>0</v>
      </c>
      <c r="R138" s="46" t="b">
        <f t="shared" si="66"/>
        <v>0</v>
      </c>
      <c r="S138" s="42" t="b">
        <f t="shared" si="67"/>
        <v>0</v>
      </c>
      <c r="T138" s="44" t="b">
        <f t="shared" si="68"/>
        <v>0</v>
      </c>
      <c r="U138" s="148" t="str">
        <f>IF(T138,LOOKUP(A138,Discrete_NFET[PARTNUMBER],Discrete_NFET[RDSON10])*1000,IF(S138,LOOKUP(A138,Discrete_NFET[PARTNUMBER],Discrete_NFET[RDSON8])*1000,IF(R138,LOOKUP(A138,Discrete_NFET[PARTNUMBER],Discrete_NFET[RDSON6])*1000,IF(Q138,LOOKUP(A138,Discrete_NFET[PARTNUMBER],Discrete_NFET[RDSON45])*1000,IF(P138,LOOKUP(A138,Discrete_NFET[PARTNUMBER],Discrete_NFET[RDSON3])*1000,IF(O138,LOOKUP(A138,Discrete_NFET[PARTNUMBER],Discrete_NFET[RDSON25])*1000,""))))))</f>
        <v/>
      </c>
      <c r="V138" s="48" t="str">
        <f>IF(AND(A138&lt;&gt;0,A138&lt;&gt;""),U138*(1+(Tj-25)*(LOOKUP(A138,Discrete_NFET[PARTNUMBER],Discrete_NFET[RDSDELTA])/((LOOKUP(A138,Discrete_NFET[PARTNUMBER],Discrete_NFET[TJMAX])-25)))),"")</f>
        <v/>
      </c>
      <c r="W138" s="35" t="str">
        <f>IF(AND($A138&lt;&gt;0,$A138&lt;&gt;""),LOOKUP($A138,Discrete_NFET[PARTNUMBER],Discrete_NFET[QGS]),"")</f>
        <v/>
      </c>
      <c r="X138" s="35" t="str">
        <f>IF(AND($A138&lt;&gt;0,$A138&lt;&gt;""),LOOKUP($A138,Discrete_NFET[PARTNUMBER],Discrete_NFET[QGD]),"")</f>
        <v/>
      </c>
      <c r="Y138" s="35" t="str">
        <f>IF(AND($A138&lt;&gt;0,$A138&lt;&gt;""),LOOKUP($A138,Discrete_NFET[PARTNUMBER],Discrete_NFET[QGTH]),"")</f>
        <v/>
      </c>
      <c r="Z138" s="35" t="str">
        <f t="shared" si="69"/>
        <v/>
      </c>
      <c r="AA138" s="35" t="str">
        <f>IF(AND($A138&lt;&gt;0,$A138&lt;&gt;""),LOOKUP($A138,Discrete_NFET[PARTNUMBER],Discrete_NFET[QOSSTYP]),"")</f>
        <v/>
      </c>
      <c r="AB138" s="35" t="str">
        <f>IF(AND($A138&lt;&gt;0,$A138&lt;&gt;""),LOOKUP($A138,Discrete_NFET[PARTNUMBER],Discrete_NFET[QRR]),"")</f>
        <v/>
      </c>
      <c r="AC138" s="35" t="str">
        <f>IF(AND(A138&lt;&gt;0,A138&lt;&gt;""),LOOKUP(A138,Discrete_NFET[PARTNUMBER],Discrete_NFET[VF_TYP]),"")</f>
        <v/>
      </c>
      <c r="AD138" s="127" t="str">
        <f>IF(AND($A138&lt;&gt;0,$A138&lt;&gt;"",OR(RIGHT(Logic!B138,2)="C)",LEFT(Logic!B138,4)="CSD1")),(1+(1-DUTY))*IM_RMS_120^2*V138*m/3/Num_FETS3,"")</f>
        <v/>
      </c>
      <c r="AE138" s="127" t="str">
        <f>IF(AND($A138&lt;&gt;0,$A138&lt;&gt;"",OR(RIGHT(Logic!B138,2)="C)",LEFT(Logic!B138,4)="CSD1")),Num_FETS3*0.5*IM_RMS_120*VDC_AVG*Z138*n*MOT_ELEC_FREQ/GDR_SRC,"")</f>
        <v/>
      </c>
      <c r="AF138" s="127" t="str">
        <f>IF(AND($A138&lt;&gt;0,$A138&lt;&gt;"",OR(RIGHT(Logic!B138,2)="C)",LEFT(Logic!B138,4)="CSD1")),Num_FETS3*0.5*IM_RMS_120*VDC_AVG*Z138*n*MOT_ELEC_FREQ/GDR_SINK,"")</f>
        <v/>
      </c>
      <c r="AG138" s="127" t="str">
        <f>IF(AND($A138&lt;&gt;0,$A138&lt;&gt;"",OR(RIGHT(Logic!B138,2)="T)",LEFT(Logic!B138,4)="CSD1")),DUTY*IM_RMS_120^2*V138*m/3/Num_FETS3,"")</f>
        <v/>
      </c>
      <c r="AH138" s="127" t="str">
        <f>IF(AND($A138&lt;&gt;0,$A138&lt;&gt;"",OR(RIGHT(Logic!B138,2)="T)",LEFT(Logic!B138,4)="CSD1")),Num_FETS3*0.5*IM_RMS_120*VDC_AVG*Z138*n*FSW*k/GDR_SRC/3,"")</f>
        <v/>
      </c>
      <c r="AI138" s="127" t="str">
        <f>IF(AND($A138&lt;&gt;0,$A138&lt;&gt;"",OR(RIGHT(Logic!B138,2)="T)",LEFT(Logic!B138,4)="CSD1")),Num_FETS3*0.5*IM_RMS_120*VDC_AVG*Z138*n*FSW*k/GDR_SINK/3,"")</f>
        <v/>
      </c>
      <c r="AJ138" s="127" t="str">
        <f t="shared" si="53"/>
        <v/>
      </c>
      <c r="AK138" s="127" t="str">
        <f t="shared" si="54"/>
        <v/>
      </c>
      <c r="AL138" s="127" t="str">
        <f t="shared" si="55"/>
        <v/>
      </c>
      <c r="AM138" s="127" t="str">
        <f t="shared" si="70"/>
        <v/>
      </c>
      <c r="AN138" s="127">
        <f>IF(AND($A138&lt;&gt;0,$A138&lt;&gt;"",OR(RIGHT(Logic!B138,2)="C)",LEFT(Logic!B138,4)="CSD1")),SUM(AD138:AF138)+(AJ138/3)+AK138+AL138/6+AM138/6,AN139)</f>
        <v>0</v>
      </c>
      <c r="AO138" s="127">
        <f>IF(AND($A138&lt;&gt;0,$A138&lt;&gt;"",OR(RIGHT(Logic!B138,2)="T)",LEFT(Logic!B138,4)="CSD1")),SUM(AG138:AI138)+(AJ138/3)+AL138/6+AM138/6,AO137)</f>
        <v>0.23887636588496741</v>
      </c>
      <c r="AP138" s="48" t="str">
        <f t="shared" si="71"/>
        <v/>
      </c>
      <c r="AQ138" s="35" t="str">
        <f>IF(AND(A138&lt;&gt;0,A138&lt;&gt;""),LOOKUP(A138,Discrete_NFET[PARTNUMBER],Discrete_NFET[TI_EQ_PACKAGE]),"")</f>
        <v/>
      </c>
      <c r="AR138" s="49" t="str">
        <f>IF(AND(A138&lt;&gt;0,A138&lt;&gt;""),LOOKUP(A138,Discrete_NFET[PARTNUMBER],Discrete_NFET[1KPRICE]),"")</f>
        <v/>
      </c>
      <c r="AS138" s="35" t="str">
        <f>IF(AND($A138&lt;&gt;0,$A138&lt;&gt;""),CONCATENATE(TEXT(AP138,"0.00"),"W, ",IF('User Input'!H$11="Single Discrete",A138,IF('User Input'!H$11="Dual/Power Block",LEFT(A138,FIND(")",A138)-7),A138)),", ",AQ138,", ",TEXT(AR138,"$0.00")),"Invalid Part")</f>
        <v>Invalid Part</v>
      </c>
      <c r="AT138"/>
    </row>
    <row r="139" spans="1:54" x14ac:dyDescent="0.25">
      <c r="A139" s="35" t="str">
        <f>IF(OR(AND(FET_config3="Dual/Power Block",LEFT(Logic!B139,4)="CSD8"),AND(FET_config3="Single Discrete",LEFT(Logic!B139,4)="CSD1")),Logic!B139,"")</f>
        <v/>
      </c>
      <c r="B139" s="37" t="str">
        <f>IF(OR($A139=0,$A139=""),"0",IF(LOOKUP($A139,Discrete_NFET[PARTNUMBER],Discrete_NFET[RDSON25])="(NULL)","0","1"))</f>
        <v>0</v>
      </c>
      <c r="C139" s="38" t="str">
        <f>IF(OR($A139=0,$A139=""),"0",IF(LOOKUP($A139,Discrete_NFET[PARTNUMBER],Discrete_NFET[RDSON3])="(NULL)","0","1"))</f>
        <v>0</v>
      </c>
      <c r="D139" s="40" t="str">
        <f>IF(OR($A139=0,$A139=""),"0",IF(LOOKUP($A139,Discrete_NFET[PARTNUMBER],Discrete_NFET[RDSON45])="(NULL)","0","1"))</f>
        <v>0</v>
      </c>
      <c r="E139" s="45" t="str">
        <f>IF(OR($A139=0,$A139=""),"0",IF(LOOKUP($A139,Discrete_NFET[PARTNUMBER],Discrete_NFET[RDSON6])="(NULL)","0","1"))</f>
        <v>0</v>
      </c>
      <c r="F139" s="34" t="str">
        <f>IF(OR($A139=0,$A139=""),"0",IF(LOOKUP($A139,Discrete_NFET[PARTNUMBER],Discrete_NFET[RDSON8])="(NULL)","0","1"))</f>
        <v>0</v>
      </c>
      <c r="G139" s="43" t="str">
        <f>IF(OR($A139=0,$A139=""),"0",IF(LOOKUP($A139,Discrete_NFET[PARTNUMBER],Discrete_NFET[RDSON10])="(NULL)","0","1"))</f>
        <v>0</v>
      </c>
      <c r="H139" s="36" t="b">
        <f t="shared" si="56"/>
        <v>0</v>
      </c>
      <c r="I139" s="39" t="b">
        <f t="shared" si="57"/>
        <v>0</v>
      </c>
      <c r="J139" s="41" t="b">
        <f t="shared" si="58"/>
        <v>0</v>
      </c>
      <c r="K139" s="46" t="b">
        <f t="shared" si="59"/>
        <v>0</v>
      </c>
      <c r="L139" s="42" t="b">
        <f t="shared" si="60"/>
        <v>0</v>
      </c>
      <c r="M139" s="44" t="b">
        <f t="shared" si="61"/>
        <v>0</v>
      </c>
      <c r="N139" s="47" t="b">
        <f t="shared" si="62"/>
        <v>0</v>
      </c>
      <c r="O139" s="36" t="b">
        <f t="shared" si="63"/>
        <v>0</v>
      </c>
      <c r="P139" s="39" t="b">
        <f t="shared" si="64"/>
        <v>0</v>
      </c>
      <c r="Q139" s="41" t="b">
        <f t="shared" si="65"/>
        <v>0</v>
      </c>
      <c r="R139" s="46" t="b">
        <f t="shared" si="66"/>
        <v>0</v>
      </c>
      <c r="S139" s="42" t="b">
        <f t="shared" si="67"/>
        <v>0</v>
      </c>
      <c r="T139" s="44" t="b">
        <f t="shared" si="68"/>
        <v>0</v>
      </c>
      <c r="U139" s="148" t="str">
        <f>IF(T139,LOOKUP(A139,Discrete_NFET[PARTNUMBER],Discrete_NFET[RDSON10])*1000,IF(S139,LOOKUP(A139,Discrete_NFET[PARTNUMBER],Discrete_NFET[RDSON8])*1000,IF(R139,LOOKUP(A139,Discrete_NFET[PARTNUMBER],Discrete_NFET[RDSON6])*1000,IF(Q139,LOOKUP(A139,Discrete_NFET[PARTNUMBER],Discrete_NFET[RDSON45])*1000,IF(P139,LOOKUP(A139,Discrete_NFET[PARTNUMBER],Discrete_NFET[RDSON3])*1000,IF(O139,LOOKUP(A139,Discrete_NFET[PARTNUMBER],Discrete_NFET[RDSON25])*1000,""))))))</f>
        <v/>
      </c>
      <c r="V139" s="48" t="str">
        <f>IF(AND(A139&lt;&gt;0,A139&lt;&gt;""),U139*(1+(Tj-25)*(LOOKUP(A139,Discrete_NFET[PARTNUMBER],Discrete_NFET[RDSDELTA])/((LOOKUP(A139,Discrete_NFET[PARTNUMBER],Discrete_NFET[TJMAX])-25)))),"")</f>
        <v/>
      </c>
      <c r="W139" s="35" t="str">
        <f>IF(AND($A139&lt;&gt;0,$A139&lt;&gt;""),LOOKUP($A139,Discrete_NFET[PARTNUMBER],Discrete_NFET[QGS]),"")</f>
        <v/>
      </c>
      <c r="X139" s="35" t="str">
        <f>IF(AND($A139&lt;&gt;0,$A139&lt;&gt;""),LOOKUP($A139,Discrete_NFET[PARTNUMBER],Discrete_NFET[QGD]),"")</f>
        <v/>
      </c>
      <c r="Y139" s="35" t="str">
        <f>IF(AND($A139&lt;&gt;0,$A139&lt;&gt;""),LOOKUP($A139,Discrete_NFET[PARTNUMBER],Discrete_NFET[QGTH]),"")</f>
        <v/>
      </c>
      <c r="Z139" s="35" t="str">
        <f t="shared" si="69"/>
        <v/>
      </c>
      <c r="AA139" s="35" t="str">
        <f>IF(AND($A139&lt;&gt;0,$A139&lt;&gt;""),LOOKUP($A139,Discrete_NFET[PARTNUMBER],Discrete_NFET[QOSSTYP]),"")</f>
        <v/>
      </c>
      <c r="AB139" s="35" t="str">
        <f>IF(AND($A139&lt;&gt;0,$A139&lt;&gt;""),LOOKUP($A139,Discrete_NFET[PARTNUMBER],Discrete_NFET[QRR]),"")</f>
        <v/>
      </c>
      <c r="AC139" s="35" t="str">
        <f>IF(AND(A139&lt;&gt;0,A139&lt;&gt;""),LOOKUP(A139,Discrete_NFET[PARTNUMBER],Discrete_NFET[VF_TYP]),"")</f>
        <v/>
      </c>
      <c r="AD139" s="127" t="str">
        <f>IF(AND($A139&lt;&gt;0,$A139&lt;&gt;"",OR(RIGHT(Logic!B139,2)="C)",LEFT(Logic!B139,4)="CSD1")),(1+(1-DUTY))*IM_RMS_120^2*V139*m/3/Num_FETS3,"")</f>
        <v/>
      </c>
      <c r="AE139" s="127" t="str">
        <f>IF(AND($A139&lt;&gt;0,$A139&lt;&gt;"",OR(RIGHT(Logic!B139,2)="C)",LEFT(Logic!B139,4)="CSD1")),Num_FETS3*0.5*IM_RMS_120*VDC_AVG*Z139*n*MOT_ELEC_FREQ/GDR_SRC,"")</f>
        <v/>
      </c>
      <c r="AF139" s="127" t="str">
        <f>IF(AND($A139&lt;&gt;0,$A139&lt;&gt;"",OR(RIGHT(Logic!B139,2)="C)",LEFT(Logic!B139,4)="CSD1")),Num_FETS3*0.5*IM_RMS_120*VDC_AVG*Z139*n*MOT_ELEC_FREQ/GDR_SINK,"")</f>
        <v/>
      </c>
      <c r="AG139" s="127" t="str">
        <f>IF(AND($A139&lt;&gt;0,$A139&lt;&gt;"",OR(RIGHT(Logic!B139,2)="T)",LEFT(Logic!B139,4)="CSD1")),DUTY*IM_RMS_120^2*V139*m/3/Num_FETS3,"")</f>
        <v/>
      </c>
      <c r="AH139" s="127" t="str">
        <f>IF(AND($A139&lt;&gt;0,$A139&lt;&gt;"",OR(RIGHT(Logic!B139,2)="T)",LEFT(Logic!B139,4)="CSD1")),Num_FETS3*0.5*IM_RMS_120*VDC_AVG*Z139*n*FSW*k/GDR_SRC/3,"")</f>
        <v/>
      </c>
      <c r="AI139" s="127" t="str">
        <f>IF(AND($A139&lt;&gt;0,$A139&lt;&gt;"",OR(RIGHT(Logic!B139,2)="T)",LEFT(Logic!B139,4)="CSD1")),Num_FETS3*0.5*IM_RMS_120*VDC_AVG*Z139*n*FSW*k/GDR_SINK/3,"")</f>
        <v/>
      </c>
      <c r="AJ139" s="127" t="str">
        <f t="shared" si="53"/>
        <v/>
      </c>
      <c r="AK139" s="127" t="str">
        <f t="shared" si="54"/>
        <v/>
      </c>
      <c r="AL139" s="127" t="str">
        <f t="shared" si="55"/>
        <v/>
      </c>
      <c r="AM139" s="127" t="str">
        <f t="shared" si="70"/>
        <v/>
      </c>
      <c r="AN139" s="127">
        <f>IF(AND($A139&lt;&gt;0,$A139&lt;&gt;"",OR(RIGHT(Logic!B139,2)="C)",LEFT(Logic!B139,4)="CSD1")),SUM(AD139:AF139)+(AJ139/3)+AK139+AL139/6+AM139/6,AN140)</f>
        <v>0</v>
      </c>
      <c r="AO139" s="127">
        <f>IF(AND($A139&lt;&gt;0,$A139&lt;&gt;"",OR(RIGHT(Logic!B139,2)="T)",LEFT(Logic!B139,4)="CSD1")),SUM(AG139:AI139)+(AJ139/3)+AL139/6+AM139/6,AO138)</f>
        <v>0.23887636588496741</v>
      </c>
      <c r="AP139" s="48" t="str">
        <f t="shared" si="71"/>
        <v/>
      </c>
      <c r="AQ139" s="35" t="str">
        <f>IF(AND(A139&lt;&gt;0,A139&lt;&gt;""),LOOKUP(A139,Discrete_NFET[PARTNUMBER],Discrete_NFET[TI_EQ_PACKAGE]),"")</f>
        <v/>
      </c>
      <c r="AR139" s="49" t="str">
        <f>IF(AND(A139&lt;&gt;0,A139&lt;&gt;""),LOOKUP(A139,Discrete_NFET[PARTNUMBER],Discrete_NFET[1KPRICE]),"")</f>
        <v/>
      </c>
      <c r="AS139" s="35" t="str">
        <f>IF(AND($A139&lt;&gt;0,$A139&lt;&gt;""),CONCATENATE(TEXT(AP139,"0.00"),"W, ",IF('User Input'!H$11="Single Discrete",A139,IF('User Input'!H$11="Dual/Power Block",LEFT(A139,FIND(")",A139)-7),A139)),", ",AQ139,", ",TEXT(AR139,"$0.00")),"Invalid Part")</f>
        <v>Invalid Part</v>
      </c>
      <c r="AT139"/>
    </row>
    <row r="140" spans="1:54" x14ac:dyDescent="0.25">
      <c r="A140" s="35" t="str">
        <f>IF(OR(AND(FET_config3="Dual/Power Block",LEFT(Logic!B140,4)="CSD8"),AND(FET_config3="Single Discrete",LEFT(Logic!B140,4)="CSD1")),Logic!B140,"")</f>
        <v/>
      </c>
      <c r="B140" s="37" t="str">
        <f>IF(OR($A140=0,$A140=""),"0",IF(LOOKUP($A140,Discrete_NFET[PARTNUMBER],Discrete_NFET[RDSON25])="(NULL)","0","1"))</f>
        <v>0</v>
      </c>
      <c r="C140" s="38" t="str">
        <f>IF(OR($A140=0,$A140=""),"0",IF(LOOKUP($A140,Discrete_NFET[PARTNUMBER],Discrete_NFET[RDSON3])="(NULL)","0","1"))</f>
        <v>0</v>
      </c>
      <c r="D140" s="40" t="str">
        <f>IF(OR($A140=0,$A140=""),"0",IF(LOOKUP($A140,Discrete_NFET[PARTNUMBER],Discrete_NFET[RDSON45])="(NULL)","0","1"))</f>
        <v>0</v>
      </c>
      <c r="E140" s="45" t="str">
        <f>IF(OR($A140=0,$A140=""),"0",IF(LOOKUP($A140,Discrete_NFET[PARTNUMBER],Discrete_NFET[RDSON6])="(NULL)","0","1"))</f>
        <v>0</v>
      </c>
      <c r="F140" s="34" t="str">
        <f>IF(OR($A140=0,$A140=""),"0",IF(LOOKUP($A140,Discrete_NFET[PARTNUMBER],Discrete_NFET[RDSON8])="(NULL)","0","1"))</f>
        <v>0</v>
      </c>
      <c r="G140" s="43" t="str">
        <f>IF(OR($A140=0,$A140=""),"0",IF(LOOKUP($A140,Discrete_NFET[PARTNUMBER],Discrete_NFET[RDSON10])="(NULL)","0","1"))</f>
        <v>0</v>
      </c>
      <c r="H140" s="36" t="b">
        <f t="shared" si="56"/>
        <v>0</v>
      </c>
      <c r="I140" s="39" t="b">
        <f t="shared" si="57"/>
        <v>0</v>
      </c>
      <c r="J140" s="41" t="b">
        <f t="shared" si="58"/>
        <v>0</v>
      </c>
      <c r="K140" s="46" t="b">
        <f t="shared" si="59"/>
        <v>0</v>
      </c>
      <c r="L140" s="42" t="b">
        <f t="shared" si="60"/>
        <v>0</v>
      </c>
      <c r="M140" s="44" t="b">
        <f t="shared" si="61"/>
        <v>0</v>
      </c>
      <c r="N140" s="47" t="b">
        <f t="shared" si="62"/>
        <v>0</v>
      </c>
      <c r="O140" s="36" t="b">
        <f t="shared" si="63"/>
        <v>0</v>
      </c>
      <c r="P140" s="39" t="b">
        <f t="shared" si="64"/>
        <v>0</v>
      </c>
      <c r="Q140" s="41" t="b">
        <f t="shared" si="65"/>
        <v>0</v>
      </c>
      <c r="R140" s="46" t="b">
        <f t="shared" si="66"/>
        <v>0</v>
      </c>
      <c r="S140" s="42" t="b">
        <f t="shared" si="67"/>
        <v>0</v>
      </c>
      <c r="T140" s="44" t="b">
        <f t="shared" si="68"/>
        <v>0</v>
      </c>
      <c r="U140" s="148" t="str">
        <f>IF(T140,LOOKUP(A140,Discrete_NFET[PARTNUMBER],Discrete_NFET[RDSON10])*1000,IF(S140,LOOKUP(A140,Discrete_NFET[PARTNUMBER],Discrete_NFET[RDSON8])*1000,IF(R140,LOOKUP(A140,Discrete_NFET[PARTNUMBER],Discrete_NFET[RDSON6])*1000,IF(Q140,LOOKUP(A140,Discrete_NFET[PARTNUMBER],Discrete_NFET[RDSON45])*1000,IF(P140,LOOKUP(A140,Discrete_NFET[PARTNUMBER],Discrete_NFET[RDSON3])*1000,IF(O140,LOOKUP(A140,Discrete_NFET[PARTNUMBER],Discrete_NFET[RDSON25])*1000,""))))))</f>
        <v/>
      </c>
      <c r="V140" s="48" t="str">
        <f>IF(AND(A140&lt;&gt;0,A140&lt;&gt;""),U140*(1+(Tj-25)*(LOOKUP(A140,Discrete_NFET[PARTNUMBER],Discrete_NFET[RDSDELTA])/((LOOKUP(A140,Discrete_NFET[PARTNUMBER],Discrete_NFET[TJMAX])-25)))),"")</f>
        <v/>
      </c>
      <c r="W140" s="35" t="str">
        <f>IF(AND($A140&lt;&gt;0,$A140&lt;&gt;""),LOOKUP($A140,Discrete_NFET[PARTNUMBER],Discrete_NFET[QGS]),"")</f>
        <v/>
      </c>
      <c r="X140" s="35" t="str">
        <f>IF(AND($A140&lt;&gt;0,$A140&lt;&gt;""),LOOKUP($A140,Discrete_NFET[PARTNUMBER],Discrete_NFET[QGD]),"")</f>
        <v/>
      </c>
      <c r="Y140" s="35" t="str">
        <f>IF(AND($A140&lt;&gt;0,$A140&lt;&gt;""),LOOKUP($A140,Discrete_NFET[PARTNUMBER],Discrete_NFET[QGTH]),"")</f>
        <v/>
      </c>
      <c r="Z140" s="35" t="str">
        <f t="shared" si="69"/>
        <v/>
      </c>
      <c r="AA140" s="35" t="str">
        <f>IF(AND($A140&lt;&gt;0,$A140&lt;&gt;""),LOOKUP($A140,Discrete_NFET[PARTNUMBER],Discrete_NFET[QOSSTYP]),"")</f>
        <v/>
      </c>
      <c r="AB140" s="35" t="str">
        <f>IF(AND($A140&lt;&gt;0,$A140&lt;&gt;""),LOOKUP($A140,Discrete_NFET[PARTNUMBER],Discrete_NFET[QRR]),"")</f>
        <v/>
      </c>
      <c r="AC140" s="35" t="str">
        <f>IF(AND(A140&lt;&gt;0,A140&lt;&gt;""),LOOKUP(A140,Discrete_NFET[PARTNUMBER],Discrete_NFET[VF_TYP]),"")</f>
        <v/>
      </c>
      <c r="AD140" s="127" t="str">
        <f>IF(AND($A140&lt;&gt;0,$A140&lt;&gt;"",OR(RIGHT(Logic!B140,2)="C)",LEFT(Logic!B140,4)="CSD1")),(1+(1-DUTY))*IM_RMS_120^2*V140*m/3/Num_FETS3,"")</f>
        <v/>
      </c>
      <c r="AE140" s="127" t="str">
        <f>IF(AND($A140&lt;&gt;0,$A140&lt;&gt;"",OR(RIGHT(Logic!B140,2)="C)",LEFT(Logic!B140,4)="CSD1")),Num_FETS3*0.5*IM_RMS_120*VDC_AVG*Z140*n*MOT_ELEC_FREQ/GDR_SRC,"")</f>
        <v/>
      </c>
      <c r="AF140" s="127" t="str">
        <f>IF(AND($A140&lt;&gt;0,$A140&lt;&gt;"",OR(RIGHT(Logic!B140,2)="C)",LEFT(Logic!B140,4)="CSD1")),Num_FETS3*0.5*IM_RMS_120*VDC_AVG*Z140*n*MOT_ELEC_FREQ/GDR_SINK,"")</f>
        <v/>
      </c>
      <c r="AG140" s="127" t="str">
        <f>IF(AND($A140&lt;&gt;0,$A140&lt;&gt;"",OR(RIGHT(Logic!B140,2)="T)",LEFT(Logic!B140,4)="CSD1")),DUTY*IM_RMS_120^2*V140*m/3/Num_FETS3,"")</f>
        <v/>
      </c>
      <c r="AH140" s="127" t="str">
        <f>IF(AND($A140&lt;&gt;0,$A140&lt;&gt;"",OR(RIGHT(Logic!B140,2)="T)",LEFT(Logic!B140,4)="CSD1")),Num_FETS3*0.5*IM_RMS_120*VDC_AVG*Z140*n*FSW*k/GDR_SRC/3,"")</f>
        <v/>
      </c>
      <c r="AI140" s="127" t="str">
        <f>IF(AND($A140&lt;&gt;0,$A140&lt;&gt;"",OR(RIGHT(Logic!B140,2)="T)",LEFT(Logic!B140,4)="CSD1")),Num_FETS3*0.5*IM_RMS_120*VDC_AVG*Z140*n*FSW*k/GDR_SINK/3,"")</f>
        <v/>
      </c>
      <c r="AJ140" s="127" t="str">
        <f t="shared" si="53"/>
        <v/>
      </c>
      <c r="AK140" s="127" t="str">
        <f t="shared" si="54"/>
        <v/>
      </c>
      <c r="AL140" s="127" t="str">
        <f t="shared" si="55"/>
        <v/>
      </c>
      <c r="AM140" s="127" t="str">
        <f t="shared" si="70"/>
        <v/>
      </c>
      <c r="AN140" s="127">
        <f>IF(AND($A140&lt;&gt;0,$A140&lt;&gt;"",OR(RIGHT(Logic!B140,2)="C)",LEFT(Logic!B140,4)="CSD1")),SUM(AD140:AF140)+(AJ140/3)+AK140+AL140/6+AM140/6,AN141)</f>
        <v>0</v>
      </c>
      <c r="AO140" s="127">
        <f>IF(AND($A140&lt;&gt;0,$A140&lt;&gt;"",OR(RIGHT(Logic!B140,2)="T)",LEFT(Logic!B140,4)="CSD1")),SUM(AG140:AI140)+(AJ140/3)+AL140/6+AM140/6,AO139)</f>
        <v>0.23887636588496741</v>
      </c>
      <c r="AP140" s="48" t="str">
        <f t="shared" si="71"/>
        <v/>
      </c>
      <c r="AQ140" s="35" t="str">
        <f>IF(AND(A140&lt;&gt;0,A140&lt;&gt;""),LOOKUP(A140,Discrete_NFET[PARTNUMBER],Discrete_NFET[TI_EQ_PACKAGE]),"")</f>
        <v/>
      </c>
      <c r="AR140" s="49" t="str">
        <f>IF(AND(A140&lt;&gt;0,A140&lt;&gt;""),LOOKUP(A140,Discrete_NFET[PARTNUMBER],Discrete_NFET[1KPRICE]),"")</f>
        <v/>
      </c>
      <c r="AS140" s="35" t="str">
        <f>IF(AND($A140&lt;&gt;0,$A140&lt;&gt;""),CONCATENATE(TEXT(AP140,"0.00"),"W, ",IF('User Input'!H$11="Single Discrete",A140,IF('User Input'!H$11="Dual/Power Block",LEFT(A140,FIND(")",A140)-7),A140)),", ",AQ140,", ",TEXT(AR140,"$0.00")),"Invalid Part")</f>
        <v>Invalid Part</v>
      </c>
      <c r="AT140"/>
    </row>
    <row r="141" spans="1:54" x14ac:dyDescent="0.25">
      <c r="A141" s="35" t="str">
        <f>IF(OR(AND(FET_config3="Dual/Power Block",LEFT(Logic!B141,4)="CSD8"),AND(FET_config3="Single Discrete",LEFT(Logic!B141,4)="CSD1")),Logic!B141,"")</f>
        <v/>
      </c>
      <c r="B141" s="37" t="str">
        <f>IF(OR($A141=0,$A141=""),"0",IF(LOOKUP($A141,Discrete_NFET[PARTNUMBER],Discrete_NFET[RDSON25])="(NULL)","0","1"))</f>
        <v>0</v>
      </c>
      <c r="C141" s="38" t="str">
        <f>IF(OR($A141=0,$A141=""),"0",IF(LOOKUP($A141,Discrete_NFET[PARTNUMBER],Discrete_NFET[RDSON3])="(NULL)","0","1"))</f>
        <v>0</v>
      </c>
      <c r="D141" s="40" t="str">
        <f>IF(OR($A141=0,$A141=""),"0",IF(LOOKUP($A141,Discrete_NFET[PARTNUMBER],Discrete_NFET[RDSON45])="(NULL)","0","1"))</f>
        <v>0</v>
      </c>
      <c r="E141" s="45" t="str">
        <f>IF(OR($A141=0,$A141=""),"0",IF(LOOKUP($A141,Discrete_NFET[PARTNUMBER],Discrete_NFET[RDSON6])="(NULL)","0","1"))</f>
        <v>0</v>
      </c>
      <c r="F141" s="34" t="str">
        <f>IF(OR($A141=0,$A141=""),"0",IF(LOOKUP($A141,Discrete_NFET[PARTNUMBER],Discrete_NFET[RDSON8])="(NULL)","0","1"))</f>
        <v>0</v>
      </c>
      <c r="G141" s="43" t="str">
        <f>IF(OR($A141=0,$A141=""),"0",IF(LOOKUP($A141,Discrete_NFET[PARTNUMBER],Discrete_NFET[RDSON10])="(NULL)","0","1"))</f>
        <v>0</v>
      </c>
      <c r="H141" s="36" t="b">
        <f t="shared" si="56"/>
        <v>0</v>
      </c>
      <c r="I141" s="39" t="b">
        <f t="shared" si="57"/>
        <v>0</v>
      </c>
      <c r="J141" s="41" t="b">
        <f t="shared" si="58"/>
        <v>0</v>
      </c>
      <c r="K141" s="46" t="b">
        <f t="shared" si="59"/>
        <v>0</v>
      </c>
      <c r="L141" s="42" t="b">
        <f t="shared" si="60"/>
        <v>0</v>
      </c>
      <c r="M141" s="44" t="b">
        <f t="shared" si="61"/>
        <v>0</v>
      </c>
      <c r="N141" s="47" t="b">
        <f t="shared" si="62"/>
        <v>0</v>
      </c>
      <c r="O141" s="36" t="b">
        <f t="shared" si="63"/>
        <v>0</v>
      </c>
      <c r="P141" s="39" t="b">
        <f t="shared" si="64"/>
        <v>0</v>
      </c>
      <c r="Q141" s="41" t="b">
        <f t="shared" si="65"/>
        <v>0</v>
      </c>
      <c r="R141" s="46" t="b">
        <f t="shared" si="66"/>
        <v>0</v>
      </c>
      <c r="S141" s="42" t="b">
        <f t="shared" si="67"/>
        <v>0</v>
      </c>
      <c r="T141" s="44" t="b">
        <f t="shared" si="68"/>
        <v>0</v>
      </c>
      <c r="U141" s="148" t="str">
        <f>IF(T141,LOOKUP(A141,Discrete_NFET[PARTNUMBER],Discrete_NFET[RDSON10])*1000,IF(S141,LOOKUP(A141,Discrete_NFET[PARTNUMBER],Discrete_NFET[RDSON8])*1000,IF(R141,LOOKUP(A141,Discrete_NFET[PARTNUMBER],Discrete_NFET[RDSON6])*1000,IF(Q141,LOOKUP(A141,Discrete_NFET[PARTNUMBER],Discrete_NFET[RDSON45])*1000,IF(P141,LOOKUP(A141,Discrete_NFET[PARTNUMBER],Discrete_NFET[RDSON3])*1000,IF(O141,LOOKUP(A141,Discrete_NFET[PARTNUMBER],Discrete_NFET[RDSON25])*1000,""))))))</f>
        <v/>
      </c>
      <c r="V141" s="48" t="str">
        <f>IF(AND(A141&lt;&gt;0,A141&lt;&gt;""),U141*(1+(Tj-25)*(LOOKUP(A141,Discrete_NFET[PARTNUMBER],Discrete_NFET[RDSDELTA])/((LOOKUP(A141,Discrete_NFET[PARTNUMBER],Discrete_NFET[TJMAX])-25)))),"")</f>
        <v/>
      </c>
      <c r="W141" s="35" t="str">
        <f>IF(AND($A141&lt;&gt;0,$A141&lt;&gt;""),LOOKUP($A141,Discrete_NFET[PARTNUMBER],Discrete_NFET[QGS]),"")</f>
        <v/>
      </c>
      <c r="X141" s="35" t="str">
        <f>IF(AND($A141&lt;&gt;0,$A141&lt;&gt;""),LOOKUP($A141,Discrete_NFET[PARTNUMBER],Discrete_NFET[QGD]),"")</f>
        <v/>
      </c>
      <c r="Y141" s="35" t="str">
        <f>IF(AND($A141&lt;&gt;0,$A141&lt;&gt;""),LOOKUP($A141,Discrete_NFET[PARTNUMBER],Discrete_NFET[QGTH]),"")</f>
        <v/>
      </c>
      <c r="Z141" s="35" t="str">
        <f t="shared" si="69"/>
        <v/>
      </c>
      <c r="AA141" s="35" t="str">
        <f>IF(AND($A141&lt;&gt;0,$A141&lt;&gt;""),LOOKUP($A141,Discrete_NFET[PARTNUMBER],Discrete_NFET[QOSSTYP]),"")</f>
        <v/>
      </c>
      <c r="AB141" s="35" t="str">
        <f>IF(AND($A141&lt;&gt;0,$A141&lt;&gt;""),LOOKUP($A141,Discrete_NFET[PARTNUMBER],Discrete_NFET[QRR]),"")</f>
        <v/>
      </c>
      <c r="AC141" s="35" t="str">
        <f>IF(AND(A141&lt;&gt;0,A141&lt;&gt;""),LOOKUP(A141,Discrete_NFET[PARTNUMBER],Discrete_NFET[VF_TYP]),"")</f>
        <v/>
      </c>
      <c r="AD141" s="127" t="str">
        <f>IF(AND($A141&lt;&gt;0,$A141&lt;&gt;"",OR(RIGHT(Logic!B141,2)="C)",LEFT(Logic!B141,4)="CSD1")),(1+(1-DUTY))*IM_RMS_120^2*V141*m/3/Num_FETS3,"")</f>
        <v/>
      </c>
      <c r="AE141" s="127" t="str">
        <f>IF(AND($A141&lt;&gt;0,$A141&lt;&gt;"",OR(RIGHT(Logic!B141,2)="C)",LEFT(Logic!B141,4)="CSD1")),Num_FETS3*0.5*IM_RMS_120*VDC_AVG*Z141*n*MOT_ELEC_FREQ/GDR_SRC,"")</f>
        <v/>
      </c>
      <c r="AF141" s="127" t="str">
        <f>IF(AND($A141&lt;&gt;0,$A141&lt;&gt;"",OR(RIGHT(Logic!B141,2)="C)",LEFT(Logic!B141,4)="CSD1")),Num_FETS3*0.5*IM_RMS_120*VDC_AVG*Z141*n*MOT_ELEC_FREQ/GDR_SINK,"")</f>
        <v/>
      </c>
      <c r="AG141" s="127" t="str">
        <f>IF(AND($A141&lt;&gt;0,$A141&lt;&gt;"",OR(RIGHT(Logic!B141,2)="T)",LEFT(Logic!B141,4)="CSD1")),DUTY*IM_RMS_120^2*V141*m/3/Num_FETS3,"")</f>
        <v/>
      </c>
      <c r="AH141" s="127" t="str">
        <f>IF(AND($A141&lt;&gt;0,$A141&lt;&gt;"",OR(RIGHT(Logic!B141,2)="T)",LEFT(Logic!B141,4)="CSD1")),Num_FETS3*0.5*IM_RMS_120*VDC_AVG*Z141*n*FSW*k/GDR_SRC/3,"")</f>
        <v/>
      </c>
      <c r="AI141" s="127" t="str">
        <f>IF(AND($A141&lt;&gt;0,$A141&lt;&gt;"",OR(RIGHT(Logic!B141,2)="T)",LEFT(Logic!B141,4)="CSD1")),Num_FETS3*0.5*IM_RMS_120*VDC_AVG*Z141*n*FSW*k/GDR_SINK/3,"")</f>
        <v/>
      </c>
      <c r="AJ141" s="127" t="str">
        <f t="shared" si="53"/>
        <v/>
      </c>
      <c r="AK141" s="127" t="str">
        <f t="shared" si="54"/>
        <v/>
      </c>
      <c r="AL141" s="127" t="str">
        <f t="shared" si="55"/>
        <v/>
      </c>
      <c r="AM141" s="127" t="str">
        <f t="shared" si="70"/>
        <v/>
      </c>
      <c r="AN141" s="127">
        <f>IF(AND($A141&lt;&gt;0,$A141&lt;&gt;"",OR(RIGHT(Logic!B141,2)="C)",LEFT(Logic!B141,4)="CSD1")),SUM(AD141:AF141)+(AJ141/3)+AK141+AL141/6+AM141/6,AN142)</f>
        <v>0</v>
      </c>
      <c r="AO141" s="127">
        <f>IF(AND($A141&lt;&gt;0,$A141&lt;&gt;"",OR(RIGHT(Logic!B141,2)="T)",LEFT(Logic!B141,4)="CSD1")),SUM(AG141:AI141)+(AJ141/3)+AL141/6+AM141/6,AO140)</f>
        <v>0.23887636588496741</v>
      </c>
      <c r="AP141" s="48" t="str">
        <f t="shared" si="71"/>
        <v/>
      </c>
      <c r="AQ141" s="35" t="str">
        <f>IF(AND(A141&lt;&gt;0,A141&lt;&gt;""),LOOKUP(A141,Discrete_NFET[PARTNUMBER],Discrete_NFET[TI_EQ_PACKAGE]),"")</f>
        <v/>
      </c>
      <c r="AR141" s="49" t="str">
        <f>IF(AND(A141&lt;&gt;0,A141&lt;&gt;""),LOOKUP(A141,Discrete_NFET[PARTNUMBER],Discrete_NFET[1KPRICE]),"")</f>
        <v/>
      </c>
      <c r="AS141" s="35" t="str">
        <f>IF(AND($A141&lt;&gt;0,$A141&lt;&gt;""),CONCATENATE(TEXT(AP141,"0.00"),"W, ",IF('User Input'!H$11="Single Discrete",A141,IF('User Input'!H$11="Dual/Power Block",LEFT(A141,FIND(")",A141)-7),A141)),", ",AQ141,", ",TEXT(AR141,"$0.00")),"Invalid Part")</f>
        <v>Invalid Part</v>
      </c>
      <c r="AT141"/>
    </row>
    <row r="142" spans="1:54" x14ac:dyDescent="0.25">
      <c r="A142" s="35" t="str">
        <f>IF(OR(AND(FET_config3="Dual/Power Block",LEFT(Logic!B142,4)="CSD8"),AND(FET_config3="Single Discrete",LEFT(Logic!B142,4)="CSD1")),Logic!B142,"")</f>
        <v/>
      </c>
      <c r="B142" s="37" t="str">
        <f>IF(OR($A142=0,$A142=""),"0",IF(LOOKUP($A142,Discrete_NFET[PARTNUMBER],Discrete_NFET[RDSON25])="(NULL)","0","1"))</f>
        <v>0</v>
      </c>
      <c r="C142" s="38" t="str">
        <f>IF(OR($A142=0,$A142=""),"0",IF(LOOKUP($A142,Discrete_NFET[PARTNUMBER],Discrete_NFET[RDSON3])="(NULL)","0","1"))</f>
        <v>0</v>
      </c>
      <c r="D142" s="40" t="str">
        <f>IF(OR($A142=0,$A142=""),"0",IF(LOOKUP($A142,Discrete_NFET[PARTNUMBER],Discrete_NFET[RDSON45])="(NULL)","0","1"))</f>
        <v>0</v>
      </c>
      <c r="E142" s="45" t="str">
        <f>IF(OR($A142=0,$A142=""),"0",IF(LOOKUP($A142,Discrete_NFET[PARTNUMBER],Discrete_NFET[RDSON6])="(NULL)","0","1"))</f>
        <v>0</v>
      </c>
      <c r="F142" s="34" t="str">
        <f>IF(OR($A142=0,$A142=""),"0",IF(LOOKUP($A142,Discrete_NFET[PARTNUMBER],Discrete_NFET[RDSON8])="(NULL)","0","1"))</f>
        <v>0</v>
      </c>
      <c r="G142" s="43" t="str">
        <f>IF(OR($A142=0,$A142=""),"0",IF(LOOKUP($A142,Discrete_NFET[PARTNUMBER],Discrete_NFET[RDSON10])="(NULL)","0","1"))</f>
        <v>0</v>
      </c>
      <c r="H142" s="36" t="b">
        <f t="shared" si="56"/>
        <v>0</v>
      </c>
      <c r="I142" s="39" t="b">
        <f t="shared" si="57"/>
        <v>0</v>
      </c>
      <c r="J142" s="41" t="b">
        <f t="shared" si="58"/>
        <v>0</v>
      </c>
      <c r="K142" s="46" t="b">
        <f t="shared" si="59"/>
        <v>0</v>
      </c>
      <c r="L142" s="42" t="b">
        <f t="shared" si="60"/>
        <v>0</v>
      </c>
      <c r="M142" s="44" t="b">
        <f t="shared" si="61"/>
        <v>0</v>
      </c>
      <c r="N142" s="47" t="b">
        <f t="shared" si="62"/>
        <v>0</v>
      </c>
      <c r="O142" s="36" t="b">
        <f t="shared" si="63"/>
        <v>0</v>
      </c>
      <c r="P142" s="39" t="b">
        <f t="shared" si="64"/>
        <v>0</v>
      </c>
      <c r="Q142" s="41" t="b">
        <f t="shared" si="65"/>
        <v>0</v>
      </c>
      <c r="R142" s="46" t="b">
        <f t="shared" si="66"/>
        <v>0</v>
      </c>
      <c r="S142" s="42" t="b">
        <f t="shared" si="67"/>
        <v>0</v>
      </c>
      <c r="T142" s="44" t="b">
        <f t="shared" si="68"/>
        <v>0</v>
      </c>
      <c r="U142" s="148" t="str">
        <f>IF(T142,LOOKUP(A142,Discrete_NFET[PARTNUMBER],Discrete_NFET[RDSON10])*1000,IF(S142,LOOKUP(A142,Discrete_NFET[PARTNUMBER],Discrete_NFET[RDSON8])*1000,IF(R142,LOOKUP(A142,Discrete_NFET[PARTNUMBER],Discrete_NFET[RDSON6])*1000,IF(Q142,LOOKUP(A142,Discrete_NFET[PARTNUMBER],Discrete_NFET[RDSON45])*1000,IF(P142,LOOKUP(A142,Discrete_NFET[PARTNUMBER],Discrete_NFET[RDSON3])*1000,IF(O142,LOOKUP(A142,Discrete_NFET[PARTNUMBER],Discrete_NFET[RDSON25])*1000,""))))))</f>
        <v/>
      </c>
      <c r="V142" s="48" t="str">
        <f>IF(AND(A142&lt;&gt;0,A142&lt;&gt;""),U142*(1+(Tj-25)*(LOOKUP(A142,Discrete_NFET[PARTNUMBER],Discrete_NFET[RDSDELTA])/((LOOKUP(A142,Discrete_NFET[PARTNUMBER],Discrete_NFET[TJMAX])-25)))),"")</f>
        <v/>
      </c>
      <c r="W142" s="35" t="str">
        <f>IF(AND($A142&lt;&gt;0,$A142&lt;&gt;""),LOOKUP($A142,Discrete_NFET[PARTNUMBER],Discrete_NFET[QGS]),"")</f>
        <v/>
      </c>
      <c r="X142" s="35" t="str">
        <f>IF(AND($A142&lt;&gt;0,$A142&lt;&gt;""),LOOKUP($A142,Discrete_NFET[PARTNUMBER],Discrete_NFET[QGD]),"")</f>
        <v/>
      </c>
      <c r="Y142" s="35" t="str">
        <f>IF(AND($A142&lt;&gt;0,$A142&lt;&gt;""),LOOKUP($A142,Discrete_NFET[PARTNUMBER],Discrete_NFET[QGTH]),"")</f>
        <v/>
      </c>
      <c r="Z142" s="35" t="str">
        <f t="shared" si="69"/>
        <v/>
      </c>
      <c r="AA142" s="35" t="str">
        <f>IF(AND($A142&lt;&gt;0,$A142&lt;&gt;""),LOOKUP($A142,Discrete_NFET[PARTNUMBER],Discrete_NFET[QOSSTYP]),"")</f>
        <v/>
      </c>
      <c r="AB142" s="35" t="str">
        <f>IF(AND($A142&lt;&gt;0,$A142&lt;&gt;""),LOOKUP($A142,Discrete_NFET[PARTNUMBER],Discrete_NFET[QRR]),"")</f>
        <v/>
      </c>
      <c r="AC142" s="35" t="str">
        <f>IF(AND(A142&lt;&gt;0,A142&lt;&gt;""),LOOKUP(A142,Discrete_NFET[PARTNUMBER],Discrete_NFET[VF_TYP]),"")</f>
        <v/>
      </c>
      <c r="AD142" s="127" t="str">
        <f>IF(AND($A142&lt;&gt;0,$A142&lt;&gt;"",OR(RIGHT(Logic!B142,2)="C)",LEFT(Logic!B142,4)="CSD1")),(1+(1-DUTY))*IM_RMS_120^2*V142*m/3/Num_FETS3,"")</f>
        <v/>
      </c>
      <c r="AE142" s="127" t="str">
        <f>IF(AND($A142&lt;&gt;0,$A142&lt;&gt;"",OR(RIGHT(Logic!B142,2)="C)",LEFT(Logic!B142,4)="CSD1")),Num_FETS3*0.5*IM_RMS_120*VDC_AVG*Z142*n*MOT_ELEC_FREQ/GDR_SRC,"")</f>
        <v/>
      </c>
      <c r="AF142" s="127" t="str">
        <f>IF(AND($A142&lt;&gt;0,$A142&lt;&gt;"",OR(RIGHT(Logic!B142,2)="C)",LEFT(Logic!B142,4)="CSD1")),Num_FETS3*0.5*IM_RMS_120*VDC_AVG*Z142*n*MOT_ELEC_FREQ/GDR_SINK,"")</f>
        <v/>
      </c>
      <c r="AG142" s="127" t="str">
        <f>IF(AND($A142&lt;&gt;0,$A142&lt;&gt;"",OR(RIGHT(Logic!B142,2)="T)",LEFT(Logic!B142,4)="CSD1")),DUTY*IM_RMS_120^2*V142*m/3/Num_FETS3,"")</f>
        <v/>
      </c>
      <c r="AH142" s="127" t="str">
        <f>IF(AND($A142&lt;&gt;0,$A142&lt;&gt;"",OR(RIGHT(Logic!B142,2)="T)",LEFT(Logic!B142,4)="CSD1")),Num_FETS3*0.5*IM_RMS_120*VDC_AVG*Z142*n*FSW*k/GDR_SRC/3,"")</f>
        <v/>
      </c>
      <c r="AI142" s="127" t="str">
        <f>IF(AND($A142&lt;&gt;0,$A142&lt;&gt;"",OR(RIGHT(Logic!B142,2)="T)",LEFT(Logic!B142,4)="CSD1")),Num_FETS3*0.5*IM_RMS_120*VDC_AVG*Z142*n*FSW*k/GDR_SINK/3,"")</f>
        <v/>
      </c>
      <c r="AJ142" s="127" t="str">
        <f t="shared" si="53"/>
        <v/>
      </c>
      <c r="AK142" s="127" t="str">
        <f t="shared" si="54"/>
        <v/>
      </c>
      <c r="AL142" s="127" t="str">
        <f t="shared" si="55"/>
        <v/>
      </c>
      <c r="AM142" s="127" t="str">
        <f t="shared" si="70"/>
        <v/>
      </c>
      <c r="AN142" s="127">
        <f>IF(AND($A142&lt;&gt;0,$A142&lt;&gt;"",OR(RIGHT(Logic!B142,2)="C)",LEFT(Logic!B142,4)="CSD1")),SUM(AD142:AF142)+(AJ142/3)+AK142+AL142/6+AM142/6,AN143)</f>
        <v>0</v>
      </c>
      <c r="AO142" s="127">
        <f>IF(AND($A142&lt;&gt;0,$A142&lt;&gt;"",OR(RIGHT(Logic!B142,2)="T)",LEFT(Logic!B142,4)="CSD1")),SUM(AG142:AI142)+(AJ142/3)+AL142/6+AM142/6,AO141)</f>
        <v>0.23887636588496741</v>
      </c>
      <c r="AP142" s="48" t="str">
        <f t="shared" si="71"/>
        <v/>
      </c>
      <c r="AQ142" s="35" t="str">
        <f>IF(AND(A142&lt;&gt;0,A142&lt;&gt;""),LOOKUP(A142,Discrete_NFET[PARTNUMBER],Discrete_NFET[TI_EQ_PACKAGE]),"")</f>
        <v/>
      </c>
      <c r="AR142" s="49" t="str">
        <f>IF(AND(A142&lt;&gt;0,A142&lt;&gt;""),LOOKUP(A142,Discrete_NFET[PARTNUMBER],Discrete_NFET[1KPRICE]),"")</f>
        <v/>
      </c>
      <c r="AS142" s="35" t="str">
        <f>IF(AND($A142&lt;&gt;0,$A142&lt;&gt;""),CONCATENATE(TEXT(AP142,"0.00"),"W, ",IF('User Input'!H$11="Single Discrete",A142,IF('User Input'!H$11="Dual/Power Block",LEFT(A142,FIND(")",A142)-7),A142)),", ",AQ142,", ",TEXT(AR142,"$0.00")),"Invalid Part")</f>
        <v>Invalid Part</v>
      </c>
      <c r="AT142"/>
    </row>
    <row r="143" spans="1:54" s="35" customFormat="1" x14ac:dyDescent="0.25">
      <c r="A143" s="35" t="str">
        <f>IF(OR(AND(FET_config3="Dual/Power Block",LEFT(Logic!B143,4)="CSD8"),AND(FET_config3="Single Discrete",LEFT(Logic!B143,4)="CSD1")),Logic!B143,"")</f>
        <v/>
      </c>
      <c r="B143" s="37" t="str">
        <f>IF(OR($A143=0,$A143=""),"0",IF(LOOKUP($A143,Discrete_NFET[PARTNUMBER],Discrete_NFET[RDSON25])="(NULL)","0","1"))</f>
        <v>0</v>
      </c>
      <c r="C143" s="38" t="str">
        <f>IF(OR($A143=0,$A143=""),"0",IF(LOOKUP($A143,Discrete_NFET[PARTNUMBER],Discrete_NFET[RDSON3])="(NULL)","0","1"))</f>
        <v>0</v>
      </c>
      <c r="D143" s="40" t="str">
        <f>IF(OR($A143=0,$A143=""),"0",IF(LOOKUP($A143,Discrete_NFET[PARTNUMBER],Discrete_NFET[RDSON45])="(NULL)","0","1"))</f>
        <v>0</v>
      </c>
      <c r="E143" s="45" t="str">
        <f>IF(OR($A143=0,$A143=""),"0",IF(LOOKUP($A143,Discrete_NFET[PARTNUMBER],Discrete_NFET[RDSON6])="(NULL)","0","1"))</f>
        <v>0</v>
      </c>
      <c r="F143" s="34" t="str">
        <f>IF(OR($A143=0,$A143=""),"0",IF(LOOKUP($A143,Discrete_NFET[PARTNUMBER],Discrete_NFET[RDSON8])="(NULL)","0","1"))</f>
        <v>0</v>
      </c>
      <c r="G143" s="43" t="str">
        <f>IF(OR($A143=0,$A143=""),"0",IF(LOOKUP($A143,Discrete_NFET[PARTNUMBER],Discrete_NFET[RDSON10])="(NULL)","0","1"))</f>
        <v>0</v>
      </c>
      <c r="H143" s="36" t="b">
        <f t="shared" ref="H143:H144" si="72">AND(AV$2,B143="1")</f>
        <v>0</v>
      </c>
      <c r="I143" s="39" t="b">
        <f t="shared" ref="I143:I144" si="73">AND(AW$2,C143="1")</f>
        <v>0</v>
      </c>
      <c r="J143" s="41" t="b">
        <f t="shared" ref="J143:J144" si="74">AND(AX$2,D143="1")</f>
        <v>0</v>
      </c>
      <c r="K143" s="46" t="b">
        <f t="shared" ref="K143:K144" si="75">AND(AY$2,E143="1")</f>
        <v>0</v>
      </c>
      <c r="L143" s="42" t="b">
        <f t="shared" ref="L143:L144" si="76">AND(AZ$2,F143="1")</f>
        <v>0</v>
      </c>
      <c r="M143" s="44" t="b">
        <f t="shared" ref="M143:M144" si="77">AND(BA$2,G143="1")</f>
        <v>0</v>
      </c>
      <c r="N143" s="47" t="b">
        <f t="shared" ref="N143:N144" si="78">OR(H143:M143)</f>
        <v>0</v>
      </c>
      <c r="O143" s="36" t="b">
        <f t="shared" ref="O143:O144" si="79">IF($N143,H143,IF((B143="1"),OR($AU$2,$AU$9)))</f>
        <v>0</v>
      </c>
      <c r="P143" s="39" t="b">
        <f t="shared" ref="P143:P144" si="80">IF($N143,I143,IF((C143="1"),OR(AU$2,AU$9,AX$2,J143)))</f>
        <v>0</v>
      </c>
      <c r="Q143" s="41" t="b">
        <f t="shared" ref="Q143:Q144" si="81">IF($N143,J143,IF((D143="1"),OR(AW$2,I143,AY$2,K143)))</f>
        <v>0</v>
      </c>
      <c r="R143" s="46" t="b">
        <f t="shared" ref="R143:R144" si="82">IF($N143,K143,IF((E143="1"),OR(AX$2,J143,AZ$2,L143)))</f>
        <v>0</v>
      </c>
      <c r="S143" s="42" t="b">
        <f t="shared" ref="S143:S144" si="83">IF($N143,L143,IF((F143="1"),OR(AY$2,K143,BA$2,M143)))</f>
        <v>0</v>
      </c>
      <c r="T143" s="44" t="b">
        <f t="shared" ref="T143:T144" si="84">IF($N143,M143,IF((G143="1"),OR(AZ$2,L143)))</f>
        <v>0</v>
      </c>
      <c r="U143" s="148" t="str">
        <f>IF(T143,LOOKUP(A143,Discrete_NFET[PARTNUMBER],Discrete_NFET[RDSON10])*1000,IF(S143,LOOKUP(A143,Discrete_NFET[PARTNUMBER],Discrete_NFET[RDSON8])*1000,IF(R143,LOOKUP(A143,Discrete_NFET[PARTNUMBER],Discrete_NFET[RDSON6])*1000,IF(Q143,LOOKUP(A143,Discrete_NFET[PARTNUMBER],Discrete_NFET[RDSON45])*1000,IF(P143,LOOKUP(A143,Discrete_NFET[PARTNUMBER],Discrete_NFET[RDSON3])*1000,IF(O143,LOOKUP(A143,Discrete_NFET[PARTNUMBER],Discrete_NFET[RDSON25])*1000,""))))))</f>
        <v/>
      </c>
      <c r="V143" s="48" t="str">
        <f>IF(AND(A143&lt;&gt;0,A143&lt;&gt;""),U143*(1+(Tj-25)*(LOOKUP(A143,Discrete_NFET[PARTNUMBER],Discrete_NFET[RDSDELTA])/((LOOKUP(A143,Discrete_NFET[PARTNUMBER],Discrete_NFET[TJMAX])-25)))),"")</f>
        <v/>
      </c>
      <c r="W143" s="35" t="str">
        <f>IF(AND($A143&lt;&gt;0,$A143&lt;&gt;""),LOOKUP($A143,Discrete_NFET[PARTNUMBER],Discrete_NFET[QGS]),"")</f>
        <v/>
      </c>
      <c r="X143" s="35" t="str">
        <f>IF(AND($A143&lt;&gt;0,$A143&lt;&gt;""),LOOKUP($A143,Discrete_NFET[PARTNUMBER],Discrete_NFET[QGD]),"")</f>
        <v/>
      </c>
      <c r="Y143" s="35" t="str">
        <f>IF(AND($A143&lt;&gt;0,$A143&lt;&gt;""),LOOKUP($A143,Discrete_NFET[PARTNUMBER],Discrete_NFET[QGTH]),"")</f>
        <v/>
      </c>
      <c r="Z143" s="35" t="str">
        <f t="shared" ref="Z143:Z144" si="85">IF(AND(A143&lt;&gt;0,A143&lt;&gt;""),W143+X143-Y143,"")</f>
        <v/>
      </c>
      <c r="AA143" s="35" t="str">
        <f>IF(AND($A143&lt;&gt;0,$A143&lt;&gt;""),LOOKUP($A143,Discrete_NFET[PARTNUMBER],Discrete_NFET[QOSSTYP]),"")</f>
        <v/>
      </c>
      <c r="AB143" s="35" t="str">
        <f>IF(AND($A143&lt;&gt;0,$A143&lt;&gt;""),LOOKUP($A143,Discrete_NFET[PARTNUMBER],Discrete_NFET[QRR]),"")</f>
        <v/>
      </c>
      <c r="AC143" s="35" t="str">
        <f>IF(AND(A143&lt;&gt;0,A143&lt;&gt;""),LOOKUP(A143,Discrete_NFET[PARTNUMBER],Discrete_NFET[VF_TYP]),"")</f>
        <v/>
      </c>
      <c r="AD143" s="127" t="str">
        <f>IF(AND($A143&lt;&gt;0,$A143&lt;&gt;"",OR(RIGHT(Logic!B143,2)="C)",LEFT(Logic!B143,4)="CSD1")),IM_RMS_120^2*V143*m/3/Num_FETS3,"")</f>
        <v/>
      </c>
      <c r="AE143" s="127" t="str">
        <f>IF(AND($A143&lt;&gt;0,$A143&lt;&gt;"",OR(RIGHT(Logic!B143,2)="C)",LEFT(Logic!B143,4)="CSD1")),Num_FETS3*0.5*IM_RMS_120*VDC_AVG*Z143*n*MOT_ELEC_FREQ/GDR_SRC,"")</f>
        <v/>
      </c>
      <c r="AF143" s="127" t="str">
        <f>IF(AND($A143&lt;&gt;0,$A143&lt;&gt;"",OR(RIGHT(Logic!B143,2)="C)",LEFT(Logic!B143,4)="CSD1")),Num_FETS3*0.5*IM_RMS_120*VDC_AVG*Z143*n*MOT_ELEC_FREQ/GDR_SINK,"")</f>
        <v/>
      </c>
      <c r="AG143" s="127" t="str">
        <f>IF(AND($A143&lt;&gt;0,$A143&lt;&gt;"",OR(RIGHT(Logic!B143,2)="T)",LEFT(Logic!B143,4)="CSD1")),DUTY*IM_RMS_120^2*V143*m/3/Num_FETS3,"")</f>
        <v/>
      </c>
      <c r="AH143" s="127" t="str">
        <f>IF(AND($A143&lt;&gt;0,$A143&lt;&gt;"",OR(RIGHT(Logic!B143,2)="T)",LEFT(Logic!B143,4)="CSD1")),Num_FETS3*0.5*IM_RMS_120*VDC_AVG*Z143*n*FSW*k/GDR_SRC/3,"")</f>
        <v/>
      </c>
      <c r="AI143" s="127" t="str">
        <f>IF(AND($A143&lt;&gt;0,$A143&lt;&gt;"",OR(RIGHT(Logic!B143,2)="T)",LEFT(Logic!B143,4)="CSD1")),Num_FETS3*0.5*IM_RMS_120*VDC_AVG*Z143*n*FSW*k/GDR_SINK/3,"")</f>
        <v/>
      </c>
      <c r="AJ143" s="127" t="str">
        <f t="shared" si="53"/>
        <v/>
      </c>
      <c r="AK143" s="127" t="str">
        <f t="shared" si="54"/>
        <v/>
      </c>
      <c r="AL143" s="127" t="str">
        <f t="shared" si="55"/>
        <v/>
      </c>
      <c r="AM143" s="127" t="str">
        <f t="shared" ref="AM143:AM144" si="86">IF(AND($A143&lt;&gt;0,$A143&lt;&gt;""),6*0.5*AC143*IM_PEAK*MOT_COM_TIME*m*MOT_ELEC_FREQ,"")</f>
        <v/>
      </c>
      <c r="AN143" s="127">
        <f>IF(AND($A143&lt;&gt;0,$A143&lt;&gt;"",OR(RIGHT(Logic!B143,2)="C)",LEFT(Logic!B143,4)="CSD1")),SUM(AD143:AF143)+(AJ143/3)+AK143+AL143/6+AM143/6,AN144)</f>
        <v>0</v>
      </c>
      <c r="AO143" s="127">
        <f>IF(AND($A143&lt;&gt;0,$A143&lt;&gt;"",OR(RIGHT(Logic!B143,2)="T)",LEFT(Logic!B143,4)="CSD1")),SUM(AG143:AI143)+(AJ143/3)+AL143/6+AM143/6,AO142)</f>
        <v>0.23887636588496741</v>
      </c>
      <c r="AP143" s="48" t="str">
        <f t="shared" ref="AP143:AP144" si="87">IF(AND($A143&lt;&gt;0,$A143&lt;&gt;""),ROUND(SUM(AN143:AO143),2),"")</f>
        <v/>
      </c>
      <c r="AQ143" s="35" t="str">
        <f>IF(AND(A143&lt;&gt;0,A143&lt;&gt;""),LOOKUP(A143,Discrete_NFET[PARTNUMBER],Discrete_NFET[TI_EQ_PACKAGE]),"")</f>
        <v/>
      </c>
      <c r="AR143" s="49" t="str">
        <f>IF(AND(A143&lt;&gt;0,A143&lt;&gt;""),LOOKUP(A143,Discrete_NFET[PARTNUMBER],Discrete_NFET[1KPRICE]),"")</f>
        <v/>
      </c>
      <c r="AS143" s="35" t="str">
        <f>IF(AND($A143&lt;&gt;0,$A143&lt;&gt;""),CONCATENATE(TEXT(AP143,"0.00"),"W, ",IF('User Input'!H$11="Single Discrete",A143,IF('User Input'!H$11="Dual/Power Block",LEFT(A143,FIND(")",A143)-7),A143)),", ",AQ143,", ",TEXT(AR143,"$0.00")),"Invalid Part")</f>
        <v>Invalid Part</v>
      </c>
      <c r="AT143"/>
      <c r="AY143"/>
      <c r="AZ143"/>
      <c r="BA143"/>
      <c r="BB143"/>
    </row>
    <row r="144" spans="1:54" x14ac:dyDescent="0.25">
      <c r="A144" s="35" t="str">
        <f>IF(OR(AND(FET_config3="Dual/Power Block",LEFT(Logic!B144,4)="CSD8"),AND(FET_config3="Single Discrete",LEFT(Logic!B144,4)="CSD1")),Logic!B144,"")</f>
        <v/>
      </c>
      <c r="B144" s="37" t="str">
        <f>IF(OR($A144=0,$A144=""),"0",IF(LOOKUP($A144,Discrete_NFET[PARTNUMBER],Discrete_NFET[RDSON25])="(NULL)","0","1"))</f>
        <v>0</v>
      </c>
      <c r="C144" s="38" t="str">
        <f>IF(OR($A144=0,$A144=""),"0",IF(LOOKUP($A144,Discrete_NFET[PARTNUMBER],Discrete_NFET[RDSON3])="(NULL)","0","1"))</f>
        <v>0</v>
      </c>
      <c r="D144" s="40" t="str">
        <f>IF(OR($A144=0,$A144=""),"0",IF(LOOKUP($A144,Discrete_NFET[PARTNUMBER],Discrete_NFET[RDSON45])="(NULL)","0","1"))</f>
        <v>0</v>
      </c>
      <c r="E144" s="45" t="str">
        <f>IF(OR($A144=0,$A144=""),"0",IF(LOOKUP($A144,Discrete_NFET[PARTNUMBER],Discrete_NFET[RDSON6])="(NULL)","0","1"))</f>
        <v>0</v>
      </c>
      <c r="F144" s="34" t="str">
        <f>IF(OR($A144=0,$A144=""),"0",IF(LOOKUP($A144,Discrete_NFET[PARTNUMBER],Discrete_NFET[RDSON8])="(NULL)","0","1"))</f>
        <v>0</v>
      </c>
      <c r="G144" s="43" t="str">
        <f>IF(OR($A144=0,$A144=""),"0",IF(LOOKUP($A144,Discrete_NFET[PARTNUMBER],Discrete_NFET[RDSON10])="(NULL)","0","1"))</f>
        <v>0</v>
      </c>
      <c r="H144" s="36" t="b">
        <f t="shared" si="72"/>
        <v>0</v>
      </c>
      <c r="I144" s="39" t="b">
        <f t="shared" si="73"/>
        <v>0</v>
      </c>
      <c r="J144" s="41" t="b">
        <f t="shared" si="74"/>
        <v>0</v>
      </c>
      <c r="K144" s="46" t="b">
        <f t="shared" si="75"/>
        <v>0</v>
      </c>
      <c r="L144" s="42" t="b">
        <f t="shared" si="76"/>
        <v>0</v>
      </c>
      <c r="M144" s="44" t="b">
        <f t="shared" si="77"/>
        <v>0</v>
      </c>
      <c r="N144" s="47" t="b">
        <f t="shared" si="78"/>
        <v>0</v>
      </c>
      <c r="O144" s="36" t="b">
        <f t="shared" si="79"/>
        <v>0</v>
      </c>
      <c r="P144" s="39" t="b">
        <f t="shared" si="80"/>
        <v>0</v>
      </c>
      <c r="Q144" s="41" t="b">
        <f t="shared" si="81"/>
        <v>0</v>
      </c>
      <c r="R144" s="46" t="b">
        <f t="shared" si="82"/>
        <v>0</v>
      </c>
      <c r="S144" s="42" t="b">
        <f t="shared" si="83"/>
        <v>0</v>
      </c>
      <c r="T144" s="44" t="b">
        <f t="shared" si="84"/>
        <v>0</v>
      </c>
      <c r="U144" s="148" t="str">
        <f>IF(T144,LOOKUP(A144,Discrete_NFET[PARTNUMBER],Discrete_NFET[RDSON10])*1000,IF(S144,LOOKUP(A144,Discrete_NFET[PARTNUMBER],Discrete_NFET[RDSON8])*1000,IF(R144,LOOKUP(A144,Discrete_NFET[PARTNUMBER],Discrete_NFET[RDSON6])*1000,IF(Q144,LOOKUP(A144,Discrete_NFET[PARTNUMBER],Discrete_NFET[RDSON45])*1000,IF(P144,LOOKUP(A144,Discrete_NFET[PARTNUMBER],Discrete_NFET[RDSON3])*1000,IF(O144,LOOKUP(A144,Discrete_NFET[PARTNUMBER],Discrete_NFET[RDSON25])*1000,""))))))</f>
        <v/>
      </c>
      <c r="V144" s="48" t="str">
        <f>IF(AND(A144&lt;&gt;0,A144&lt;&gt;""),U144*(1+(Tj-25)*(LOOKUP(A144,Discrete_NFET[PARTNUMBER],Discrete_NFET[RDSDELTA])/((LOOKUP(A144,Discrete_NFET[PARTNUMBER],Discrete_NFET[TJMAX])-25)))),"")</f>
        <v/>
      </c>
      <c r="W144" s="35" t="str">
        <f>IF(AND($A144&lt;&gt;0,$A144&lt;&gt;""),LOOKUP($A144,Discrete_NFET[PARTNUMBER],Discrete_NFET[QGS]),"")</f>
        <v/>
      </c>
      <c r="X144" s="35" t="str">
        <f>IF(AND($A144&lt;&gt;0,$A144&lt;&gt;""),LOOKUP($A144,Discrete_NFET[PARTNUMBER],Discrete_NFET[QGD]),"")</f>
        <v/>
      </c>
      <c r="Y144" s="35" t="str">
        <f>IF(AND($A144&lt;&gt;0,$A144&lt;&gt;""),LOOKUP($A144,Discrete_NFET[PARTNUMBER],Discrete_NFET[QGTH]),"")</f>
        <v/>
      </c>
      <c r="Z144" s="35" t="str">
        <f t="shared" si="85"/>
        <v/>
      </c>
      <c r="AA144" s="35" t="str">
        <f>IF(AND($A144&lt;&gt;0,$A144&lt;&gt;""),LOOKUP($A144,Discrete_NFET[PARTNUMBER],Discrete_NFET[QOSSTYP]),"")</f>
        <v/>
      </c>
      <c r="AB144" s="35" t="str">
        <f>IF(AND($A144&lt;&gt;0,$A144&lt;&gt;""),LOOKUP($A144,Discrete_NFET[PARTNUMBER],Discrete_NFET[QRR]),"")</f>
        <v/>
      </c>
      <c r="AC144" s="35" t="str">
        <f>IF(AND(A144&lt;&gt;0,A144&lt;&gt;""),LOOKUP(A144,Discrete_NFET[PARTNUMBER],Discrete_NFET[VF_TYP]),"")</f>
        <v/>
      </c>
      <c r="AD144" s="127" t="str">
        <f>IF(AND($A144&lt;&gt;0,$A144&lt;&gt;"",OR(RIGHT(Logic!B144,2)="C)",LEFT(Logic!B144,4)="CSD1")),IM_RMS_120^2*V144*m/3/Num_FETS3,"")</f>
        <v/>
      </c>
      <c r="AE144" s="127" t="str">
        <f>IF(AND($A144&lt;&gt;0,$A144&lt;&gt;"",OR(RIGHT(Logic!B144,2)="C)",LEFT(Logic!B144,4)="CSD1")),Num_FETS3*0.5*IM_RMS_120*VDC_AVG*Z144*n*MOT_ELEC_FREQ/GDR_SRC,"")</f>
        <v/>
      </c>
      <c r="AF144" s="127" t="str">
        <f>IF(AND($A144&lt;&gt;0,$A144&lt;&gt;"",OR(RIGHT(Logic!B144,2)="C)",LEFT(Logic!B144,4)="CSD1")),Num_FETS3*0.5*IM_RMS_120*VDC_AVG*Z144*n*MOT_ELEC_FREQ/GDR_SINK,"")</f>
        <v/>
      </c>
      <c r="AG144" s="127" t="str">
        <f>IF(AND($A144&lt;&gt;0,$A144&lt;&gt;"",OR(RIGHT(Logic!B144,2)="T)",LEFT(Logic!B144,4)="CSD1")),DUTY*IM_RMS_120^2*V144*m/3/Num_FETS3,"")</f>
        <v/>
      </c>
      <c r="AH144" s="127" t="str">
        <f>IF(AND($A144&lt;&gt;0,$A144&lt;&gt;"",OR(RIGHT(Logic!B144,2)="T)",LEFT(Logic!B144,4)="CSD1")),Num_FETS3*0.5*IM_RMS_120*VDC_AVG*Z144*n*FSW*k/GDR_SRC/3,"")</f>
        <v/>
      </c>
      <c r="AI144" s="127" t="str">
        <f>IF(AND($A144&lt;&gt;0,$A144&lt;&gt;"",OR(RIGHT(Logic!B144,2)="T)",LEFT(Logic!B144,4)="CSD1")),Num_FETS3*0.5*IM_RMS_120*VDC_AVG*Z144*n*FSW*k/GDR_SINK/3,"")</f>
        <v/>
      </c>
      <c r="AJ144" s="127" t="str">
        <f t="shared" si="53"/>
        <v/>
      </c>
      <c r="AK144" s="127" t="str">
        <f t="shared" si="54"/>
        <v/>
      </c>
      <c r="AL144" s="127" t="str">
        <f t="shared" si="55"/>
        <v/>
      </c>
      <c r="AM144" s="127" t="str">
        <f t="shared" si="86"/>
        <v/>
      </c>
      <c r="AN144" s="127">
        <f>IF(AND($A144&lt;&gt;0,$A144&lt;&gt;"",OR(RIGHT(Logic!B144,2)="C)",LEFT(Logic!B144,4)="CSD1")),SUM(AD144:AF144)+(AJ144/3)+AK144+AL144/6+AM144/6,AN145)</f>
        <v>0</v>
      </c>
      <c r="AO144" s="127">
        <f>IF(AND($A144&lt;&gt;0,$A144&lt;&gt;"",OR(RIGHT(Logic!B144,2)="T)",LEFT(Logic!B144,4)="CSD1")),SUM(AG144:AI144)+(AJ144/3)+AL144/6+AM144/6,AO143)</f>
        <v>0.23887636588496741</v>
      </c>
      <c r="AP144" s="48" t="str">
        <f t="shared" si="87"/>
        <v/>
      </c>
      <c r="AQ144" s="35" t="str">
        <f>IF(AND(A144&lt;&gt;0,A144&lt;&gt;""),LOOKUP(A144,Discrete_NFET[PARTNUMBER],Discrete_NFET[TI_EQ_PACKAGE]),"")</f>
        <v/>
      </c>
      <c r="AR144" s="49" t="str">
        <f>IF(AND(A144&lt;&gt;0,A144&lt;&gt;""),LOOKUP(A144,Discrete_NFET[PARTNUMBER],Discrete_NFET[1KPRICE]),"")</f>
        <v/>
      </c>
      <c r="AS144" s="35" t="str">
        <f>IF(AND($A144&lt;&gt;0,$A144&lt;&gt;""),CONCATENATE(TEXT(AP144,"0.00"),"W, ",IF('User Input'!H$11="Single Discrete",A144,IF('User Input'!H$11="Dual/Power Block",LEFT(A144,FIND(")",A144)-7),A144)),", ",AQ144,", ",TEXT(AR144,"$0.00")),"Invalid Part")</f>
        <v>Invalid Part</v>
      </c>
      <c r="AT144"/>
    </row>
    <row r="145" spans="46:46" x14ac:dyDescent="0.25">
      <c r="AT145"/>
    </row>
    <row r="146" spans="46:46" x14ac:dyDescent="0.25">
      <c r="AT146"/>
    </row>
    <row r="147" spans="46:46" x14ac:dyDescent="0.25">
      <c r="AT147"/>
    </row>
    <row r="148" spans="46:46" x14ac:dyDescent="0.25">
      <c r="AT148"/>
    </row>
    <row r="149" spans="46:46" x14ac:dyDescent="0.25">
      <c r="AT149"/>
    </row>
    <row r="150" spans="46:46" x14ac:dyDescent="0.25">
      <c r="AT150"/>
    </row>
    <row r="151" spans="46:46" x14ac:dyDescent="0.25">
      <c r="AT151"/>
    </row>
    <row r="152" spans="46:46" x14ac:dyDescent="0.25">
      <c r="AT152"/>
    </row>
    <row r="153" spans="46:46" x14ac:dyDescent="0.25">
      <c r="AT153"/>
    </row>
    <row r="154" spans="46:46" x14ac:dyDescent="0.25">
      <c r="AT154"/>
    </row>
    <row r="155" spans="46:46" x14ac:dyDescent="0.25">
      <c r="AT155"/>
    </row>
    <row r="156" spans="46:46" x14ac:dyDescent="0.25">
      <c r="AT156"/>
    </row>
    <row r="157" spans="46:46" x14ac:dyDescent="0.25">
      <c r="AT157"/>
    </row>
    <row r="158" spans="46:46" x14ac:dyDescent="0.25">
      <c r="AT158"/>
    </row>
    <row r="159" spans="46:46" x14ac:dyDescent="0.25">
      <c r="AT159"/>
    </row>
    <row r="160" spans="46:46" x14ac:dyDescent="0.25">
      <c r="AT160"/>
    </row>
    <row r="161" spans="46:46" x14ac:dyDescent="0.25">
      <c r="AT161"/>
    </row>
    <row r="162" spans="46:46" x14ac:dyDescent="0.25">
      <c r="AT162"/>
    </row>
    <row r="163" spans="46:46" x14ac:dyDescent="0.25">
      <c r="AT163"/>
    </row>
    <row r="164" spans="46:46" x14ac:dyDescent="0.25">
      <c r="AT164"/>
    </row>
    <row r="165" spans="46:46" x14ac:dyDescent="0.25">
      <c r="AT165"/>
    </row>
    <row r="166" spans="46:46" x14ac:dyDescent="0.25">
      <c r="AT166"/>
    </row>
    <row r="167" spans="46:46" x14ac:dyDescent="0.25">
      <c r="AT167"/>
    </row>
    <row r="168" spans="46:46" x14ac:dyDescent="0.25">
      <c r="AT168"/>
    </row>
    <row r="169" spans="46:46" x14ac:dyDescent="0.25">
      <c r="AT169"/>
    </row>
    <row r="170" spans="46:46" x14ac:dyDescent="0.25">
      <c r="AT170"/>
    </row>
    <row r="171" spans="46:46" x14ac:dyDescent="0.25">
      <c r="AT171"/>
    </row>
    <row r="172" spans="46:46" x14ac:dyDescent="0.25">
      <c r="AT172"/>
    </row>
    <row r="173" spans="46:46" x14ac:dyDescent="0.25">
      <c r="AT173"/>
    </row>
    <row r="174" spans="46:46" x14ac:dyDescent="0.25">
      <c r="AT174"/>
    </row>
    <row r="175" spans="46:46" x14ac:dyDescent="0.25">
      <c r="AT175"/>
    </row>
    <row r="176" spans="46:46" x14ac:dyDescent="0.25">
      <c r="AT176"/>
    </row>
    <row r="177" spans="46:46" x14ac:dyDescent="0.25">
      <c r="AT177"/>
    </row>
  </sheetData>
  <sortState xmlns:xlrd2="http://schemas.microsoft.com/office/spreadsheetml/2017/richdata2" ref="AT4:AT177">
    <sortCondition ref="AT3"/>
  </sortState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A1:D177"/>
  <sheetViews>
    <sheetView workbookViewId="0">
      <selection activeCell="A2" sqref="A2"/>
    </sheetView>
  </sheetViews>
  <sheetFormatPr defaultRowHeight="15" x14ac:dyDescent="0.25"/>
  <cols>
    <col min="1" max="1" width="21.5703125" bestFit="1" customWidth="1"/>
    <col min="2" max="2" width="34" style="5" bestFit="1" customWidth="1"/>
    <col min="5" max="5" width="35.140625" bestFit="1" customWidth="1"/>
    <col min="8" max="8" width="21" bestFit="1" customWidth="1"/>
  </cols>
  <sheetData>
    <row r="1" spans="1:4" x14ac:dyDescent="0.25">
      <c r="A1" s="35"/>
      <c r="D1" s="144"/>
    </row>
    <row r="2" spans="1:4" x14ac:dyDescent="0.25">
      <c r="A2" s="5">
        <v>0.84</v>
      </c>
      <c r="B2" t="s">
        <v>740</v>
      </c>
      <c r="D2" s="144"/>
    </row>
    <row r="3" spans="1:4" x14ac:dyDescent="0.25">
      <c r="A3" s="5">
        <v>0.86</v>
      </c>
      <c r="B3" t="s">
        <v>738</v>
      </c>
      <c r="D3" s="144"/>
    </row>
    <row r="4" spans="1:4" x14ac:dyDescent="0.25">
      <c r="A4" s="5">
        <v>0.96</v>
      </c>
      <c r="B4" t="s">
        <v>737</v>
      </c>
      <c r="D4" s="144"/>
    </row>
    <row r="5" spans="1:4" x14ac:dyDescent="0.25">
      <c r="A5" s="5">
        <v>0.98</v>
      </c>
      <c r="B5" t="s">
        <v>761</v>
      </c>
      <c r="D5" s="144"/>
    </row>
    <row r="6" spans="1:4" x14ac:dyDescent="0.25">
      <c r="A6" s="5">
        <v>1</v>
      </c>
      <c r="B6" t="s">
        <v>758</v>
      </c>
      <c r="D6" s="144"/>
    </row>
    <row r="7" spans="1:4" x14ac:dyDescent="0.25">
      <c r="A7" s="5">
        <v>1.1200000000000001</v>
      </c>
      <c r="B7" t="s">
        <v>718</v>
      </c>
      <c r="D7" s="144"/>
    </row>
    <row r="8" spans="1:4" x14ac:dyDescent="0.25">
      <c r="A8" s="5">
        <v>1.18</v>
      </c>
      <c r="B8" t="s">
        <v>710</v>
      </c>
      <c r="D8" s="144"/>
    </row>
    <row r="9" spans="1:4" x14ac:dyDescent="0.25">
      <c r="A9" s="5">
        <v>1.2</v>
      </c>
      <c r="B9" t="s">
        <v>778</v>
      </c>
      <c r="D9" s="144"/>
    </row>
    <row r="10" spans="1:4" x14ac:dyDescent="0.25">
      <c r="A10" s="5">
        <v>1.22</v>
      </c>
      <c r="B10" t="s">
        <v>779</v>
      </c>
      <c r="D10" s="144"/>
    </row>
    <row r="11" spans="1:4" x14ac:dyDescent="0.25">
      <c r="A11" s="5">
        <v>1.23</v>
      </c>
      <c r="B11" t="s">
        <v>765</v>
      </c>
      <c r="D11" s="144"/>
    </row>
    <row r="12" spans="1:4" x14ac:dyDescent="0.25">
      <c r="A12" s="5">
        <v>1.26</v>
      </c>
      <c r="B12" t="s">
        <v>719</v>
      </c>
      <c r="D12" s="144"/>
    </row>
    <row r="13" spans="1:4" x14ac:dyDescent="0.25">
      <c r="A13" s="5">
        <v>1.35</v>
      </c>
      <c r="B13" t="s">
        <v>708</v>
      </c>
      <c r="D13" s="144"/>
    </row>
    <row r="14" spans="1:4" x14ac:dyDescent="0.25">
      <c r="A14" s="5">
        <v>1.36</v>
      </c>
      <c r="B14" t="s">
        <v>742</v>
      </c>
      <c r="D14" s="144"/>
    </row>
    <row r="15" spans="1:4" x14ac:dyDescent="0.25">
      <c r="A15" s="5">
        <v>1.36</v>
      </c>
      <c r="B15" t="s">
        <v>759</v>
      </c>
      <c r="D15" s="144"/>
    </row>
    <row r="16" spans="1:4" x14ac:dyDescent="0.25">
      <c r="A16" s="5">
        <v>1.36</v>
      </c>
      <c r="B16" t="s">
        <v>760</v>
      </c>
      <c r="D16" s="144"/>
    </row>
    <row r="17" spans="1:4" x14ac:dyDescent="0.25">
      <c r="A17" s="5">
        <v>1.43</v>
      </c>
      <c r="B17" t="s">
        <v>776</v>
      </c>
      <c r="D17" s="144"/>
    </row>
    <row r="18" spans="1:4" x14ac:dyDescent="0.25">
      <c r="A18" s="5">
        <v>1.45</v>
      </c>
      <c r="B18" t="s">
        <v>741</v>
      </c>
      <c r="D18" s="144"/>
    </row>
    <row r="19" spans="1:4" x14ac:dyDescent="0.25">
      <c r="A19" s="5">
        <v>1.46</v>
      </c>
      <c r="B19" t="s">
        <v>777</v>
      </c>
      <c r="D19" s="144"/>
    </row>
    <row r="20" spans="1:4" x14ac:dyDescent="0.25">
      <c r="A20" s="5">
        <v>1.51</v>
      </c>
      <c r="B20" t="s">
        <v>736</v>
      </c>
      <c r="D20" s="144"/>
    </row>
    <row r="21" spans="1:4" x14ac:dyDescent="0.25">
      <c r="A21" s="5">
        <v>1.51</v>
      </c>
      <c r="B21" t="s">
        <v>782</v>
      </c>
      <c r="D21" s="144"/>
    </row>
    <row r="22" spans="1:4" x14ac:dyDescent="0.25">
      <c r="A22" s="5">
        <v>1.55</v>
      </c>
      <c r="B22" t="s">
        <v>753</v>
      </c>
      <c r="D22" s="144"/>
    </row>
    <row r="23" spans="1:4" x14ac:dyDescent="0.25">
      <c r="A23" s="5">
        <v>1.56</v>
      </c>
      <c r="B23" t="s">
        <v>712</v>
      </c>
      <c r="D23" s="144"/>
    </row>
    <row r="24" spans="1:4" x14ac:dyDescent="0.25">
      <c r="A24" s="5">
        <v>1.56</v>
      </c>
      <c r="B24" t="s">
        <v>724</v>
      </c>
      <c r="D24" s="144"/>
    </row>
    <row r="25" spans="1:4" x14ac:dyDescent="0.25">
      <c r="A25" s="5">
        <v>1.56</v>
      </c>
      <c r="B25" t="s">
        <v>764</v>
      </c>
      <c r="D25" s="144"/>
    </row>
    <row r="26" spans="1:4" x14ac:dyDescent="0.25">
      <c r="A26" s="5">
        <v>1.56</v>
      </c>
      <c r="B26" t="s">
        <v>792</v>
      </c>
      <c r="D26" s="144"/>
    </row>
    <row r="27" spans="1:4" x14ac:dyDescent="0.25">
      <c r="A27" s="5">
        <v>1.56</v>
      </c>
      <c r="B27" t="s">
        <v>793</v>
      </c>
      <c r="D27" s="144"/>
    </row>
    <row r="28" spans="1:4" x14ac:dyDescent="0.25">
      <c r="A28" s="5">
        <v>1.72</v>
      </c>
      <c r="B28" t="s">
        <v>735</v>
      </c>
      <c r="D28" s="144"/>
    </row>
    <row r="29" spans="1:4" x14ac:dyDescent="0.25">
      <c r="A29" s="5">
        <v>1.76</v>
      </c>
      <c r="B29" t="s">
        <v>713</v>
      </c>
      <c r="D29" s="144"/>
    </row>
    <row r="30" spans="1:4" x14ac:dyDescent="0.25">
      <c r="A30" s="5">
        <v>1.77</v>
      </c>
      <c r="B30" t="s">
        <v>750</v>
      </c>
      <c r="D30" s="144"/>
    </row>
    <row r="31" spans="1:4" x14ac:dyDescent="0.25">
      <c r="A31" s="5">
        <v>1.85</v>
      </c>
      <c r="B31" t="s">
        <v>762</v>
      </c>
      <c r="D31" s="144"/>
    </row>
    <row r="32" spans="1:4" x14ac:dyDescent="0.25">
      <c r="A32" s="5">
        <v>1.85</v>
      </c>
      <c r="B32" t="s">
        <v>763</v>
      </c>
      <c r="D32" s="144"/>
    </row>
    <row r="33" spans="1:4" x14ac:dyDescent="0.25">
      <c r="A33" s="5">
        <v>1.85</v>
      </c>
      <c r="B33" t="s">
        <v>790</v>
      </c>
      <c r="D33" s="144"/>
    </row>
    <row r="34" spans="1:4" x14ac:dyDescent="0.25">
      <c r="A34" s="5">
        <v>1.85</v>
      </c>
      <c r="B34" t="s">
        <v>791</v>
      </c>
      <c r="D34" s="144"/>
    </row>
    <row r="35" spans="1:4" x14ac:dyDescent="0.25">
      <c r="A35" s="5">
        <v>1.86</v>
      </c>
      <c r="B35" t="s">
        <v>752</v>
      </c>
      <c r="D35" s="144"/>
    </row>
    <row r="36" spans="1:4" x14ac:dyDescent="0.25">
      <c r="A36" s="5">
        <v>1.88</v>
      </c>
      <c r="B36" t="s">
        <v>725</v>
      </c>
      <c r="D36" s="144"/>
    </row>
    <row r="37" spans="1:4" x14ac:dyDescent="0.25">
      <c r="A37" s="5">
        <v>1.89</v>
      </c>
      <c r="B37" t="s">
        <v>751</v>
      </c>
      <c r="D37" s="144"/>
    </row>
    <row r="38" spans="1:4" x14ac:dyDescent="0.25">
      <c r="A38" s="5">
        <v>1.95</v>
      </c>
      <c r="B38" t="s">
        <v>749</v>
      </c>
      <c r="D38" s="144"/>
    </row>
    <row r="39" spans="1:4" x14ac:dyDescent="0.25">
      <c r="A39" s="5">
        <v>1.97</v>
      </c>
      <c r="B39" t="s">
        <v>770</v>
      </c>
      <c r="D39" s="144"/>
    </row>
    <row r="40" spans="1:4" x14ac:dyDescent="0.25">
      <c r="A40" s="5">
        <v>1.97</v>
      </c>
      <c r="B40" t="s">
        <v>771</v>
      </c>
      <c r="D40" s="144"/>
    </row>
    <row r="41" spans="1:4" x14ac:dyDescent="0.25">
      <c r="A41" s="5">
        <v>2.11</v>
      </c>
      <c r="B41" t="s">
        <v>726</v>
      </c>
      <c r="D41" s="144"/>
    </row>
    <row r="42" spans="1:4" x14ac:dyDescent="0.25">
      <c r="A42" s="5">
        <v>2.17</v>
      </c>
      <c r="B42" t="s">
        <v>788</v>
      </c>
      <c r="D42" s="144"/>
    </row>
    <row r="43" spans="1:4" x14ac:dyDescent="0.25">
      <c r="A43" s="5">
        <v>2.2200000000000002</v>
      </c>
      <c r="B43" t="s">
        <v>783</v>
      </c>
      <c r="D43" s="144"/>
    </row>
    <row r="44" spans="1:4" x14ac:dyDescent="0.25">
      <c r="A44" s="5">
        <v>2.23</v>
      </c>
      <c r="B44" t="s">
        <v>784</v>
      </c>
      <c r="D44" s="144"/>
    </row>
    <row r="45" spans="1:4" x14ac:dyDescent="0.25">
      <c r="A45" s="5">
        <v>2.25</v>
      </c>
      <c r="B45" t="s">
        <v>766</v>
      </c>
      <c r="D45" s="144"/>
    </row>
    <row r="46" spans="1:4" x14ac:dyDescent="0.25">
      <c r="A46" s="5">
        <v>2.27</v>
      </c>
      <c r="B46" t="s">
        <v>769</v>
      </c>
      <c r="D46" s="144"/>
    </row>
    <row r="47" spans="1:4" x14ac:dyDescent="0.25">
      <c r="A47" s="5">
        <v>2.31</v>
      </c>
      <c r="B47" t="s">
        <v>717</v>
      </c>
      <c r="D47" s="144"/>
    </row>
    <row r="48" spans="1:4" x14ac:dyDescent="0.25">
      <c r="A48" s="5">
        <v>2.34</v>
      </c>
      <c r="B48" t="s">
        <v>744</v>
      </c>
      <c r="D48" s="144"/>
    </row>
    <row r="49" spans="1:4" x14ac:dyDescent="0.25">
      <c r="A49" s="5">
        <v>2.44</v>
      </c>
      <c r="B49" t="s">
        <v>716</v>
      </c>
      <c r="D49" s="144"/>
    </row>
    <row r="50" spans="1:4" x14ac:dyDescent="0.25">
      <c r="A50" s="5">
        <v>2.4900000000000002</v>
      </c>
      <c r="B50" t="s">
        <v>768</v>
      </c>
      <c r="D50" s="144"/>
    </row>
    <row r="51" spans="1:4" x14ac:dyDescent="0.25">
      <c r="A51" s="5">
        <v>2.5499999999999998</v>
      </c>
      <c r="B51" t="s">
        <v>743</v>
      </c>
      <c r="D51" s="144"/>
    </row>
    <row r="52" spans="1:4" x14ac:dyDescent="0.25">
      <c r="A52" s="5">
        <v>2.61</v>
      </c>
      <c r="B52" t="s">
        <v>755</v>
      </c>
      <c r="D52" s="144"/>
    </row>
    <row r="53" spans="1:4" x14ac:dyDescent="0.25">
      <c r="A53" s="5">
        <v>2.82</v>
      </c>
      <c r="B53" t="s">
        <v>728</v>
      </c>
      <c r="D53" s="144"/>
    </row>
    <row r="54" spans="1:4" x14ac:dyDescent="0.25">
      <c r="A54" s="5">
        <v>2.83</v>
      </c>
      <c r="B54" t="s">
        <v>754</v>
      </c>
      <c r="D54" s="144"/>
    </row>
    <row r="55" spans="1:4" x14ac:dyDescent="0.25">
      <c r="A55" s="5">
        <v>3.01</v>
      </c>
      <c r="B55" t="s">
        <v>734</v>
      </c>
      <c r="D55" s="144"/>
    </row>
    <row r="56" spans="1:4" x14ac:dyDescent="0.25">
      <c r="A56" s="5">
        <v>3.17</v>
      </c>
      <c r="B56" t="s">
        <v>767</v>
      </c>
      <c r="D56" s="144"/>
    </row>
    <row r="57" spans="1:4" x14ac:dyDescent="0.25">
      <c r="A57" s="5">
        <v>3.21</v>
      </c>
      <c r="B57" t="s">
        <v>733</v>
      </c>
      <c r="D57" s="144"/>
    </row>
    <row r="58" spans="1:4" x14ac:dyDescent="0.25">
      <c r="A58" s="5">
        <v>3.29</v>
      </c>
      <c r="B58" t="s">
        <v>787</v>
      </c>
      <c r="D58" s="144"/>
    </row>
    <row r="59" spans="1:4" x14ac:dyDescent="0.25">
      <c r="A59" s="5">
        <v>3.36</v>
      </c>
      <c r="B59" t="s">
        <v>711</v>
      </c>
      <c r="D59" s="144"/>
    </row>
    <row r="60" spans="1:4" x14ac:dyDescent="0.25">
      <c r="A60" s="5">
        <v>3.46</v>
      </c>
      <c r="B60" t="s">
        <v>709</v>
      </c>
      <c r="D60" s="144"/>
    </row>
    <row r="61" spans="1:4" x14ac:dyDescent="0.25">
      <c r="A61" s="5">
        <v>3.55</v>
      </c>
      <c r="B61" t="s">
        <v>773</v>
      </c>
      <c r="D61" s="144"/>
    </row>
    <row r="62" spans="1:4" x14ac:dyDescent="0.25">
      <c r="A62" s="5">
        <v>3.63</v>
      </c>
      <c r="B62" t="s">
        <v>772</v>
      </c>
      <c r="D62" s="144"/>
    </row>
    <row r="63" spans="1:4" x14ac:dyDescent="0.25">
      <c r="A63" s="5">
        <v>3.67</v>
      </c>
      <c r="B63" t="s">
        <v>746</v>
      </c>
      <c r="D63" s="144"/>
    </row>
    <row r="64" spans="1:4" x14ac:dyDescent="0.25">
      <c r="A64" s="5">
        <v>3.68</v>
      </c>
      <c r="B64" t="s">
        <v>745</v>
      </c>
      <c r="D64" s="144"/>
    </row>
    <row r="65" spans="1:4" x14ac:dyDescent="0.25">
      <c r="A65" s="5">
        <v>3.92</v>
      </c>
      <c r="B65" t="s">
        <v>757</v>
      </c>
      <c r="D65" s="144"/>
    </row>
    <row r="66" spans="1:4" x14ac:dyDescent="0.25">
      <c r="A66" s="5">
        <v>3.94</v>
      </c>
      <c r="B66" t="s">
        <v>756</v>
      </c>
      <c r="D66" s="144"/>
    </row>
    <row r="67" spans="1:4" x14ac:dyDescent="0.25">
      <c r="A67" s="5">
        <v>4.2699999999999996</v>
      </c>
      <c r="B67" t="s">
        <v>789</v>
      </c>
      <c r="D67" s="144"/>
    </row>
    <row r="68" spans="1:4" x14ac:dyDescent="0.25">
      <c r="A68" s="5">
        <v>4.3</v>
      </c>
      <c r="B68" t="s">
        <v>732</v>
      </c>
      <c r="D68" s="144"/>
    </row>
    <row r="69" spans="1:4" x14ac:dyDescent="0.25">
      <c r="A69" s="5">
        <v>4.34</v>
      </c>
      <c r="B69" t="s">
        <v>715</v>
      </c>
      <c r="D69" s="144"/>
    </row>
    <row r="70" spans="1:4" x14ac:dyDescent="0.25">
      <c r="A70" s="5">
        <v>4.38</v>
      </c>
      <c r="B70" t="s">
        <v>786</v>
      </c>
      <c r="D70" s="144"/>
    </row>
    <row r="71" spans="1:4" x14ac:dyDescent="0.25">
      <c r="A71" s="5">
        <v>4.55</v>
      </c>
      <c r="B71" t="s">
        <v>731</v>
      </c>
      <c r="D71" s="144"/>
    </row>
    <row r="72" spans="1:4" x14ac:dyDescent="0.25">
      <c r="A72" s="5">
        <v>4.5599999999999996</v>
      </c>
      <c r="B72" t="s">
        <v>729</v>
      </c>
      <c r="D72" s="144"/>
    </row>
    <row r="73" spans="1:4" x14ac:dyDescent="0.25">
      <c r="A73" s="5">
        <v>4.57</v>
      </c>
      <c r="B73" t="s">
        <v>714</v>
      </c>
      <c r="D73" s="144"/>
    </row>
    <row r="74" spans="1:4" x14ac:dyDescent="0.25">
      <c r="A74" s="5">
        <v>4.63</v>
      </c>
      <c r="B74" t="s">
        <v>722</v>
      </c>
      <c r="D74" s="144"/>
    </row>
    <row r="75" spans="1:4" x14ac:dyDescent="0.25">
      <c r="A75" s="5">
        <v>4.9800000000000004</v>
      </c>
      <c r="B75" t="s">
        <v>775</v>
      </c>
      <c r="D75" s="144"/>
    </row>
    <row r="76" spans="1:4" x14ac:dyDescent="0.25">
      <c r="A76" s="5">
        <v>5.14</v>
      </c>
      <c r="B76" t="s">
        <v>748</v>
      </c>
      <c r="D76" s="144"/>
    </row>
    <row r="77" spans="1:4" x14ac:dyDescent="0.25">
      <c r="A77" s="5">
        <v>5.27</v>
      </c>
      <c r="B77" t="s">
        <v>774</v>
      </c>
      <c r="D77" s="144"/>
    </row>
    <row r="78" spans="1:4" x14ac:dyDescent="0.25">
      <c r="A78" s="5">
        <v>5.45</v>
      </c>
      <c r="B78" t="s">
        <v>747</v>
      </c>
      <c r="D78" s="144"/>
    </row>
    <row r="79" spans="1:4" x14ac:dyDescent="0.25">
      <c r="A79" s="5">
        <v>5.7</v>
      </c>
      <c r="B79" t="s">
        <v>723</v>
      </c>
      <c r="D79" s="144"/>
    </row>
    <row r="80" spans="1:4" x14ac:dyDescent="0.25">
      <c r="A80" s="5">
        <v>5.72</v>
      </c>
      <c r="B80" t="s">
        <v>730</v>
      </c>
      <c r="D80" s="144"/>
    </row>
    <row r="81" spans="1:4" x14ac:dyDescent="0.25">
      <c r="A81" s="5">
        <v>5.9</v>
      </c>
      <c r="B81" t="s">
        <v>727</v>
      </c>
      <c r="D81" s="144"/>
    </row>
    <row r="82" spans="1:4" x14ac:dyDescent="0.25">
      <c r="A82" s="5">
        <v>6.2</v>
      </c>
      <c r="B82" t="s">
        <v>785</v>
      </c>
      <c r="D82" s="144"/>
    </row>
    <row r="83" spans="1:4" x14ac:dyDescent="0.25">
      <c r="A83" s="5">
        <v>6.36</v>
      </c>
      <c r="B83" t="s">
        <v>721</v>
      </c>
      <c r="D83" s="144"/>
    </row>
    <row r="84" spans="1:4" x14ac:dyDescent="0.25">
      <c r="A84" s="5">
        <v>6.74</v>
      </c>
      <c r="B84" t="s">
        <v>781</v>
      </c>
      <c r="D84" s="144"/>
    </row>
    <row r="85" spans="1:4" x14ac:dyDescent="0.25">
      <c r="A85" s="5">
        <v>6.97</v>
      </c>
      <c r="B85" t="s">
        <v>780</v>
      </c>
    </row>
    <row r="86" spans="1:4" x14ac:dyDescent="0.25">
      <c r="A86" s="5">
        <v>10.98</v>
      </c>
      <c r="B86" t="s">
        <v>739</v>
      </c>
    </row>
    <row r="87" spans="1:4" x14ac:dyDescent="0.25">
      <c r="A87" s="5">
        <v>11.49</v>
      </c>
      <c r="B87" t="s">
        <v>720</v>
      </c>
    </row>
    <row r="88" spans="1:4" x14ac:dyDescent="0.25">
      <c r="A88" s="5" t="s">
        <v>373</v>
      </c>
      <c r="B88" t="s">
        <v>574</v>
      </c>
    </row>
    <row r="89" spans="1:4" x14ac:dyDescent="0.25">
      <c r="A89" s="5" t="s">
        <v>373</v>
      </c>
      <c r="B89"/>
    </row>
    <row r="90" spans="1:4" x14ac:dyDescent="0.25">
      <c r="A90" s="5" t="s">
        <v>373</v>
      </c>
      <c r="B90"/>
    </row>
    <row r="91" spans="1:4" x14ac:dyDescent="0.25">
      <c r="A91" s="5" t="s">
        <v>373</v>
      </c>
      <c r="B91"/>
    </row>
    <row r="92" spans="1:4" x14ac:dyDescent="0.25">
      <c r="A92" s="5" t="s">
        <v>373</v>
      </c>
      <c r="B92"/>
    </row>
    <row r="93" spans="1:4" x14ac:dyDescent="0.25">
      <c r="A93" s="5" t="s">
        <v>373</v>
      </c>
      <c r="B93"/>
    </row>
    <row r="94" spans="1:4" x14ac:dyDescent="0.25">
      <c r="A94" s="5" t="s">
        <v>373</v>
      </c>
      <c r="B94"/>
    </row>
    <row r="95" spans="1:4" x14ac:dyDescent="0.25">
      <c r="A95" s="5" t="s">
        <v>373</v>
      </c>
      <c r="B95"/>
    </row>
    <row r="96" spans="1:4" x14ac:dyDescent="0.25">
      <c r="A96" s="5" t="s">
        <v>373</v>
      </c>
      <c r="B96"/>
    </row>
    <row r="97" spans="1:2" x14ac:dyDescent="0.25">
      <c r="A97" s="5" t="s">
        <v>373</v>
      </c>
      <c r="B97"/>
    </row>
    <row r="98" spans="1:2" x14ac:dyDescent="0.25">
      <c r="A98" s="5" t="s">
        <v>373</v>
      </c>
      <c r="B98"/>
    </row>
    <row r="99" spans="1:2" x14ac:dyDescent="0.25">
      <c r="A99" s="5" t="s">
        <v>373</v>
      </c>
      <c r="B99"/>
    </row>
    <row r="100" spans="1:2" x14ac:dyDescent="0.25">
      <c r="A100" s="5" t="s">
        <v>373</v>
      </c>
      <c r="B100"/>
    </row>
    <row r="101" spans="1:2" x14ac:dyDescent="0.25">
      <c r="A101" s="5" t="s">
        <v>373</v>
      </c>
      <c r="B101"/>
    </row>
    <row r="102" spans="1:2" x14ac:dyDescent="0.25">
      <c r="A102" s="5" t="s">
        <v>373</v>
      </c>
      <c r="B102"/>
    </row>
    <row r="103" spans="1:2" x14ac:dyDescent="0.25">
      <c r="A103" s="5" t="s">
        <v>373</v>
      </c>
      <c r="B103"/>
    </row>
    <row r="104" spans="1:2" x14ac:dyDescent="0.25">
      <c r="A104" s="5" t="s">
        <v>373</v>
      </c>
      <c r="B104"/>
    </row>
    <row r="105" spans="1:2" x14ac:dyDescent="0.25">
      <c r="A105" s="5" t="s">
        <v>373</v>
      </c>
      <c r="B105"/>
    </row>
    <row r="106" spans="1:2" x14ac:dyDescent="0.25">
      <c r="A106" s="5" t="s">
        <v>373</v>
      </c>
      <c r="B106"/>
    </row>
    <row r="107" spans="1:2" x14ac:dyDescent="0.25">
      <c r="A107" s="5" t="s">
        <v>373</v>
      </c>
      <c r="B107"/>
    </row>
    <row r="108" spans="1:2" x14ac:dyDescent="0.25">
      <c r="A108" s="5" t="s">
        <v>373</v>
      </c>
      <c r="B108"/>
    </row>
    <row r="109" spans="1:2" x14ac:dyDescent="0.25">
      <c r="A109" s="5" t="s">
        <v>373</v>
      </c>
      <c r="B109"/>
    </row>
    <row r="110" spans="1:2" x14ac:dyDescent="0.25">
      <c r="A110" s="5" t="s">
        <v>373</v>
      </c>
      <c r="B110"/>
    </row>
    <row r="111" spans="1:2" x14ac:dyDescent="0.25">
      <c r="A111" s="5" t="s">
        <v>373</v>
      </c>
      <c r="B111"/>
    </row>
    <row r="112" spans="1:2" x14ac:dyDescent="0.25">
      <c r="A112" s="5" t="s">
        <v>373</v>
      </c>
      <c r="B112"/>
    </row>
    <row r="113" spans="1:2" x14ac:dyDescent="0.25">
      <c r="A113" s="5" t="s">
        <v>373</v>
      </c>
      <c r="B113"/>
    </row>
    <row r="114" spans="1:2" x14ac:dyDescent="0.25">
      <c r="A114" s="5" t="s">
        <v>373</v>
      </c>
      <c r="B114"/>
    </row>
    <row r="115" spans="1:2" x14ac:dyDescent="0.25">
      <c r="A115" s="5" t="s">
        <v>373</v>
      </c>
      <c r="B115"/>
    </row>
    <row r="116" spans="1:2" x14ac:dyDescent="0.25">
      <c r="A116" s="5" t="s">
        <v>373</v>
      </c>
      <c r="B116"/>
    </row>
    <row r="117" spans="1:2" x14ac:dyDescent="0.25">
      <c r="A117" s="5" t="s">
        <v>373</v>
      </c>
      <c r="B117"/>
    </row>
    <row r="118" spans="1:2" x14ac:dyDescent="0.25">
      <c r="A118" s="5" t="s">
        <v>373</v>
      </c>
      <c r="B118"/>
    </row>
    <row r="119" spans="1:2" x14ac:dyDescent="0.25">
      <c r="A119" s="5" t="s">
        <v>373</v>
      </c>
      <c r="B119"/>
    </row>
    <row r="120" spans="1:2" x14ac:dyDescent="0.25">
      <c r="A120" s="5" t="s">
        <v>373</v>
      </c>
      <c r="B120"/>
    </row>
    <row r="121" spans="1:2" x14ac:dyDescent="0.25">
      <c r="A121" s="5" t="s">
        <v>373</v>
      </c>
      <c r="B121"/>
    </row>
    <row r="122" spans="1:2" x14ac:dyDescent="0.25">
      <c r="A122" s="5" t="s">
        <v>373</v>
      </c>
      <c r="B122"/>
    </row>
    <row r="123" spans="1:2" x14ac:dyDescent="0.25">
      <c r="A123" s="5" t="s">
        <v>373</v>
      </c>
      <c r="B123"/>
    </row>
    <row r="124" spans="1:2" x14ac:dyDescent="0.25">
      <c r="A124" s="5" t="s">
        <v>373</v>
      </c>
      <c r="B124"/>
    </row>
    <row r="125" spans="1:2" x14ac:dyDescent="0.25">
      <c r="A125" s="5" t="s">
        <v>373</v>
      </c>
      <c r="B125"/>
    </row>
    <row r="126" spans="1:2" x14ac:dyDescent="0.25">
      <c r="A126" s="5" t="s">
        <v>373</v>
      </c>
      <c r="B126"/>
    </row>
    <row r="127" spans="1:2" x14ac:dyDescent="0.25">
      <c r="A127" s="5" t="s">
        <v>373</v>
      </c>
      <c r="B127"/>
    </row>
    <row r="128" spans="1:2" x14ac:dyDescent="0.25">
      <c r="A128" s="5" t="s">
        <v>373</v>
      </c>
      <c r="B128"/>
    </row>
    <row r="129" spans="1:2" x14ac:dyDescent="0.25">
      <c r="A129" s="5" t="s">
        <v>373</v>
      </c>
      <c r="B129"/>
    </row>
    <row r="130" spans="1:2" x14ac:dyDescent="0.25">
      <c r="A130" s="5" t="s">
        <v>373</v>
      </c>
      <c r="B130"/>
    </row>
    <row r="131" spans="1:2" x14ac:dyDescent="0.25">
      <c r="A131" s="5" t="s">
        <v>373</v>
      </c>
      <c r="B131"/>
    </row>
    <row r="132" spans="1:2" x14ac:dyDescent="0.25">
      <c r="A132" s="5" t="s">
        <v>373</v>
      </c>
      <c r="B132"/>
    </row>
    <row r="133" spans="1:2" x14ac:dyDescent="0.25">
      <c r="A133" s="5" t="s">
        <v>373</v>
      </c>
      <c r="B133"/>
    </row>
    <row r="134" spans="1:2" x14ac:dyDescent="0.25">
      <c r="A134" s="5" t="s">
        <v>373</v>
      </c>
      <c r="B134"/>
    </row>
    <row r="135" spans="1:2" x14ac:dyDescent="0.25">
      <c r="A135" s="5" t="s">
        <v>373</v>
      </c>
      <c r="B135"/>
    </row>
    <row r="136" spans="1:2" x14ac:dyDescent="0.25">
      <c r="A136" s="5" t="s">
        <v>373</v>
      </c>
      <c r="B136"/>
    </row>
    <row r="137" spans="1:2" x14ac:dyDescent="0.25">
      <c r="A137" s="5" t="s">
        <v>373</v>
      </c>
      <c r="B137"/>
    </row>
    <row r="138" spans="1:2" x14ac:dyDescent="0.25">
      <c r="A138" s="5" t="s">
        <v>373</v>
      </c>
      <c r="B138"/>
    </row>
    <row r="139" spans="1:2" x14ac:dyDescent="0.25">
      <c r="A139" s="5" t="s">
        <v>373</v>
      </c>
      <c r="B139"/>
    </row>
    <row r="140" spans="1:2" x14ac:dyDescent="0.25">
      <c r="A140" s="5" t="s">
        <v>373</v>
      </c>
      <c r="B140"/>
    </row>
    <row r="141" spans="1:2" x14ac:dyDescent="0.25">
      <c r="A141" s="5" t="s">
        <v>373</v>
      </c>
      <c r="B141"/>
    </row>
    <row r="142" spans="1:2" x14ac:dyDescent="0.25">
      <c r="A142" s="5" t="s">
        <v>373</v>
      </c>
      <c r="B142"/>
    </row>
    <row r="143" spans="1:2" x14ac:dyDescent="0.25">
      <c r="A143" s="5" t="s">
        <v>373</v>
      </c>
      <c r="B143"/>
    </row>
    <row r="144" spans="1:2" x14ac:dyDescent="0.25">
      <c r="A144" s="5"/>
      <c r="B144"/>
    </row>
    <row r="145" spans="1:2" x14ac:dyDescent="0.25">
      <c r="A145" s="5"/>
      <c r="B145"/>
    </row>
    <row r="146" spans="1:2" x14ac:dyDescent="0.25">
      <c r="A146" s="5"/>
      <c r="B146"/>
    </row>
    <row r="147" spans="1:2" x14ac:dyDescent="0.25">
      <c r="A147" s="5"/>
      <c r="B147"/>
    </row>
    <row r="148" spans="1:2" x14ac:dyDescent="0.25">
      <c r="A148" s="5"/>
      <c r="B148"/>
    </row>
    <row r="149" spans="1:2" x14ac:dyDescent="0.25">
      <c r="A149" s="5"/>
      <c r="B149"/>
    </row>
    <row r="150" spans="1:2" x14ac:dyDescent="0.25">
      <c r="A150" s="5"/>
      <c r="B150"/>
    </row>
    <row r="151" spans="1:2" x14ac:dyDescent="0.25">
      <c r="A151" s="5"/>
      <c r="B151"/>
    </row>
    <row r="152" spans="1:2" x14ac:dyDescent="0.25">
      <c r="A152" s="5"/>
      <c r="B152"/>
    </row>
    <row r="153" spans="1:2" x14ac:dyDescent="0.25">
      <c r="A153" s="5"/>
      <c r="B153"/>
    </row>
    <row r="154" spans="1:2" x14ac:dyDescent="0.25">
      <c r="A154" s="5"/>
      <c r="B154"/>
    </row>
    <row r="155" spans="1:2" x14ac:dyDescent="0.25">
      <c r="A155" s="5"/>
      <c r="B155"/>
    </row>
    <row r="156" spans="1:2" x14ac:dyDescent="0.25">
      <c r="A156" s="5"/>
      <c r="B156"/>
    </row>
    <row r="157" spans="1:2" x14ac:dyDescent="0.25">
      <c r="A157" s="5"/>
      <c r="B157"/>
    </row>
    <row r="158" spans="1:2" x14ac:dyDescent="0.25">
      <c r="A158" s="5"/>
      <c r="B158"/>
    </row>
    <row r="159" spans="1:2" x14ac:dyDescent="0.25">
      <c r="A159" s="5"/>
      <c r="B159"/>
    </row>
    <row r="160" spans="1:2" x14ac:dyDescent="0.25">
      <c r="A160" s="5"/>
      <c r="B160"/>
    </row>
    <row r="161" spans="1:2" x14ac:dyDescent="0.25">
      <c r="A161" s="5"/>
      <c r="B161"/>
    </row>
    <row r="162" spans="1:2" x14ac:dyDescent="0.25">
      <c r="A162" s="5"/>
      <c r="B162"/>
    </row>
    <row r="163" spans="1:2" x14ac:dyDescent="0.25">
      <c r="A163" s="5"/>
      <c r="B163"/>
    </row>
    <row r="164" spans="1:2" x14ac:dyDescent="0.25">
      <c r="A164" s="5"/>
      <c r="B164"/>
    </row>
    <row r="165" spans="1:2" x14ac:dyDescent="0.25">
      <c r="A165" s="5"/>
      <c r="B165"/>
    </row>
    <row r="166" spans="1:2" x14ac:dyDescent="0.25">
      <c r="A166" s="5"/>
      <c r="B166"/>
    </row>
    <row r="167" spans="1:2" x14ac:dyDescent="0.25">
      <c r="A167" s="5"/>
      <c r="B167"/>
    </row>
    <row r="168" spans="1:2" x14ac:dyDescent="0.25">
      <c r="A168" s="5"/>
      <c r="B168"/>
    </row>
    <row r="169" spans="1:2" x14ac:dyDescent="0.25">
      <c r="A169" s="5"/>
      <c r="B169"/>
    </row>
    <row r="170" spans="1:2" x14ac:dyDescent="0.25">
      <c r="A170" s="5"/>
      <c r="B170"/>
    </row>
    <row r="171" spans="1:2" x14ac:dyDescent="0.25">
      <c r="A171" s="5"/>
      <c r="B171"/>
    </row>
    <row r="172" spans="1:2" x14ac:dyDescent="0.25">
      <c r="A172" s="5"/>
      <c r="B172"/>
    </row>
    <row r="173" spans="1:2" x14ac:dyDescent="0.25">
      <c r="A173" s="5"/>
      <c r="B173"/>
    </row>
    <row r="174" spans="1:2" x14ac:dyDescent="0.25">
      <c r="A174" s="5"/>
      <c r="B174"/>
    </row>
    <row r="175" spans="1:2" x14ac:dyDescent="0.25">
      <c r="A175" s="5"/>
      <c r="B175"/>
    </row>
    <row r="176" spans="1:2" x14ac:dyDescent="0.25">
      <c r="A176" s="5"/>
      <c r="B176"/>
    </row>
    <row r="177" spans="2:2" x14ac:dyDescent="0.25">
      <c r="B177"/>
    </row>
  </sheetData>
  <sortState xmlns:xlrd2="http://schemas.microsoft.com/office/spreadsheetml/2017/richdata2" ref="A2:B176">
    <sortCondition ref="A2"/>
  </sortState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3"/>
  <dimension ref="A1:D177"/>
  <sheetViews>
    <sheetView workbookViewId="0">
      <selection activeCell="A2" sqref="A2"/>
    </sheetView>
  </sheetViews>
  <sheetFormatPr defaultRowHeight="15" x14ac:dyDescent="0.25"/>
  <cols>
    <col min="1" max="1" width="21.5703125" bestFit="1" customWidth="1"/>
    <col min="2" max="2" width="34" style="5" bestFit="1" customWidth="1"/>
    <col min="5" max="5" width="35.140625" bestFit="1" customWidth="1"/>
    <col min="8" max="8" width="21" bestFit="1" customWidth="1"/>
  </cols>
  <sheetData>
    <row r="1" spans="1:4" x14ac:dyDescent="0.25">
      <c r="A1" s="35"/>
      <c r="D1" s="144"/>
    </row>
    <row r="2" spans="1:4" x14ac:dyDescent="0.25">
      <c r="A2" s="5">
        <v>0.26</v>
      </c>
      <c r="B2" t="s">
        <v>824</v>
      </c>
      <c r="D2" s="144"/>
    </row>
    <row r="3" spans="1:4" x14ac:dyDescent="0.25">
      <c r="A3" s="5">
        <v>0.26</v>
      </c>
      <c r="B3" t="s">
        <v>826</v>
      </c>
      <c r="D3" s="144"/>
    </row>
    <row r="4" spans="1:4" x14ac:dyDescent="0.25">
      <c r="A4" s="5">
        <v>0.27</v>
      </c>
      <c r="B4" t="s">
        <v>847</v>
      </c>
      <c r="D4" s="144"/>
    </row>
    <row r="5" spans="1:4" x14ac:dyDescent="0.25">
      <c r="A5" s="5">
        <v>0.28999999999999998</v>
      </c>
      <c r="B5" t="s">
        <v>805</v>
      </c>
      <c r="D5" s="144"/>
    </row>
    <row r="6" spans="1:4" x14ac:dyDescent="0.25">
      <c r="A6" s="5">
        <v>0.28999999999999998</v>
      </c>
      <c r="B6" t="s">
        <v>823</v>
      </c>
      <c r="D6" s="144"/>
    </row>
    <row r="7" spans="1:4" x14ac:dyDescent="0.25">
      <c r="A7" s="5">
        <v>0.28999999999999998</v>
      </c>
      <c r="B7" t="s">
        <v>844</v>
      </c>
      <c r="D7" s="144"/>
    </row>
    <row r="8" spans="1:4" x14ac:dyDescent="0.25">
      <c r="A8" s="5">
        <v>0.32</v>
      </c>
      <c r="B8" t="s">
        <v>845</v>
      </c>
      <c r="D8" s="144"/>
    </row>
    <row r="9" spans="1:4" x14ac:dyDescent="0.25">
      <c r="A9" s="5">
        <v>0.32</v>
      </c>
      <c r="B9" t="s">
        <v>846</v>
      </c>
      <c r="D9" s="144"/>
    </row>
    <row r="10" spans="1:4" x14ac:dyDescent="0.25">
      <c r="A10" s="5">
        <v>0.33</v>
      </c>
      <c r="B10" t="s">
        <v>827</v>
      </c>
      <c r="D10" s="144"/>
    </row>
    <row r="11" spans="1:4" x14ac:dyDescent="0.25">
      <c r="A11" s="5">
        <v>0.34</v>
      </c>
      <c r="B11" t="s">
        <v>804</v>
      </c>
      <c r="D11" s="144"/>
    </row>
    <row r="12" spans="1:4" x14ac:dyDescent="0.25">
      <c r="A12" s="5">
        <v>0.34</v>
      </c>
      <c r="B12" t="s">
        <v>828</v>
      </c>
      <c r="D12" s="144"/>
    </row>
    <row r="13" spans="1:4" x14ac:dyDescent="0.25">
      <c r="A13" s="5">
        <v>0.34</v>
      </c>
      <c r="B13" t="s">
        <v>851</v>
      </c>
      <c r="D13" s="144"/>
    </row>
    <row r="14" spans="1:4" x14ac:dyDescent="0.25">
      <c r="A14" s="5">
        <v>0.36</v>
      </c>
      <c r="B14" t="s">
        <v>796</v>
      </c>
      <c r="D14" s="144"/>
    </row>
    <row r="15" spans="1:4" x14ac:dyDescent="0.25">
      <c r="A15" s="5">
        <v>0.36</v>
      </c>
      <c r="B15" t="s">
        <v>850</v>
      </c>
      <c r="D15" s="144"/>
    </row>
    <row r="16" spans="1:4" x14ac:dyDescent="0.25">
      <c r="A16" s="5">
        <v>0.36</v>
      </c>
      <c r="B16" t="s">
        <v>864</v>
      </c>
      <c r="D16" s="144"/>
    </row>
    <row r="17" spans="1:4" x14ac:dyDescent="0.25">
      <c r="A17" s="5">
        <v>0.36</v>
      </c>
      <c r="B17" t="s">
        <v>865</v>
      </c>
      <c r="D17" s="144"/>
    </row>
    <row r="18" spans="1:4" x14ac:dyDescent="0.25">
      <c r="A18" s="5">
        <v>0.37</v>
      </c>
      <c r="B18" t="s">
        <v>868</v>
      </c>
      <c r="D18" s="144"/>
    </row>
    <row r="19" spans="1:4" x14ac:dyDescent="0.25">
      <c r="A19" s="5">
        <v>0.38</v>
      </c>
      <c r="B19" t="s">
        <v>794</v>
      </c>
      <c r="D19" s="144"/>
    </row>
    <row r="20" spans="1:4" x14ac:dyDescent="0.25">
      <c r="A20" s="5">
        <v>0.38</v>
      </c>
      <c r="B20" t="s">
        <v>839</v>
      </c>
      <c r="D20" s="144"/>
    </row>
    <row r="21" spans="1:4" x14ac:dyDescent="0.25">
      <c r="A21" s="5">
        <v>0.38</v>
      </c>
      <c r="B21" t="s">
        <v>862</v>
      </c>
      <c r="D21" s="144"/>
    </row>
    <row r="22" spans="1:4" x14ac:dyDescent="0.25">
      <c r="A22" s="5">
        <v>0.39</v>
      </c>
      <c r="B22" t="s">
        <v>863</v>
      </c>
      <c r="D22" s="144"/>
    </row>
    <row r="23" spans="1:4" x14ac:dyDescent="0.25">
      <c r="A23" s="5">
        <v>0.4</v>
      </c>
      <c r="B23" t="s">
        <v>810</v>
      </c>
      <c r="D23" s="144"/>
    </row>
    <row r="24" spans="1:4" x14ac:dyDescent="0.25">
      <c r="A24" s="5">
        <v>0.4</v>
      </c>
      <c r="B24" t="s">
        <v>822</v>
      </c>
      <c r="D24" s="144"/>
    </row>
    <row r="25" spans="1:4" x14ac:dyDescent="0.25">
      <c r="A25" s="5">
        <v>0.41</v>
      </c>
      <c r="B25" t="s">
        <v>848</v>
      </c>
      <c r="D25" s="144"/>
    </row>
    <row r="26" spans="1:4" x14ac:dyDescent="0.25">
      <c r="A26" s="5">
        <v>0.41</v>
      </c>
      <c r="B26" t="s">
        <v>849</v>
      </c>
      <c r="D26" s="144"/>
    </row>
    <row r="27" spans="1:4" x14ac:dyDescent="0.25">
      <c r="A27" s="5">
        <v>0.42</v>
      </c>
      <c r="B27" t="s">
        <v>838</v>
      </c>
      <c r="D27" s="144"/>
    </row>
    <row r="28" spans="1:4" x14ac:dyDescent="0.25">
      <c r="A28" s="5">
        <v>0.43</v>
      </c>
      <c r="B28" t="s">
        <v>821</v>
      </c>
      <c r="D28" s="144"/>
    </row>
    <row r="29" spans="1:4" x14ac:dyDescent="0.25">
      <c r="A29" s="5">
        <v>0.45</v>
      </c>
      <c r="B29" t="s">
        <v>811</v>
      </c>
      <c r="D29" s="144"/>
    </row>
    <row r="30" spans="1:4" x14ac:dyDescent="0.25">
      <c r="A30" s="5">
        <v>0.45</v>
      </c>
      <c r="B30" t="s">
        <v>836</v>
      </c>
      <c r="D30" s="144"/>
    </row>
    <row r="31" spans="1:4" x14ac:dyDescent="0.25">
      <c r="A31" s="5">
        <v>0.45</v>
      </c>
      <c r="B31" t="s">
        <v>837</v>
      </c>
      <c r="D31" s="144"/>
    </row>
    <row r="32" spans="1:4" x14ac:dyDescent="0.25">
      <c r="A32" s="5">
        <v>0.46</v>
      </c>
      <c r="B32" t="s">
        <v>798</v>
      </c>
      <c r="D32" s="144"/>
    </row>
    <row r="33" spans="1:4" x14ac:dyDescent="0.25">
      <c r="A33" s="5">
        <v>0.47</v>
      </c>
      <c r="B33" t="s">
        <v>857</v>
      </c>
      <c r="D33" s="144"/>
    </row>
    <row r="34" spans="1:4" x14ac:dyDescent="0.25">
      <c r="A34" s="5">
        <v>0.47</v>
      </c>
      <c r="B34" t="s">
        <v>878</v>
      </c>
      <c r="D34" s="144"/>
    </row>
    <row r="35" spans="1:4" x14ac:dyDescent="0.25">
      <c r="A35" s="5">
        <v>0.47</v>
      </c>
      <c r="B35" t="s">
        <v>879</v>
      </c>
      <c r="D35" s="144"/>
    </row>
    <row r="36" spans="1:4" x14ac:dyDescent="0.25">
      <c r="A36" s="5">
        <v>0.48</v>
      </c>
      <c r="B36" t="s">
        <v>799</v>
      </c>
      <c r="D36" s="144"/>
    </row>
    <row r="37" spans="1:4" x14ac:dyDescent="0.25">
      <c r="A37" s="5">
        <v>0.49</v>
      </c>
      <c r="B37" t="s">
        <v>812</v>
      </c>
      <c r="D37" s="144"/>
    </row>
    <row r="38" spans="1:4" x14ac:dyDescent="0.25">
      <c r="A38" s="5">
        <v>0.49</v>
      </c>
      <c r="B38" t="s">
        <v>835</v>
      </c>
      <c r="D38" s="144"/>
    </row>
    <row r="39" spans="1:4" x14ac:dyDescent="0.25">
      <c r="A39" s="5">
        <v>0.49</v>
      </c>
      <c r="B39" t="s">
        <v>852</v>
      </c>
      <c r="D39" s="144"/>
    </row>
    <row r="40" spans="1:4" x14ac:dyDescent="0.25">
      <c r="A40" s="5">
        <v>0.49</v>
      </c>
      <c r="B40" t="s">
        <v>856</v>
      </c>
      <c r="D40" s="144"/>
    </row>
    <row r="41" spans="1:4" x14ac:dyDescent="0.25">
      <c r="A41" s="5">
        <v>0.5</v>
      </c>
      <c r="B41" t="s">
        <v>829</v>
      </c>
      <c r="D41" s="144"/>
    </row>
    <row r="42" spans="1:4" x14ac:dyDescent="0.25">
      <c r="A42" s="5">
        <v>0.51</v>
      </c>
      <c r="B42" t="s">
        <v>876</v>
      </c>
      <c r="D42" s="144"/>
    </row>
    <row r="43" spans="1:4" x14ac:dyDescent="0.25">
      <c r="A43" s="5">
        <v>0.51</v>
      </c>
      <c r="B43" t="s">
        <v>877</v>
      </c>
      <c r="D43" s="144"/>
    </row>
    <row r="44" spans="1:4" x14ac:dyDescent="0.25">
      <c r="A44" s="5">
        <v>0.52</v>
      </c>
      <c r="B44" t="s">
        <v>830</v>
      </c>
      <c r="D44" s="144"/>
    </row>
    <row r="45" spans="1:4" x14ac:dyDescent="0.25">
      <c r="A45" s="5">
        <v>0.55000000000000004</v>
      </c>
      <c r="B45" t="s">
        <v>855</v>
      </c>
      <c r="D45" s="144"/>
    </row>
    <row r="46" spans="1:4" x14ac:dyDescent="0.25">
      <c r="A46" s="5">
        <v>0.55000000000000004</v>
      </c>
      <c r="B46" t="s">
        <v>869</v>
      </c>
      <c r="D46" s="144"/>
    </row>
    <row r="47" spans="1:4" x14ac:dyDescent="0.25">
      <c r="A47" s="5">
        <v>0.55000000000000004</v>
      </c>
      <c r="B47" t="s">
        <v>870</v>
      </c>
      <c r="D47" s="144"/>
    </row>
    <row r="48" spans="1:4" x14ac:dyDescent="0.25">
      <c r="A48" s="5">
        <v>0.56000000000000005</v>
      </c>
      <c r="B48" t="s">
        <v>841</v>
      </c>
      <c r="D48" s="144"/>
    </row>
    <row r="49" spans="1:4" x14ac:dyDescent="0.25">
      <c r="A49" s="5">
        <v>0.56999999999999995</v>
      </c>
      <c r="B49" t="s">
        <v>874</v>
      </c>
      <c r="D49" s="144"/>
    </row>
    <row r="50" spans="1:4" x14ac:dyDescent="0.25">
      <c r="A50" s="5">
        <v>0.57999999999999996</v>
      </c>
      <c r="B50" t="s">
        <v>840</v>
      </c>
      <c r="D50" s="144"/>
    </row>
    <row r="51" spans="1:4" x14ac:dyDescent="0.25">
      <c r="A51" s="5">
        <v>0.59</v>
      </c>
      <c r="B51" t="s">
        <v>803</v>
      </c>
      <c r="D51" s="144"/>
    </row>
    <row r="52" spans="1:4" x14ac:dyDescent="0.25">
      <c r="A52" s="5">
        <v>0.59</v>
      </c>
      <c r="B52" t="s">
        <v>854</v>
      </c>
      <c r="D52" s="144"/>
    </row>
    <row r="53" spans="1:4" x14ac:dyDescent="0.25">
      <c r="A53" s="5">
        <v>0.61</v>
      </c>
      <c r="B53" t="s">
        <v>814</v>
      </c>
      <c r="D53" s="144"/>
    </row>
    <row r="54" spans="1:4" x14ac:dyDescent="0.25">
      <c r="A54" s="5">
        <v>0.62</v>
      </c>
      <c r="B54" t="s">
        <v>802</v>
      </c>
      <c r="D54" s="144"/>
    </row>
    <row r="55" spans="1:4" x14ac:dyDescent="0.25">
      <c r="A55" s="5">
        <v>0.62</v>
      </c>
      <c r="B55" t="s">
        <v>853</v>
      </c>
      <c r="D55" s="144"/>
    </row>
    <row r="56" spans="1:4" x14ac:dyDescent="0.25">
      <c r="A56" s="5">
        <v>0.69</v>
      </c>
      <c r="B56" t="s">
        <v>819</v>
      </c>
      <c r="D56" s="144"/>
    </row>
    <row r="57" spans="1:4" x14ac:dyDescent="0.25">
      <c r="A57" s="5">
        <v>0.71</v>
      </c>
      <c r="B57" t="s">
        <v>820</v>
      </c>
      <c r="D57" s="144"/>
    </row>
    <row r="58" spans="1:4" x14ac:dyDescent="0.25">
      <c r="A58" s="5">
        <v>0.71</v>
      </c>
      <c r="B58" t="s">
        <v>831</v>
      </c>
      <c r="D58" s="144"/>
    </row>
    <row r="59" spans="1:4" x14ac:dyDescent="0.25">
      <c r="A59" s="5">
        <v>0.72</v>
      </c>
      <c r="B59" t="s">
        <v>859</v>
      </c>
      <c r="D59" s="144"/>
    </row>
    <row r="60" spans="1:4" x14ac:dyDescent="0.25">
      <c r="A60" s="5">
        <v>0.74</v>
      </c>
      <c r="B60" t="s">
        <v>858</v>
      </c>
      <c r="D60" s="144"/>
    </row>
    <row r="61" spans="1:4" x14ac:dyDescent="0.25">
      <c r="A61" s="5">
        <v>0.76</v>
      </c>
      <c r="B61" t="s">
        <v>843</v>
      </c>
      <c r="D61" s="144"/>
    </row>
    <row r="62" spans="1:4" x14ac:dyDescent="0.25">
      <c r="A62" s="5">
        <v>0.78</v>
      </c>
      <c r="B62" t="s">
        <v>832</v>
      </c>
      <c r="D62" s="144"/>
    </row>
    <row r="63" spans="1:4" x14ac:dyDescent="0.25">
      <c r="A63" s="5">
        <v>0.79</v>
      </c>
      <c r="B63" t="s">
        <v>842</v>
      </c>
      <c r="D63" s="144"/>
    </row>
    <row r="64" spans="1:4" x14ac:dyDescent="0.25">
      <c r="A64" s="5">
        <v>0.8</v>
      </c>
      <c r="B64" t="s">
        <v>872</v>
      </c>
      <c r="D64" s="144"/>
    </row>
    <row r="65" spans="1:4" x14ac:dyDescent="0.25">
      <c r="A65" s="5">
        <v>0.8</v>
      </c>
      <c r="B65" t="s">
        <v>873</v>
      </c>
      <c r="D65" s="144"/>
    </row>
    <row r="66" spans="1:4" x14ac:dyDescent="0.25">
      <c r="A66" s="5">
        <v>0.81</v>
      </c>
      <c r="B66" t="s">
        <v>797</v>
      </c>
      <c r="D66" s="144"/>
    </row>
    <row r="67" spans="1:4" x14ac:dyDescent="0.25">
      <c r="A67" s="5">
        <v>0.85</v>
      </c>
      <c r="B67" t="s">
        <v>795</v>
      </c>
      <c r="D67" s="144"/>
    </row>
    <row r="68" spans="1:4" x14ac:dyDescent="0.25">
      <c r="A68" s="5">
        <v>0.85</v>
      </c>
      <c r="B68" t="s">
        <v>815</v>
      </c>
      <c r="D68" s="144"/>
    </row>
    <row r="69" spans="1:4" x14ac:dyDescent="0.25">
      <c r="A69" s="5">
        <v>0.93</v>
      </c>
      <c r="B69" t="s">
        <v>808</v>
      </c>
      <c r="D69" s="144"/>
    </row>
    <row r="70" spans="1:4" x14ac:dyDescent="0.25">
      <c r="A70" s="5">
        <v>0.94</v>
      </c>
      <c r="B70" t="s">
        <v>833</v>
      </c>
      <c r="D70" s="144"/>
    </row>
    <row r="71" spans="1:4" x14ac:dyDescent="0.25">
      <c r="A71" s="5">
        <v>0.95</v>
      </c>
      <c r="B71" t="s">
        <v>818</v>
      </c>
      <c r="D71" s="144"/>
    </row>
    <row r="72" spans="1:4" x14ac:dyDescent="0.25">
      <c r="A72" s="5">
        <v>0.96</v>
      </c>
      <c r="B72" t="s">
        <v>817</v>
      </c>
      <c r="D72" s="144"/>
    </row>
    <row r="73" spans="1:4" x14ac:dyDescent="0.25">
      <c r="A73" s="5">
        <v>1.01</v>
      </c>
      <c r="B73" t="s">
        <v>875</v>
      </c>
      <c r="D73" s="144"/>
    </row>
    <row r="74" spans="1:4" x14ac:dyDescent="0.25">
      <c r="A74" s="5">
        <v>1.03</v>
      </c>
      <c r="B74" t="s">
        <v>834</v>
      </c>
      <c r="D74" s="144"/>
    </row>
    <row r="75" spans="1:4" x14ac:dyDescent="0.25">
      <c r="A75" s="5">
        <v>1.04</v>
      </c>
      <c r="B75" t="s">
        <v>801</v>
      </c>
      <c r="D75" s="144"/>
    </row>
    <row r="76" spans="1:4" x14ac:dyDescent="0.25">
      <c r="A76" s="5">
        <v>1.04</v>
      </c>
      <c r="B76" t="s">
        <v>860</v>
      </c>
      <c r="D76" s="144"/>
    </row>
    <row r="77" spans="1:4" x14ac:dyDescent="0.25">
      <c r="A77" s="5">
        <v>1.08</v>
      </c>
      <c r="B77" t="s">
        <v>861</v>
      </c>
      <c r="D77" s="144"/>
    </row>
    <row r="78" spans="1:4" x14ac:dyDescent="0.25">
      <c r="A78" s="5">
        <v>1.0900000000000001</v>
      </c>
      <c r="B78" t="s">
        <v>800</v>
      </c>
      <c r="D78" s="144"/>
    </row>
    <row r="79" spans="1:4" x14ac:dyDescent="0.25">
      <c r="A79" s="5">
        <v>1.0900000000000001</v>
      </c>
      <c r="B79" t="s">
        <v>813</v>
      </c>
      <c r="D79" s="144"/>
    </row>
    <row r="80" spans="1:4" x14ac:dyDescent="0.25">
      <c r="A80" s="5">
        <v>1.0900000000000001</v>
      </c>
      <c r="B80" t="s">
        <v>871</v>
      </c>
      <c r="D80" s="144"/>
    </row>
    <row r="81" spans="1:4" x14ac:dyDescent="0.25">
      <c r="A81" s="5">
        <v>1.1000000000000001</v>
      </c>
      <c r="B81" t="s">
        <v>816</v>
      </c>
      <c r="D81" s="144"/>
    </row>
    <row r="82" spans="1:4" x14ac:dyDescent="0.25">
      <c r="A82" s="5">
        <v>1.22</v>
      </c>
      <c r="B82" t="s">
        <v>809</v>
      </c>
      <c r="D82" s="144"/>
    </row>
    <row r="83" spans="1:4" x14ac:dyDescent="0.25">
      <c r="A83" s="5">
        <v>1.39</v>
      </c>
      <c r="B83" t="s">
        <v>867</v>
      </c>
      <c r="D83" s="144"/>
    </row>
    <row r="84" spans="1:4" x14ac:dyDescent="0.25">
      <c r="A84" s="5">
        <v>1.46</v>
      </c>
      <c r="B84" t="s">
        <v>866</v>
      </c>
      <c r="D84" s="144"/>
    </row>
    <row r="85" spans="1:4" x14ac:dyDescent="0.25">
      <c r="A85" s="5">
        <v>1.51</v>
      </c>
      <c r="B85" t="s">
        <v>807</v>
      </c>
    </row>
    <row r="86" spans="1:4" x14ac:dyDescent="0.25">
      <c r="A86" s="5">
        <v>2.36</v>
      </c>
      <c r="B86" t="s">
        <v>825</v>
      </c>
    </row>
    <row r="87" spans="1:4" x14ac:dyDescent="0.25">
      <c r="A87" s="5">
        <v>2.78</v>
      </c>
      <c r="B87" t="s">
        <v>806</v>
      </c>
    </row>
    <row r="88" spans="1:4" x14ac:dyDescent="0.25">
      <c r="A88" s="5" t="s">
        <v>373</v>
      </c>
      <c r="B88" t="s">
        <v>574</v>
      </c>
    </row>
    <row r="89" spans="1:4" x14ac:dyDescent="0.25">
      <c r="A89" s="5" t="s">
        <v>373</v>
      </c>
      <c r="B89"/>
    </row>
    <row r="90" spans="1:4" x14ac:dyDescent="0.25">
      <c r="A90" s="5" t="s">
        <v>373</v>
      </c>
      <c r="B90"/>
    </row>
    <row r="91" spans="1:4" x14ac:dyDescent="0.25">
      <c r="A91" s="5" t="s">
        <v>373</v>
      </c>
      <c r="B91"/>
    </row>
    <row r="92" spans="1:4" x14ac:dyDescent="0.25">
      <c r="A92" s="5" t="s">
        <v>373</v>
      </c>
      <c r="B92"/>
    </row>
    <row r="93" spans="1:4" x14ac:dyDescent="0.25">
      <c r="A93" s="5" t="s">
        <v>373</v>
      </c>
      <c r="B93"/>
    </row>
    <row r="94" spans="1:4" x14ac:dyDescent="0.25">
      <c r="A94" s="5" t="s">
        <v>373</v>
      </c>
      <c r="B94"/>
    </row>
    <row r="95" spans="1:4" x14ac:dyDescent="0.25">
      <c r="A95" s="5" t="s">
        <v>373</v>
      </c>
      <c r="B95"/>
    </row>
    <row r="96" spans="1:4" x14ac:dyDescent="0.25">
      <c r="A96" s="5" t="s">
        <v>373</v>
      </c>
      <c r="B96"/>
    </row>
    <row r="97" spans="1:2" x14ac:dyDescent="0.25">
      <c r="A97" s="5" t="s">
        <v>373</v>
      </c>
      <c r="B97"/>
    </row>
    <row r="98" spans="1:2" x14ac:dyDescent="0.25">
      <c r="A98" s="5" t="s">
        <v>373</v>
      </c>
      <c r="B98"/>
    </row>
    <row r="99" spans="1:2" x14ac:dyDescent="0.25">
      <c r="A99" s="5" t="s">
        <v>373</v>
      </c>
      <c r="B99"/>
    </row>
    <row r="100" spans="1:2" x14ac:dyDescent="0.25">
      <c r="A100" s="5" t="s">
        <v>373</v>
      </c>
      <c r="B100"/>
    </row>
    <row r="101" spans="1:2" x14ac:dyDescent="0.25">
      <c r="A101" s="5" t="s">
        <v>373</v>
      </c>
      <c r="B101"/>
    </row>
    <row r="102" spans="1:2" x14ac:dyDescent="0.25">
      <c r="A102" s="5" t="s">
        <v>373</v>
      </c>
      <c r="B102"/>
    </row>
    <row r="103" spans="1:2" x14ac:dyDescent="0.25">
      <c r="A103" s="5" t="s">
        <v>373</v>
      </c>
      <c r="B103"/>
    </row>
    <row r="104" spans="1:2" x14ac:dyDescent="0.25">
      <c r="A104" s="5" t="s">
        <v>373</v>
      </c>
      <c r="B104"/>
    </row>
    <row r="105" spans="1:2" x14ac:dyDescent="0.25">
      <c r="A105" s="5" t="s">
        <v>373</v>
      </c>
      <c r="B105"/>
    </row>
    <row r="106" spans="1:2" x14ac:dyDescent="0.25">
      <c r="A106" s="5" t="s">
        <v>373</v>
      </c>
      <c r="B106"/>
    </row>
    <row r="107" spans="1:2" x14ac:dyDescent="0.25">
      <c r="A107" s="5" t="s">
        <v>373</v>
      </c>
      <c r="B107"/>
    </row>
    <row r="108" spans="1:2" x14ac:dyDescent="0.25">
      <c r="A108" s="5" t="s">
        <v>373</v>
      </c>
      <c r="B108"/>
    </row>
    <row r="109" spans="1:2" x14ac:dyDescent="0.25">
      <c r="A109" s="5" t="s">
        <v>373</v>
      </c>
      <c r="B109"/>
    </row>
    <row r="110" spans="1:2" x14ac:dyDescent="0.25">
      <c r="A110" s="5" t="s">
        <v>373</v>
      </c>
      <c r="B110"/>
    </row>
    <row r="111" spans="1:2" x14ac:dyDescent="0.25">
      <c r="A111" s="5" t="s">
        <v>373</v>
      </c>
      <c r="B111"/>
    </row>
    <row r="112" spans="1:2" x14ac:dyDescent="0.25">
      <c r="A112" s="5" t="s">
        <v>373</v>
      </c>
      <c r="B112"/>
    </row>
    <row r="113" spans="1:2" x14ac:dyDescent="0.25">
      <c r="A113" s="5" t="s">
        <v>373</v>
      </c>
      <c r="B113"/>
    </row>
    <row r="114" spans="1:2" x14ac:dyDescent="0.25">
      <c r="A114" s="5" t="s">
        <v>373</v>
      </c>
      <c r="B114"/>
    </row>
    <row r="115" spans="1:2" x14ac:dyDescent="0.25">
      <c r="A115" s="5" t="s">
        <v>373</v>
      </c>
      <c r="B115"/>
    </row>
    <row r="116" spans="1:2" x14ac:dyDescent="0.25">
      <c r="A116" s="5" t="s">
        <v>373</v>
      </c>
      <c r="B116"/>
    </row>
    <row r="117" spans="1:2" x14ac:dyDescent="0.25">
      <c r="A117" s="5" t="s">
        <v>373</v>
      </c>
      <c r="B117"/>
    </row>
    <row r="118" spans="1:2" x14ac:dyDescent="0.25">
      <c r="A118" s="5" t="s">
        <v>373</v>
      </c>
      <c r="B118"/>
    </row>
    <row r="119" spans="1:2" x14ac:dyDescent="0.25">
      <c r="A119" s="5" t="s">
        <v>373</v>
      </c>
      <c r="B119"/>
    </row>
    <row r="120" spans="1:2" x14ac:dyDescent="0.25">
      <c r="A120" s="5" t="s">
        <v>373</v>
      </c>
      <c r="B120"/>
    </row>
    <row r="121" spans="1:2" x14ac:dyDescent="0.25">
      <c r="A121" s="5" t="s">
        <v>373</v>
      </c>
      <c r="B121"/>
    </row>
    <row r="122" spans="1:2" x14ac:dyDescent="0.25">
      <c r="A122" s="5" t="s">
        <v>373</v>
      </c>
      <c r="B122"/>
    </row>
    <row r="123" spans="1:2" x14ac:dyDescent="0.25">
      <c r="A123" s="5" t="s">
        <v>373</v>
      </c>
      <c r="B123"/>
    </row>
    <row r="124" spans="1:2" x14ac:dyDescent="0.25">
      <c r="A124" s="5" t="s">
        <v>373</v>
      </c>
      <c r="B124"/>
    </row>
    <row r="125" spans="1:2" x14ac:dyDescent="0.25">
      <c r="A125" s="5" t="s">
        <v>373</v>
      </c>
      <c r="B125"/>
    </row>
    <row r="126" spans="1:2" x14ac:dyDescent="0.25">
      <c r="A126" s="5" t="s">
        <v>373</v>
      </c>
      <c r="B126"/>
    </row>
    <row r="127" spans="1:2" x14ac:dyDescent="0.25">
      <c r="A127" s="5" t="s">
        <v>373</v>
      </c>
      <c r="B127"/>
    </row>
    <row r="128" spans="1:2" x14ac:dyDescent="0.25">
      <c r="A128" s="5" t="s">
        <v>373</v>
      </c>
      <c r="B128"/>
    </row>
    <row r="129" spans="1:2" x14ac:dyDescent="0.25">
      <c r="A129" s="5" t="s">
        <v>373</v>
      </c>
      <c r="B129"/>
    </row>
    <row r="130" spans="1:2" x14ac:dyDescent="0.25">
      <c r="A130" s="5" t="s">
        <v>373</v>
      </c>
      <c r="B130"/>
    </row>
    <row r="131" spans="1:2" x14ac:dyDescent="0.25">
      <c r="A131" s="5" t="s">
        <v>373</v>
      </c>
      <c r="B131"/>
    </row>
    <row r="132" spans="1:2" x14ac:dyDescent="0.25">
      <c r="A132" s="5" t="s">
        <v>373</v>
      </c>
      <c r="B132"/>
    </row>
    <row r="133" spans="1:2" x14ac:dyDescent="0.25">
      <c r="A133" s="5" t="s">
        <v>373</v>
      </c>
      <c r="B133"/>
    </row>
    <row r="134" spans="1:2" x14ac:dyDescent="0.25">
      <c r="A134" s="5" t="s">
        <v>373</v>
      </c>
      <c r="B134"/>
    </row>
    <row r="135" spans="1:2" x14ac:dyDescent="0.25">
      <c r="A135" s="5" t="s">
        <v>373</v>
      </c>
      <c r="B135"/>
    </row>
    <row r="136" spans="1:2" x14ac:dyDescent="0.25">
      <c r="A136" s="5" t="s">
        <v>373</v>
      </c>
      <c r="B136"/>
    </row>
    <row r="137" spans="1:2" x14ac:dyDescent="0.25">
      <c r="A137" s="5" t="s">
        <v>373</v>
      </c>
      <c r="B137"/>
    </row>
    <row r="138" spans="1:2" x14ac:dyDescent="0.25">
      <c r="A138" s="5" t="s">
        <v>373</v>
      </c>
      <c r="B138"/>
    </row>
    <row r="139" spans="1:2" x14ac:dyDescent="0.25">
      <c r="A139" s="5" t="s">
        <v>373</v>
      </c>
      <c r="B139"/>
    </row>
    <row r="140" spans="1:2" x14ac:dyDescent="0.25">
      <c r="A140" s="5" t="s">
        <v>373</v>
      </c>
      <c r="B140"/>
    </row>
    <row r="141" spans="1:2" x14ac:dyDescent="0.25">
      <c r="A141" s="5" t="s">
        <v>373</v>
      </c>
      <c r="B141"/>
    </row>
    <row r="142" spans="1:2" x14ac:dyDescent="0.25">
      <c r="A142" s="5" t="s">
        <v>373</v>
      </c>
      <c r="B142"/>
    </row>
    <row r="143" spans="1:2" x14ac:dyDescent="0.25">
      <c r="A143" s="5" t="s">
        <v>373</v>
      </c>
      <c r="B143"/>
    </row>
    <row r="144" spans="1:2" x14ac:dyDescent="0.25">
      <c r="A144" s="5"/>
      <c r="B144"/>
    </row>
    <row r="145" spans="1:2" x14ac:dyDescent="0.25">
      <c r="A145" s="5"/>
      <c r="B145"/>
    </row>
    <row r="146" spans="1:2" x14ac:dyDescent="0.25">
      <c r="A146" s="5"/>
      <c r="B146"/>
    </row>
    <row r="147" spans="1:2" x14ac:dyDescent="0.25">
      <c r="A147" s="5"/>
      <c r="B147"/>
    </row>
    <row r="148" spans="1:2" x14ac:dyDescent="0.25">
      <c r="A148" s="5"/>
      <c r="B148"/>
    </row>
    <row r="149" spans="1:2" x14ac:dyDescent="0.25">
      <c r="A149" s="5"/>
      <c r="B149"/>
    </row>
    <row r="150" spans="1:2" x14ac:dyDescent="0.25">
      <c r="A150" s="5"/>
      <c r="B150"/>
    </row>
    <row r="151" spans="1:2" x14ac:dyDescent="0.25">
      <c r="A151" s="5"/>
      <c r="B151"/>
    </row>
    <row r="152" spans="1:2" x14ac:dyDescent="0.25">
      <c r="A152" s="5"/>
      <c r="B152"/>
    </row>
    <row r="153" spans="1:2" x14ac:dyDescent="0.25">
      <c r="A153" s="5"/>
      <c r="B153"/>
    </row>
    <row r="154" spans="1:2" x14ac:dyDescent="0.25">
      <c r="A154" s="5"/>
      <c r="B154"/>
    </row>
    <row r="155" spans="1:2" x14ac:dyDescent="0.25">
      <c r="A155" s="5"/>
      <c r="B155"/>
    </row>
    <row r="156" spans="1:2" x14ac:dyDescent="0.25">
      <c r="A156" s="5"/>
      <c r="B156"/>
    </row>
    <row r="157" spans="1:2" x14ac:dyDescent="0.25">
      <c r="A157" s="5"/>
      <c r="B157"/>
    </row>
    <row r="158" spans="1:2" x14ac:dyDescent="0.25">
      <c r="A158" s="5"/>
      <c r="B158"/>
    </row>
    <row r="159" spans="1:2" x14ac:dyDescent="0.25">
      <c r="A159" s="5"/>
      <c r="B159"/>
    </row>
    <row r="160" spans="1:2" x14ac:dyDescent="0.25">
      <c r="A160" s="5"/>
      <c r="B160"/>
    </row>
    <row r="161" spans="1:2" x14ac:dyDescent="0.25">
      <c r="A161" s="5"/>
      <c r="B161"/>
    </row>
    <row r="162" spans="1:2" x14ac:dyDescent="0.25">
      <c r="A162" s="5"/>
      <c r="B162"/>
    </row>
    <row r="163" spans="1:2" x14ac:dyDescent="0.25">
      <c r="A163" s="5"/>
      <c r="B163"/>
    </row>
    <row r="164" spans="1:2" x14ac:dyDescent="0.25">
      <c r="A164" s="5"/>
      <c r="B164"/>
    </row>
    <row r="165" spans="1:2" x14ac:dyDescent="0.25">
      <c r="A165" s="5"/>
      <c r="B165"/>
    </row>
    <row r="166" spans="1:2" x14ac:dyDescent="0.25">
      <c r="A166" s="5"/>
      <c r="B166"/>
    </row>
    <row r="167" spans="1:2" x14ac:dyDescent="0.25">
      <c r="A167" s="5"/>
      <c r="B167"/>
    </row>
    <row r="168" spans="1:2" x14ac:dyDescent="0.25">
      <c r="A168" s="5"/>
      <c r="B168"/>
    </row>
    <row r="169" spans="1:2" x14ac:dyDescent="0.25">
      <c r="A169" s="5"/>
      <c r="B169"/>
    </row>
    <row r="170" spans="1:2" x14ac:dyDescent="0.25">
      <c r="A170" s="5"/>
      <c r="B170"/>
    </row>
    <row r="171" spans="1:2" x14ac:dyDescent="0.25">
      <c r="A171" s="5"/>
      <c r="B171"/>
    </row>
    <row r="172" spans="1:2" x14ac:dyDescent="0.25">
      <c r="A172" s="5"/>
      <c r="B172"/>
    </row>
    <row r="173" spans="1:2" x14ac:dyDescent="0.25">
      <c r="A173" s="5"/>
      <c r="B173"/>
    </row>
    <row r="174" spans="1:2" x14ac:dyDescent="0.25">
      <c r="A174" s="5"/>
      <c r="B174"/>
    </row>
    <row r="175" spans="1:2" x14ac:dyDescent="0.25">
      <c r="A175" s="5"/>
      <c r="B175"/>
    </row>
    <row r="176" spans="1:2" x14ac:dyDescent="0.25">
      <c r="A176" s="5"/>
      <c r="B176"/>
    </row>
    <row r="177" spans="2:2" x14ac:dyDescent="0.25">
      <c r="B177"/>
    </row>
  </sheetData>
  <sortState xmlns:xlrd2="http://schemas.microsoft.com/office/spreadsheetml/2017/richdata2" ref="A2:B176">
    <sortCondition ref="A2"/>
  </sortState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D177"/>
  <sheetViews>
    <sheetView workbookViewId="0">
      <selection activeCell="A2" sqref="A2"/>
    </sheetView>
  </sheetViews>
  <sheetFormatPr defaultRowHeight="15" x14ac:dyDescent="0.25"/>
  <cols>
    <col min="1" max="1" width="21.5703125" bestFit="1" customWidth="1"/>
    <col min="2" max="2" width="34" style="5" bestFit="1" customWidth="1"/>
    <col min="5" max="5" width="35.140625" bestFit="1" customWidth="1"/>
    <col min="8" max="8" width="21" bestFit="1" customWidth="1"/>
  </cols>
  <sheetData>
    <row r="1" spans="1:4" x14ac:dyDescent="0.25">
      <c r="A1" s="35"/>
      <c r="D1" s="144"/>
    </row>
    <row r="2" spans="1:4" x14ac:dyDescent="0.25">
      <c r="A2" s="5">
        <v>0.26</v>
      </c>
      <c r="B2" t="s">
        <v>824</v>
      </c>
      <c r="D2" s="144"/>
    </row>
    <row r="3" spans="1:4" x14ac:dyDescent="0.25">
      <c r="A3" s="5">
        <v>0.26</v>
      </c>
      <c r="B3" t="s">
        <v>826</v>
      </c>
      <c r="D3" s="144"/>
    </row>
    <row r="4" spans="1:4" x14ac:dyDescent="0.25">
      <c r="A4" s="5">
        <v>0.27</v>
      </c>
      <c r="B4" t="s">
        <v>847</v>
      </c>
      <c r="D4" s="144"/>
    </row>
    <row r="5" spans="1:4" x14ac:dyDescent="0.25">
      <c r="A5" s="5">
        <v>0.28999999999999998</v>
      </c>
      <c r="B5" t="s">
        <v>805</v>
      </c>
      <c r="D5" s="144"/>
    </row>
    <row r="6" spans="1:4" x14ac:dyDescent="0.25">
      <c r="A6" s="5">
        <v>0.28999999999999998</v>
      </c>
      <c r="B6" t="s">
        <v>823</v>
      </c>
      <c r="D6" s="144"/>
    </row>
    <row r="7" spans="1:4" x14ac:dyDescent="0.25">
      <c r="A7" s="5">
        <v>0.28999999999999998</v>
      </c>
      <c r="B7" t="s">
        <v>844</v>
      </c>
      <c r="D7" s="144"/>
    </row>
    <row r="8" spans="1:4" x14ac:dyDescent="0.25">
      <c r="A8" s="5">
        <v>0.32</v>
      </c>
      <c r="B8" t="s">
        <v>845</v>
      </c>
      <c r="D8" s="144"/>
    </row>
    <row r="9" spans="1:4" x14ac:dyDescent="0.25">
      <c r="A9" s="5">
        <v>0.32</v>
      </c>
      <c r="B9" t="s">
        <v>846</v>
      </c>
      <c r="D9" s="144"/>
    </row>
    <row r="10" spans="1:4" x14ac:dyDescent="0.25">
      <c r="A10" s="5">
        <v>0.33</v>
      </c>
      <c r="B10" t="s">
        <v>827</v>
      </c>
      <c r="D10" s="144"/>
    </row>
    <row r="11" spans="1:4" x14ac:dyDescent="0.25">
      <c r="A11" s="5">
        <v>0.34</v>
      </c>
      <c r="B11" t="s">
        <v>804</v>
      </c>
      <c r="D11" s="144"/>
    </row>
    <row r="12" spans="1:4" x14ac:dyDescent="0.25">
      <c r="A12" s="5">
        <v>0.34</v>
      </c>
      <c r="B12" t="s">
        <v>828</v>
      </c>
      <c r="D12" s="144"/>
    </row>
    <row r="13" spans="1:4" x14ac:dyDescent="0.25">
      <c r="A13" s="5">
        <v>0.34</v>
      </c>
      <c r="B13" t="s">
        <v>851</v>
      </c>
      <c r="D13" s="144"/>
    </row>
    <row r="14" spans="1:4" x14ac:dyDescent="0.25">
      <c r="A14" s="5">
        <v>0.36</v>
      </c>
      <c r="B14" t="s">
        <v>796</v>
      </c>
      <c r="D14" s="144"/>
    </row>
    <row r="15" spans="1:4" x14ac:dyDescent="0.25">
      <c r="A15" s="5">
        <v>0.36</v>
      </c>
      <c r="B15" t="s">
        <v>850</v>
      </c>
      <c r="D15" s="144"/>
    </row>
    <row r="16" spans="1:4" x14ac:dyDescent="0.25">
      <c r="A16" s="5">
        <v>0.36</v>
      </c>
      <c r="B16" t="s">
        <v>864</v>
      </c>
      <c r="D16" s="144"/>
    </row>
    <row r="17" spans="1:4" x14ac:dyDescent="0.25">
      <c r="A17" s="5">
        <v>0.36</v>
      </c>
      <c r="B17" t="s">
        <v>865</v>
      </c>
      <c r="D17" s="144"/>
    </row>
    <row r="18" spans="1:4" x14ac:dyDescent="0.25">
      <c r="A18" s="5">
        <v>0.37</v>
      </c>
      <c r="B18" t="s">
        <v>868</v>
      </c>
      <c r="D18" s="144"/>
    </row>
    <row r="19" spans="1:4" x14ac:dyDescent="0.25">
      <c r="A19" s="5">
        <v>0.38</v>
      </c>
      <c r="B19" t="s">
        <v>794</v>
      </c>
      <c r="D19" s="144"/>
    </row>
    <row r="20" spans="1:4" x14ac:dyDescent="0.25">
      <c r="A20" s="5">
        <v>0.38</v>
      </c>
      <c r="B20" t="s">
        <v>839</v>
      </c>
      <c r="D20" s="144"/>
    </row>
    <row r="21" spans="1:4" x14ac:dyDescent="0.25">
      <c r="A21" s="5">
        <v>0.38</v>
      </c>
      <c r="B21" t="s">
        <v>862</v>
      </c>
      <c r="D21" s="144"/>
    </row>
    <row r="22" spans="1:4" x14ac:dyDescent="0.25">
      <c r="A22" s="5">
        <v>0.39</v>
      </c>
      <c r="B22" t="s">
        <v>863</v>
      </c>
      <c r="D22" s="144"/>
    </row>
    <row r="23" spans="1:4" x14ac:dyDescent="0.25">
      <c r="A23" s="5">
        <v>0.4</v>
      </c>
      <c r="B23" t="s">
        <v>810</v>
      </c>
      <c r="D23" s="144"/>
    </row>
    <row r="24" spans="1:4" x14ac:dyDescent="0.25">
      <c r="A24" s="5">
        <v>0.4</v>
      </c>
      <c r="B24" t="s">
        <v>822</v>
      </c>
      <c r="D24" s="144"/>
    </row>
    <row r="25" spans="1:4" x14ac:dyDescent="0.25">
      <c r="A25" s="5">
        <v>0.41</v>
      </c>
      <c r="B25" t="s">
        <v>848</v>
      </c>
      <c r="D25" s="144"/>
    </row>
    <row r="26" spans="1:4" x14ac:dyDescent="0.25">
      <c r="A26" s="5">
        <v>0.41</v>
      </c>
      <c r="B26" t="s">
        <v>849</v>
      </c>
      <c r="D26" s="144"/>
    </row>
    <row r="27" spans="1:4" x14ac:dyDescent="0.25">
      <c r="A27" s="5">
        <v>0.42</v>
      </c>
      <c r="B27" t="s">
        <v>838</v>
      </c>
      <c r="D27" s="144"/>
    </row>
    <row r="28" spans="1:4" x14ac:dyDescent="0.25">
      <c r="A28" s="5">
        <v>0.43</v>
      </c>
      <c r="B28" t="s">
        <v>821</v>
      </c>
      <c r="D28" s="144"/>
    </row>
    <row r="29" spans="1:4" x14ac:dyDescent="0.25">
      <c r="A29" s="5">
        <v>0.45</v>
      </c>
      <c r="B29" t="s">
        <v>811</v>
      </c>
      <c r="D29" s="144"/>
    </row>
    <row r="30" spans="1:4" x14ac:dyDescent="0.25">
      <c r="A30" s="5">
        <v>0.45</v>
      </c>
      <c r="B30" t="s">
        <v>836</v>
      </c>
      <c r="D30" s="144"/>
    </row>
    <row r="31" spans="1:4" x14ac:dyDescent="0.25">
      <c r="A31" s="5">
        <v>0.45</v>
      </c>
      <c r="B31" t="s">
        <v>837</v>
      </c>
      <c r="D31" s="144"/>
    </row>
    <row r="32" spans="1:4" x14ac:dyDescent="0.25">
      <c r="A32" s="5">
        <v>0.46</v>
      </c>
      <c r="B32" t="s">
        <v>798</v>
      </c>
      <c r="D32" s="144"/>
    </row>
    <row r="33" spans="1:4" x14ac:dyDescent="0.25">
      <c r="A33" s="5">
        <v>0.47</v>
      </c>
      <c r="B33" t="s">
        <v>857</v>
      </c>
      <c r="D33" s="144"/>
    </row>
    <row r="34" spans="1:4" x14ac:dyDescent="0.25">
      <c r="A34" s="5">
        <v>0.47</v>
      </c>
      <c r="B34" t="s">
        <v>878</v>
      </c>
      <c r="D34" s="144"/>
    </row>
    <row r="35" spans="1:4" x14ac:dyDescent="0.25">
      <c r="A35" s="5">
        <v>0.47</v>
      </c>
      <c r="B35" t="s">
        <v>879</v>
      </c>
      <c r="D35" s="144"/>
    </row>
    <row r="36" spans="1:4" x14ac:dyDescent="0.25">
      <c r="A36" s="5">
        <v>0.48</v>
      </c>
      <c r="B36" t="s">
        <v>799</v>
      </c>
      <c r="D36" s="144"/>
    </row>
    <row r="37" spans="1:4" x14ac:dyDescent="0.25">
      <c r="A37" s="5">
        <v>0.49</v>
      </c>
      <c r="B37" t="s">
        <v>812</v>
      </c>
      <c r="D37" s="144"/>
    </row>
    <row r="38" spans="1:4" x14ac:dyDescent="0.25">
      <c r="A38" s="5">
        <v>0.49</v>
      </c>
      <c r="B38" t="s">
        <v>835</v>
      </c>
      <c r="D38" s="144"/>
    </row>
    <row r="39" spans="1:4" x14ac:dyDescent="0.25">
      <c r="A39" s="5">
        <v>0.49</v>
      </c>
      <c r="B39" t="s">
        <v>852</v>
      </c>
      <c r="D39" s="144"/>
    </row>
    <row r="40" spans="1:4" x14ac:dyDescent="0.25">
      <c r="A40" s="5">
        <v>0.49</v>
      </c>
      <c r="B40" t="s">
        <v>856</v>
      </c>
      <c r="D40" s="144"/>
    </row>
    <row r="41" spans="1:4" x14ac:dyDescent="0.25">
      <c r="A41" s="5">
        <v>0.5</v>
      </c>
      <c r="B41" t="s">
        <v>829</v>
      </c>
      <c r="D41" s="144"/>
    </row>
    <row r="42" spans="1:4" x14ac:dyDescent="0.25">
      <c r="A42" s="5">
        <v>0.51</v>
      </c>
      <c r="B42" t="s">
        <v>876</v>
      </c>
      <c r="D42" s="144"/>
    </row>
    <row r="43" spans="1:4" x14ac:dyDescent="0.25">
      <c r="A43" s="5">
        <v>0.51</v>
      </c>
      <c r="B43" t="s">
        <v>877</v>
      </c>
      <c r="D43" s="144"/>
    </row>
    <row r="44" spans="1:4" x14ac:dyDescent="0.25">
      <c r="A44" s="5">
        <v>0.52</v>
      </c>
      <c r="B44" t="s">
        <v>830</v>
      </c>
      <c r="D44" s="144"/>
    </row>
    <row r="45" spans="1:4" x14ac:dyDescent="0.25">
      <c r="A45" s="5">
        <v>0.55000000000000004</v>
      </c>
      <c r="B45" t="s">
        <v>855</v>
      </c>
      <c r="D45" s="144"/>
    </row>
    <row r="46" spans="1:4" x14ac:dyDescent="0.25">
      <c r="A46" s="5">
        <v>0.55000000000000004</v>
      </c>
      <c r="B46" t="s">
        <v>869</v>
      </c>
      <c r="D46" s="144"/>
    </row>
    <row r="47" spans="1:4" x14ac:dyDescent="0.25">
      <c r="A47" s="5">
        <v>0.55000000000000004</v>
      </c>
      <c r="B47" t="s">
        <v>870</v>
      </c>
      <c r="D47" s="144"/>
    </row>
    <row r="48" spans="1:4" x14ac:dyDescent="0.25">
      <c r="A48" s="5">
        <v>0.56000000000000005</v>
      </c>
      <c r="B48" t="s">
        <v>841</v>
      </c>
      <c r="D48" s="144"/>
    </row>
    <row r="49" spans="1:4" x14ac:dyDescent="0.25">
      <c r="A49" s="5">
        <v>0.56999999999999995</v>
      </c>
      <c r="B49" t="s">
        <v>874</v>
      </c>
      <c r="D49" s="144"/>
    </row>
    <row r="50" spans="1:4" x14ac:dyDescent="0.25">
      <c r="A50" s="5">
        <v>0.57999999999999996</v>
      </c>
      <c r="B50" t="s">
        <v>840</v>
      </c>
      <c r="D50" s="144"/>
    </row>
    <row r="51" spans="1:4" x14ac:dyDescent="0.25">
      <c r="A51" s="5">
        <v>0.59</v>
      </c>
      <c r="B51" t="s">
        <v>803</v>
      </c>
      <c r="D51" s="144"/>
    </row>
    <row r="52" spans="1:4" x14ac:dyDescent="0.25">
      <c r="A52" s="5">
        <v>0.59</v>
      </c>
      <c r="B52" t="s">
        <v>854</v>
      </c>
      <c r="D52" s="144"/>
    </row>
    <row r="53" spans="1:4" x14ac:dyDescent="0.25">
      <c r="A53" s="5">
        <v>0.61</v>
      </c>
      <c r="B53" t="s">
        <v>814</v>
      </c>
      <c r="D53" s="144"/>
    </row>
    <row r="54" spans="1:4" x14ac:dyDescent="0.25">
      <c r="A54" s="5">
        <v>0.62</v>
      </c>
      <c r="B54" t="s">
        <v>802</v>
      </c>
      <c r="D54" s="144"/>
    </row>
    <row r="55" spans="1:4" x14ac:dyDescent="0.25">
      <c r="A55" s="5">
        <v>0.62</v>
      </c>
      <c r="B55" t="s">
        <v>853</v>
      </c>
      <c r="D55" s="144"/>
    </row>
    <row r="56" spans="1:4" x14ac:dyDescent="0.25">
      <c r="A56" s="5">
        <v>0.69</v>
      </c>
      <c r="B56" t="s">
        <v>819</v>
      </c>
      <c r="D56" s="144"/>
    </row>
    <row r="57" spans="1:4" x14ac:dyDescent="0.25">
      <c r="A57" s="5">
        <v>0.71</v>
      </c>
      <c r="B57" t="s">
        <v>820</v>
      </c>
      <c r="D57" s="144"/>
    </row>
    <row r="58" spans="1:4" x14ac:dyDescent="0.25">
      <c r="A58" s="5">
        <v>0.71</v>
      </c>
      <c r="B58" t="s">
        <v>831</v>
      </c>
      <c r="D58" s="144"/>
    </row>
    <row r="59" spans="1:4" x14ac:dyDescent="0.25">
      <c r="A59" s="5">
        <v>0.72</v>
      </c>
      <c r="B59" t="s">
        <v>859</v>
      </c>
      <c r="D59" s="144"/>
    </row>
    <row r="60" spans="1:4" x14ac:dyDescent="0.25">
      <c r="A60" s="5">
        <v>0.74</v>
      </c>
      <c r="B60" t="s">
        <v>858</v>
      </c>
      <c r="D60" s="144"/>
    </row>
    <row r="61" spans="1:4" x14ac:dyDescent="0.25">
      <c r="A61" s="5">
        <v>0.76</v>
      </c>
      <c r="B61" t="s">
        <v>843</v>
      </c>
      <c r="D61" s="144"/>
    </row>
    <row r="62" spans="1:4" x14ac:dyDescent="0.25">
      <c r="A62" s="5">
        <v>0.78</v>
      </c>
      <c r="B62" t="s">
        <v>832</v>
      </c>
      <c r="D62" s="144"/>
    </row>
    <row r="63" spans="1:4" x14ac:dyDescent="0.25">
      <c r="A63" s="5">
        <v>0.79</v>
      </c>
      <c r="B63" t="s">
        <v>842</v>
      </c>
      <c r="D63" s="144"/>
    </row>
    <row r="64" spans="1:4" x14ac:dyDescent="0.25">
      <c r="A64" s="5">
        <v>0.8</v>
      </c>
      <c r="B64" t="s">
        <v>872</v>
      </c>
      <c r="D64" s="144"/>
    </row>
    <row r="65" spans="1:4" x14ac:dyDescent="0.25">
      <c r="A65" s="5">
        <v>0.8</v>
      </c>
      <c r="B65" t="s">
        <v>873</v>
      </c>
      <c r="D65" s="144"/>
    </row>
    <row r="66" spans="1:4" x14ac:dyDescent="0.25">
      <c r="A66" s="5">
        <v>0.81</v>
      </c>
      <c r="B66" t="s">
        <v>797</v>
      </c>
      <c r="D66" s="144"/>
    </row>
    <row r="67" spans="1:4" x14ac:dyDescent="0.25">
      <c r="A67" s="5">
        <v>0.85</v>
      </c>
      <c r="B67" t="s">
        <v>795</v>
      </c>
      <c r="D67" s="144"/>
    </row>
    <row r="68" spans="1:4" x14ac:dyDescent="0.25">
      <c r="A68" s="5">
        <v>0.85</v>
      </c>
      <c r="B68" t="s">
        <v>815</v>
      </c>
      <c r="D68" s="144"/>
    </row>
    <row r="69" spans="1:4" x14ac:dyDescent="0.25">
      <c r="A69" s="5">
        <v>0.93</v>
      </c>
      <c r="B69" t="s">
        <v>808</v>
      </c>
      <c r="D69" s="144"/>
    </row>
    <row r="70" spans="1:4" x14ac:dyDescent="0.25">
      <c r="A70" s="5">
        <v>0.94</v>
      </c>
      <c r="B70" t="s">
        <v>833</v>
      </c>
      <c r="D70" s="144"/>
    </row>
    <row r="71" spans="1:4" x14ac:dyDescent="0.25">
      <c r="A71" s="5">
        <v>0.95</v>
      </c>
      <c r="B71" t="s">
        <v>818</v>
      </c>
      <c r="D71" s="144"/>
    </row>
    <row r="72" spans="1:4" x14ac:dyDescent="0.25">
      <c r="A72" s="5">
        <v>0.96</v>
      </c>
      <c r="B72" t="s">
        <v>817</v>
      </c>
      <c r="D72" s="144"/>
    </row>
    <row r="73" spans="1:4" x14ac:dyDescent="0.25">
      <c r="A73" s="5">
        <v>1.01</v>
      </c>
      <c r="B73" t="s">
        <v>875</v>
      </c>
      <c r="D73" s="144"/>
    </row>
    <row r="74" spans="1:4" x14ac:dyDescent="0.25">
      <c r="A74" s="5">
        <v>1.03</v>
      </c>
      <c r="B74" t="s">
        <v>834</v>
      </c>
      <c r="D74" s="144"/>
    </row>
    <row r="75" spans="1:4" x14ac:dyDescent="0.25">
      <c r="A75" s="5">
        <v>1.04</v>
      </c>
      <c r="B75" t="s">
        <v>801</v>
      </c>
      <c r="D75" s="144"/>
    </row>
    <row r="76" spans="1:4" x14ac:dyDescent="0.25">
      <c r="A76" s="5">
        <v>1.04</v>
      </c>
      <c r="B76" t="s">
        <v>860</v>
      </c>
      <c r="D76" s="144"/>
    </row>
    <row r="77" spans="1:4" x14ac:dyDescent="0.25">
      <c r="A77" s="5">
        <v>1.08</v>
      </c>
      <c r="B77" t="s">
        <v>861</v>
      </c>
      <c r="D77" s="144"/>
    </row>
    <row r="78" spans="1:4" x14ac:dyDescent="0.25">
      <c r="A78" s="5">
        <v>1.0900000000000001</v>
      </c>
      <c r="B78" t="s">
        <v>800</v>
      </c>
      <c r="D78" s="144"/>
    </row>
    <row r="79" spans="1:4" x14ac:dyDescent="0.25">
      <c r="A79" s="5">
        <v>1.0900000000000001</v>
      </c>
      <c r="B79" t="s">
        <v>813</v>
      </c>
      <c r="D79" s="144"/>
    </row>
    <row r="80" spans="1:4" x14ac:dyDescent="0.25">
      <c r="A80" s="5">
        <v>1.0900000000000001</v>
      </c>
      <c r="B80" t="s">
        <v>871</v>
      </c>
      <c r="D80" s="144"/>
    </row>
    <row r="81" spans="1:4" x14ac:dyDescent="0.25">
      <c r="A81" s="5">
        <v>1.1000000000000001</v>
      </c>
      <c r="B81" t="s">
        <v>816</v>
      </c>
      <c r="D81" s="144"/>
    </row>
    <row r="82" spans="1:4" x14ac:dyDescent="0.25">
      <c r="A82" s="5">
        <v>1.22</v>
      </c>
      <c r="B82" t="s">
        <v>809</v>
      </c>
      <c r="D82" s="144"/>
    </row>
    <row r="83" spans="1:4" x14ac:dyDescent="0.25">
      <c r="A83" s="5">
        <v>1.39</v>
      </c>
      <c r="B83" t="s">
        <v>867</v>
      </c>
      <c r="D83" s="144"/>
    </row>
    <row r="84" spans="1:4" x14ac:dyDescent="0.25">
      <c r="A84" s="5">
        <v>1.46</v>
      </c>
      <c r="B84" t="s">
        <v>866</v>
      </c>
      <c r="D84" s="144"/>
    </row>
    <row r="85" spans="1:4" x14ac:dyDescent="0.25">
      <c r="A85" s="5">
        <v>1.51</v>
      </c>
      <c r="B85" t="s">
        <v>807</v>
      </c>
    </row>
    <row r="86" spans="1:4" x14ac:dyDescent="0.25">
      <c r="A86" s="5">
        <v>2.36</v>
      </c>
      <c r="B86" t="s">
        <v>825</v>
      </c>
    </row>
    <row r="87" spans="1:4" x14ac:dyDescent="0.25">
      <c r="A87" s="5">
        <v>2.78</v>
      </c>
      <c r="B87" t="s">
        <v>806</v>
      </c>
    </row>
    <row r="88" spans="1:4" x14ac:dyDescent="0.25">
      <c r="A88" s="5" t="s">
        <v>373</v>
      </c>
      <c r="B88" t="s">
        <v>574</v>
      </c>
    </row>
    <row r="89" spans="1:4" x14ac:dyDescent="0.25">
      <c r="A89" s="5" t="s">
        <v>373</v>
      </c>
      <c r="B89"/>
    </row>
    <row r="90" spans="1:4" x14ac:dyDescent="0.25">
      <c r="A90" s="5" t="s">
        <v>373</v>
      </c>
      <c r="B90"/>
    </row>
    <row r="91" spans="1:4" x14ac:dyDescent="0.25">
      <c r="A91" s="5" t="s">
        <v>373</v>
      </c>
      <c r="B91"/>
    </row>
    <row r="92" spans="1:4" x14ac:dyDescent="0.25">
      <c r="A92" s="5" t="s">
        <v>373</v>
      </c>
      <c r="B92"/>
    </row>
    <row r="93" spans="1:4" x14ac:dyDescent="0.25">
      <c r="A93" s="5" t="s">
        <v>373</v>
      </c>
      <c r="B93"/>
    </row>
    <row r="94" spans="1:4" x14ac:dyDescent="0.25">
      <c r="A94" s="5" t="s">
        <v>373</v>
      </c>
      <c r="B94"/>
    </row>
    <row r="95" spans="1:4" x14ac:dyDescent="0.25">
      <c r="A95" s="5" t="s">
        <v>373</v>
      </c>
      <c r="B95"/>
    </row>
    <row r="96" spans="1:4" x14ac:dyDescent="0.25">
      <c r="A96" s="5" t="s">
        <v>373</v>
      </c>
      <c r="B96"/>
    </row>
    <row r="97" spans="1:2" x14ac:dyDescent="0.25">
      <c r="A97" s="5" t="s">
        <v>373</v>
      </c>
      <c r="B97"/>
    </row>
    <row r="98" spans="1:2" x14ac:dyDescent="0.25">
      <c r="A98" s="5" t="s">
        <v>373</v>
      </c>
      <c r="B98"/>
    </row>
    <row r="99" spans="1:2" x14ac:dyDescent="0.25">
      <c r="A99" s="5" t="s">
        <v>373</v>
      </c>
      <c r="B99"/>
    </row>
    <row r="100" spans="1:2" x14ac:dyDescent="0.25">
      <c r="A100" s="5" t="s">
        <v>373</v>
      </c>
      <c r="B100"/>
    </row>
    <row r="101" spans="1:2" x14ac:dyDescent="0.25">
      <c r="A101" s="5" t="s">
        <v>373</v>
      </c>
      <c r="B101"/>
    </row>
    <row r="102" spans="1:2" x14ac:dyDescent="0.25">
      <c r="A102" s="5" t="s">
        <v>373</v>
      </c>
      <c r="B102"/>
    </row>
    <row r="103" spans="1:2" x14ac:dyDescent="0.25">
      <c r="A103" s="5" t="s">
        <v>373</v>
      </c>
      <c r="B103"/>
    </row>
    <row r="104" spans="1:2" x14ac:dyDescent="0.25">
      <c r="A104" s="5" t="s">
        <v>373</v>
      </c>
      <c r="B104"/>
    </row>
    <row r="105" spans="1:2" x14ac:dyDescent="0.25">
      <c r="A105" s="5" t="s">
        <v>373</v>
      </c>
      <c r="B105"/>
    </row>
    <row r="106" spans="1:2" x14ac:dyDescent="0.25">
      <c r="A106" s="5" t="s">
        <v>373</v>
      </c>
      <c r="B106"/>
    </row>
    <row r="107" spans="1:2" x14ac:dyDescent="0.25">
      <c r="A107" s="5" t="s">
        <v>373</v>
      </c>
      <c r="B107"/>
    </row>
    <row r="108" spans="1:2" x14ac:dyDescent="0.25">
      <c r="A108" s="5" t="s">
        <v>373</v>
      </c>
      <c r="B108"/>
    </row>
    <row r="109" spans="1:2" x14ac:dyDescent="0.25">
      <c r="A109" s="5" t="s">
        <v>373</v>
      </c>
      <c r="B109"/>
    </row>
    <row r="110" spans="1:2" x14ac:dyDescent="0.25">
      <c r="A110" s="5" t="s">
        <v>373</v>
      </c>
      <c r="B110"/>
    </row>
    <row r="111" spans="1:2" x14ac:dyDescent="0.25">
      <c r="A111" s="5" t="s">
        <v>373</v>
      </c>
      <c r="B111"/>
    </row>
    <row r="112" spans="1:2" x14ac:dyDescent="0.25">
      <c r="A112" s="5" t="s">
        <v>373</v>
      </c>
      <c r="B112"/>
    </row>
    <row r="113" spans="1:2" x14ac:dyDescent="0.25">
      <c r="A113" s="5" t="s">
        <v>373</v>
      </c>
      <c r="B113"/>
    </row>
    <row r="114" spans="1:2" x14ac:dyDescent="0.25">
      <c r="A114" s="5" t="s">
        <v>373</v>
      </c>
      <c r="B114"/>
    </row>
    <row r="115" spans="1:2" x14ac:dyDescent="0.25">
      <c r="A115" s="5" t="s">
        <v>373</v>
      </c>
      <c r="B115"/>
    </row>
    <row r="116" spans="1:2" x14ac:dyDescent="0.25">
      <c r="A116" s="5" t="s">
        <v>373</v>
      </c>
      <c r="B116"/>
    </row>
    <row r="117" spans="1:2" x14ac:dyDescent="0.25">
      <c r="A117" s="5" t="s">
        <v>373</v>
      </c>
      <c r="B117"/>
    </row>
    <row r="118" spans="1:2" x14ac:dyDescent="0.25">
      <c r="A118" s="5" t="s">
        <v>373</v>
      </c>
      <c r="B118"/>
    </row>
    <row r="119" spans="1:2" x14ac:dyDescent="0.25">
      <c r="A119" s="5" t="s">
        <v>373</v>
      </c>
      <c r="B119"/>
    </row>
    <row r="120" spans="1:2" x14ac:dyDescent="0.25">
      <c r="A120" s="5" t="s">
        <v>373</v>
      </c>
      <c r="B120"/>
    </row>
    <row r="121" spans="1:2" x14ac:dyDescent="0.25">
      <c r="A121" s="5" t="s">
        <v>373</v>
      </c>
      <c r="B121"/>
    </row>
    <row r="122" spans="1:2" x14ac:dyDescent="0.25">
      <c r="A122" s="5" t="s">
        <v>373</v>
      </c>
      <c r="B122"/>
    </row>
    <row r="123" spans="1:2" x14ac:dyDescent="0.25">
      <c r="A123" s="5" t="s">
        <v>373</v>
      </c>
      <c r="B123"/>
    </row>
    <row r="124" spans="1:2" x14ac:dyDescent="0.25">
      <c r="A124" s="5" t="s">
        <v>373</v>
      </c>
      <c r="B124"/>
    </row>
    <row r="125" spans="1:2" x14ac:dyDescent="0.25">
      <c r="A125" s="5" t="s">
        <v>373</v>
      </c>
      <c r="B125"/>
    </row>
    <row r="126" spans="1:2" x14ac:dyDescent="0.25">
      <c r="A126" s="5" t="s">
        <v>373</v>
      </c>
      <c r="B126"/>
    </row>
    <row r="127" spans="1:2" x14ac:dyDescent="0.25">
      <c r="A127" s="5" t="s">
        <v>373</v>
      </c>
      <c r="B127"/>
    </row>
    <row r="128" spans="1:2" x14ac:dyDescent="0.25">
      <c r="A128" s="5" t="s">
        <v>373</v>
      </c>
      <c r="B128"/>
    </row>
    <row r="129" spans="1:2" x14ac:dyDescent="0.25">
      <c r="A129" s="5" t="s">
        <v>373</v>
      </c>
      <c r="B129"/>
    </row>
    <row r="130" spans="1:2" x14ac:dyDescent="0.25">
      <c r="A130" s="5" t="s">
        <v>373</v>
      </c>
      <c r="B130"/>
    </row>
    <row r="131" spans="1:2" x14ac:dyDescent="0.25">
      <c r="A131" s="5" t="s">
        <v>373</v>
      </c>
      <c r="B131"/>
    </row>
    <row r="132" spans="1:2" x14ac:dyDescent="0.25">
      <c r="A132" s="5" t="s">
        <v>373</v>
      </c>
      <c r="B132"/>
    </row>
    <row r="133" spans="1:2" x14ac:dyDescent="0.25">
      <c r="A133" s="5" t="s">
        <v>373</v>
      </c>
      <c r="B133"/>
    </row>
    <row r="134" spans="1:2" x14ac:dyDescent="0.25">
      <c r="A134" s="5" t="s">
        <v>373</v>
      </c>
      <c r="B134"/>
    </row>
    <row r="135" spans="1:2" x14ac:dyDescent="0.25">
      <c r="A135" s="5" t="s">
        <v>373</v>
      </c>
      <c r="B135"/>
    </row>
    <row r="136" spans="1:2" x14ac:dyDescent="0.25">
      <c r="A136" s="5" t="s">
        <v>373</v>
      </c>
      <c r="B136"/>
    </row>
    <row r="137" spans="1:2" x14ac:dyDescent="0.25">
      <c r="A137" s="5" t="s">
        <v>373</v>
      </c>
      <c r="B137"/>
    </row>
    <row r="138" spans="1:2" x14ac:dyDescent="0.25">
      <c r="A138" s="5" t="s">
        <v>373</v>
      </c>
      <c r="B138"/>
    </row>
    <row r="139" spans="1:2" x14ac:dyDescent="0.25">
      <c r="A139" s="5" t="s">
        <v>373</v>
      </c>
      <c r="B139"/>
    </row>
    <row r="140" spans="1:2" x14ac:dyDescent="0.25">
      <c r="A140" s="5" t="s">
        <v>373</v>
      </c>
      <c r="B140"/>
    </row>
    <row r="141" spans="1:2" x14ac:dyDescent="0.25">
      <c r="A141" s="5" t="s">
        <v>373</v>
      </c>
      <c r="B141"/>
    </row>
    <row r="142" spans="1:2" x14ac:dyDescent="0.25">
      <c r="A142" s="5" t="s">
        <v>373</v>
      </c>
      <c r="B142"/>
    </row>
    <row r="143" spans="1:2" x14ac:dyDescent="0.25">
      <c r="A143" s="5" t="s">
        <v>373</v>
      </c>
      <c r="B143"/>
    </row>
    <row r="144" spans="1:2" x14ac:dyDescent="0.25">
      <c r="A144" s="5"/>
      <c r="B144"/>
    </row>
    <row r="145" spans="1:2" x14ac:dyDescent="0.25">
      <c r="A145" s="5"/>
      <c r="B145"/>
    </row>
    <row r="146" spans="1:2" x14ac:dyDescent="0.25">
      <c r="A146" s="5"/>
      <c r="B146"/>
    </row>
    <row r="147" spans="1:2" x14ac:dyDescent="0.25">
      <c r="A147" s="5"/>
      <c r="B147"/>
    </row>
    <row r="148" spans="1:2" x14ac:dyDescent="0.25">
      <c r="A148" s="5"/>
      <c r="B148"/>
    </row>
    <row r="149" spans="1:2" x14ac:dyDescent="0.25">
      <c r="A149" s="5"/>
      <c r="B149"/>
    </row>
    <row r="150" spans="1:2" x14ac:dyDescent="0.25">
      <c r="A150" s="5"/>
      <c r="B150"/>
    </row>
    <row r="151" spans="1:2" x14ac:dyDescent="0.25">
      <c r="A151" s="5"/>
      <c r="B151"/>
    </row>
    <row r="152" spans="1:2" x14ac:dyDescent="0.25">
      <c r="A152" s="5"/>
      <c r="B152"/>
    </row>
    <row r="153" spans="1:2" x14ac:dyDescent="0.25">
      <c r="A153" s="5"/>
      <c r="B153"/>
    </row>
    <row r="154" spans="1:2" x14ac:dyDescent="0.25">
      <c r="A154" s="5"/>
      <c r="B154"/>
    </row>
    <row r="155" spans="1:2" x14ac:dyDescent="0.25">
      <c r="A155" s="5"/>
      <c r="B155"/>
    </row>
    <row r="156" spans="1:2" x14ac:dyDescent="0.25">
      <c r="A156" s="5"/>
      <c r="B156"/>
    </row>
    <row r="157" spans="1:2" x14ac:dyDescent="0.25">
      <c r="A157" s="5"/>
      <c r="B157"/>
    </row>
    <row r="158" spans="1:2" x14ac:dyDescent="0.25">
      <c r="A158" s="5"/>
      <c r="B158"/>
    </row>
    <row r="159" spans="1:2" x14ac:dyDescent="0.25">
      <c r="A159" s="5"/>
      <c r="B159"/>
    </row>
    <row r="160" spans="1:2" x14ac:dyDescent="0.25">
      <c r="A160" s="5"/>
      <c r="B160"/>
    </row>
    <row r="161" spans="1:2" x14ac:dyDescent="0.25">
      <c r="A161" s="5"/>
      <c r="B161"/>
    </row>
    <row r="162" spans="1:2" x14ac:dyDescent="0.25">
      <c r="A162" s="5"/>
      <c r="B162"/>
    </row>
    <row r="163" spans="1:2" x14ac:dyDescent="0.25">
      <c r="A163" s="5"/>
      <c r="B163"/>
    </row>
    <row r="164" spans="1:2" x14ac:dyDescent="0.25">
      <c r="A164" s="5"/>
      <c r="B164"/>
    </row>
    <row r="165" spans="1:2" x14ac:dyDescent="0.25">
      <c r="A165" s="5"/>
      <c r="B165"/>
    </row>
    <row r="166" spans="1:2" x14ac:dyDescent="0.25">
      <c r="A166" s="5"/>
      <c r="B166"/>
    </row>
    <row r="167" spans="1:2" x14ac:dyDescent="0.25">
      <c r="A167" s="5"/>
      <c r="B167"/>
    </row>
    <row r="168" spans="1:2" x14ac:dyDescent="0.25">
      <c r="A168" s="5"/>
      <c r="B168"/>
    </row>
    <row r="169" spans="1:2" x14ac:dyDescent="0.25">
      <c r="A169" s="5"/>
      <c r="B169"/>
    </row>
    <row r="170" spans="1:2" x14ac:dyDescent="0.25">
      <c r="A170" s="5"/>
      <c r="B170"/>
    </row>
    <row r="171" spans="1:2" x14ac:dyDescent="0.25">
      <c r="A171" s="5"/>
      <c r="B171"/>
    </row>
    <row r="172" spans="1:2" x14ac:dyDescent="0.25">
      <c r="A172" s="5"/>
      <c r="B172"/>
    </row>
    <row r="173" spans="1:2" x14ac:dyDescent="0.25">
      <c r="A173" s="5"/>
      <c r="B173"/>
    </row>
    <row r="174" spans="1:2" x14ac:dyDescent="0.25">
      <c r="A174" s="5"/>
      <c r="B174"/>
    </row>
    <row r="175" spans="1:2" x14ac:dyDescent="0.25">
      <c r="A175" s="5"/>
      <c r="B175"/>
    </row>
    <row r="176" spans="1:2" x14ac:dyDescent="0.25">
      <c r="A176" s="5"/>
      <c r="B176"/>
    </row>
    <row r="177" spans="2:2" x14ac:dyDescent="0.25">
      <c r="B177"/>
    </row>
  </sheetData>
  <sortState xmlns:xlrd2="http://schemas.microsoft.com/office/spreadsheetml/2017/richdata2" ref="A2:B176">
    <sortCondition ref="A2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144</vt:i4>
      </vt:variant>
    </vt:vector>
  </HeadingPairs>
  <TitlesOfParts>
    <vt:vector size="161" baseType="lpstr">
      <vt:lpstr>Intro</vt:lpstr>
      <vt:lpstr>User Input</vt:lpstr>
      <vt:lpstr>Diagrams</vt:lpstr>
      <vt:lpstr>Equations</vt:lpstr>
      <vt:lpstr>Calculations</vt:lpstr>
      <vt:lpstr>Calculations2</vt:lpstr>
      <vt:lpstr>Calculations3</vt:lpstr>
      <vt:lpstr>FET Data</vt:lpstr>
      <vt:lpstr>Logic</vt:lpstr>
      <vt:lpstr>Logic2</vt:lpstr>
      <vt:lpstr>Logic3</vt:lpstr>
      <vt:lpstr>Ploss_Sync_FET1</vt:lpstr>
      <vt:lpstr>Ploss_Sync_FET2</vt:lpstr>
      <vt:lpstr>Ploss_Sync_FET3</vt:lpstr>
      <vt:lpstr>FET_List1</vt:lpstr>
      <vt:lpstr>FET_List2</vt:lpstr>
      <vt:lpstr>FET_List3</vt:lpstr>
      <vt:lpstr>DEFAULT</vt:lpstr>
      <vt:lpstr>DUTY</vt:lpstr>
      <vt:lpstr>FET_config</vt:lpstr>
      <vt:lpstr>FET_config2</vt:lpstr>
      <vt:lpstr>FET_config3</vt:lpstr>
      <vt:lpstr>FSW</vt:lpstr>
      <vt:lpstr>G</vt:lpstr>
      <vt:lpstr>GDR_SINK</vt:lpstr>
      <vt:lpstr>GDR_SRC</vt:lpstr>
      <vt:lpstr>GDR_V</vt:lpstr>
      <vt:lpstr>IM_AVG</vt:lpstr>
      <vt:lpstr>IM_PEAK</vt:lpstr>
      <vt:lpstr>IM_RMS</vt:lpstr>
      <vt:lpstr>IM_RMS_120</vt:lpstr>
      <vt:lpstr>Calculations2!k</vt:lpstr>
      <vt:lpstr>Calculations3!k</vt:lpstr>
      <vt:lpstr>k</vt:lpstr>
      <vt:lpstr>Calculations2!m</vt:lpstr>
      <vt:lpstr>Calculations3!m</vt:lpstr>
      <vt:lpstr>m</vt:lpstr>
      <vt:lpstr>Calculations2!Meg</vt:lpstr>
      <vt:lpstr>Calculations3!Meg</vt:lpstr>
      <vt:lpstr>Meg</vt:lpstr>
      <vt:lpstr>MOT_COM_TIME</vt:lpstr>
      <vt:lpstr>MOT_ELEC_FREQ</vt:lpstr>
      <vt:lpstr>Calculations2!n</vt:lpstr>
      <vt:lpstr>Calculations3!n</vt:lpstr>
      <vt:lpstr>n</vt:lpstr>
      <vt:lpstr>Num_FETS</vt:lpstr>
      <vt:lpstr>Num_FETS2</vt:lpstr>
      <vt:lpstr>Num_FETS3</vt:lpstr>
      <vt:lpstr>Calculations2!p</vt:lpstr>
      <vt:lpstr>Calculations3!p</vt:lpstr>
      <vt:lpstr>p</vt:lpstr>
      <vt:lpstr>P_DC</vt:lpstr>
      <vt:lpstr>Pick_FET</vt:lpstr>
      <vt:lpstr>Pick_FET2</vt:lpstr>
      <vt:lpstr>Pick_FET3</vt:lpstr>
      <vt:lpstr>POLES</vt:lpstr>
      <vt:lpstr>Q1_Part_Number</vt:lpstr>
      <vt:lpstr>Q1_Part_Number2</vt:lpstr>
      <vt:lpstr>Q1_Part_Number3</vt:lpstr>
      <vt:lpstr>Q1_Ploss</vt:lpstr>
      <vt:lpstr>Q1_Qg</vt:lpstr>
      <vt:lpstr>Q1_Qg2</vt:lpstr>
      <vt:lpstr>Q1_Qgd</vt:lpstr>
      <vt:lpstr>Q1_Qgd2</vt:lpstr>
      <vt:lpstr>Q1_Qgd3</vt:lpstr>
      <vt:lpstr>Q1_Qgs</vt:lpstr>
      <vt:lpstr>Q1_Qgs2</vt:lpstr>
      <vt:lpstr>Q1_Qgs3</vt:lpstr>
      <vt:lpstr>Q1_Qgth</vt:lpstr>
      <vt:lpstr>Q1_Qgth2</vt:lpstr>
      <vt:lpstr>Q1_Qgth3</vt:lpstr>
      <vt:lpstr>Q1_Qoss</vt:lpstr>
      <vt:lpstr>Q1_Qoss2</vt:lpstr>
      <vt:lpstr>Q1_Qoss3</vt:lpstr>
      <vt:lpstr>Q1_Qrr</vt:lpstr>
      <vt:lpstr>Q1_Qrr2</vt:lpstr>
      <vt:lpstr>Q1_Qrr3</vt:lpstr>
      <vt:lpstr>Q1_Rdson</vt:lpstr>
      <vt:lpstr>Q1_Rdson2</vt:lpstr>
      <vt:lpstr>Q1_Rdson3</vt:lpstr>
      <vt:lpstr>Q1_Rg</vt:lpstr>
      <vt:lpstr>Q1_Rg2</vt:lpstr>
      <vt:lpstr>Q1_Rg3</vt:lpstr>
      <vt:lpstr>Q1_VMILLER</vt:lpstr>
      <vt:lpstr>Q1_VMILLER2</vt:lpstr>
      <vt:lpstr>Q1_VMILLER3</vt:lpstr>
      <vt:lpstr>Q1_Vsd</vt:lpstr>
      <vt:lpstr>Q1_Vsd2</vt:lpstr>
      <vt:lpstr>Q1_Vsd3</vt:lpstr>
      <vt:lpstr>Q1_VTHRmax</vt:lpstr>
      <vt:lpstr>Q1_VTHRmax2</vt:lpstr>
      <vt:lpstr>Q1_VTHRmax3</vt:lpstr>
      <vt:lpstr>Q1_VTHRmin</vt:lpstr>
      <vt:lpstr>Q1_VTHRmin2</vt:lpstr>
      <vt:lpstr>Q1_VTHRmin3</vt:lpstr>
      <vt:lpstr>Q1RDSON</vt:lpstr>
      <vt:lpstr>Q1RDSON2</vt:lpstr>
      <vt:lpstr>Q1RDSON3</vt:lpstr>
      <vt:lpstr>Q1RDSONTJ</vt:lpstr>
      <vt:lpstr>Q1RDSONTJ2</vt:lpstr>
      <vt:lpstr>Q1RDSONTJ3</vt:lpstr>
      <vt:lpstr>Q2_BVDSS</vt:lpstr>
      <vt:lpstr>Q2_BVDSS2</vt:lpstr>
      <vt:lpstr>Q2_BVDSS3</vt:lpstr>
      <vt:lpstr>Q2_Part_Number</vt:lpstr>
      <vt:lpstr>Q2_Part_Number2</vt:lpstr>
      <vt:lpstr>Q2_Part_Number3</vt:lpstr>
      <vt:lpstr>Calculations2!Q2_Ploss</vt:lpstr>
      <vt:lpstr>Q2_Ploss</vt:lpstr>
      <vt:lpstr>Q2_Qg</vt:lpstr>
      <vt:lpstr>Q2_Qg2</vt:lpstr>
      <vt:lpstr>Q2_Qg3</vt:lpstr>
      <vt:lpstr>Q2_Qgd</vt:lpstr>
      <vt:lpstr>Q2_Qgd2</vt:lpstr>
      <vt:lpstr>Q2_Qgd3</vt:lpstr>
      <vt:lpstr>Q2_Qgs</vt:lpstr>
      <vt:lpstr>Q2_Qgs2</vt:lpstr>
      <vt:lpstr>Q2_Qgs3</vt:lpstr>
      <vt:lpstr>Q2_Qgth</vt:lpstr>
      <vt:lpstr>Q2_Qgth2</vt:lpstr>
      <vt:lpstr>Q2_Qgth3</vt:lpstr>
      <vt:lpstr>Q2_Qoss</vt:lpstr>
      <vt:lpstr>Q2_Qoss2</vt:lpstr>
      <vt:lpstr>Q2_Qoss3</vt:lpstr>
      <vt:lpstr>Q2_Qrr</vt:lpstr>
      <vt:lpstr>Q2_Qrr2</vt:lpstr>
      <vt:lpstr>Q2_Qrr3</vt:lpstr>
      <vt:lpstr>Q2_Rdson</vt:lpstr>
      <vt:lpstr>Q2_Rdson2</vt:lpstr>
      <vt:lpstr>Q2_Rdson3</vt:lpstr>
      <vt:lpstr>Q2_Rg</vt:lpstr>
      <vt:lpstr>Q2_Rg2</vt:lpstr>
      <vt:lpstr>Q2_Rg3</vt:lpstr>
      <vt:lpstr>Q2_VGSmax</vt:lpstr>
      <vt:lpstr>Q2_VGSmax2</vt:lpstr>
      <vt:lpstr>Q2_VGSmax3</vt:lpstr>
      <vt:lpstr>Q2_VMILLER</vt:lpstr>
      <vt:lpstr>Q2_VMILLER2</vt:lpstr>
      <vt:lpstr>Q2_VMILLER3</vt:lpstr>
      <vt:lpstr>Q2_Vsd</vt:lpstr>
      <vt:lpstr>Q2_Vsd2</vt:lpstr>
      <vt:lpstr>Q2_Vsd3</vt:lpstr>
      <vt:lpstr>Q2_VTHRmax</vt:lpstr>
      <vt:lpstr>Q2_VTHRmax2</vt:lpstr>
      <vt:lpstr>Q2_VTHRmax3</vt:lpstr>
      <vt:lpstr>Q2_VTHRmin</vt:lpstr>
      <vt:lpstr>Calculations2!Q2_VTHRmin2</vt:lpstr>
      <vt:lpstr>Q2_VTHRmin3</vt:lpstr>
      <vt:lpstr>Q2RDSON</vt:lpstr>
      <vt:lpstr>Q2RDSON2</vt:lpstr>
      <vt:lpstr>Q2RDSON3</vt:lpstr>
      <vt:lpstr>Q2RDSONTJ</vt:lpstr>
      <vt:lpstr>Q2RDSONTJ2</vt:lpstr>
      <vt:lpstr>Q2RDSONTJ3</vt:lpstr>
      <vt:lpstr>RATED_SPEED</vt:lpstr>
      <vt:lpstr>T_DEAD</vt:lpstr>
      <vt:lpstr>Tj</vt:lpstr>
      <vt:lpstr>Calculations2!u</vt:lpstr>
      <vt:lpstr>Calculations3!u</vt:lpstr>
      <vt:lpstr>u</vt:lpstr>
      <vt:lpstr>VDC_AVG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Jauregui</dc:creator>
  <cp:lastModifiedBy>AZAIS Corentin</cp:lastModifiedBy>
  <dcterms:created xsi:type="dcterms:W3CDTF">2008-05-14T17:54:42Z</dcterms:created>
  <dcterms:modified xsi:type="dcterms:W3CDTF">2021-03-26T18:37:12Z</dcterms:modified>
</cp:coreProperties>
</file>